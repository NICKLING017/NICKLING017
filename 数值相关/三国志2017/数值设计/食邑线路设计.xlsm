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filterPrivacy="1" codeName="ThisWorkbook" defaultThemeVersion="124226"/>
  <xr:revisionPtr revIDLastSave="0" documentId="13_ncr:1_{A28864C7-A91D-447C-BC9C-329936C00F0A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基础信息" sheetId="2" r:id="rId1"/>
    <sheet name="线路设计" sheetId="3" r:id="rId2"/>
    <sheet name="规划模版" sheetId="4" r:id="rId3"/>
    <sheet name="食邑对应区域" sheetId="6" r:id="rId4"/>
    <sheet name="食邑线路图" sheetId="7" r:id="rId5"/>
  </sheets>
  <functionGroups builtInGroupCount="19"/>
  <calcPr calcId="191029"/>
</workbook>
</file>

<file path=xl/calcChain.xml><?xml version="1.0" encoding="utf-8"?>
<calcChain xmlns="http://schemas.openxmlformats.org/spreadsheetml/2006/main">
  <c r="CX34" i="7" l="1"/>
  <c r="CX40" i="7"/>
  <c r="CX46" i="7"/>
  <c r="CX52" i="7"/>
  <c r="CX58" i="7"/>
  <c r="CX64" i="7"/>
  <c r="CX70" i="7"/>
  <c r="CX76" i="7"/>
  <c r="CX72" i="7"/>
  <c r="CX43" i="7"/>
  <c r="CX61" i="7"/>
  <c r="CX38" i="7"/>
  <c r="CX56" i="7"/>
  <c r="CX74" i="7"/>
  <c r="CX35" i="7"/>
  <c r="CX41" i="7"/>
  <c r="CX47" i="7"/>
  <c r="CX53" i="7"/>
  <c r="CX59" i="7"/>
  <c r="CX65" i="7"/>
  <c r="CX71" i="7"/>
  <c r="CX77" i="7"/>
  <c r="CX78" i="7"/>
  <c r="CX37" i="7"/>
  <c r="CX67" i="7"/>
  <c r="CX50" i="7"/>
  <c r="CX68" i="7"/>
  <c r="CX69" i="7"/>
  <c r="CX36" i="7"/>
  <c r="CX42" i="7"/>
  <c r="CX48" i="7"/>
  <c r="CX54" i="7"/>
  <c r="CX60" i="7"/>
  <c r="CX66" i="7"/>
  <c r="CX49" i="7"/>
  <c r="CX55" i="7"/>
  <c r="CX73" i="7"/>
  <c r="CX44" i="7"/>
  <c r="CX62" i="7"/>
  <c r="CX63" i="7"/>
  <c r="CX39" i="7"/>
  <c r="CX45" i="7"/>
  <c r="CX51" i="7"/>
  <c r="CX57" i="7"/>
  <c r="CX75" i="7"/>
  <c r="CX33" i="7"/>
  <c r="AP26" i="7"/>
  <c r="AP32" i="7"/>
  <c r="AP38" i="7"/>
  <c r="AP44" i="7"/>
  <c r="AP50" i="7"/>
  <c r="AP56" i="7"/>
  <c r="AP62" i="7"/>
  <c r="AP68" i="7"/>
  <c r="AP74" i="7"/>
  <c r="AP80" i="7"/>
  <c r="AP86" i="7"/>
  <c r="AP92" i="7"/>
  <c r="AP98" i="7"/>
  <c r="AP104" i="7"/>
  <c r="AP110" i="7"/>
  <c r="AP116" i="7"/>
  <c r="AP122" i="7"/>
  <c r="AP128" i="7"/>
  <c r="AP27" i="7"/>
  <c r="AP33" i="7"/>
  <c r="AP39" i="7"/>
  <c r="AP45" i="7"/>
  <c r="AP51" i="7"/>
  <c r="AP57" i="7"/>
  <c r="AP63" i="7"/>
  <c r="AP69" i="7"/>
  <c r="AP75" i="7"/>
  <c r="AP81" i="7"/>
  <c r="AP87" i="7"/>
  <c r="AP93" i="7"/>
  <c r="AP99" i="7"/>
  <c r="AP105" i="7"/>
  <c r="AP111" i="7"/>
  <c r="AP117" i="7"/>
  <c r="AP123" i="7"/>
  <c r="AP129" i="7"/>
  <c r="AP28" i="7"/>
  <c r="AP34" i="7"/>
  <c r="AP40" i="7"/>
  <c r="AP46" i="7"/>
  <c r="AP52" i="7"/>
  <c r="AP58" i="7"/>
  <c r="AP64" i="7"/>
  <c r="AP70" i="7"/>
  <c r="AP76" i="7"/>
  <c r="AP82" i="7"/>
  <c r="AP88" i="7"/>
  <c r="AP94" i="7"/>
  <c r="AP100" i="7"/>
  <c r="AP106" i="7"/>
  <c r="AP112" i="7"/>
  <c r="AP118" i="7"/>
  <c r="AP124" i="7"/>
  <c r="AP29" i="7"/>
  <c r="AP35" i="7"/>
  <c r="AP41" i="7"/>
  <c r="AP47" i="7"/>
  <c r="AP53" i="7"/>
  <c r="AP59" i="7"/>
  <c r="AP65" i="7"/>
  <c r="AP71" i="7"/>
  <c r="AP77" i="7"/>
  <c r="AP83" i="7"/>
  <c r="AP89" i="7"/>
  <c r="AP95" i="7"/>
  <c r="AP101" i="7"/>
  <c r="AP107" i="7"/>
  <c r="AP113" i="7"/>
  <c r="AP119" i="7"/>
  <c r="AP125" i="7"/>
  <c r="AP30" i="7"/>
  <c r="AP36" i="7"/>
  <c r="AP42" i="7"/>
  <c r="AP48" i="7"/>
  <c r="AP54" i="7"/>
  <c r="AP60" i="7"/>
  <c r="AP66" i="7"/>
  <c r="AP72" i="7"/>
  <c r="AP78" i="7"/>
  <c r="AP84" i="7"/>
  <c r="AP90" i="7"/>
  <c r="AP96" i="7"/>
  <c r="AP102" i="7"/>
  <c r="AP108" i="7"/>
  <c r="AP114" i="7"/>
  <c r="AP120" i="7"/>
  <c r="AP126" i="7"/>
  <c r="AP31" i="7"/>
  <c r="AP37" i="7"/>
  <c r="AP43" i="7"/>
  <c r="AP49" i="7"/>
  <c r="AP55" i="7"/>
  <c r="AP61" i="7"/>
  <c r="AP67" i="7"/>
  <c r="AP73" i="7"/>
  <c r="AP79" i="7"/>
  <c r="AP85" i="7"/>
  <c r="AP91" i="7"/>
  <c r="AP97" i="7"/>
  <c r="AP103" i="7"/>
  <c r="AP109" i="7"/>
  <c r="AP115" i="7"/>
  <c r="AP121" i="7"/>
  <c r="AP127" i="7"/>
  <c r="AZ90" i="4" l="1"/>
  <c r="AP25" i="7"/>
  <c r="CQ5" i="6" l="1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CQ62" i="6"/>
  <c r="CR62" i="6"/>
  <c r="CS62" i="6"/>
  <c r="CT62" i="6"/>
  <c r="CU62" i="6"/>
  <c r="CV62" i="6"/>
  <c r="CW62" i="6"/>
  <c r="CX62" i="6"/>
  <c r="CY62" i="6"/>
  <c r="CZ62" i="6"/>
  <c r="DA62" i="6"/>
  <c r="DB62" i="6"/>
  <c r="DC62" i="6"/>
  <c r="DD62" i="6"/>
  <c r="DE62" i="6"/>
  <c r="CQ63" i="6"/>
  <c r="CR63" i="6"/>
  <c r="CS63" i="6"/>
  <c r="CT63" i="6"/>
  <c r="CU63" i="6"/>
  <c r="CV63" i="6"/>
  <c r="CW63" i="6"/>
  <c r="CX63" i="6"/>
  <c r="CY63" i="6"/>
  <c r="CZ63" i="6"/>
  <c r="DA63" i="6"/>
  <c r="DB63" i="6"/>
  <c r="DC63" i="6"/>
  <c r="DD63" i="6"/>
  <c r="DE63" i="6"/>
  <c r="CQ64" i="6"/>
  <c r="CR64" i="6"/>
  <c r="CS64" i="6"/>
  <c r="CT64" i="6"/>
  <c r="CU64" i="6"/>
  <c r="CV64" i="6"/>
  <c r="CW64" i="6"/>
  <c r="CX64" i="6"/>
  <c r="CY64" i="6"/>
  <c r="CZ64" i="6"/>
  <c r="DA64" i="6"/>
  <c r="DB64" i="6"/>
  <c r="DC64" i="6"/>
  <c r="DD64" i="6"/>
  <c r="DE64" i="6"/>
  <c r="CQ65" i="6"/>
  <c r="CR65" i="6"/>
  <c r="CS65" i="6"/>
  <c r="CT65" i="6"/>
  <c r="CU65" i="6"/>
  <c r="CV65" i="6"/>
  <c r="CW65" i="6"/>
  <c r="CX65" i="6"/>
  <c r="CY65" i="6"/>
  <c r="CZ65" i="6"/>
  <c r="DA65" i="6"/>
  <c r="DB65" i="6"/>
  <c r="DC65" i="6"/>
  <c r="DD65" i="6"/>
  <c r="DE65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CQ67" i="6"/>
  <c r="CR67" i="6"/>
  <c r="CS67" i="6"/>
  <c r="CT67" i="6"/>
  <c r="CU67" i="6"/>
  <c r="CV67" i="6"/>
  <c r="CW67" i="6"/>
  <c r="CX67" i="6"/>
  <c r="CY67" i="6"/>
  <c r="CZ67" i="6"/>
  <c r="DA67" i="6"/>
  <c r="DB67" i="6"/>
  <c r="DC67" i="6"/>
  <c r="DD67" i="6"/>
  <c r="DE67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CQ72" i="6"/>
  <c r="CR72" i="6"/>
  <c r="CS72" i="6"/>
  <c r="CT72" i="6"/>
  <c r="CU72" i="6"/>
  <c r="CV72" i="6"/>
  <c r="CW72" i="6"/>
  <c r="CX72" i="6"/>
  <c r="CY72" i="6"/>
  <c r="CZ72" i="6"/>
  <c r="DA72" i="6"/>
  <c r="DB72" i="6"/>
  <c r="DC72" i="6"/>
  <c r="DD72" i="6"/>
  <c r="DE72" i="6"/>
  <c r="CQ73" i="6"/>
  <c r="CR73" i="6"/>
  <c r="CS73" i="6"/>
  <c r="CT73" i="6"/>
  <c r="CU73" i="6"/>
  <c r="CV73" i="6"/>
  <c r="CW73" i="6"/>
  <c r="CX73" i="6"/>
  <c r="CY73" i="6"/>
  <c r="CZ73" i="6"/>
  <c r="DA73" i="6"/>
  <c r="DB73" i="6"/>
  <c r="DC73" i="6"/>
  <c r="DD73" i="6"/>
  <c r="DE73" i="6"/>
  <c r="CQ74" i="6"/>
  <c r="CR74" i="6"/>
  <c r="CS74" i="6"/>
  <c r="CT74" i="6"/>
  <c r="CU74" i="6"/>
  <c r="CV74" i="6"/>
  <c r="CW74" i="6"/>
  <c r="CX74" i="6"/>
  <c r="CY74" i="6"/>
  <c r="CZ74" i="6"/>
  <c r="DA74" i="6"/>
  <c r="DB74" i="6"/>
  <c r="DC74" i="6"/>
  <c r="DD74" i="6"/>
  <c r="DE74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CQ78" i="6"/>
  <c r="CR78" i="6"/>
  <c r="CS78" i="6"/>
  <c r="CT78" i="6"/>
  <c r="CU78" i="6"/>
  <c r="CV78" i="6"/>
  <c r="CW78" i="6"/>
  <c r="CX78" i="6"/>
  <c r="CY78" i="6"/>
  <c r="CZ78" i="6"/>
  <c r="DA78" i="6"/>
  <c r="DB78" i="6"/>
  <c r="DC78" i="6"/>
  <c r="DD78" i="6"/>
  <c r="DE78" i="6"/>
  <c r="CQ79" i="6"/>
  <c r="CR79" i="6"/>
  <c r="CS79" i="6"/>
  <c r="CT79" i="6"/>
  <c r="CU79" i="6"/>
  <c r="CV79" i="6"/>
  <c r="CW79" i="6"/>
  <c r="CX79" i="6"/>
  <c r="CY79" i="6"/>
  <c r="CZ79" i="6"/>
  <c r="DA79" i="6"/>
  <c r="DB79" i="6"/>
  <c r="DC79" i="6"/>
  <c r="DD79" i="6"/>
  <c r="DE79" i="6"/>
  <c r="CQ80" i="6"/>
  <c r="CR80" i="6"/>
  <c r="CS80" i="6"/>
  <c r="CT80" i="6"/>
  <c r="CU80" i="6"/>
  <c r="CV80" i="6"/>
  <c r="CW80" i="6"/>
  <c r="CX80" i="6"/>
  <c r="CY80" i="6"/>
  <c r="CZ80" i="6"/>
  <c r="DA80" i="6"/>
  <c r="DB80" i="6"/>
  <c r="DC80" i="6"/>
  <c r="DD80" i="6"/>
  <c r="DE80" i="6"/>
  <c r="CQ81" i="6"/>
  <c r="CR81" i="6"/>
  <c r="CS81" i="6"/>
  <c r="CT81" i="6"/>
  <c r="CU81" i="6"/>
  <c r="CV81" i="6"/>
  <c r="CW81" i="6"/>
  <c r="CX81" i="6"/>
  <c r="CY81" i="6"/>
  <c r="CZ81" i="6"/>
  <c r="DA81" i="6"/>
  <c r="DB81" i="6"/>
  <c r="DC81" i="6"/>
  <c r="DD81" i="6"/>
  <c r="DE81" i="6"/>
  <c r="CQ82" i="6"/>
  <c r="CR82" i="6"/>
  <c r="CS82" i="6"/>
  <c r="CT82" i="6"/>
  <c r="CU82" i="6"/>
  <c r="CV82" i="6"/>
  <c r="CW82" i="6"/>
  <c r="CX82" i="6"/>
  <c r="CY82" i="6"/>
  <c r="CZ82" i="6"/>
  <c r="DA82" i="6"/>
  <c r="DB82" i="6"/>
  <c r="DC82" i="6"/>
  <c r="DD82" i="6"/>
  <c r="DE82" i="6"/>
  <c r="CQ83" i="6"/>
  <c r="CR83" i="6"/>
  <c r="CS83" i="6"/>
  <c r="CT83" i="6"/>
  <c r="CU83" i="6"/>
  <c r="CV83" i="6"/>
  <c r="CW83" i="6"/>
  <c r="CX83" i="6"/>
  <c r="CY83" i="6"/>
  <c r="CZ83" i="6"/>
  <c r="DA83" i="6"/>
  <c r="DB83" i="6"/>
  <c r="DC83" i="6"/>
  <c r="DD83" i="6"/>
  <c r="DE83" i="6"/>
  <c r="CQ84" i="6"/>
  <c r="CR84" i="6"/>
  <c r="CS84" i="6"/>
  <c r="CT84" i="6"/>
  <c r="CU84" i="6"/>
  <c r="CV84" i="6"/>
  <c r="CW84" i="6"/>
  <c r="CX84" i="6"/>
  <c r="CY84" i="6"/>
  <c r="CZ84" i="6"/>
  <c r="DA84" i="6"/>
  <c r="DB84" i="6"/>
  <c r="DC84" i="6"/>
  <c r="DD84" i="6"/>
  <c r="DE84" i="6"/>
  <c r="CQ85" i="6"/>
  <c r="CR85" i="6"/>
  <c r="CS85" i="6"/>
  <c r="CT85" i="6"/>
  <c r="CU85" i="6"/>
  <c r="CV85" i="6"/>
  <c r="CW85" i="6"/>
  <c r="CX85" i="6"/>
  <c r="CY85" i="6"/>
  <c r="CZ85" i="6"/>
  <c r="DA85" i="6"/>
  <c r="DB85" i="6"/>
  <c r="DC85" i="6"/>
  <c r="DD85" i="6"/>
  <c r="DE85" i="6"/>
  <c r="CQ86" i="6"/>
  <c r="CR86" i="6"/>
  <c r="CS86" i="6"/>
  <c r="CT86" i="6"/>
  <c r="CU86" i="6"/>
  <c r="CV86" i="6"/>
  <c r="CW86" i="6"/>
  <c r="CX86" i="6"/>
  <c r="CY86" i="6"/>
  <c r="CZ86" i="6"/>
  <c r="DA86" i="6"/>
  <c r="DB86" i="6"/>
  <c r="DC86" i="6"/>
  <c r="DD86" i="6"/>
  <c r="DE86" i="6"/>
  <c r="CQ87" i="6"/>
  <c r="CR87" i="6"/>
  <c r="CS87" i="6"/>
  <c r="CT87" i="6"/>
  <c r="CU87" i="6"/>
  <c r="CV87" i="6"/>
  <c r="CW87" i="6"/>
  <c r="CX87" i="6"/>
  <c r="CY87" i="6"/>
  <c r="CZ87" i="6"/>
  <c r="DA87" i="6"/>
  <c r="DB87" i="6"/>
  <c r="DC87" i="6"/>
  <c r="DD87" i="6"/>
  <c r="DE87" i="6"/>
  <c r="CQ88" i="6"/>
  <c r="CR88" i="6"/>
  <c r="CS88" i="6"/>
  <c r="CT88" i="6"/>
  <c r="CU88" i="6"/>
  <c r="CV88" i="6"/>
  <c r="CW88" i="6"/>
  <c r="CX88" i="6"/>
  <c r="CY88" i="6"/>
  <c r="CZ88" i="6"/>
  <c r="DA88" i="6"/>
  <c r="DB88" i="6"/>
  <c r="DC88" i="6"/>
  <c r="DD88" i="6"/>
  <c r="DE88" i="6"/>
  <c r="CQ89" i="6"/>
  <c r="CR89" i="6"/>
  <c r="CS89" i="6"/>
  <c r="CT89" i="6"/>
  <c r="CU89" i="6"/>
  <c r="CV89" i="6"/>
  <c r="CW89" i="6"/>
  <c r="CX89" i="6"/>
  <c r="CY89" i="6"/>
  <c r="CZ89" i="6"/>
  <c r="DA89" i="6"/>
  <c r="DB89" i="6"/>
  <c r="DC89" i="6"/>
  <c r="DD89" i="6"/>
  <c r="DE89" i="6"/>
  <c r="CQ90" i="6"/>
  <c r="CR90" i="6"/>
  <c r="CS90" i="6"/>
  <c r="CT90" i="6"/>
  <c r="CU90" i="6"/>
  <c r="CV90" i="6"/>
  <c r="CW90" i="6"/>
  <c r="CX90" i="6"/>
  <c r="CY90" i="6"/>
  <c r="CZ90" i="6"/>
  <c r="DA90" i="6"/>
  <c r="DB90" i="6"/>
  <c r="DC90" i="6"/>
  <c r="DD90" i="6"/>
  <c r="DE90" i="6"/>
  <c r="CQ91" i="6"/>
  <c r="CR91" i="6"/>
  <c r="CS91" i="6"/>
  <c r="CT91" i="6"/>
  <c r="CU91" i="6"/>
  <c r="CV91" i="6"/>
  <c r="CW91" i="6"/>
  <c r="CX91" i="6"/>
  <c r="CY91" i="6"/>
  <c r="CZ91" i="6"/>
  <c r="DA91" i="6"/>
  <c r="DB91" i="6"/>
  <c r="DC91" i="6"/>
  <c r="DD91" i="6"/>
  <c r="DE91" i="6"/>
  <c r="CQ92" i="6"/>
  <c r="CR92" i="6"/>
  <c r="CS92" i="6"/>
  <c r="CT92" i="6"/>
  <c r="CU92" i="6"/>
  <c r="CV92" i="6"/>
  <c r="CW92" i="6"/>
  <c r="CX92" i="6"/>
  <c r="CY92" i="6"/>
  <c r="CZ92" i="6"/>
  <c r="DA92" i="6"/>
  <c r="DB92" i="6"/>
  <c r="DC92" i="6"/>
  <c r="DD92" i="6"/>
  <c r="DE92" i="6"/>
  <c r="CQ93" i="6"/>
  <c r="CR93" i="6"/>
  <c r="CS93" i="6"/>
  <c r="CT93" i="6"/>
  <c r="CU93" i="6"/>
  <c r="CV93" i="6"/>
  <c r="CW93" i="6"/>
  <c r="CX93" i="6"/>
  <c r="CY93" i="6"/>
  <c r="CZ93" i="6"/>
  <c r="DA93" i="6"/>
  <c r="DB93" i="6"/>
  <c r="DC93" i="6"/>
  <c r="DD93" i="6"/>
  <c r="DE93" i="6"/>
  <c r="CQ94" i="6"/>
  <c r="CR94" i="6"/>
  <c r="CS94" i="6"/>
  <c r="CT94" i="6"/>
  <c r="CU94" i="6"/>
  <c r="CV94" i="6"/>
  <c r="CW94" i="6"/>
  <c r="CX94" i="6"/>
  <c r="CY94" i="6"/>
  <c r="CZ94" i="6"/>
  <c r="DA94" i="6"/>
  <c r="DB94" i="6"/>
  <c r="DC94" i="6"/>
  <c r="DD94" i="6"/>
  <c r="DE94" i="6"/>
  <c r="CQ95" i="6"/>
  <c r="CR95" i="6"/>
  <c r="CS95" i="6"/>
  <c r="CT95" i="6"/>
  <c r="CU95" i="6"/>
  <c r="CV95" i="6"/>
  <c r="CW95" i="6"/>
  <c r="CX95" i="6"/>
  <c r="CY95" i="6"/>
  <c r="CZ95" i="6"/>
  <c r="DA95" i="6"/>
  <c r="DB95" i="6"/>
  <c r="DC95" i="6"/>
  <c r="DD95" i="6"/>
  <c r="DE95" i="6"/>
  <c r="CQ96" i="6"/>
  <c r="CR96" i="6"/>
  <c r="CS96" i="6"/>
  <c r="CT96" i="6"/>
  <c r="CU96" i="6"/>
  <c r="CV96" i="6"/>
  <c r="CW96" i="6"/>
  <c r="CX96" i="6"/>
  <c r="CY96" i="6"/>
  <c r="CZ96" i="6"/>
  <c r="DA96" i="6"/>
  <c r="DB96" i="6"/>
  <c r="DC96" i="6"/>
  <c r="DD96" i="6"/>
  <c r="DE96" i="6"/>
  <c r="CQ97" i="6"/>
  <c r="CR97" i="6"/>
  <c r="CS97" i="6"/>
  <c r="CT97" i="6"/>
  <c r="CU97" i="6"/>
  <c r="CV97" i="6"/>
  <c r="CW97" i="6"/>
  <c r="CX97" i="6"/>
  <c r="CY97" i="6"/>
  <c r="CZ97" i="6"/>
  <c r="DA97" i="6"/>
  <c r="DB97" i="6"/>
  <c r="DC97" i="6"/>
  <c r="DD97" i="6"/>
  <c r="DE97" i="6"/>
  <c r="CQ98" i="6"/>
  <c r="CR98" i="6"/>
  <c r="CS98" i="6"/>
  <c r="CT98" i="6"/>
  <c r="CU98" i="6"/>
  <c r="CV98" i="6"/>
  <c r="CW98" i="6"/>
  <c r="CX98" i="6"/>
  <c r="CY98" i="6"/>
  <c r="CZ98" i="6"/>
  <c r="DA98" i="6"/>
  <c r="DB98" i="6"/>
  <c r="DC98" i="6"/>
  <c r="DD98" i="6"/>
  <c r="DE98" i="6"/>
  <c r="CQ99" i="6"/>
  <c r="CR99" i="6"/>
  <c r="CS99" i="6"/>
  <c r="CT99" i="6"/>
  <c r="CU99" i="6"/>
  <c r="CV99" i="6"/>
  <c r="CW99" i="6"/>
  <c r="CX99" i="6"/>
  <c r="CY99" i="6"/>
  <c r="CZ99" i="6"/>
  <c r="DA99" i="6"/>
  <c r="DB99" i="6"/>
  <c r="DC99" i="6"/>
  <c r="DD99" i="6"/>
  <c r="DE99" i="6"/>
  <c r="CQ100" i="6"/>
  <c r="CR100" i="6"/>
  <c r="CS100" i="6"/>
  <c r="CT100" i="6"/>
  <c r="CU100" i="6"/>
  <c r="CV100" i="6"/>
  <c r="CW100" i="6"/>
  <c r="CX100" i="6"/>
  <c r="CY100" i="6"/>
  <c r="CZ100" i="6"/>
  <c r="DA100" i="6"/>
  <c r="DB100" i="6"/>
  <c r="DC100" i="6"/>
  <c r="DD100" i="6"/>
  <c r="DE100" i="6"/>
  <c r="CQ101" i="6"/>
  <c r="CR101" i="6"/>
  <c r="CS101" i="6"/>
  <c r="CT101" i="6"/>
  <c r="CU101" i="6"/>
  <c r="CV101" i="6"/>
  <c r="CW101" i="6"/>
  <c r="CX101" i="6"/>
  <c r="CY101" i="6"/>
  <c r="CZ101" i="6"/>
  <c r="DA101" i="6"/>
  <c r="DB101" i="6"/>
  <c r="DC101" i="6"/>
  <c r="DD101" i="6"/>
  <c r="DE101" i="6"/>
  <c r="CQ102" i="6"/>
  <c r="CR102" i="6"/>
  <c r="CS102" i="6"/>
  <c r="CT102" i="6"/>
  <c r="CU102" i="6"/>
  <c r="CV102" i="6"/>
  <c r="CW102" i="6"/>
  <c r="CX102" i="6"/>
  <c r="CY102" i="6"/>
  <c r="CZ102" i="6"/>
  <c r="DA102" i="6"/>
  <c r="DB102" i="6"/>
  <c r="DC102" i="6"/>
  <c r="DD102" i="6"/>
  <c r="DE102" i="6"/>
  <c r="CQ103" i="6"/>
  <c r="CR103" i="6"/>
  <c r="CS103" i="6"/>
  <c r="CT103" i="6"/>
  <c r="CU103" i="6"/>
  <c r="CV103" i="6"/>
  <c r="CW103" i="6"/>
  <c r="CX103" i="6"/>
  <c r="CY103" i="6"/>
  <c r="CZ103" i="6"/>
  <c r="DA103" i="6"/>
  <c r="DB103" i="6"/>
  <c r="DC103" i="6"/>
  <c r="DD103" i="6"/>
  <c r="DE103" i="6"/>
  <c r="CQ104" i="6"/>
  <c r="CR104" i="6"/>
  <c r="CS104" i="6"/>
  <c r="CT104" i="6"/>
  <c r="CU104" i="6"/>
  <c r="CV104" i="6"/>
  <c r="CW104" i="6"/>
  <c r="CX104" i="6"/>
  <c r="CY104" i="6"/>
  <c r="CZ104" i="6"/>
  <c r="DA104" i="6"/>
  <c r="DB104" i="6"/>
  <c r="DC104" i="6"/>
  <c r="DD104" i="6"/>
  <c r="DE104" i="6"/>
  <c r="CQ105" i="6"/>
  <c r="CR105" i="6"/>
  <c r="CS105" i="6"/>
  <c r="CT105" i="6"/>
  <c r="CU105" i="6"/>
  <c r="CV105" i="6"/>
  <c r="CW105" i="6"/>
  <c r="CX105" i="6"/>
  <c r="CY105" i="6"/>
  <c r="CZ105" i="6"/>
  <c r="DA105" i="6"/>
  <c r="DB105" i="6"/>
  <c r="DC105" i="6"/>
  <c r="DD105" i="6"/>
  <c r="DE105" i="6"/>
  <c r="CQ106" i="6"/>
  <c r="CR106" i="6"/>
  <c r="CS106" i="6"/>
  <c r="CT106" i="6"/>
  <c r="CU106" i="6"/>
  <c r="CV106" i="6"/>
  <c r="CW106" i="6"/>
  <c r="CX106" i="6"/>
  <c r="CY106" i="6"/>
  <c r="CZ106" i="6"/>
  <c r="DA106" i="6"/>
  <c r="DB106" i="6"/>
  <c r="DC106" i="6"/>
  <c r="DD106" i="6"/>
  <c r="DE106" i="6"/>
  <c r="CQ107" i="6"/>
  <c r="CR107" i="6"/>
  <c r="CS107" i="6"/>
  <c r="CT107" i="6"/>
  <c r="CU107" i="6"/>
  <c r="CV107" i="6"/>
  <c r="CW107" i="6"/>
  <c r="CX107" i="6"/>
  <c r="CY107" i="6"/>
  <c r="CZ107" i="6"/>
  <c r="DA107" i="6"/>
  <c r="DB107" i="6"/>
  <c r="DC107" i="6"/>
  <c r="DD107" i="6"/>
  <c r="DE107" i="6"/>
  <c r="CQ108" i="6"/>
  <c r="CR108" i="6"/>
  <c r="CS108" i="6"/>
  <c r="CT108" i="6"/>
  <c r="CU108" i="6"/>
  <c r="CV108" i="6"/>
  <c r="CW108" i="6"/>
  <c r="CX108" i="6"/>
  <c r="CY108" i="6"/>
  <c r="CZ108" i="6"/>
  <c r="DA108" i="6"/>
  <c r="DB108" i="6"/>
  <c r="DC108" i="6"/>
  <c r="DD108" i="6"/>
  <c r="DE108" i="6"/>
  <c r="CQ109" i="6"/>
  <c r="CR109" i="6"/>
  <c r="CS109" i="6"/>
  <c r="CT109" i="6"/>
  <c r="CU109" i="6"/>
  <c r="CV109" i="6"/>
  <c r="CW109" i="6"/>
  <c r="CX109" i="6"/>
  <c r="CY109" i="6"/>
  <c r="CZ109" i="6"/>
  <c r="DA109" i="6"/>
  <c r="DB109" i="6"/>
  <c r="DC109" i="6"/>
  <c r="DD109" i="6"/>
  <c r="DE109" i="6"/>
  <c r="CQ110" i="6"/>
  <c r="CR110" i="6"/>
  <c r="CS110" i="6"/>
  <c r="CT110" i="6"/>
  <c r="CU110" i="6"/>
  <c r="CV110" i="6"/>
  <c r="CW110" i="6"/>
  <c r="CX110" i="6"/>
  <c r="CY110" i="6"/>
  <c r="CZ110" i="6"/>
  <c r="DA110" i="6"/>
  <c r="DB110" i="6"/>
  <c r="DC110" i="6"/>
  <c r="DD110" i="6"/>
  <c r="DE110" i="6"/>
  <c r="CQ111" i="6"/>
  <c r="CR111" i="6"/>
  <c r="CS111" i="6"/>
  <c r="CT111" i="6"/>
  <c r="CU111" i="6"/>
  <c r="CV111" i="6"/>
  <c r="CW111" i="6"/>
  <c r="CX111" i="6"/>
  <c r="CY111" i="6"/>
  <c r="CZ111" i="6"/>
  <c r="DA111" i="6"/>
  <c r="DB111" i="6"/>
  <c r="DC111" i="6"/>
  <c r="DD111" i="6"/>
  <c r="DE111" i="6"/>
  <c r="CQ112" i="6"/>
  <c r="CR112" i="6"/>
  <c r="CS112" i="6"/>
  <c r="CT112" i="6"/>
  <c r="CU112" i="6"/>
  <c r="CV112" i="6"/>
  <c r="CW112" i="6"/>
  <c r="CX112" i="6"/>
  <c r="CY112" i="6"/>
  <c r="CZ112" i="6"/>
  <c r="DA112" i="6"/>
  <c r="DB112" i="6"/>
  <c r="DC112" i="6"/>
  <c r="DD112" i="6"/>
  <c r="DE112" i="6"/>
  <c r="CQ113" i="6"/>
  <c r="CR113" i="6"/>
  <c r="CS113" i="6"/>
  <c r="CT113" i="6"/>
  <c r="CU113" i="6"/>
  <c r="CV113" i="6"/>
  <c r="CW113" i="6"/>
  <c r="CX113" i="6"/>
  <c r="CY113" i="6"/>
  <c r="CZ113" i="6"/>
  <c r="DA113" i="6"/>
  <c r="DB113" i="6"/>
  <c r="DC113" i="6"/>
  <c r="DD113" i="6"/>
  <c r="DE113" i="6"/>
  <c r="CQ114" i="6"/>
  <c r="CR114" i="6"/>
  <c r="CS114" i="6"/>
  <c r="CT114" i="6"/>
  <c r="CU114" i="6"/>
  <c r="CV114" i="6"/>
  <c r="CW114" i="6"/>
  <c r="CX114" i="6"/>
  <c r="CY114" i="6"/>
  <c r="CZ114" i="6"/>
  <c r="DA114" i="6"/>
  <c r="DB114" i="6"/>
  <c r="DC114" i="6"/>
  <c r="DD114" i="6"/>
  <c r="DE114" i="6"/>
  <c r="CQ115" i="6"/>
  <c r="CR115" i="6"/>
  <c r="CS115" i="6"/>
  <c r="CT115" i="6"/>
  <c r="CU115" i="6"/>
  <c r="CV115" i="6"/>
  <c r="CW115" i="6"/>
  <c r="CX115" i="6"/>
  <c r="CY115" i="6"/>
  <c r="CZ115" i="6"/>
  <c r="DA115" i="6"/>
  <c r="DB115" i="6"/>
  <c r="DC115" i="6"/>
  <c r="DD115" i="6"/>
  <c r="DE115" i="6"/>
  <c r="CQ116" i="6"/>
  <c r="CR116" i="6"/>
  <c r="CS116" i="6"/>
  <c r="CT116" i="6"/>
  <c r="CU116" i="6"/>
  <c r="CV116" i="6"/>
  <c r="CW116" i="6"/>
  <c r="CX116" i="6"/>
  <c r="CY116" i="6"/>
  <c r="CZ116" i="6"/>
  <c r="DA116" i="6"/>
  <c r="DB116" i="6"/>
  <c r="DC116" i="6"/>
  <c r="DD116" i="6"/>
  <c r="DE116" i="6"/>
  <c r="CQ117" i="6"/>
  <c r="CR117" i="6"/>
  <c r="CS117" i="6"/>
  <c r="CT117" i="6"/>
  <c r="CU117" i="6"/>
  <c r="CV117" i="6"/>
  <c r="CW117" i="6"/>
  <c r="CX117" i="6"/>
  <c r="CY117" i="6"/>
  <c r="CZ117" i="6"/>
  <c r="DA117" i="6"/>
  <c r="DB117" i="6"/>
  <c r="DC117" i="6"/>
  <c r="DD117" i="6"/>
  <c r="DE117" i="6"/>
  <c r="CQ118" i="6"/>
  <c r="CR118" i="6"/>
  <c r="CS118" i="6"/>
  <c r="CT118" i="6"/>
  <c r="CU118" i="6"/>
  <c r="CV118" i="6"/>
  <c r="CW118" i="6"/>
  <c r="CX118" i="6"/>
  <c r="CY118" i="6"/>
  <c r="CZ118" i="6"/>
  <c r="DA118" i="6"/>
  <c r="DB118" i="6"/>
  <c r="DC118" i="6"/>
  <c r="DD118" i="6"/>
  <c r="DE118" i="6"/>
  <c r="CQ119" i="6"/>
  <c r="CR119" i="6"/>
  <c r="CS119" i="6"/>
  <c r="CT119" i="6"/>
  <c r="CU119" i="6"/>
  <c r="CV119" i="6"/>
  <c r="CW119" i="6"/>
  <c r="CX119" i="6"/>
  <c r="CY119" i="6"/>
  <c r="CZ119" i="6"/>
  <c r="DA119" i="6"/>
  <c r="DB119" i="6"/>
  <c r="DC119" i="6"/>
  <c r="DD119" i="6"/>
  <c r="DE119" i="6"/>
  <c r="CQ120" i="6"/>
  <c r="CR120" i="6"/>
  <c r="CS120" i="6"/>
  <c r="CT120" i="6"/>
  <c r="CU120" i="6"/>
  <c r="CV120" i="6"/>
  <c r="CW120" i="6"/>
  <c r="CX120" i="6"/>
  <c r="CY120" i="6"/>
  <c r="CZ120" i="6"/>
  <c r="DA120" i="6"/>
  <c r="DB120" i="6"/>
  <c r="DC120" i="6"/>
  <c r="DD120" i="6"/>
  <c r="DE120" i="6"/>
  <c r="CQ121" i="6"/>
  <c r="CR121" i="6"/>
  <c r="CS121" i="6"/>
  <c r="CT121" i="6"/>
  <c r="CU121" i="6"/>
  <c r="CV121" i="6"/>
  <c r="CW121" i="6"/>
  <c r="CX121" i="6"/>
  <c r="CY121" i="6"/>
  <c r="CZ121" i="6"/>
  <c r="DA121" i="6"/>
  <c r="DB121" i="6"/>
  <c r="DC121" i="6"/>
  <c r="DD121" i="6"/>
  <c r="DE121" i="6"/>
  <c r="CQ122" i="6"/>
  <c r="CR122" i="6"/>
  <c r="CS122" i="6"/>
  <c r="CT122" i="6"/>
  <c r="CU122" i="6"/>
  <c r="CV122" i="6"/>
  <c r="CW122" i="6"/>
  <c r="CX122" i="6"/>
  <c r="CY122" i="6"/>
  <c r="CZ122" i="6"/>
  <c r="DA122" i="6"/>
  <c r="DB122" i="6"/>
  <c r="DC122" i="6"/>
  <c r="DD122" i="6"/>
  <c r="DE122" i="6"/>
  <c r="CQ123" i="6"/>
  <c r="CR123" i="6"/>
  <c r="CS123" i="6"/>
  <c r="CT123" i="6"/>
  <c r="CU123" i="6"/>
  <c r="CV123" i="6"/>
  <c r="CW123" i="6"/>
  <c r="CX123" i="6"/>
  <c r="CY123" i="6"/>
  <c r="CZ123" i="6"/>
  <c r="DA123" i="6"/>
  <c r="DB123" i="6"/>
  <c r="DC123" i="6"/>
  <c r="DD123" i="6"/>
  <c r="DE123" i="6"/>
  <c r="CQ124" i="6"/>
  <c r="CR124" i="6"/>
  <c r="CS124" i="6"/>
  <c r="CT124" i="6"/>
  <c r="CU124" i="6"/>
  <c r="CV124" i="6"/>
  <c r="CW124" i="6"/>
  <c r="CX124" i="6"/>
  <c r="CY124" i="6"/>
  <c r="CZ124" i="6"/>
  <c r="DA124" i="6"/>
  <c r="DB124" i="6"/>
  <c r="DC124" i="6"/>
  <c r="DD124" i="6"/>
  <c r="DE124" i="6"/>
  <c r="CQ125" i="6"/>
  <c r="CR125" i="6"/>
  <c r="CS125" i="6"/>
  <c r="CT125" i="6"/>
  <c r="CU125" i="6"/>
  <c r="CV125" i="6"/>
  <c r="CW125" i="6"/>
  <c r="CX125" i="6"/>
  <c r="CY125" i="6"/>
  <c r="CZ125" i="6"/>
  <c r="DA125" i="6"/>
  <c r="DB125" i="6"/>
  <c r="DC125" i="6"/>
  <c r="DD125" i="6"/>
  <c r="DE125" i="6"/>
  <c r="CQ126" i="6"/>
  <c r="CR126" i="6"/>
  <c r="CS126" i="6"/>
  <c r="CT126" i="6"/>
  <c r="CU126" i="6"/>
  <c r="CV126" i="6"/>
  <c r="CW126" i="6"/>
  <c r="CX126" i="6"/>
  <c r="CY126" i="6"/>
  <c r="CZ126" i="6"/>
  <c r="DA126" i="6"/>
  <c r="DB126" i="6"/>
  <c r="DC126" i="6"/>
  <c r="DD126" i="6"/>
  <c r="DE126" i="6"/>
  <c r="CQ127" i="6"/>
  <c r="CR127" i="6"/>
  <c r="CS127" i="6"/>
  <c r="CT127" i="6"/>
  <c r="CU127" i="6"/>
  <c r="CV127" i="6"/>
  <c r="CW127" i="6"/>
  <c r="CX127" i="6"/>
  <c r="CY127" i="6"/>
  <c r="CZ127" i="6"/>
  <c r="DA127" i="6"/>
  <c r="DB127" i="6"/>
  <c r="DC127" i="6"/>
  <c r="DD127" i="6"/>
  <c r="DE127" i="6"/>
  <c r="CQ128" i="6"/>
  <c r="CR128" i="6"/>
  <c r="CS128" i="6"/>
  <c r="CT128" i="6"/>
  <c r="CU128" i="6"/>
  <c r="CV128" i="6"/>
  <c r="CW128" i="6"/>
  <c r="CX128" i="6"/>
  <c r="CY128" i="6"/>
  <c r="CZ128" i="6"/>
  <c r="DA128" i="6"/>
  <c r="DB128" i="6"/>
  <c r="DC128" i="6"/>
  <c r="DD128" i="6"/>
  <c r="DE128" i="6"/>
  <c r="CQ129" i="6"/>
  <c r="CR129" i="6"/>
  <c r="CS129" i="6"/>
  <c r="CT129" i="6"/>
  <c r="CU129" i="6"/>
  <c r="CV129" i="6"/>
  <c r="CW129" i="6"/>
  <c r="CX129" i="6"/>
  <c r="CY129" i="6"/>
  <c r="CZ129" i="6"/>
  <c r="DA129" i="6"/>
  <c r="DB129" i="6"/>
  <c r="DC129" i="6"/>
  <c r="DD129" i="6"/>
  <c r="DE129" i="6"/>
  <c r="CQ130" i="6"/>
  <c r="CR130" i="6"/>
  <c r="CS130" i="6"/>
  <c r="CT130" i="6"/>
  <c r="CU130" i="6"/>
  <c r="CV130" i="6"/>
  <c r="CW130" i="6"/>
  <c r="CX130" i="6"/>
  <c r="CY130" i="6"/>
  <c r="CZ130" i="6"/>
  <c r="DA130" i="6"/>
  <c r="DB130" i="6"/>
  <c r="DC130" i="6"/>
  <c r="DD130" i="6"/>
  <c r="DE130" i="6"/>
  <c r="CQ131" i="6"/>
  <c r="CR131" i="6"/>
  <c r="CS131" i="6"/>
  <c r="CT131" i="6"/>
  <c r="CU131" i="6"/>
  <c r="CV131" i="6"/>
  <c r="CW131" i="6"/>
  <c r="CX131" i="6"/>
  <c r="CY131" i="6"/>
  <c r="CZ131" i="6"/>
  <c r="DA131" i="6"/>
  <c r="DB131" i="6"/>
  <c r="DC131" i="6"/>
  <c r="DD131" i="6"/>
  <c r="DE131" i="6"/>
  <c r="CQ132" i="6"/>
  <c r="CR132" i="6"/>
  <c r="CS132" i="6"/>
  <c r="CT132" i="6"/>
  <c r="CU132" i="6"/>
  <c r="CV132" i="6"/>
  <c r="CW132" i="6"/>
  <c r="CX132" i="6"/>
  <c r="CY132" i="6"/>
  <c r="CZ132" i="6"/>
  <c r="DA132" i="6"/>
  <c r="DB132" i="6"/>
  <c r="DC132" i="6"/>
  <c r="DD132" i="6"/>
  <c r="DE132" i="6"/>
  <c r="CQ133" i="6"/>
  <c r="CR133" i="6"/>
  <c r="CS133" i="6"/>
  <c r="CT133" i="6"/>
  <c r="CU133" i="6"/>
  <c r="CV133" i="6"/>
  <c r="CW133" i="6"/>
  <c r="CX133" i="6"/>
  <c r="CY133" i="6"/>
  <c r="CZ133" i="6"/>
  <c r="DA133" i="6"/>
  <c r="DB133" i="6"/>
  <c r="DC133" i="6"/>
  <c r="DD133" i="6"/>
  <c r="DE133" i="6"/>
  <c r="CQ134" i="6"/>
  <c r="CR134" i="6"/>
  <c r="CS134" i="6"/>
  <c r="CT134" i="6"/>
  <c r="CU134" i="6"/>
  <c r="CV134" i="6"/>
  <c r="CW134" i="6"/>
  <c r="CX134" i="6"/>
  <c r="CY134" i="6"/>
  <c r="CZ134" i="6"/>
  <c r="DA134" i="6"/>
  <c r="DB134" i="6"/>
  <c r="DC134" i="6"/>
  <c r="DD134" i="6"/>
  <c r="DE134" i="6"/>
  <c r="CQ135" i="6"/>
  <c r="CR135" i="6"/>
  <c r="CS135" i="6"/>
  <c r="CT135" i="6"/>
  <c r="CU135" i="6"/>
  <c r="CV135" i="6"/>
  <c r="CW135" i="6"/>
  <c r="CX135" i="6"/>
  <c r="CY135" i="6"/>
  <c r="CZ135" i="6"/>
  <c r="DA135" i="6"/>
  <c r="DB135" i="6"/>
  <c r="DC135" i="6"/>
  <c r="DD135" i="6"/>
  <c r="DE135" i="6"/>
  <c r="CQ136" i="6"/>
  <c r="CR136" i="6"/>
  <c r="CS136" i="6"/>
  <c r="CT136" i="6"/>
  <c r="CU136" i="6"/>
  <c r="CV136" i="6"/>
  <c r="CW136" i="6"/>
  <c r="CX136" i="6"/>
  <c r="CY136" i="6"/>
  <c r="CZ136" i="6"/>
  <c r="DA136" i="6"/>
  <c r="DB136" i="6"/>
  <c r="DC136" i="6"/>
  <c r="DD136" i="6"/>
  <c r="DE136" i="6"/>
  <c r="CQ137" i="6"/>
  <c r="CR137" i="6"/>
  <c r="CS137" i="6"/>
  <c r="CT137" i="6"/>
  <c r="CU137" i="6"/>
  <c r="CV137" i="6"/>
  <c r="CW137" i="6"/>
  <c r="CX137" i="6"/>
  <c r="CY137" i="6"/>
  <c r="CZ137" i="6"/>
  <c r="DA137" i="6"/>
  <c r="DB137" i="6"/>
  <c r="DC137" i="6"/>
  <c r="DD137" i="6"/>
  <c r="DE137" i="6"/>
  <c r="CQ138" i="6"/>
  <c r="CR138" i="6"/>
  <c r="CS138" i="6"/>
  <c r="CT138" i="6"/>
  <c r="CU138" i="6"/>
  <c r="CV138" i="6"/>
  <c r="CW138" i="6"/>
  <c r="CX138" i="6"/>
  <c r="CY138" i="6"/>
  <c r="CZ138" i="6"/>
  <c r="DA138" i="6"/>
  <c r="DB138" i="6"/>
  <c r="DC138" i="6"/>
  <c r="DD138" i="6"/>
  <c r="DE138" i="6"/>
  <c r="CQ139" i="6"/>
  <c r="CR139" i="6"/>
  <c r="CS139" i="6"/>
  <c r="CT139" i="6"/>
  <c r="CU139" i="6"/>
  <c r="CV139" i="6"/>
  <c r="CW139" i="6"/>
  <c r="CX139" i="6"/>
  <c r="CY139" i="6"/>
  <c r="CZ139" i="6"/>
  <c r="DA139" i="6"/>
  <c r="DB139" i="6"/>
  <c r="DC139" i="6"/>
  <c r="DD139" i="6"/>
  <c r="DE139" i="6"/>
  <c r="CQ140" i="6"/>
  <c r="CR140" i="6"/>
  <c r="CS140" i="6"/>
  <c r="CT140" i="6"/>
  <c r="CU140" i="6"/>
  <c r="CV140" i="6"/>
  <c r="CW140" i="6"/>
  <c r="CX140" i="6"/>
  <c r="CY140" i="6"/>
  <c r="CZ140" i="6"/>
  <c r="DA140" i="6"/>
  <c r="DB140" i="6"/>
  <c r="DC140" i="6"/>
  <c r="DD140" i="6"/>
  <c r="DE140" i="6"/>
  <c r="CQ141" i="6"/>
  <c r="CR141" i="6"/>
  <c r="CS141" i="6"/>
  <c r="CT141" i="6"/>
  <c r="CU141" i="6"/>
  <c r="CV141" i="6"/>
  <c r="CW141" i="6"/>
  <c r="CX141" i="6"/>
  <c r="CY141" i="6"/>
  <c r="CZ141" i="6"/>
  <c r="DA141" i="6"/>
  <c r="DB141" i="6"/>
  <c r="DC141" i="6"/>
  <c r="DD141" i="6"/>
  <c r="DE141" i="6"/>
  <c r="CQ142" i="6"/>
  <c r="CR142" i="6"/>
  <c r="CS142" i="6"/>
  <c r="CT142" i="6"/>
  <c r="CU142" i="6"/>
  <c r="CV142" i="6"/>
  <c r="CW142" i="6"/>
  <c r="CX142" i="6"/>
  <c r="CY142" i="6"/>
  <c r="CZ142" i="6"/>
  <c r="DA142" i="6"/>
  <c r="DB142" i="6"/>
  <c r="DC142" i="6"/>
  <c r="DD142" i="6"/>
  <c r="DE142" i="6"/>
  <c r="CQ143" i="6"/>
  <c r="CR143" i="6"/>
  <c r="CS143" i="6"/>
  <c r="CT143" i="6"/>
  <c r="CU143" i="6"/>
  <c r="CV143" i="6"/>
  <c r="CW143" i="6"/>
  <c r="CX143" i="6"/>
  <c r="CY143" i="6"/>
  <c r="CZ143" i="6"/>
  <c r="DA143" i="6"/>
  <c r="DB143" i="6"/>
  <c r="DC143" i="6"/>
  <c r="DD143" i="6"/>
  <c r="DE143" i="6"/>
  <c r="CQ144" i="6"/>
  <c r="CR144" i="6"/>
  <c r="CS144" i="6"/>
  <c r="CT144" i="6"/>
  <c r="CU144" i="6"/>
  <c r="CV144" i="6"/>
  <c r="CW144" i="6"/>
  <c r="CX144" i="6"/>
  <c r="CY144" i="6"/>
  <c r="CZ144" i="6"/>
  <c r="DA144" i="6"/>
  <c r="DB144" i="6"/>
  <c r="DC144" i="6"/>
  <c r="DD144" i="6"/>
  <c r="DE144" i="6"/>
  <c r="CQ145" i="6"/>
  <c r="CR145" i="6"/>
  <c r="CS145" i="6"/>
  <c r="CT145" i="6"/>
  <c r="CU145" i="6"/>
  <c r="CV145" i="6"/>
  <c r="CW145" i="6"/>
  <c r="CX145" i="6"/>
  <c r="CY145" i="6"/>
  <c r="CZ145" i="6"/>
  <c r="DA145" i="6"/>
  <c r="DB145" i="6"/>
  <c r="DC145" i="6"/>
  <c r="DD145" i="6"/>
  <c r="DE145" i="6"/>
  <c r="CQ146" i="6"/>
  <c r="CR146" i="6"/>
  <c r="CS146" i="6"/>
  <c r="CT146" i="6"/>
  <c r="CU146" i="6"/>
  <c r="CV146" i="6"/>
  <c r="CW146" i="6"/>
  <c r="CX146" i="6"/>
  <c r="CY146" i="6"/>
  <c r="CZ146" i="6"/>
  <c r="DA146" i="6"/>
  <c r="DB146" i="6"/>
  <c r="DC146" i="6"/>
  <c r="DD146" i="6"/>
  <c r="DE146" i="6"/>
  <c r="CQ147" i="6"/>
  <c r="CR147" i="6"/>
  <c r="CS147" i="6"/>
  <c r="CT147" i="6"/>
  <c r="CU147" i="6"/>
  <c r="CV147" i="6"/>
  <c r="CW147" i="6"/>
  <c r="CX147" i="6"/>
  <c r="CY147" i="6"/>
  <c r="CZ147" i="6"/>
  <c r="DA147" i="6"/>
  <c r="DB147" i="6"/>
  <c r="DC147" i="6"/>
  <c r="DD147" i="6"/>
  <c r="DE147" i="6"/>
  <c r="CQ148" i="6"/>
  <c r="CR148" i="6"/>
  <c r="CS148" i="6"/>
  <c r="CT148" i="6"/>
  <c r="CU148" i="6"/>
  <c r="CV148" i="6"/>
  <c r="CW148" i="6"/>
  <c r="CX148" i="6"/>
  <c r="CY148" i="6"/>
  <c r="CZ148" i="6"/>
  <c r="DA148" i="6"/>
  <c r="DB148" i="6"/>
  <c r="DC148" i="6"/>
  <c r="DD148" i="6"/>
  <c r="DE148" i="6"/>
  <c r="CQ149" i="6"/>
  <c r="CR149" i="6"/>
  <c r="CS149" i="6"/>
  <c r="CT149" i="6"/>
  <c r="CU149" i="6"/>
  <c r="CV149" i="6"/>
  <c r="CW149" i="6"/>
  <c r="CX149" i="6"/>
  <c r="CY149" i="6"/>
  <c r="CZ149" i="6"/>
  <c r="DA149" i="6"/>
  <c r="DB149" i="6"/>
  <c r="DC149" i="6"/>
  <c r="DD149" i="6"/>
  <c r="DE149" i="6"/>
  <c r="CQ150" i="6"/>
  <c r="CR150" i="6"/>
  <c r="CS150" i="6"/>
  <c r="CT150" i="6"/>
  <c r="CU150" i="6"/>
  <c r="CV150" i="6"/>
  <c r="CW150" i="6"/>
  <c r="CX150" i="6"/>
  <c r="CY150" i="6"/>
  <c r="CZ150" i="6"/>
  <c r="DA150" i="6"/>
  <c r="DB150" i="6"/>
  <c r="DC150" i="6"/>
  <c r="DD150" i="6"/>
  <c r="DE150" i="6"/>
  <c r="CQ151" i="6"/>
  <c r="CR151" i="6"/>
  <c r="CS151" i="6"/>
  <c r="CT151" i="6"/>
  <c r="CU151" i="6"/>
  <c r="CV151" i="6"/>
  <c r="CW151" i="6"/>
  <c r="CX151" i="6"/>
  <c r="CY151" i="6"/>
  <c r="CZ151" i="6"/>
  <c r="DA151" i="6"/>
  <c r="DB151" i="6"/>
  <c r="DC151" i="6"/>
  <c r="DD151" i="6"/>
  <c r="DE151" i="6"/>
  <c r="CQ152" i="6"/>
  <c r="CR152" i="6"/>
  <c r="CS152" i="6"/>
  <c r="CT152" i="6"/>
  <c r="CU152" i="6"/>
  <c r="CV152" i="6"/>
  <c r="CW152" i="6"/>
  <c r="CX152" i="6"/>
  <c r="CY152" i="6"/>
  <c r="CZ152" i="6"/>
  <c r="DA152" i="6"/>
  <c r="DB152" i="6"/>
  <c r="DC152" i="6"/>
  <c r="DD152" i="6"/>
  <c r="DE152" i="6"/>
  <c r="CQ153" i="6"/>
  <c r="CR153" i="6"/>
  <c r="CS153" i="6"/>
  <c r="CT153" i="6"/>
  <c r="CU153" i="6"/>
  <c r="CV153" i="6"/>
  <c r="CW153" i="6"/>
  <c r="CX153" i="6"/>
  <c r="CY153" i="6"/>
  <c r="CZ153" i="6"/>
  <c r="DA153" i="6"/>
  <c r="DB153" i="6"/>
  <c r="DC153" i="6"/>
  <c r="DD153" i="6"/>
  <c r="DE153" i="6"/>
  <c r="CQ154" i="6"/>
  <c r="CR154" i="6"/>
  <c r="CS154" i="6"/>
  <c r="CT154" i="6"/>
  <c r="CU154" i="6"/>
  <c r="CV154" i="6"/>
  <c r="CW154" i="6"/>
  <c r="CX154" i="6"/>
  <c r="CY154" i="6"/>
  <c r="CZ154" i="6"/>
  <c r="DA154" i="6"/>
  <c r="DB154" i="6"/>
  <c r="DC154" i="6"/>
  <c r="DD154" i="6"/>
  <c r="DE154" i="6"/>
  <c r="CQ155" i="6"/>
  <c r="CR155" i="6"/>
  <c r="CS155" i="6"/>
  <c r="CT155" i="6"/>
  <c r="CU155" i="6"/>
  <c r="CV155" i="6"/>
  <c r="CW155" i="6"/>
  <c r="CX155" i="6"/>
  <c r="CY155" i="6"/>
  <c r="CZ155" i="6"/>
  <c r="DA155" i="6"/>
  <c r="DB155" i="6"/>
  <c r="DC155" i="6"/>
  <c r="DD155" i="6"/>
  <c r="DE155" i="6"/>
  <c r="CQ156" i="6"/>
  <c r="CR156" i="6"/>
  <c r="CS156" i="6"/>
  <c r="CT156" i="6"/>
  <c r="CU156" i="6"/>
  <c r="CV156" i="6"/>
  <c r="CW156" i="6"/>
  <c r="CX156" i="6"/>
  <c r="CY156" i="6"/>
  <c r="CZ156" i="6"/>
  <c r="DA156" i="6"/>
  <c r="DB156" i="6"/>
  <c r="DC156" i="6"/>
  <c r="DD156" i="6"/>
  <c r="DE156" i="6"/>
  <c r="CQ157" i="6"/>
  <c r="CR157" i="6"/>
  <c r="CS157" i="6"/>
  <c r="CT157" i="6"/>
  <c r="CU157" i="6"/>
  <c r="CV157" i="6"/>
  <c r="CW157" i="6"/>
  <c r="CX157" i="6"/>
  <c r="CY157" i="6"/>
  <c r="CZ157" i="6"/>
  <c r="DA157" i="6"/>
  <c r="DB157" i="6"/>
  <c r="DC157" i="6"/>
  <c r="DD157" i="6"/>
  <c r="DE157" i="6"/>
  <c r="CQ158" i="6"/>
  <c r="CR158" i="6"/>
  <c r="CS158" i="6"/>
  <c r="CT158" i="6"/>
  <c r="CU158" i="6"/>
  <c r="CV158" i="6"/>
  <c r="CW158" i="6"/>
  <c r="CX158" i="6"/>
  <c r="CY158" i="6"/>
  <c r="CZ158" i="6"/>
  <c r="DA158" i="6"/>
  <c r="DB158" i="6"/>
  <c r="DC158" i="6"/>
  <c r="DD158" i="6"/>
  <c r="DE158" i="6"/>
  <c r="CQ159" i="6"/>
  <c r="CR159" i="6"/>
  <c r="CS159" i="6"/>
  <c r="CT159" i="6"/>
  <c r="CU159" i="6"/>
  <c r="CV159" i="6"/>
  <c r="CW159" i="6"/>
  <c r="CX159" i="6"/>
  <c r="CY159" i="6"/>
  <c r="CZ159" i="6"/>
  <c r="DA159" i="6"/>
  <c r="DB159" i="6"/>
  <c r="DC159" i="6"/>
  <c r="DD159" i="6"/>
  <c r="DE159" i="6"/>
  <c r="CQ160" i="6"/>
  <c r="CR160" i="6"/>
  <c r="CS160" i="6"/>
  <c r="CT160" i="6"/>
  <c r="CU160" i="6"/>
  <c r="CV160" i="6"/>
  <c r="CW160" i="6"/>
  <c r="CX160" i="6"/>
  <c r="CY160" i="6"/>
  <c r="CZ160" i="6"/>
  <c r="DA160" i="6"/>
  <c r="DB160" i="6"/>
  <c r="DC160" i="6"/>
  <c r="DD160" i="6"/>
  <c r="DE160" i="6"/>
  <c r="CQ161" i="6"/>
  <c r="CR161" i="6"/>
  <c r="CS161" i="6"/>
  <c r="CT161" i="6"/>
  <c r="CU161" i="6"/>
  <c r="CV161" i="6"/>
  <c r="CW161" i="6"/>
  <c r="CX161" i="6"/>
  <c r="CY161" i="6"/>
  <c r="CZ161" i="6"/>
  <c r="DA161" i="6"/>
  <c r="DB161" i="6"/>
  <c r="DC161" i="6"/>
  <c r="DD161" i="6"/>
  <c r="DE161" i="6"/>
  <c r="CQ162" i="6"/>
  <c r="CR162" i="6"/>
  <c r="CS162" i="6"/>
  <c r="CT162" i="6"/>
  <c r="CU162" i="6"/>
  <c r="CV162" i="6"/>
  <c r="CW162" i="6"/>
  <c r="CX162" i="6"/>
  <c r="CY162" i="6"/>
  <c r="CZ162" i="6"/>
  <c r="DA162" i="6"/>
  <c r="DB162" i="6"/>
  <c r="DC162" i="6"/>
  <c r="DD162" i="6"/>
  <c r="DE162" i="6"/>
  <c r="CQ163" i="6"/>
  <c r="CR163" i="6"/>
  <c r="CS163" i="6"/>
  <c r="CT163" i="6"/>
  <c r="CU163" i="6"/>
  <c r="CV163" i="6"/>
  <c r="CW163" i="6"/>
  <c r="CX163" i="6"/>
  <c r="CY163" i="6"/>
  <c r="CZ163" i="6"/>
  <c r="DA163" i="6"/>
  <c r="DB163" i="6"/>
  <c r="DC163" i="6"/>
  <c r="DD163" i="6"/>
  <c r="DE163" i="6"/>
  <c r="CQ164" i="6"/>
  <c r="CR164" i="6"/>
  <c r="CS164" i="6"/>
  <c r="CT164" i="6"/>
  <c r="CU164" i="6"/>
  <c r="CV164" i="6"/>
  <c r="CW164" i="6"/>
  <c r="CX164" i="6"/>
  <c r="CY164" i="6"/>
  <c r="CZ164" i="6"/>
  <c r="DA164" i="6"/>
  <c r="DB164" i="6"/>
  <c r="DC164" i="6"/>
  <c r="DD164" i="6"/>
  <c r="DE164" i="6"/>
  <c r="CQ165" i="6"/>
  <c r="CR165" i="6"/>
  <c r="CS165" i="6"/>
  <c r="CT165" i="6"/>
  <c r="CU165" i="6"/>
  <c r="CV165" i="6"/>
  <c r="CW165" i="6"/>
  <c r="CX165" i="6"/>
  <c r="CY165" i="6"/>
  <c r="CZ165" i="6"/>
  <c r="DA165" i="6"/>
  <c r="DB165" i="6"/>
  <c r="DC165" i="6"/>
  <c r="DD165" i="6"/>
  <c r="DE165" i="6"/>
  <c r="CQ166" i="6"/>
  <c r="CR166" i="6"/>
  <c r="CS166" i="6"/>
  <c r="CT166" i="6"/>
  <c r="CU166" i="6"/>
  <c r="CV166" i="6"/>
  <c r="CW166" i="6"/>
  <c r="CX166" i="6"/>
  <c r="CY166" i="6"/>
  <c r="CZ166" i="6"/>
  <c r="DA166" i="6"/>
  <c r="DB166" i="6"/>
  <c r="DC166" i="6"/>
  <c r="DD166" i="6"/>
  <c r="DE166" i="6"/>
  <c r="CQ167" i="6"/>
  <c r="CR167" i="6"/>
  <c r="CS167" i="6"/>
  <c r="CT167" i="6"/>
  <c r="CU167" i="6"/>
  <c r="CV167" i="6"/>
  <c r="CW167" i="6"/>
  <c r="CX167" i="6"/>
  <c r="CY167" i="6"/>
  <c r="CZ167" i="6"/>
  <c r="DA167" i="6"/>
  <c r="DB167" i="6"/>
  <c r="DC167" i="6"/>
  <c r="DD167" i="6"/>
  <c r="DE167" i="6"/>
  <c r="CQ168" i="6"/>
  <c r="CR168" i="6"/>
  <c r="CS168" i="6"/>
  <c r="CT168" i="6"/>
  <c r="CU168" i="6"/>
  <c r="CV168" i="6"/>
  <c r="CW168" i="6"/>
  <c r="CX168" i="6"/>
  <c r="CY168" i="6"/>
  <c r="CZ168" i="6"/>
  <c r="DA168" i="6"/>
  <c r="DB168" i="6"/>
  <c r="DC168" i="6"/>
  <c r="DD168" i="6"/>
  <c r="DE168" i="6"/>
  <c r="CQ169" i="6"/>
  <c r="CR169" i="6"/>
  <c r="CS169" i="6"/>
  <c r="CT169" i="6"/>
  <c r="CU169" i="6"/>
  <c r="CV169" i="6"/>
  <c r="CW169" i="6"/>
  <c r="CX169" i="6"/>
  <c r="CY169" i="6"/>
  <c r="CZ169" i="6"/>
  <c r="DA169" i="6"/>
  <c r="DB169" i="6"/>
  <c r="DC169" i="6"/>
  <c r="DD169" i="6"/>
  <c r="DE169" i="6"/>
  <c r="CQ170" i="6"/>
  <c r="CR170" i="6"/>
  <c r="CS170" i="6"/>
  <c r="CT170" i="6"/>
  <c r="CU170" i="6"/>
  <c r="CV170" i="6"/>
  <c r="CW170" i="6"/>
  <c r="CX170" i="6"/>
  <c r="CY170" i="6"/>
  <c r="CZ170" i="6"/>
  <c r="DA170" i="6"/>
  <c r="DB170" i="6"/>
  <c r="DC170" i="6"/>
  <c r="DD170" i="6"/>
  <c r="DE170" i="6"/>
  <c r="CQ171" i="6"/>
  <c r="CR171" i="6"/>
  <c r="CS171" i="6"/>
  <c r="CT171" i="6"/>
  <c r="CU171" i="6"/>
  <c r="CV171" i="6"/>
  <c r="CW171" i="6"/>
  <c r="CX171" i="6"/>
  <c r="CY171" i="6"/>
  <c r="CZ171" i="6"/>
  <c r="DA171" i="6"/>
  <c r="DB171" i="6"/>
  <c r="DC171" i="6"/>
  <c r="DD171" i="6"/>
  <c r="DE171" i="6"/>
  <c r="CQ172" i="6"/>
  <c r="CR172" i="6"/>
  <c r="CS172" i="6"/>
  <c r="CT172" i="6"/>
  <c r="CU172" i="6"/>
  <c r="CV172" i="6"/>
  <c r="CW172" i="6"/>
  <c r="CX172" i="6"/>
  <c r="CY172" i="6"/>
  <c r="CZ172" i="6"/>
  <c r="DA172" i="6"/>
  <c r="DB172" i="6"/>
  <c r="DC172" i="6"/>
  <c r="DD172" i="6"/>
  <c r="DE172" i="6"/>
  <c r="CQ173" i="6"/>
  <c r="CR173" i="6"/>
  <c r="CS173" i="6"/>
  <c r="CT173" i="6"/>
  <c r="CU173" i="6"/>
  <c r="CV173" i="6"/>
  <c r="CW173" i="6"/>
  <c r="CX173" i="6"/>
  <c r="CY173" i="6"/>
  <c r="CZ173" i="6"/>
  <c r="DA173" i="6"/>
  <c r="DB173" i="6"/>
  <c r="DC173" i="6"/>
  <c r="DD173" i="6"/>
  <c r="DE173" i="6"/>
  <c r="CQ174" i="6"/>
  <c r="CR174" i="6"/>
  <c r="CS174" i="6"/>
  <c r="CT174" i="6"/>
  <c r="CU174" i="6"/>
  <c r="CV174" i="6"/>
  <c r="CW174" i="6"/>
  <c r="CX174" i="6"/>
  <c r="CY174" i="6"/>
  <c r="CZ174" i="6"/>
  <c r="DA174" i="6"/>
  <c r="DB174" i="6"/>
  <c r="DC174" i="6"/>
  <c r="DD174" i="6"/>
  <c r="DE174" i="6"/>
  <c r="CQ175" i="6"/>
  <c r="CR175" i="6"/>
  <c r="CS175" i="6"/>
  <c r="CT175" i="6"/>
  <c r="CU175" i="6"/>
  <c r="CV175" i="6"/>
  <c r="CW175" i="6"/>
  <c r="CX175" i="6"/>
  <c r="CY175" i="6"/>
  <c r="CZ175" i="6"/>
  <c r="DA175" i="6"/>
  <c r="DB175" i="6"/>
  <c r="DC175" i="6"/>
  <c r="DD175" i="6"/>
  <c r="DE175" i="6"/>
  <c r="CQ176" i="6"/>
  <c r="CR176" i="6"/>
  <c r="CS176" i="6"/>
  <c r="CT176" i="6"/>
  <c r="CU176" i="6"/>
  <c r="CV176" i="6"/>
  <c r="CW176" i="6"/>
  <c r="CX176" i="6"/>
  <c r="CY176" i="6"/>
  <c r="CZ176" i="6"/>
  <c r="DA176" i="6"/>
  <c r="DB176" i="6"/>
  <c r="DC176" i="6"/>
  <c r="DD176" i="6"/>
  <c r="DE176" i="6"/>
  <c r="CQ177" i="6"/>
  <c r="CR177" i="6"/>
  <c r="CS177" i="6"/>
  <c r="CT177" i="6"/>
  <c r="CU177" i="6"/>
  <c r="CV177" i="6"/>
  <c r="CW177" i="6"/>
  <c r="CX177" i="6"/>
  <c r="CY177" i="6"/>
  <c r="CZ177" i="6"/>
  <c r="DA177" i="6"/>
  <c r="DB177" i="6"/>
  <c r="DC177" i="6"/>
  <c r="DD177" i="6"/>
  <c r="DE177" i="6"/>
  <c r="CQ178" i="6"/>
  <c r="CR178" i="6"/>
  <c r="CS178" i="6"/>
  <c r="CT178" i="6"/>
  <c r="CU178" i="6"/>
  <c r="CV178" i="6"/>
  <c r="CW178" i="6"/>
  <c r="CX178" i="6"/>
  <c r="CY178" i="6"/>
  <c r="CZ178" i="6"/>
  <c r="DA178" i="6"/>
  <c r="DB178" i="6"/>
  <c r="DC178" i="6"/>
  <c r="DD178" i="6"/>
  <c r="DE178" i="6"/>
  <c r="CQ179" i="6"/>
  <c r="CR179" i="6"/>
  <c r="CS179" i="6"/>
  <c r="CT179" i="6"/>
  <c r="CU179" i="6"/>
  <c r="CV179" i="6"/>
  <c r="CW179" i="6"/>
  <c r="CX179" i="6"/>
  <c r="CY179" i="6"/>
  <c r="CZ179" i="6"/>
  <c r="DA179" i="6"/>
  <c r="DB179" i="6"/>
  <c r="DC179" i="6"/>
  <c r="DD179" i="6"/>
  <c r="DE179" i="6"/>
  <c r="CQ180" i="6"/>
  <c r="CR180" i="6"/>
  <c r="CS180" i="6"/>
  <c r="CT180" i="6"/>
  <c r="CU180" i="6"/>
  <c r="CV180" i="6"/>
  <c r="CW180" i="6"/>
  <c r="CX180" i="6"/>
  <c r="CY180" i="6"/>
  <c r="CZ180" i="6"/>
  <c r="DA180" i="6"/>
  <c r="DB180" i="6"/>
  <c r="DC180" i="6"/>
  <c r="DD180" i="6"/>
  <c r="DE180" i="6"/>
  <c r="CQ181" i="6"/>
  <c r="CR181" i="6"/>
  <c r="CS181" i="6"/>
  <c r="CT181" i="6"/>
  <c r="CU181" i="6"/>
  <c r="CV181" i="6"/>
  <c r="CW181" i="6"/>
  <c r="CX181" i="6"/>
  <c r="CY181" i="6"/>
  <c r="CZ181" i="6"/>
  <c r="DA181" i="6"/>
  <c r="DB181" i="6"/>
  <c r="DC181" i="6"/>
  <c r="DD181" i="6"/>
  <c r="DE181" i="6"/>
  <c r="CQ182" i="6"/>
  <c r="CR182" i="6"/>
  <c r="CS182" i="6"/>
  <c r="CT182" i="6"/>
  <c r="CU182" i="6"/>
  <c r="CV182" i="6"/>
  <c r="CW182" i="6"/>
  <c r="CX182" i="6"/>
  <c r="CY182" i="6"/>
  <c r="CZ182" i="6"/>
  <c r="DA182" i="6"/>
  <c r="DB182" i="6"/>
  <c r="DC182" i="6"/>
  <c r="DD182" i="6"/>
  <c r="DE182" i="6"/>
  <c r="CQ183" i="6"/>
  <c r="CR183" i="6"/>
  <c r="CS183" i="6"/>
  <c r="CT183" i="6"/>
  <c r="CU183" i="6"/>
  <c r="CV183" i="6"/>
  <c r="CW183" i="6"/>
  <c r="CX183" i="6"/>
  <c r="CY183" i="6"/>
  <c r="CZ183" i="6"/>
  <c r="DA183" i="6"/>
  <c r="DB183" i="6"/>
  <c r="DC183" i="6"/>
  <c r="DD183" i="6"/>
  <c r="DE183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CQ4" i="6"/>
  <c r="CB5" i="6"/>
  <c r="CC5" i="6"/>
  <c r="CD5" i="6"/>
  <c r="CE5" i="6"/>
  <c r="CF5" i="6"/>
  <c r="CG5" i="6"/>
  <c r="CH5" i="6"/>
  <c r="CI5" i="6"/>
  <c r="CJ5" i="6"/>
  <c r="CK5" i="6"/>
  <c r="CL5" i="6"/>
  <c r="CM5" i="6"/>
  <c r="CN5" i="6"/>
  <c r="CO5" i="6"/>
  <c r="CP5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B12" i="6"/>
  <c r="CC12" i="6"/>
  <c r="CD12" i="6"/>
  <c r="CE12" i="6"/>
  <c r="CF12" i="6"/>
  <c r="CG12" i="6"/>
  <c r="CH12" i="6"/>
  <c r="CI12" i="6"/>
  <c r="CJ12" i="6"/>
  <c r="CK12" i="6"/>
  <c r="CL12" i="6"/>
  <c r="CM12" i="6"/>
  <c r="CN12" i="6"/>
  <c r="CO12" i="6"/>
  <c r="CP12" i="6"/>
  <c r="CB13" i="6"/>
  <c r="CC13" i="6"/>
  <c r="CD13" i="6"/>
  <c r="CE13" i="6"/>
  <c r="CF13" i="6"/>
  <c r="CG13" i="6"/>
  <c r="CH13" i="6"/>
  <c r="CI13" i="6"/>
  <c r="CJ13" i="6"/>
  <c r="CK13" i="6"/>
  <c r="CL13" i="6"/>
  <c r="CM13" i="6"/>
  <c r="CN13" i="6"/>
  <c r="CO13" i="6"/>
  <c r="CP13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B16" i="6"/>
  <c r="CC16" i="6"/>
  <c r="CD16" i="6"/>
  <c r="CE16" i="6"/>
  <c r="CF16" i="6"/>
  <c r="CG16" i="6"/>
  <c r="CH16" i="6"/>
  <c r="CI16" i="6"/>
  <c r="CJ16" i="6"/>
  <c r="CK16" i="6"/>
  <c r="CL16" i="6"/>
  <c r="CM16" i="6"/>
  <c r="CN16" i="6"/>
  <c r="CO16" i="6"/>
  <c r="CP16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B18" i="6"/>
  <c r="CC18" i="6"/>
  <c r="CD18" i="6"/>
  <c r="CE18" i="6"/>
  <c r="CF18" i="6"/>
  <c r="CG18" i="6"/>
  <c r="CH18" i="6"/>
  <c r="CI18" i="6"/>
  <c r="CJ18" i="6"/>
  <c r="CK18" i="6"/>
  <c r="CL18" i="6"/>
  <c r="CM18" i="6"/>
  <c r="CN18" i="6"/>
  <c r="CO18" i="6"/>
  <c r="CP18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B26" i="6"/>
  <c r="CC26" i="6"/>
  <c r="CD26" i="6"/>
  <c r="CE26" i="6"/>
  <c r="CF26" i="6"/>
  <c r="CG26" i="6"/>
  <c r="CH26" i="6"/>
  <c r="CI26" i="6"/>
  <c r="CJ26" i="6"/>
  <c r="CK26" i="6"/>
  <c r="CL26" i="6"/>
  <c r="CM26" i="6"/>
  <c r="CN26" i="6"/>
  <c r="CO26" i="6"/>
  <c r="CP26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B28" i="6"/>
  <c r="CC28" i="6"/>
  <c r="CD28" i="6"/>
  <c r="CE28" i="6"/>
  <c r="CF28" i="6"/>
  <c r="CG28" i="6"/>
  <c r="CH28" i="6"/>
  <c r="CI28" i="6"/>
  <c r="CJ28" i="6"/>
  <c r="CK28" i="6"/>
  <c r="CL28" i="6"/>
  <c r="CM28" i="6"/>
  <c r="CN28" i="6"/>
  <c r="CO28" i="6"/>
  <c r="CP28" i="6"/>
  <c r="CB29" i="6"/>
  <c r="CC29" i="6"/>
  <c r="CD29" i="6"/>
  <c r="CE29" i="6"/>
  <c r="CF29" i="6"/>
  <c r="CG29" i="6"/>
  <c r="CH29" i="6"/>
  <c r="CI29" i="6"/>
  <c r="CJ29" i="6"/>
  <c r="CK29" i="6"/>
  <c r="CL29" i="6"/>
  <c r="CM29" i="6"/>
  <c r="CN29" i="6"/>
  <c r="CO29" i="6"/>
  <c r="CP29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B78" i="6"/>
  <c r="CC78" i="6"/>
  <c r="CD78" i="6"/>
  <c r="CE78" i="6"/>
  <c r="CF78" i="6"/>
  <c r="CG78" i="6"/>
  <c r="CH78" i="6"/>
  <c r="CI78" i="6"/>
  <c r="CJ78" i="6"/>
  <c r="CK78" i="6"/>
  <c r="CL78" i="6"/>
  <c r="CM78" i="6"/>
  <c r="CN78" i="6"/>
  <c r="CO78" i="6"/>
  <c r="CP78" i="6"/>
  <c r="CB79" i="6"/>
  <c r="CC79" i="6"/>
  <c r="CD79" i="6"/>
  <c r="CE79" i="6"/>
  <c r="CF79" i="6"/>
  <c r="CG79" i="6"/>
  <c r="CH79" i="6"/>
  <c r="CI79" i="6"/>
  <c r="CJ79" i="6"/>
  <c r="CK79" i="6"/>
  <c r="CL79" i="6"/>
  <c r="CM79" i="6"/>
  <c r="CN79" i="6"/>
  <c r="CO79" i="6"/>
  <c r="CP79" i="6"/>
  <c r="CB80" i="6"/>
  <c r="CC80" i="6"/>
  <c r="CD80" i="6"/>
  <c r="CE80" i="6"/>
  <c r="CF80" i="6"/>
  <c r="CG80" i="6"/>
  <c r="CH80" i="6"/>
  <c r="CI80" i="6"/>
  <c r="CJ80" i="6"/>
  <c r="CK80" i="6"/>
  <c r="CL80" i="6"/>
  <c r="CM80" i="6"/>
  <c r="CN80" i="6"/>
  <c r="CO80" i="6"/>
  <c r="CP80" i="6"/>
  <c r="CB81" i="6"/>
  <c r="CC81" i="6"/>
  <c r="CD81" i="6"/>
  <c r="CE81" i="6"/>
  <c r="CF81" i="6"/>
  <c r="CG81" i="6"/>
  <c r="CH81" i="6"/>
  <c r="CI81" i="6"/>
  <c r="CJ81" i="6"/>
  <c r="CK81" i="6"/>
  <c r="CL81" i="6"/>
  <c r="CM81" i="6"/>
  <c r="CN81" i="6"/>
  <c r="CO81" i="6"/>
  <c r="CP81" i="6"/>
  <c r="CB82" i="6"/>
  <c r="CC82" i="6"/>
  <c r="CD82" i="6"/>
  <c r="CE82" i="6"/>
  <c r="CF82" i="6"/>
  <c r="CG82" i="6"/>
  <c r="CH82" i="6"/>
  <c r="CI82" i="6"/>
  <c r="CJ82" i="6"/>
  <c r="CK82" i="6"/>
  <c r="CL82" i="6"/>
  <c r="CM82" i="6"/>
  <c r="CN82" i="6"/>
  <c r="CO82" i="6"/>
  <c r="CP82" i="6"/>
  <c r="CB83" i="6"/>
  <c r="CC83" i="6"/>
  <c r="CD83" i="6"/>
  <c r="CE83" i="6"/>
  <c r="CF83" i="6"/>
  <c r="CG83" i="6"/>
  <c r="CH83" i="6"/>
  <c r="CI83" i="6"/>
  <c r="CJ83" i="6"/>
  <c r="CK83" i="6"/>
  <c r="CL83" i="6"/>
  <c r="CM83" i="6"/>
  <c r="CN83" i="6"/>
  <c r="CO83" i="6"/>
  <c r="CP83" i="6"/>
  <c r="CB84" i="6"/>
  <c r="CC84" i="6"/>
  <c r="CD84" i="6"/>
  <c r="CE84" i="6"/>
  <c r="CF84" i="6"/>
  <c r="CG84" i="6"/>
  <c r="CH84" i="6"/>
  <c r="CI84" i="6"/>
  <c r="CJ84" i="6"/>
  <c r="CK84" i="6"/>
  <c r="CL84" i="6"/>
  <c r="CM84" i="6"/>
  <c r="CN84" i="6"/>
  <c r="CO84" i="6"/>
  <c r="CP84" i="6"/>
  <c r="CB85" i="6"/>
  <c r="CC85" i="6"/>
  <c r="CD85" i="6"/>
  <c r="CE85" i="6"/>
  <c r="CF85" i="6"/>
  <c r="CG85" i="6"/>
  <c r="CH85" i="6"/>
  <c r="CI85" i="6"/>
  <c r="CJ85" i="6"/>
  <c r="CK85" i="6"/>
  <c r="CL85" i="6"/>
  <c r="CM85" i="6"/>
  <c r="CN85" i="6"/>
  <c r="CO85" i="6"/>
  <c r="CP85" i="6"/>
  <c r="CB86" i="6"/>
  <c r="CC86" i="6"/>
  <c r="CD86" i="6"/>
  <c r="CE86" i="6"/>
  <c r="CF86" i="6"/>
  <c r="CG86" i="6"/>
  <c r="CH86" i="6"/>
  <c r="CI86" i="6"/>
  <c r="CJ86" i="6"/>
  <c r="CK86" i="6"/>
  <c r="CL86" i="6"/>
  <c r="CM86" i="6"/>
  <c r="CN86" i="6"/>
  <c r="CO86" i="6"/>
  <c r="CP86" i="6"/>
  <c r="CB87" i="6"/>
  <c r="CC87" i="6"/>
  <c r="CD87" i="6"/>
  <c r="CE87" i="6"/>
  <c r="CF87" i="6"/>
  <c r="CG87" i="6"/>
  <c r="CH87" i="6"/>
  <c r="CI87" i="6"/>
  <c r="CJ87" i="6"/>
  <c r="CK87" i="6"/>
  <c r="CL87" i="6"/>
  <c r="CM87" i="6"/>
  <c r="CN87" i="6"/>
  <c r="CO87" i="6"/>
  <c r="CP87" i="6"/>
  <c r="CB88" i="6"/>
  <c r="CC88" i="6"/>
  <c r="CD88" i="6"/>
  <c r="CE88" i="6"/>
  <c r="CF88" i="6"/>
  <c r="CG88" i="6"/>
  <c r="CH88" i="6"/>
  <c r="CI88" i="6"/>
  <c r="CJ88" i="6"/>
  <c r="CK88" i="6"/>
  <c r="CL88" i="6"/>
  <c r="CM88" i="6"/>
  <c r="CN88" i="6"/>
  <c r="CO88" i="6"/>
  <c r="CP88" i="6"/>
  <c r="CB89" i="6"/>
  <c r="CC89" i="6"/>
  <c r="CD89" i="6"/>
  <c r="CE89" i="6"/>
  <c r="CF89" i="6"/>
  <c r="CG89" i="6"/>
  <c r="CH89" i="6"/>
  <c r="CI89" i="6"/>
  <c r="CJ89" i="6"/>
  <c r="CK89" i="6"/>
  <c r="CL89" i="6"/>
  <c r="CM89" i="6"/>
  <c r="CN89" i="6"/>
  <c r="CO89" i="6"/>
  <c r="CP89" i="6"/>
  <c r="CB90" i="6"/>
  <c r="CC90" i="6"/>
  <c r="CD90" i="6"/>
  <c r="CE90" i="6"/>
  <c r="CF90" i="6"/>
  <c r="CG90" i="6"/>
  <c r="CH90" i="6"/>
  <c r="CI90" i="6"/>
  <c r="CJ90" i="6"/>
  <c r="CK90" i="6"/>
  <c r="CL90" i="6"/>
  <c r="CM90" i="6"/>
  <c r="CN90" i="6"/>
  <c r="CO90" i="6"/>
  <c r="CP90" i="6"/>
  <c r="CB91" i="6"/>
  <c r="CC91" i="6"/>
  <c r="CD91" i="6"/>
  <c r="CE91" i="6"/>
  <c r="CF91" i="6"/>
  <c r="CG91" i="6"/>
  <c r="CH91" i="6"/>
  <c r="CI91" i="6"/>
  <c r="CJ91" i="6"/>
  <c r="CK91" i="6"/>
  <c r="CL91" i="6"/>
  <c r="CM91" i="6"/>
  <c r="CN91" i="6"/>
  <c r="CO91" i="6"/>
  <c r="CP91" i="6"/>
  <c r="CB92" i="6"/>
  <c r="CC92" i="6"/>
  <c r="CD92" i="6"/>
  <c r="CE92" i="6"/>
  <c r="CF92" i="6"/>
  <c r="CG92" i="6"/>
  <c r="CH92" i="6"/>
  <c r="CI92" i="6"/>
  <c r="CJ92" i="6"/>
  <c r="CK92" i="6"/>
  <c r="CL92" i="6"/>
  <c r="CM92" i="6"/>
  <c r="CN92" i="6"/>
  <c r="CO92" i="6"/>
  <c r="CP92" i="6"/>
  <c r="CB93" i="6"/>
  <c r="CC93" i="6"/>
  <c r="CD93" i="6"/>
  <c r="CE93" i="6"/>
  <c r="CF93" i="6"/>
  <c r="CG93" i="6"/>
  <c r="CH93" i="6"/>
  <c r="CI93" i="6"/>
  <c r="CJ93" i="6"/>
  <c r="CK93" i="6"/>
  <c r="CL93" i="6"/>
  <c r="CM93" i="6"/>
  <c r="CN93" i="6"/>
  <c r="CO93" i="6"/>
  <c r="CP93" i="6"/>
  <c r="CB94" i="6"/>
  <c r="CC94" i="6"/>
  <c r="CD94" i="6"/>
  <c r="CE94" i="6"/>
  <c r="CF94" i="6"/>
  <c r="CG94" i="6"/>
  <c r="CH94" i="6"/>
  <c r="CI94" i="6"/>
  <c r="CJ94" i="6"/>
  <c r="CK94" i="6"/>
  <c r="CL94" i="6"/>
  <c r="CM94" i="6"/>
  <c r="CN94" i="6"/>
  <c r="CO94" i="6"/>
  <c r="CP94" i="6"/>
  <c r="CB95" i="6"/>
  <c r="CC95" i="6"/>
  <c r="CD95" i="6"/>
  <c r="CE95" i="6"/>
  <c r="CF95" i="6"/>
  <c r="CG95" i="6"/>
  <c r="CH95" i="6"/>
  <c r="CI95" i="6"/>
  <c r="CJ95" i="6"/>
  <c r="CK95" i="6"/>
  <c r="CL95" i="6"/>
  <c r="CM95" i="6"/>
  <c r="CN95" i="6"/>
  <c r="CO95" i="6"/>
  <c r="CP95" i="6"/>
  <c r="CB96" i="6"/>
  <c r="CC96" i="6"/>
  <c r="CD96" i="6"/>
  <c r="CE96" i="6"/>
  <c r="CF96" i="6"/>
  <c r="CG96" i="6"/>
  <c r="CH96" i="6"/>
  <c r="CI96" i="6"/>
  <c r="CJ96" i="6"/>
  <c r="CK96" i="6"/>
  <c r="CL96" i="6"/>
  <c r="CM96" i="6"/>
  <c r="CN96" i="6"/>
  <c r="CO96" i="6"/>
  <c r="CP96" i="6"/>
  <c r="CB97" i="6"/>
  <c r="CC97" i="6"/>
  <c r="CD97" i="6"/>
  <c r="CE97" i="6"/>
  <c r="CF97" i="6"/>
  <c r="CG97" i="6"/>
  <c r="CH97" i="6"/>
  <c r="CI97" i="6"/>
  <c r="CJ97" i="6"/>
  <c r="CK97" i="6"/>
  <c r="CL97" i="6"/>
  <c r="CM97" i="6"/>
  <c r="CN97" i="6"/>
  <c r="CO97" i="6"/>
  <c r="CP97" i="6"/>
  <c r="CB98" i="6"/>
  <c r="CC98" i="6"/>
  <c r="CD98" i="6"/>
  <c r="CE98" i="6"/>
  <c r="CF98" i="6"/>
  <c r="CG98" i="6"/>
  <c r="CH98" i="6"/>
  <c r="CI98" i="6"/>
  <c r="CJ98" i="6"/>
  <c r="CK98" i="6"/>
  <c r="CL98" i="6"/>
  <c r="CM98" i="6"/>
  <c r="CN98" i="6"/>
  <c r="CO98" i="6"/>
  <c r="CP98" i="6"/>
  <c r="CB99" i="6"/>
  <c r="CC99" i="6"/>
  <c r="CD99" i="6"/>
  <c r="CE99" i="6"/>
  <c r="CF99" i="6"/>
  <c r="CG99" i="6"/>
  <c r="CH99" i="6"/>
  <c r="CI99" i="6"/>
  <c r="CJ99" i="6"/>
  <c r="CK99" i="6"/>
  <c r="CL99" i="6"/>
  <c r="CM99" i="6"/>
  <c r="CN99" i="6"/>
  <c r="CO99" i="6"/>
  <c r="CP99" i="6"/>
  <c r="CB100" i="6"/>
  <c r="CC100" i="6"/>
  <c r="CD100" i="6"/>
  <c r="CE100" i="6"/>
  <c r="CF100" i="6"/>
  <c r="CG100" i="6"/>
  <c r="CH100" i="6"/>
  <c r="CI100" i="6"/>
  <c r="CJ100" i="6"/>
  <c r="CK100" i="6"/>
  <c r="CL100" i="6"/>
  <c r="CM100" i="6"/>
  <c r="CN100" i="6"/>
  <c r="CO100" i="6"/>
  <c r="CP100" i="6"/>
  <c r="CB101" i="6"/>
  <c r="CC101" i="6"/>
  <c r="CD101" i="6"/>
  <c r="CE101" i="6"/>
  <c r="CF101" i="6"/>
  <c r="CG101" i="6"/>
  <c r="CH101" i="6"/>
  <c r="CI101" i="6"/>
  <c r="CJ101" i="6"/>
  <c r="CK101" i="6"/>
  <c r="CL101" i="6"/>
  <c r="CM101" i="6"/>
  <c r="CN101" i="6"/>
  <c r="CO101" i="6"/>
  <c r="CP101" i="6"/>
  <c r="CB102" i="6"/>
  <c r="CC102" i="6"/>
  <c r="CD102" i="6"/>
  <c r="CE102" i="6"/>
  <c r="CF102" i="6"/>
  <c r="CG102" i="6"/>
  <c r="CH102" i="6"/>
  <c r="CI102" i="6"/>
  <c r="CJ102" i="6"/>
  <c r="CK102" i="6"/>
  <c r="CL102" i="6"/>
  <c r="CM102" i="6"/>
  <c r="CN102" i="6"/>
  <c r="CO102" i="6"/>
  <c r="CP102" i="6"/>
  <c r="CB103" i="6"/>
  <c r="CC103" i="6"/>
  <c r="CD103" i="6"/>
  <c r="CE103" i="6"/>
  <c r="CF103" i="6"/>
  <c r="CG103" i="6"/>
  <c r="CH103" i="6"/>
  <c r="CI103" i="6"/>
  <c r="CJ103" i="6"/>
  <c r="CK103" i="6"/>
  <c r="CL103" i="6"/>
  <c r="CM103" i="6"/>
  <c r="CN103" i="6"/>
  <c r="CO103" i="6"/>
  <c r="CP103" i="6"/>
  <c r="CB104" i="6"/>
  <c r="CC104" i="6"/>
  <c r="CD104" i="6"/>
  <c r="CE104" i="6"/>
  <c r="CF104" i="6"/>
  <c r="CG104" i="6"/>
  <c r="CH104" i="6"/>
  <c r="CI104" i="6"/>
  <c r="CJ104" i="6"/>
  <c r="CK104" i="6"/>
  <c r="CL104" i="6"/>
  <c r="CM104" i="6"/>
  <c r="CN104" i="6"/>
  <c r="CO104" i="6"/>
  <c r="CP104" i="6"/>
  <c r="CB105" i="6"/>
  <c r="CC105" i="6"/>
  <c r="CD105" i="6"/>
  <c r="CE105" i="6"/>
  <c r="CF105" i="6"/>
  <c r="CG105" i="6"/>
  <c r="CH105" i="6"/>
  <c r="CI105" i="6"/>
  <c r="CJ105" i="6"/>
  <c r="CK105" i="6"/>
  <c r="CL105" i="6"/>
  <c r="CM105" i="6"/>
  <c r="CN105" i="6"/>
  <c r="CO105" i="6"/>
  <c r="CP105" i="6"/>
  <c r="CB106" i="6"/>
  <c r="CC106" i="6"/>
  <c r="CD106" i="6"/>
  <c r="CE106" i="6"/>
  <c r="CF106" i="6"/>
  <c r="CG106" i="6"/>
  <c r="CH106" i="6"/>
  <c r="CI106" i="6"/>
  <c r="CJ106" i="6"/>
  <c r="CK106" i="6"/>
  <c r="CL106" i="6"/>
  <c r="CM106" i="6"/>
  <c r="CN106" i="6"/>
  <c r="CO106" i="6"/>
  <c r="CP106" i="6"/>
  <c r="CB107" i="6"/>
  <c r="CC107" i="6"/>
  <c r="CD107" i="6"/>
  <c r="CE107" i="6"/>
  <c r="CF107" i="6"/>
  <c r="CG107" i="6"/>
  <c r="CH107" i="6"/>
  <c r="CI107" i="6"/>
  <c r="CJ107" i="6"/>
  <c r="CK107" i="6"/>
  <c r="CL107" i="6"/>
  <c r="CM107" i="6"/>
  <c r="CN107" i="6"/>
  <c r="CO107" i="6"/>
  <c r="CP107" i="6"/>
  <c r="CB108" i="6"/>
  <c r="CC108" i="6"/>
  <c r="CD108" i="6"/>
  <c r="CE108" i="6"/>
  <c r="CF108" i="6"/>
  <c r="CG108" i="6"/>
  <c r="CH108" i="6"/>
  <c r="CI108" i="6"/>
  <c r="CJ108" i="6"/>
  <c r="CK108" i="6"/>
  <c r="CL108" i="6"/>
  <c r="CM108" i="6"/>
  <c r="CN108" i="6"/>
  <c r="CO108" i="6"/>
  <c r="CP108" i="6"/>
  <c r="CB109" i="6"/>
  <c r="CC109" i="6"/>
  <c r="CD109" i="6"/>
  <c r="CE109" i="6"/>
  <c r="CF109" i="6"/>
  <c r="CG109" i="6"/>
  <c r="CH109" i="6"/>
  <c r="CI109" i="6"/>
  <c r="CJ109" i="6"/>
  <c r="CK109" i="6"/>
  <c r="CL109" i="6"/>
  <c r="CM109" i="6"/>
  <c r="CN109" i="6"/>
  <c r="CO109" i="6"/>
  <c r="CP109" i="6"/>
  <c r="CB110" i="6"/>
  <c r="CC110" i="6"/>
  <c r="CD110" i="6"/>
  <c r="CE110" i="6"/>
  <c r="CF110" i="6"/>
  <c r="CG110" i="6"/>
  <c r="CH110" i="6"/>
  <c r="CI110" i="6"/>
  <c r="CJ110" i="6"/>
  <c r="CK110" i="6"/>
  <c r="CL110" i="6"/>
  <c r="CM110" i="6"/>
  <c r="CN110" i="6"/>
  <c r="CO110" i="6"/>
  <c r="CP110" i="6"/>
  <c r="CB111" i="6"/>
  <c r="CC111" i="6"/>
  <c r="CD111" i="6"/>
  <c r="CE111" i="6"/>
  <c r="CF111" i="6"/>
  <c r="CG111" i="6"/>
  <c r="CH111" i="6"/>
  <c r="CI111" i="6"/>
  <c r="CJ111" i="6"/>
  <c r="CK111" i="6"/>
  <c r="CL111" i="6"/>
  <c r="CM111" i="6"/>
  <c r="CN111" i="6"/>
  <c r="CO111" i="6"/>
  <c r="CP111" i="6"/>
  <c r="CB112" i="6"/>
  <c r="CC112" i="6"/>
  <c r="CD112" i="6"/>
  <c r="CE112" i="6"/>
  <c r="CF112" i="6"/>
  <c r="CG112" i="6"/>
  <c r="CH112" i="6"/>
  <c r="CI112" i="6"/>
  <c r="CJ112" i="6"/>
  <c r="CK112" i="6"/>
  <c r="CL112" i="6"/>
  <c r="CM112" i="6"/>
  <c r="CN112" i="6"/>
  <c r="CO112" i="6"/>
  <c r="CP112" i="6"/>
  <c r="CB113" i="6"/>
  <c r="CC113" i="6"/>
  <c r="CD113" i="6"/>
  <c r="CE113" i="6"/>
  <c r="CF113" i="6"/>
  <c r="CG113" i="6"/>
  <c r="CH113" i="6"/>
  <c r="CI113" i="6"/>
  <c r="CJ113" i="6"/>
  <c r="CK113" i="6"/>
  <c r="CL113" i="6"/>
  <c r="CM113" i="6"/>
  <c r="CN113" i="6"/>
  <c r="CO113" i="6"/>
  <c r="CP113" i="6"/>
  <c r="CB114" i="6"/>
  <c r="CC114" i="6"/>
  <c r="CD114" i="6"/>
  <c r="CE114" i="6"/>
  <c r="CF114" i="6"/>
  <c r="CG114" i="6"/>
  <c r="CH114" i="6"/>
  <c r="CI114" i="6"/>
  <c r="CJ114" i="6"/>
  <c r="CK114" i="6"/>
  <c r="CL114" i="6"/>
  <c r="CM114" i="6"/>
  <c r="CN114" i="6"/>
  <c r="CO114" i="6"/>
  <c r="CP114" i="6"/>
  <c r="CB115" i="6"/>
  <c r="CC115" i="6"/>
  <c r="CD115" i="6"/>
  <c r="CE115" i="6"/>
  <c r="CF115" i="6"/>
  <c r="CG115" i="6"/>
  <c r="CH115" i="6"/>
  <c r="CI115" i="6"/>
  <c r="CJ115" i="6"/>
  <c r="CK115" i="6"/>
  <c r="CL115" i="6"/>
  <c r="CM115" i="6"/>
  <c r="CN115" i="6"/>
  <c r="CO115" i="6"/>
  <c r="CP115" i="6"/>
  <c r="CB116" i="6"/>
  <c r="CC116" i="6"/>
  <c r="CD116" i="6"/>
  <c r="CE116" i="6"/>
  <c r="CF116" i="6"/>
  <c r="CG116" i="6"/>
  <c r="CH116" i="6"/>
  <c r="CI116" i="6"/>
  <c r="CJ116" i="6"/>
  <c r="CK116" i="6"/>
  <c r="CL116" i="6"/>
  <c r="CM116" i="6"/>
  <c r="CN116" i="6"/>
  <c r="CO116" i="6"/>
  <c r="CP116" i="6"/>
  <c r="CB117" i="6"/>
  <c r="CC117" i="6"/>
  <c r="CD117" i="6"/>
  <c r="CE117" i="6"/>
  <c r="CF117" i="6"/>
  <c r="CG117" i="6"/>
  <c r="CH117" i="6"/>
  <c r="CI117" i="6"/>
  <c r="CJ117" i="6"/>
  <c r="CK117" i="6"/>
  <c r="CL117" i="6"/>
  <c r="CM117" i="6"/>
  <c r="CN117" i="6"/>
  <c r="CO117" i="6"/>
  <c r="CP117" i="6"/>
  <c r="CB118" i="6"/>
  <c r="CC118" i="6"/>
  <c r="CD118" i="6"/>
  <c r="CE118" i="6"/>
  <c r="CF118" i="6"/>
  <c r="CG118" i="6"/>
  <c r="CH118" i="6"/>
  <c r="CI118" i="6"/>
  <c r="CJ118" i="6"/>
  <c r="CK118" i="6"/>
  <c r="CL118" i="6"/>
  <c r="CM118" i="6"/>
  <c r="CN118" i="6"/>
  <c r="CO118" i="6"/>
  <c r="CP118" i="6"/>
  <c r="CB119" i="6"/>
  <c r="CC119" i="6"/>
  <c r="CD119" i="6"/>
  <c r="CE119" i="6"/>
  <c r="CF119" i="6"/>
  <c r="CG119" i="6"/>
  <c r="CH119" i="6"/>
  <c r="CI119" i="6"/>
  <c r="CJ119" i="6"/>
  <c r="CK119" i="6"/>
  <c r="CL119" i="6"/>
  <c r="CM119" i="6"/>
  <c r="CN119" i="6"/>
  <c r="CO119" i="6"/>
  <c r="CP119" i="6"/>
  <c r="CB120" i="6"/>
  <c r="CC120" i="6"/>
  <c r="CD120" i="6"/>
  <c r="CE120" i="6"/>
  <c r="CF120" i="6"/>
  <c r="CG120" i="6"/>
  <c r="CH120" i="6"/>
  <c r="CI120" i="6"/>
  <c r="CJ120" i="6"/>
  <c r="CK120" i="6"/>
  <c r="CL120" i="6"/>
  <c r="CM120" i="6"/>
  <c r="CN120" i="6"/>
  <c r="CO120" i="6"/>
  <c r="CP120" i="6"/>
  <c r="CB121" i="6"/>
  <c r="CC121" i="6"/>
  <c r="CD121" i="6"/>
  <c r="CE121" i="6"/>
  <c r="CF121" i="6"/>
  <c r="CG121" i="6"/>
  <c r="CH121" i="6"/>
  <c r="CI121" i="6"/>
  <c r="CJ121" i="6"/>
  <c r="CK121" i="6"/>
  <c r="CL121" i="6"/>
  <c r="CM121" i="6"/>
  <c r="CN121" i="6"/>
  <c r="CO121" i="6"/>
  <c r="CP121" i="6"/>
  <c r="CB122" i="6"/>
  <c r="CC122" i="6"/>
  <c r="CD122" i="6"/>
  <c r="CE122" i="6"/>
  <c r="CF122" i="6"/>
  <c r="CG122" i="6"/>
  <c r="CH122" i="6"/>
  <c r="CI122" i="6"/>
  <c r="CJ122" i="6"/>
  <c r="CK122" i="6"/>
  <c r="CL122" i="6"/>
  <c r="CM122" i="6"/>
  <c r="CN122" i="6"/>
  <c r="CO122" i="6"/>
  <c r="CP122" i="6"/>
  <c r="CB123" i="6"/>
  <c r="CC123" i="6"/>
  <c r="CD123" i="6"/>
  <c r="CE123" i="6"/>
  <c r="CF123" i="6"/>
  <c r="CG123" i="6"/>
  <c r="CH123" i="6"/>
  <c r="CI123" i="6"/>
  <c r="CJ123" i="6"/>
  <c r="CK123" i="6"/>
  <c r="CL123" i="6"/>
  <c r="CM123" i="6"/>
  <c r="CN123" i="6"/>
  <c r="CO123" i="6"/>
  <c r="CP123" i="6"/>
  <c r="CB124" i="6"/>
  <c r="CC124" i="6"/>
  <c r="CD124" i="6"/>
  <c r="CE124" i="6"/>
  <c r="CF124" i="6"/>
  <c r="CG124" i="6"/>
  <c r="CH124" i="6"/>
  <c r="CI124" i="6"/>
  <c r="CJ124" i="6"/>
  <c r="CK124" i="6"/>
  <c r="CL124" i="6"/>
  <c r="CM124" i="6"/>
  <c r="CN124" i="6"/>
  <c r="CO124" i="6"/>
  <c r="CP124" i="6"/>
  <c r="CB125" i="6"/>
  <c r="CC125" i="6"/>
  <c r="CD125" i="6"/>
  <c r="CE125" i="6"/>
  <c r="CF125" i="6"/>
  <c r="CG125" i="6"/>
  <c r="CH125" i="6"/>
  <c r="CI125" i="6"/>
  <c r="CJ125" i="6"/>
  <c r="CK125" i="6"/>
  <c r="CL125" i="6"/>
  <c r="CM125" i="6"/>
  <c r="CN125" i="6"/>
  <c r="CO125" i="6"/>
  <c r="CP125" i="6"/>
  <c r="CB126" i="6"/>
  <c r="CC126" i="6"/>
  <c r="CD126" i="6"/>
  <c r="CE126" i="6"/>
  <c r="CF126" i="6"/>
  <c r="CG126" i="6"/>
  <c r="CH126" i="6"/>
  <c r="CI126" i="6"/>
  <c r="CJ126" i="6"/>
  <c r="CK126" i="6"/>
  <c r="CL126" i="6"/>
  <c r="CM126" i="6"/>
  <c r="CN126" i="6"/>
  <c r="CO126" i="6"/>
  <c r="CP126" i="6"/>
  <c r="CB127" i="6"/>
  <c r="CC127" i="6"/>
  <c r="CD127" i="6"/>
  <c r="CE127" i="6"/>
  <c r="CF127" i="6"/>
  <c r="CG127" i="6"/>
  <c r="CH127" i="6"/>
  <c r="CI127" i="6"/>
  <c r="CJ127" i="6"/>
  <c r="CK127" i="6"/>
  <c r="CL127" i="6"/>
  <c r="CM127" i="6"/>
  <c r="CN127" i="6"/>
  <c r="CO127" i="6"/>
  <c r="CP127" i="6"/>
  <c r="CB128" i="6"/>
  <c r="CC128" i="6"/>
  <c r="CD128" i="6"/>
  <c r="CE128" i="6"/>
  <c r="CF128" i="6"/>
  <c r="CG128" i="6"/>
  <c r="CH128" i="6"/>
  <c r="CI128" i="6"/>
  <c r="CJ128" i="6"/>
  <c r="CK128" i="6"/>
  <c r="CL128" i="6"/>
  <c r="CM128" i="6"/>
  <c r="CN128" i="6"/>
  <c r="CO128" i="6"/>
  <c r="CP128" i="6"/>
  <c r="CB129" i="6"/>
  <c r="CC129" i="6"/>
  <c r="CD129" i="6"/>
  <c r="CE129" i="6"/>
  <c r="CF129" i="6"/>
  <c r="CG129" i="6"/>
  <c r="CH129" i="6"/>
  <c r="CI129" i="6"/>
  <c r="CJ129" i="6"/>
  <c r="CK129" i="6"/>
  <c r="CL129" i="6"/>
  <c r="CM129" i="6"/>
  <c r="CN129" i="6"/>
  <c r="CO129" i="6"/>
  <c r="CP129" i="6"/>
  <c r="CB130" i="6"/>
  <c r="CC130" i="6"/>
  <c r="CD130" i="6"/>
  <c r="CE130" i="6"/>
  <c r="CF130" i="6"/>
  <c r="CG130" i="6"/>
  <c r="CH130" i="6"/>
  <c r="CI130" i="6"/>
  <c r="CJ130" i="6"/>
  <c r="CK130" i="6"/>
  <c r="CL130" i="6"/>
  <c r="CM130" i="6"/>
  <c r="CN130" i="6"/>
  <c r="CO130" i="6"/>
  <c r="CP130" i="6"/>
  <c r="CB131" i="6"/>
  <c r="CC131" i="6"/>
  <c r="CD131" i="6"/>
  <c r="CE131" i="6"/>
  <c r="CF131" i="6"/>
  <c r="CG131" i="6"/>
  <c r="CH131" i="6"/>
  <c r="CI131" i="6"/>
  <c r="CJ131" i="6"/>
  <c r="CK131" i="6"/>
  <c r="CL131" i="6"/>
  <c r="CM131" i="6"/>
  <c r="CN131" i="6"/>
  <c r="CO131" i="6"/>
  <c r="CP131" i="6"/>
  <c r="CB132" i="6"/>
  <c r="CC132" i="6"/>
  <c r="CD132" i="6"/>
  <c r="CE132" i="6"/>
  <c r="CF132" i="6"/>
  <c r="CG132" i="6"/>
  <c r="CH132" i="6"/>
  <c r="CI132" i="6"/>
  <c r="CJ132" i="6"/>
  <c r="CK132" i="6"/>
  <c r="CL132" i="6"/>
  <c r="CM132" i="6"/>
  <c r="CN132" i="6"/>
  <c r="CO132" i="6"/>
  <c r="CP132" i="6"/>
  <c r="CB133" i="6"/>
  <c r="CC133" i="6"/>
  <c r="CD133" i="6"/>
  <c r="CE133" i="6"/>
  <c r="CF133" i="6"/>
  <c r="CG133" i="6"/>
  <c r="CH133" i="6"/>
  <c r="CI133" i="6"/>
  <c r="CJ133" i="6"/>
  <c r="CK133" i="6"/>
  <c r="CL133" i="6"/>
  <c r="CM133" i="6"/>
  <c r="CN133" i="6"/>
  <c r="CO133" i="6"/>
  <c r="CP133" i="6"/>
  <c r="CB134" i="6"/>
  <c r="CC134" i="6"/>
  <c r="CD134" i="6"/>
  <c r="CE134" i="6"/>
  <c r="CF134" i="6"/>
  <c r="CG134" i="6"/>
  <c r="CH134" i="6"/>
  <c r="CI134" i="6"/>
  <c r="CJ134" i="6"/>
  <c r="CK134" i="6"/>
  <c r="CL134" i="6"/>
  <c r="CM134" i="6"/>
  <c r="CN134" i="6"/>
  <c r="CO134" i="6"/>
  <c r="CP134" i="6"/>
  <c r="CB135" i="6"/>
  <c r="CC135" i="6"/>
  <c r="CD135" i="6"/>
  <c r="CE135" i="6"/>
  <c r="CF135" i="6"/>
  <c r="CG135" i="6"/>
  <c r="CH135" i="6"/>
  <c r="CI135" i="6"/>
  <c r="CJ135" i="6"/>
  <c r="CK135" i="6"/>
  <c r="CL135" i="6"/>
  <c r="CM135" i="6"/>
  <c r="CN135" i="6"/>
  <c r="CO135" i="6"/>
  <c r="CP135" i="6"/>
  <c r="CB136" i="6"/>
  <c r="CC136" i="6"/>
  <c r="CD136" i="6"/>
  <c r="CE136" i="6"/>
  <c r="CF136" i="6"/>
  <c r="CG136" i="6"/>
  <c r="CH136" i="6"/>
  <c r="CI136" i="6"/>
  <c r="CJ136" i="6"/>
  <c r="CK136" i="6"/>
  <c r="CL136" i="6"/>
  <c r="CM136" i="6"/>
  <c r="CN136" i="6"/>
  <c r="CO136" i="6"/>
  <c r="CP136" i="6"/>
  <c r="CB137" i="6"/>
  <c r="CC137" i="6"/>
  <c r="CD137" i="6"/>
  <c r="CE137" i="6"/>
  <c r="CF137" i="6"/>
  <c r="CG137" i="6"/>
  <c r="CH137" i="6"/>
  <c r="CI137" i="6"/>
  <c r="CJ137" i="6"/>
  <c r="CK137" i="6"/>
  <c r="CL137" i="6"/>
  <c r="CM137" i="6"/>
  <c r="CN137" i="6"/>
  <c r="CO137" i="6"/>
  <c r="CP137" i="6"/>
  <c r="CB138" i="6"/>
  <c r="CC138" i="6"/>
  <c r="CD138" i="6"/>
  <c r="CE138" i="6"/>
  <c r="CF138" i="6"/>
  <c r="CG138" i="6"/>
  <c r="CH138" i="6"/>
  <c r="CI138" i="6"/>
  <c r="CJ138" i="6"/>
  <c r="CK138" i="6"/>
  <c r="CL138" i="6"/>
  <c r="CM138" i="6"/>
  <c r="CN138" i="6"/>
  <c r="CO138" i="6"/>
  <c r="CP138" i="6"/>
  <c r="CB139" i="6"/>
  <c r="CC139" i="6"/>
  <c r="CD139" i="6"/>
  <c r="CE139" i="6"/>
  <c r="CF139" i="6"/>
  <c r="CG139" i="6"/>
  <c r="CH139" i="6"/>
  <c r="CI139" i="6"/>
  <c r="CJ139" i="6"/>
  <c r="CK139" i="6"/>
  <c r="CL139" i="6"/>
  <c r="CM139" i="6"/>
  <c r="CN139" i="6"/>
  <c r="CO139" i="6"/>
  <c r="CP139" i="6"/>
  <c r="CB140" i="6"/>
  <c r="CC140" i="6"/>
  <c r="CD140" i="6"/>
  <c r="CE140" i="6"/>
  <c r="CF140" i="6"/>
  <c r="CG140" i="6"/>
  <c r="CH140" i="6"/>
  <c r="CI140" i="6"/>
  <c r="CJ140" i="6"/>
  <c r="CK140" i="6"/>
  <c r="CL140" i="6"/>
  <c r="CM140" i="6"/>
  <c r="CN140" i="6"/>
  <c r="CO140" i="6"/>
  <c r="CP140" i="6"/>
  <c r="CB141" i="6"/>
  <c r="CC141" i="6"/>
  <c r="CD141" i="6"/>
  <c r="CE141" i="6"/>
  <c r="CF141" i="6"/>
  <c r="CG141" i="6"/>
  <c r="CH141" i="6"/>
  <c r="CI141" i="6"/>
  <c r="CJ141" i="6"/>
  <c r="CK141" i="6"/>
  <c r="CL141" i="6"/>
  <c r="CM141" i="6"/>
  <c r="CN141" i="6"/>
  <c r="CO141" i="6"/>
  <c r="CP141" i="6"/>
  <c r="CB142" i="6"/>
  <c r="CC142" i="6"/>
  <c r="CD142" i="6"/>
  <c r="CE142" i="6"/>
  <c r="CF142" i="6"/>
  <c r="CG142" i="6"/>
  <c r="CH142" i="6"/>
  <c r="CI142" i="6"/>
  <c r="CJ142" i="6"/>
  <c r="CK142" i="6"/>
  <c r="CL142" i="6"/>
  <c r="CM142" i="6"/>
  <c r="CN142" i="6"/>
  <c r="CO142" i="6"/>
  <c r="CP142" i="6"/>
  <c r="CB143" i="6"/>
  <c r="CC143" i="6"/>
  <c r="CD143" i="6"/>
  <c r="CE143" i="6"/>
  <c r="CF143" i="6"/>
  <c r="CG143" i="6"/>
  <c r="CH143" i="6"/>
  <c r="CI143" i="6"/>
  <c r="CJ143" i="6"/>
  <c r="CK143" i="6"/>
  <c r="CL143" i="6"/>
  <c r="CM143" i="6"/>
  <c r="CN143" i="6"/>
  <c r="CO143" i="6"/>
  <c r="CP143" i="6"/>
  <c r="CB144" i="6"/>
  <c r="CC144" i="6"/>
  <c r="CD144" i="6"/>
  <c r="CE144" i="6"/>
  <c r="CF144" i="6"/>
  <c r="CG144" i="6"/>
  <c r="CH144" i="6"/>
  <c r="CI144" i="6"/>
  <c r="CJ144" i="6"/>
  <c r="CK144" i="6"/>
  <c r="CL144" i="6"/>
  <c r="CM144" i="6"/>
  <c r="CN144" i="6"/>
  <c r="CO144" i="6"/>
  <c r="CP144" i="6"/>
  <c r="CB145" i="6"/>
  <c r="CC145" i="6"/>
  <c r="CD145" i="6"/>
  <c r="CE145" i="6"/>
  <c r="CF145" i="6"/>
  <c r="CG145" i="6"/>
  <c r="CH145" i="6"/>
  <c r="CI145" i="6"/>
  <c r="CJ145" i="6"/>
  <c r="CK145" i="6"/>
  <c r="CL145" i="6"/>
  <c r="CM145" i="6"/>
  <c r="CN145" i="6"/>
  <c r="CO145" i="6"/>
  <c r="CP145" i="6"/>
  <c r="CB146" i="6"/>
  <c r="CC146" i="6"/>
  <c r="CD146" i="6"/>
  <c r="CE146" i="6"/>
  <c r="CF146" i="6"/>
  <c r="CG146" i="6"/>
  <c r="CH146" i="6"/>
  <c r="CI146" i="6"/>
  <c r="CJ146" i="6"/>
  <c r="CK146" i="6"/>
  <c r="CL146" i="6"/>
  <c r="CM146" i="6"/>
  <c r="CN146" i="6"/>
  <c r="CO146" i="6"/>
  <c r="CP146" i="6"/>
  <c r="CB147" i="6"/>
  <c r="CC147" i="6"/>
  <c r="CD147" i="6"/>
  <c r="CE147" i="6"/>
  <c r="CF147" i="6"/>
  <c r="CG147" i="6"/>
  <c r="CH147" i="6"/>
  <c r="CI147" i="6"/>
  <c r="CJ147" i="6"/>
  <c r="CK147" i="6"/>
  <c r="CL147" i="6"/>
  <c r="CM147" i="6"/>
  <c r="CN147" i="6"/>
  <c r="CO147" i="6"/>
  <c r="CP147" i="6"/>
  <c r="CB148" i="6"/>
  <c r="CC148" i="6"/>
  <c r="CD148" i="6"/>
  <c r="CE148" i="6"/>
  <c r="CF148" i="6"/>
  <c r="CG148" i="6"/>
  <c r="CH148" i="6"/>
  <c r="CI148" i="6"/>
  <c r="CJ148" i="6"/>
  <c r="CK148" i="6"/>
  <c r="CL148" i="6"/>
  <c r="CM148" i="6"/>
  <c r="CN148" i="6"/>
  <c r="CO148" i="6"/>
  <c r="CP148" i="6"/>
  <c r="CB149" i="6"/>
  <c r="CC149" i="6"/>
  <c r="CD149" i="6"/>
  <c r="CE149" i="6"/>
  <c r="CF149" i="6"/>
  <c r="CG149" i="6"/>
  <c r="CH149" i="6"/>
  <c r="CI149" i="6"/>
  <c r="CJ149" i="6"/>
  <c r="CK149" i="6"/>
  <c r="CL149" i="6"/>
  <c r="CM149" i="6"/>
  <c r="CN149" i="6"/>
  <c r="CO149" i="6"/>
  <c r="CP149" i="6"/>
  <c r="CB150" i="6"/>
  <c r="CC150" i="6"/>
  <c r="CD150" i="6"/>
  <c r="CE150" i="6"/>
  <c r="CF150" i="6"/>
  <c r="CG150" i="6"/>
  <c r="CH150" i="6"/>
  <c r="CI150" i="6"/>
  <c r="CJ150" i="6"/>
  <c r="CK150" i="6"/>
  <c r="CL150" i="6"/>
  <c r="CM150" i="6"/>
  <c r="CN150" i="6"/>
  <c r="CO150" i="6"/>
  <c r="CP150" i="6"/>
  <c r="CB151" i="6"/>
  <c r="CC151" i="6"/>
  <c r="CD151" i="6"/>
  <c r="CE151" i="6"/>
  <c r="CF151" i="6"/>
  <c r="CG151" i="6"/>
  <c r="CH151" i="6"/>
  <c r="CI151" i="6"/>
  <c r="CJ151" i="6"/>
  <c r="CK151" i="6"/>
  <c r="CL151" i="6"/>
  <c r="CM151" i="6"/>
  <c r="CN151" i="6"/>
  <c r="CO151" i="6"/>
  <c r="CP151" i="6"/>
  <c r="CB152" i="6"/>
  <c r="CC152" i="6"/>
  <c r="CD152" i="6"/>
  <c r="CE152" i="6"/>
  <c r="CF152" i="6"/>
  <c r="CG152" i="6"/>
  <c r="CH152" i="6"/>
  <c r="CI152" i="6"/>
  <c r="CJ152" i="6"/>
  <c r="CK152" i="6"/>
  <c r="CL152" i="6"/>
  <c r="CM152" i="6"/>
  <c r="CN152" i="6"/>
  <c r="CO152" i="6"/>
  <c r="CP152" i="6"/>
  <c r="CB153" i="6"/>
  <c r="CC153" i="6"/>
  <c r="CD153" i="6"/>
  <c r="CE153" i="6"/>
  <c r="CF153" i="6"/>
  <c r="CG153" i="6"/>
  <c r="CH153" i="6"/>
  <c r="CI153" i="6"/>
  <c r="CJ153" i="6"/>
  <c r="CK153" i="6"/>
  <c r="CL153" i="6"/>
  <c r="CM153" i="6"/>
  <c r="CN153" i="6"/>
  <c r="CO153" i="6"/>
  <c r="CP153" i="6"/>
  <c r="CB154" i="6"/>
  <c r="CC154" i="6"/>
  <c r="CD154" i="6"/>
  <c r="CE154" i="6"/>
  <c r="CF154" i="6"/>
  <c r="CG154" i="6"/>
  <c r="CH154" i="6"/>
  <c r="CI154" i="6"/>
  <c r="CJ154" i="6"/>
  <c r="CK154" i="6"/>
  <c r="CL154" i="6"/>
  <c r="CM154" i="6"/>
  <c r="CN154" i="6"/>
  <c r="CO154" i="6"/>
  <c r="CP154" i="6"/>
  <c r="CB155" i="6"/>
  <c r="CC155" i="6"/>
  <c r="CD155" i="6"/>
  <c r="CE155" i="6"/>
  <c r="CF155" i="6"/>
  <c r="CG155" i="6"/>
  <c r="CH155" i="6"/>
  <c r="CI155" i="6"/>
  <c r="CJ155" i="6"/>
  <c r="CK155" i="6"/>
  <c r="CL155" i="6"/>
  <c r="CM155" i="6"/>
  <c r="CN155" i="6"/>
  <c r="CO155" i="6"/>
  <c r="CP155" i="6"/>
  <c r="CB156" i="6"/>
  <c r="CC156" i="6"/>
  <c r="CD156" i="6"/>
  <c r="CE156" i="6"/>
  <c r="CF156" i="6"/>
  <c r="CG156" i="6"/>
  <c r="CH156" i="6"/>
  <c r="CI156" i="6"/>
  <c r="CJ156" i="6"/>
  <c r="CK156" i="6"/>
  <c r="CL156" i="6"/>
  <c r="CM156" i="6"/>
  <c r="CN156" i="6"/>
  <c r="CO156" i="6"/>
  <c r="CP156" i="6"/>
  <c r="CB157" i="6"/>
  <c r="CC157" i="6"/>
  <c r="CD157" i="6"/>
  <c r="CE157" i="6"/>
  <c r="CF157" i="6"/>
  <c r="CG157" i="6"/>
  <c r="CH157" i="6"/>
  <c r="CI157" i="6"/>
  <c r="CJ157" i="6"/>
  <c r="CK157" i="6"/>
  <c r="CL157" i="6"/>
  <c r="CM157" i="6"/>
  <c r="CN157" i="6"/>
  <c r="CO157" i="6"/>
  <c r="CP157" i="6"/>
  <c r="CB158" i="6"/>
  <c r="CC158" i="6"/>
  <c r="CD158" i="6"/>
  <c r="CE158" i="6"/>
  <c r="CF158" i="6"/>
  <c r="CG158" i="6"/>
  <c r="CH158" i="6"/>
  <c r="CI158" i="6"/>
  <c r="CJ158" i="6"/>
  <c r="CK158" i="6"/>
  <c r="CL158" i="6"/>
  <c r="CM158" i="6"/>
  <c r="CN158" i="6"/>
  <c r="CO158" i="6"/>
  <c r="CP158" i="6"/>
  <c r="CB159" i="6"/>
  <c r="CC159" i="6"/>
  <c r="CD159" i="6"/>
  <c r="CE159" i="6"/>
  <c r="CF159" i="6"/>
  <c r="CG159" i="6"/>
  <c r="CH159" i="6"/>
  <c r="CI159" i="6"/>
  <c r="CJ159" i="6"/>
  <c r="CK159" i="6"/>
  <c r="CL159" i="6"/>
  <c r="CM159" i="6"/>
  <c r="CN159" i="6"/>
  <c r="CO159" i="6"/>
  <c r="CP159" i="6"/>
  <c r="CB160" i="6"/>
  <c r="CC160" i="6"/>
  <c r="CD160" i="6"/>
  <c r="CE160" i="6"/>
  <c r="CF160" i="6"/>
  <c r="CG160" i="6"/>
  <c r="CH160" i="6"/>
  <c r="CI160" i="6"/>
  <c r="CJ160" i="6"/>
  <c r="CK160" i="6"/>
  <c r="CL160" i="6"/>
  <c r="CM160" i="6"/>
  <c r="CN160" i="6"/>
  <c r="CO160" i="6"/>
  <c r="CP160" i="6"/>
  <c r="CB161" i="6"/>
  <c r="CC161" i="6"/>
  <c r="CD161" i="6"/>
  <c r="CE161" i="6"/>
  <c r="CF161" i="6"/>
  <c r="CG161" i="6"/>
  <c r="CH161" i="6"/>
  <c r="CI161" i="6"/>
  <c r="CJ161" i="6"/>
  <c r="CK161" i="6"/>
  <c r="CL161" i="6"/>
  <c r="CM161" i="6"/>
  <c r="CN161" i="6"/>
  <c r="CO161" i="6"/>
  <c r="CP161" i="6"/>
  <c r="CB162" i="6"/>
  <c r="CC162" i="6"/>
  <c r="CD162" i="6"/>
  <c r="CE162" i="6"/>
  <c r="CF162" i="6"/>
  <c r="CG162" i="6"/>
  <c r="CH162" i="6"/>
  <c r="CI162" i="6"/>
  <c r="CJ162" i="6"/>
  <c r="CK162" i="6"/>
  <c r="CL162" i="6"/>
  <c r="CM162" i="6"/>
  <c r="CN162" i="6"/>
  <c r="CO162" i="6"/>
  <c r="CP162" i="6"/>
  <c r="CB163" i="6"/>
  <c r="CC163" i="6"/>
  <c r="CD163" i="6"/>
  <c r="CE163" i="6"/>
  <c r="CF163" i="6"/>
  <c r="CG163" i="6"/>
  <c r="CH163" i="6"/>
  <c r="CI163" i="6"/>
  <c r="CJ163" i="6"/>
  <c r="CK163" i="6"/>
  <c r="CL163" i="6"/>
  <c r="CM163" i="6"/>
  <c r="CN163" i="6"/>
  <c r="CO163" i="6"/>
  <c r="CP163" i="6"/>
  <c r="CB164" i="6"/>
  <c r="CC164" i="6"/>
  <c r="CD164" i="6"/>
  <c r="CE164" i="6"/>
  <c r="CF164" i="6"/>
  <c r="CG164" i="6"/>
  <c r="CH164" i="6"/>
  <c r="CI164" i="6"/>
  <c r="CJ164" i="6"/>
  <c r="CK164" i="6"/>
  <c r="CL164" i="6"/>
  <c r="CM164" i="6"/>
  <c r="CN164" i="6"/>
  <c r="CO164" i="6"/>
  <c r="CP164" i="6"/>
  <c r="CB165" i="6"/>
  <c r="CC165" i="6"/>
  <c r="CD165" i="6"/>
  <c r="CE165" i="6"/>
  <c r="CF165" i="6"/>
  <c r="CG165" i="6"/>
  <c r="CH165" i="6"/>
  <c r="CI165" i="6"/>
  <c r="CJ165" i="6"/>
  <c r="CK165" i="6"/>
  <c r="CL165" i="6"/>
  <c r="CM165" i="6"/>
  <c r="CN165" i="6"/>
  <c r="CO165" i="6"/>
  <c r="CP165" i="6"/>
  <c r="CB166" i="6"/>
  <c r="CC166" i="6"/>
  <c r="CD166" i="6"/>
  <c r="CE166" i="6"/>
  <c r="CF166" i="6"/>
  <c r="CG166" i="6"/>
  <c r="CH166" i="6"/>
  <c r="CI166" i="6"/>
  <c r="CJ166" i="6"/>
  <c r="CK166" i="6"/>
  <c r="CL166" i="6"/>
  <c r="CM166" i="6"/>
  <c r="CN166" i="6"/>
  <c r="CO166" i="6"/>
  <c r="CP166" i="6"/>
  <c r="CB167" i="6"/>
  <c r="CC167" i="6"/>
  <c r="CD167" i="6"/>
  <c r="CE167" i="6"/>
  <c r="CF167" i="6"/>
  <c r="CG167" i="6"/>
  <c r="CH167" i="6"/>
  <c r="CI167" i="6"/>
  <c r="CJ167" i="6"/>
  <c r="CK167" i="6"/>
  <c r="CL167" i="6"/>
  <c r="CM167" i="6"/>
  <c r="CN167" i="6"/>
  <c r="CO167" i="6"/>
  <c r="CP167" i="6"/>
  <c r="CB168" i="6"/>
  <c r="CC168" i="6"/>
  <c r="CD168" i="6"/>
  <c r="CE168" i="6"/>
  <c r="CF168" i="6"/>
  <c r="CG168" i="6"/>
  <c r="CH168" i="6"/>
  <c r="CI168" i="6"/>
  <c r="CJ168" i="6"/>
  <c r="CK168" i="6"/>
  <c r="CL168" i="6"/>
  <c r="CM168" i="6"/>
  <c r="CN168" i="6"/>
  <c r="CO168" i="6"/>
  <c r="CP168" i="6"/>
  <c r="CB169" i="6"/>
  <c r="CC169" i="6"/>
  <c r="CD169" i="6"/>
  <c r="CE169" i="6"/>
  <c r="CF169" i="6"/>
  <c r="CG169" i="6"/>
  <c r="CH169" i="6"/>
  <c r="CI169" i="6"/>
  <c r="CJ169" i="6"/>
  <c r="CK169" i="6"/>
  <c r="CL169" i="6"/>
  <c r="CM169" i="6"/>
  <c r="CN169" i="6"/>
  <c r="CO169" i="6"/>
  <c r="CP169" i="6"/>
  <c r="CB170" i="6"/>
  <c r="CC170" i="6"/>
  <c r="CD170" i="6"/>
  <c r="CE170" i="6"/>
  <c r="CF170" i="6"/>
  <c r="CG170" i="6"/>
  <c r="CH170" i="6"/>
  <c r="CI170" i="6"/>
  <c r="CJ170" i="6"/>
  <c r="CK170" i="6"/>
  <c r="CL170" i="6"/>
  <c r="CM170" i="6"/>
  <c r="CN170" i="6"/>
  <c r="CO170" i="6"/>
  <c r="CP170" i="6"/>
  <c r="CB171" i="6"/>
  <c r="CC171" i="6"/>
  <c r="CD171" i="6"/>
  <c r="CE171" i="6"/>
  <c r="CF171" i="6"/>
  <c r="CG171" i="6"/>
  <c r="CH171" i="6"/>
  <c r="CI171" i="6"/>
  <c r="CJ171" i="6"/>
  <c r="CK171" i="6"/>
  <c r="CL171" i="6"/>
  <c r="CM171" i="6"/>
  <c r="CN171" i="6"/>
  <c r="CO171" i="6"/>
  <c r="CP171" i="6"/>
  <c r="CB172" i="6"/>
  <c r="CC172" i="6"/>
  <c r="CD172" i="6"/>
  <c r="CE172" i="6"/>
  <c r="CF172" i="6"/>
  <c r="CG172" i="6"/>
  <c r="CH172" i="6"/>
  <c r="CI172" i="6"/>
  <c r="CJ172" i="6"/>
  <c r="CK172" i="6"/>
  <c r="CL172" i="6"/>
  <c r="CM172" i="6"/>
  <c r="CN172" i="6"/>
  <c r="CO172" i="6"/>
  <c r="CP172" i="6"/>
  <c r="CB173" i="6"/>
  <c r="CC173" i="6"/>
  <c r="CD173" i="6"/>
  <c r="CE173" i="6"/>
  <c r="CF173" i="6"/>
  <c r="CG173" i="6"/>
  <c r="CH173" i="6"/>
  <c r="CI173" i="6"/>
  <c r="CJ173" i="6"/>
  <c r="CK173" i="6"/>
  <c r="CL173" i="6"/>
  <c r="CM173" i="6"/>
  <c r="CN173" i="6"/>
  <c r="CO173" i="6"/>
  <c r="CP173" i="6"/>
  <c r="CB174" i="6"/>
  <c r="CC174" i="6"/>
  <c r="CD174" i="6"/>
  <c r="CE174" i="6"/>
  <c r="CF174" i="6"/>
  <c r="CG174" i="6"/>
  <c r="CH174" i="6"/>
  <c r="CI174" i="6"/>
  <c r="CJ174" i="6"/>
  <c r="CK174" i="6"/>
  <c r="CL174" i="6"/>
  <c r="CM174" i="6"/>
  <c r="CN174" i="6"/>
  <c r="CO174" i="6"/>
  <c r="CP174" i="6"/>
  <c r="CB175" i="6"/>
  <c r="CC175" i="6"/>
  <c r="CD175" i="6"/>
  <c r="CE175" i="6"/>
  <c r="CF175" i="6"/>
  <c r="CG175" i="6"/>
  <c r="CH175" i="6"/>
  <c r="CI175" i="6"/>
  <c r="CJ175" i="6"/>
  <c r="CK175" i="6"/>
  <c r="CL175" i="6"/>
  <c r="CM175" i="6"/>
  <c r="CN175" i="6"/>
  <c r="CO175" i="6"/>
  <c r="CP175" i="6"/>
  <c r="CB176" i="6"/>
  <c r="CC176" i="6"/>
  <c r="CD176" i="6"/>
  <c r="CE176" i="6"/>
  <c r="CF176" i="6"/>
  <c r="CG176" i="6"/>
  <c r="CH176" i="6"/>
  <c r="CI176" i="6"/>
  <c r="CJ176" i="6"/>
  <c r="CK176" i="6"/>
  <c r="CL176" i="6"/>
  <c r="CM176" i="6"/>
  <c r="CN176" i="6"/>
  <c r="CO176" i="6"/>
  <c r="CP176" i="6"/>
  <c r="CB177" i="6"/>
  <c r="CC177" i="6"/>
  <c r="CD177" i="6"/>
  <c r="CE177" i="6"/>
  <c r="CF177" i="6"/>
  <c r="CG177" i="6"/>
  <c r="CH177" i="6"/>
  <c r="CI177" i="6"/>
  <c r="CJ177" i="6"/>
  <c r="CK177" i="6"/>
  <c r="CL177" i="6"/>
  <c r="CM177" i="6"/>
  <c r="CN177" i="6"/>
  <c r="CO177" i="6"/>
  <c r="CP177" i="6"/>
  <c r="CB178" i="6"/>
  <c r="CC178" i="6"/>
  <c r="CD178" i="6"/>
  <c r="CE178" i="6"/>
  <c r="CF178" i="6"/>
  <c r="CG178" i="6"/>
  <c r="CH178" i="6"/>
  <c r="CI178" i="6"/>
  <c r="CJ178" i="6"/>
  <c r="CK178" i="6"/>
  <c r="CL178" i="6"/>
  <c r="CM178" i="6"/>
  <c r="CN178" i="6"/>
  <c r="CO178" i="6"/>
  <c r="CP178" i="6"/>
  <c r="CB179" i="6"/>
  <c r="CC179" i="6"/>
  <c r="CD179" i="6"/>
  <c r="CE179" i="6"/>
  <c r="CF179" i="6"/>
  <c r="CG179" i="6"/>
  <c r="CH179" i="6"/>
  <c r="CI179" i="6"/>
  <c r="CJ179" i="6"/>
  <c r="CK179" i="6"/>
  <c r="CL179" i="6"/>
  <c r="CM179" i="6"/>
  <c r="CN179" i="6"/>
  <c r="CO179" i="6"/>
  <c r="CP179" i="6"/>
  <c r="CB180" i="6"/>
  <c r="CC180" i="6"/>
  <c r="CD180" i="6"/>
  <c r="CE180" i="6"/>
  <c r="CF180" i="6"/>
  <c r="CG180" i="6"/>
  <c r="CH180" i="6"/>
  <c r="CI180" i="6"/>
  <c r="CJ180" i="6"/>
  <c r="CK180" i="6"/>
  <c r="CL180" i="6"/>
  <c r="CM180" i="6"/>
  <c r="CN180" i="6"/>
  <c r="CO180" i="6"/>
  <c r="CP180" i="6"/>
  <c r="CB181" i="6"/>
  <c r="CC181" i="6"/>
  <c r="CD181" i="6"/>
  <c r="CE181" i="6"/>
  <c r="CF181" i="6"/>
  <c r="CG181" i="6"/>
  <c r="CH181" i="6"/>
  <c r="CI181" i="6"/>
  <c r="CJ181" i="6"/>
  <c r="CK181" i="6"/>
  <c r="CL181" i="6"/>
  <c r="CM181" i="6"/>
  <c r="CN181" i="6"/>
  <c r="CO181" i="6"/>
  <c r="CP181" i="6"/>
  <c r="CB182" i="6"/>
  <c r="CC182" i="6"/>
  <c r="CD182" i="6"/>
  <c r="CE182" i="6"/>
  <c r="CF182" i="6"/>
  <c r="CG182" i="6"/>
  <c r="CH182" i="6"/>
  <c r="CI182" i="6"/>
  <c r="CJ182" i="6"/>
  <c r="CK182" i="6"/>
  <c r="CL182" i="6"/>
  <c r="CM182" i="6"/>
  <c r="CN182" i="6"/>
  <c r="CO182" i="6"/>
  <c r="CP182" i="6"/>
  <c r="CB183" i="6"/>
  <c r="CC183" i="6"/>
  <c r="CD183" i="6"/>
  <c r="CE183" i="6"/>
  <c r="CF183" i="6"/>
  <c r="CG183" i="6"/>
  <c r="CH183" i="6"/>
  <c r="CI183" i="6"/>
  <c r="CJ183" i="6"/>
  <c r="CK183" i="6"/>
  <c r="CL183" i="6"/>
  <c r="CM183" i="6"/>
  <c r="CN183" i="6"/>
  <c r="CO183" i="6"/>
  <c r="CP183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B4" i="6"/>
  <c r="BM5" i="6"/>
  <c r="BN5" i="6"/>
  <c r="BO5" i="6"/>
  <c r="BP5" i="6"/>
  <c r="BQ5" i="6"/>
  <c r="BR5" i="6"/>
  <c r="BS5" i="6"/>
  <c r="BT5" i="6"/>
  <c r="BU5" i="6"/>
  <c r="BV5" i="6"/>
  <c r="BW5" i="6"/>
  <c r="BX5" i="6"/>
  <c r="BY5" i="6"/>
  <c r="BZ5" i="6"/>
  <c r="CA5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BM11" i="6"/>
  <c r="BN11" i="6"/>
  <c r="BO11" i="6"/>
  <c r="BP11" i="6"/>
  <c r="BQ11" i="6"/>
  <c r="BR11" i="6"/>
  <c r="BS11" i="6"/>
  <c r="BT11" i="6"/>
  <c r="BU11" i="6"/>
  <c r="BV11" i="6"/>
  <c r="BW11" i="6"/>
  <c r="BX11" i="6"/>
  <c r="BY11" i="6"/>
  <c r="BZ11" i="6"/>
  <c r="CA11" i="6"/>
  <c r="BM12" i="6"/>
  <c r="BN12" i="6"/>
  <c r="BO12" i="6"/>
  <c r="BP12" i="6"/>
  <c r="BQ12" i="6"/>
  <c r="BR12" i="6"/>
  <c r="BS12" i="6"/>
  <c r="BT12" i="6"/>
  <c r="BU12" i="6"/>
  <c r="BV12" i="6"/>
  <c r="BW12" i="6"/>
  <c r="BX12" i="6"/>
  <c r="BY12" i="6"/>
  <c r="BZ12" i="6"/>
  <c r="CA12" i="6"/>
  <c r="BM13" i="6"/>
  <c r="BN13" i="6"/>
  <c r="BO13" i="6"/>
  <c r="BP13" i="6"/>
  <c r="BQ13" i="6"/>
  <c r="BR13" i="6"/>
  <c r="BS13" i="6"/>
  <c r="BT13" i="6"/>
  <c r="BU13" i="6"/>
  <c r="BV13" i="6"/>
  <c r="BW13" i="6"/>
  <c r="BX13" i="6"/>
  <c r="BY13" i="6"/>
  <c r="BZ13" i="6"/>
  <c r="CA13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BM16" i="6"/>
  <c r="BN16" i="6"/>
  <c r="BO16" i="6"/>
  <c r="BP16" i="6"/>
  <c r="BQ16" i="6"/>
  <c r="BR16" i="6"/>
  <c r="BS16" i="6"/>
  <c r="BT16" i="6"/>
  <c r="BU16" i="6"/>
  <c r="BV16" i="6"/>
  <c r="BW16" i="6"/>
  <c r="BX16" i="6"/>
  <c r="BY16" i="6"/>
  <c r="BZ16" i="6"/>
  <c r="CA16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CA24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BM26" i="6"/>
  <c r="BN26" i="6"/>
  <c r="BO26" i="6"/>
  <c r="BP26" i="6"/>
  <c r="BQ26" i="6"/>
  <c r="BR26" i="6"/>
  <c r="BS26" i="6"/>
  <c r="BT26" i="6"/>
  <c r="BU26" i="6"/>
  <c r="BV26" i="6"/>
  <c r="BW26" i="6"/>
  <c r="BX26" i="6"/>
  <c r="BY26" i="6"/>
  <c r="BZ26" i="6"/>
  <c r="CA26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BM58" i="6"/>
  <c r="BN58" i="6"/>
  <c r="BO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BM65" i="6"/>
  <c r="BN65" i="6"/>
  <c r="BO65" i="6"/>
  <c r="BP65" i="6"/>
  <c r="BQ65" i="6"/>
  <c r="BR65" i="6"/>
  <c r="BS65" i="6"/>
  <c r="BT65" i="6"/>
  <c r="BU65" i="6"/>
  <c r="BV65" i="6"/>
  <c r="BW65" i="6"/>
  <c r="BX65" i="6"/>
  <c r="BY65" i="6"/>
  <c r="BZ65" i="6"/>
  <c r="CA65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BM68" i="6"/>
  <c r="BN68" i="6"/>
  <c r="BO68" i="6"/>
  <c r="BP68" i="6"/>
  <c r="BQ68" i="6"/>
  <c r="BR68" i="6"/>
  <c r="BS68" i="6"/>
  <c r="BT68" i="6"/>
  <c r="BU68" i="6"/>
  <c r="BV68" i="6"/>
  <c r="BW68" i="6"/>
  <c r="BX68" i="6"/>
  <c r="BY68" i="6"/>
  <c r="BZ68" i="6"/>
  <c r="CA68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BM72" i="6"/>
  <c r="BN72" i="6"/>
  <c r="BO72" i="6"/>
  <c r="BP72" i="6"/>
  <c r="BQ72" i="6"/>
  <c r="BR72" i="6"/>
  <c r="BS72" i="6"/>
  <c r="BT72" i="6"/>
  <c r="BU72" i="6"/>
  <c r="BV72" i="6"/>
  <c r="BW72" i="6"/>
  <c r="BX72" i="6"/>
  <c r="BY72" i="6"/>
  <c r="BZ72" i="6"/>
  <c r="CA72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BM78" i="6"/>
  <c r="BN78" i="6"/>
  <c r="BO78" i="6"/>
  <c r="BP78" i="6"/>
  <c r="BQ78" i="6"/>
  <c r="BR78" i="6"/>
  <c r="BS78" i="6"/>
  <c r="BT78" i="6"/>
  <c r="BU78" i="6"/>
  <c r="BV78" i="6"/>
  <c r="BW78" i="6"/>
  <c r="BX78" i="6"/>
  <c r="BY78" i="6"/>
  <c r="BZ78" i="6"/>
  <c r="CA78" i="6"/>
  <c r="BM79" i="6"/>
  <c r="BN79" i="6"/>
  <c r="BO79" i="6"/>
  <c r="BP79" i="6"/>
  <c r="BQ79" i="6"/>
  <c r="BR79" i="6"/>
  <c r="BS79" i="6"/>
  <c r="BT79" i="6"/>
  <c r="BU79" i="6"/>
  <c r="BV79" i="6"/>
  <c r="BW79" i="6"/>
  <c r="BX79" i="6"/>
  <c r="BY79" i="6"/>
  <c r="BZ79" i="6"/>
  <c r="CA79" i="6"/>
  <c r="BM80" i="6"/>
  <c r="BN80" i="6"/>
  <c r="BO80" i="6"/>
  <c r="BP80" i="6"/>
  <c r="BQ80" i="6"/>
  <c r="BR80" i="6"/>
  <c r="BS80" i="6"/>
  <c r="BT80" i="6"/>
  <c r="BU80" i="6"/>
  <c r="BV80" i="6"/>
  <c r="BW80" i="6"/>
  <c r="BX80" i="6"/>
  <c r="BY80" i="6"/>
  <c r="BZ80" i="6"/>
  <c r="CA80" i="6"/>
  <c r="BM81" i="6"/>
  <c r="BN81" i="6"/>
  <c r="BO81" i="6"/>
  <c r="BP81" i="6"/>
  <c r="BQ81" i="6"/>
  <c r="BR81" i="6"/>
  <c r="BS81" i="6"/>
  <c r="BT81" i="6"/>
  <c r="BU81" i="6"/>
  <c r="BV81" i="6"/>
  <c r="BW81" i="6"/>
  <c r="BX81" i="6"/>
  <c r="BY81" i="6"/>
  <c r="BZ81" i="6"/>
  <c r="CA81" i="6"/>
  <c r="BM82" i="6"/>
  <c r="BN82" i="6"/>
  <c r="BO82" i="6"/>
  <c r="BP82" i="6"/>
  <c r="BQ82" i="6"/>
  <c r="BR82" i="6"/>
  <c r="BS82" i="6"/>
  <c r="BT82" i="6"/>
  <c r="BU82" i="6"/>
  <c r="BV82" i="6"/>
  <c r="BW82" i="6"/>
  <c r="BX82" i="6"/>
  <c r="BY82" i="6"/>
  <c r="BZ82" i="6"/>
  <c r="CA82" i="6"/>
  <c r="BM83" i="6"/>
  <c r="BN83" i="6"/>
  <c r="BO83" i="6"/>
  <c r="BP83" i="6"/>
  <c r="BQ83" i="6"/>
  <c r="BR83" i="6"/>
  <c r="BS83" i="6"/>
  <c r="BT83" i="6"/>
  <c r="BU83" i="6"/>
  <c r="BV83" i="6"/>
  <c r="BW83" i="6"/>
  <c r="BX83" i="6"/>
  <c r="BY83" i="6"/>
  <c r="BZ83" i="6"/>
  <c r="CA83" i="6"/>
  <c r="BM84" i="6"/>
  <c r="BN84" i="6"/>
  <c r="BO84" i="6"/>
  <c r="BP84" i="6"/>
  <c r="BQ84" i="6"/>
  <c r="BR84" i="6"/>
  <c r="BS84" i="6"/>
  <c r="BT84" i="6"/>
  <c r="BU84" i="6"/>
  <c r="BV84" i="6"/>
  <c r="BW84" i="6"/>
  <c r="BX84" i="6"/>
  <c r="BY84" i="6"/>
  <c r="BZ84" i="6"/>
  <c r="CA84" i="6"/>
  <c r="BM85" i="6"/>
  <c r="BN85" i="6"/>
  <c r="BO85" i="6"/>
  <c r="BP85" i="6"/>
  <c r="BQ85" i="6"/>
  <c r="BR85" i="6"/>
  <c r="BS85" i="6"/>
  <c r="BT85" i="6"/>
  <c r="BU85" i="6"/>
  <c r="BV85" i="6"/>
  <c r="BW85" i="6"/>
  <c r="BX85" i="6"/>
  <c r="BY85" i="6"/>
  <c r="BZ85" i="6"/>
  <c r="CA85" i="6"/>
  <c r="BM86" i="6"/>
  <c r="BN86" i="6"/>
  <c r="BO86" i="6"/>
  <c r="BP86" i="6"/>
  <c r="BQ86" i="6"/>
  <c r="BR86" i="6"/>
  <c r="BS86" i="6"/>
  <c r="BT86" i="6"/>
  <c r="BU86" i="6"/>
  <c r="BV86" i="6"/>
  <c r="BW86" i="6"/>
  <c r="BX86" i="6"/>
  <c r="BY86" i="6"/>
  <c r="BZ86" i="6"/>
  <c r="CA86" i="6"/>
  <c r="BM87" i="6"/>
  <c r="BN87" i="6"/>
  <c r="BO87" i="6"/>
  <c r="BP87" i="6"/>
  <c r="BQ87" i="6"/>
  <c r="BR87" i="6"/>
  <c r="BS87" i="6"/>
  <c r="BT87" i="6"/>
  <c r="BU87" i="6"/>
  <c r="BV87" i="6"/>
  <c r="BW87" i="6"/>
  <c r="BX87" i="6"/>
  <c r="BY87" i="6"/>
  <c r="BZ87" i="6"/>
  <c r="CA87" i="6"/>
  <c r="BM88" i="6"/>
  <c r="BN88" i="6"/>
  <c r="BO88" i="6"/>
  <c r="BP88" i="6"/>
  <c r="BQ88" i="6"/>
  <c r="BR88" i="6"/>
  <c r="BS88" i="6"/>
  <c r="BT88" i="6"/>
  <c r="BU88" i="6"/>
  <c r="BV88" i="6"/>
  <c r="BW88" i="6"/>
  <c r="BX88" i="6"/>
  <c r="BY88" i="6"/>
  <c r="BZ88" i="6"/>
  <c r="CA88" i="6"/>
  <c r="BM89" i="6"/>
  <c r="BN89" i="6"/>
  <c r="BO89" i="6"/>
  <c r="BP89" i="6"/>
  <c r="BQ89" i="6"/>
  <c r="BR89" i="6"/>
  <c r="BS89" i="6"/>
  <c r="BT89" i="6"/>
  <c r="BU89" i="6"/>
  <c r="BV89" i="6"/>
  <c r="BW89" i="6"/>
  <c r="BX89" i="6"/>
  <c r="BY89" i="6"/>
  <c r="BZ89" i="6"/>
  <c r="CA89" i="6"/>
  <c r="BM90" i="6"/>
  <c r="BN90" i="6"/>
  <c r="BO90" i="6"/>
  <c r="BP90" i="6"/>
  <c r="BQ90" i="6"/>
  <c r="BR90" i="6"/>
  <c r="BS90" i="6"/>
  <c r="BT90" i="6"/>
  <c r="BU90" i="6"/>
  <c r="BV90" i="6"/>
  <c r="BW90" i="6"/>
  <c r="BX90" i="6"/>
  <c r="BY90" i="6"/>
  <c r="BZ90" i="6"/>
  <c r="CA90" i="6"/>
  <c r="BM91" i="6"/>
  <c r="BN91" i="6"/>
  <c r="BO91" i="6"/>
  <c r="BP91" i="6"/>
  <c r="BQ91" i="6"/>
  <c r="BR91" i="6"/>
  <c r="BS91" i="6"/>
  <c r="BT91" i="6"/>
  <c r="BU91" i="6"/>
  <c r="BV91" i="6"/>
  <c r="BW91" i="6"/>
  <c r="BX91" i="6"/>
  <c r="BY91" i="6"/>
  <c r="BZ91" i="6"/>
  <c r="CA91" i="6"/>
  <c r="BM92" i="6"/>
  <c r="BN92" i="6"/>
  <c r="BO92" i="6"/>
  <c r="BP92" i="6"/>
  <c r="BQ92" i="6"/>
  <c r="BR92" i="6"/>
  <c r="BS92" i="6"/>
  <c r="BT92" i="6"/>
  <c r="BU92" i="6"/>
  <c r="BV92" i="6"/>
  <c r="BW92" i="6"/>
  <c r="BX92" i="6"/>
  <c r="BY92" i="6"/>
  <c r="BZ92" i="6"/>
  <c r="CA92" i="6"/>
  <c r="BM93" i="6"/>
  <c r="BN93" i="6"/>
  <c r="BO93" i="6"/>
  <c r="BP93" i="6"/>
  <c r="BQ93" i="6"/>
  <c r="BR93" i="6"/>
  <c r="BS93" i="6"/>
  <c r="BT93" i="6"/>
  <c r="BU93" i="6"/>
  <c r="BV93" i="6"/>
  <c r="BW93" i="6"/>
  <c r="BX93" i="6"/>
  <c r="BY93" i="6"/>
  <c r="BZ93" i="6"/>
  <c r="CA93" i="6"/>
  <c r="BM94" i="6"/>
  <c r="BN94" i="6"/>
  <c r="BO94" i="6"/>
  <c r="BP94" i="6"/>
  <c r="BQ94" i="6"/>
  <c r="BR94" i="6"/>
  <c r="BS94" i="6"/>
  <c r="BT94" i="6"/>
  <c r="BU94" i="6"/>
  <c r="BV94" i="6"/>
  <c r="BW94" i="6"/>
  <c r="BX94" i="6"/>
  <c r="BY94" i="6"/>
  <c r="BZ94" i="6"/>
  <c r="CA94" i="6"/>
  <c r="BM95" i="6"/>
  <c r="BN95" i="6"/>
  <c r="BO95" i="6"/>
  <c r="BP95" i="6"/>
  <c r="BQ95" i="6"/>
  <c r="BR95" i="6"/>
  <c r="BS95" i="6"/>
  <c r="BT95" i="6"/>
  <c r="BU95" i="6"/>
  <c r="BV95" i="6"/>
  <c r="BW95" i="6"/>
  <c r="BX95" i="6"/>
  <c r="BY95" i="6"/>
  <c r="BZ95" i="6"/>
  <c r="CA95" i="6"/>
  <c r="BM96" i="6"/>
  <c r="BN96" i="6"/>
  <c r="BO96" i="6"/>
  <c r="BP96" i="6"/>
  <c r="BQ96" i="6"/>
  <c r="BR96" i="6"/>
  <c r="BS96" i="6"/>
  <c r="BT96" i="6"/>
  <c r="BU96" i="6"/>
  <c r="BV96" i="6"/>
  <c r="BW96" i="6"/>
  <c r="BX96" i="6"/>
  <c r="BY96" i="6"/>
  <c r="BZ96" i="6"/>
  <c r="CA96" i="6"/>
  <c r="BM97" i="6"/>
  <c r="BN97" i="6"/>
  <c r="BO97" i="6"/>
  <c r="BP97" i="6"/>
  <c r="BQ97" i="6"/>
  <c r="BR97" i="6"/>
  <c r="BS97" i="6"/>
  <c r="BT97" i="6"/>
  <c r="BU97" i="6"/>
  <c r="BV97" i="6"/>
  <c r="BW97" i="6"/>
  <c r="BX97" i="6"/>
  <c r="BY97" i="6"/>
  <c r="BZ97" i="6"/>
  <c r="CA97" i="6"/>
  <c r="BM98" i="6"/>
  <c r="BN98" i="6"/>
  <c r="BO98" i="6"/>
  <c r="BP98" i="6"/>
  <c r="BQ98" i="6"/>
  <c r="BR98" i="6"/>
  <c r="BS98" i="6"/>
  <c r="BT98" i="6"/>
  <c r="BU98" i="6"/>
  <c r="BV98" i="6"/>
  <c r="BW98" i="6"/>
  <c r="BX98" i="6"/>
  <c r="BY98" i="6"/>
  <c r="BZ98" i="6"/>
  <c r="CA98" i="6"/>
  <c r="BM99" i="6"/>
  <c r="BN99" i="6"/>
  <c r="BO99" i="6"/>
  <c r="BP99" i="6"/>
  <c r="BQ99" i="6"/>
  <c r="BR99" i="6"/>
  <c r="BS99" i="6"/>
  <c r="BT99" i="6"/>
  <c r="BU99" i="6"/>
  <c r="BV99" i="6"/>
  <c r="BW99" i="6"/>
  <c r="BX99" i="6"/>
  <c r="BY99" i="6"/>
  <c r="BZ99" i="6"/>
  <c r="CA99" i="6"/>
  <c r="BM100" i="6"/>
  <c r="BN100" i="6"/>
  <c r="BO100" i="6"/>
  <c r="BP100" i="6"/>
  <c r="BQ100" i="6"/>
  <c r="BR100" i="6"/>
  <c r="BS100" i="6"/>
  <c r="BT100" i="6"/>
  <c r="BU100" i="6"/>
  <c r="BV100" i="6"/>
  <c r="BW100" i="6"/>
  <c r="BX100" i="6"/>
  <c r="BY100" i="6"/>
  <c r="BZ100" i="6"/>
  <c r="CA100" i="6"/>
  <c r="BM101" i="6"/>
  <c r="BN101" i="6"/>
  <c r="BO101" i="6"/>
  <c r="BP101" i="6"/>
  <c r="BQ101" i="6"/>
  <c r="BR101" i="6"/>
  <c r="BS101" i="6"/>
  <c r="BT101" i="6"/>
  <c r="BU101" i="6"/>
  <c r="BV101" i="6"/>
  <c r="BW101" i="6"/>
  <c r="BX101" i="6"/>
  <c r="BY101" i="6"/>
  <c r="BZ101" i="6"/>
  <c r="CA101" i="6"/>
  <c r="BM102" i="6"/>
  <c r="BN102" i="6"/>
  <c r="BO102" i="6"/>
  <c r="BP102" i="6"/>
  <c r="BQ102" i="6"/>
  <c r="BR102" i="6"/>
  <c r="BS102" i="6"/>
  <c r="BT102" i="6"/>
  <c r="BU102" i="6"/>
  <c r="BV102" i="6"/>
  <c r="BW102" i="6"/>
  <c r="BX102" i="6"/>
  <c r="BY102" i="6"/>
  <c r="BZ102" i="6"/>
  <c r="CA102" i="6"/>
  <c r="BM103" i="6"/>
  <c r="BN103" i="6"/>
  <c r="BO103" i="6"/>
  <c r="BP103" i="6"/>
  <c r="BQ103" i="6"/>
  <c r="BR103" i="6"/>
  <c r="BS103" i="6"/>
  <c r="BT103" i="6"/>
  <c r="BU103" i="6"/>
  <c r="BV103" i="6"/>
  <c r="BW103" i="6"/>
  <c r="BX103" i="6"/>
  <c r="BY103" i="6"/>
  <c r="BZ103" i="6"/>
  <c r="CA103" i="6"/>
  <c r="BM104" i="6"/>
  <c r="BN104" i="6"/>
  <c r="BO104" i="6"/>
  <c r="BP104" i="6"/>
  <c r="BQ104" i="6"/>
  <c r="BR104" i="6"/>
  <c r="BS104" i="6"/>
  <c r="BT104" i="6"/>
  <c r="BU104" i="6"/>
  <c r="BV104" i="6"/>
  <c r="BW104" i="6"/>
  <c r="BX104" i="6"/>
  <c r="BY104" i="6"/>
  <c r="BZ104" i="6"/>
  <c r="CA104" i="6"/>
  <c r="BM105" i="6"/>
  <c r="BN105" i="6"/>
  <c r="BO105" i="6"/>
  <c r="BP105" i="6"/>
  <c r="BQ105" i="6"/>
  <c r="BR105" i="6"/>
  <c r="BS105" i="6"/>
  <c r="BT105" i="6"/>
  <c r="BU105" i="6"/>
  <c r="BV105" i="6"/>
  <c r="BW105" i="6"/>
  <c r="BX105" i="6"/>
  <c r="BY105" i="6"/>
  <c r="BZ105" i="6"/>
  <c r="CA105" i="6"/>
  <c r="BM106" i="6"/>
  <c r="BN106" i="6"/>
  <c r="BO106" i="6"/>
  <c r="BP106" i="6"/>
  <c r="BQ106" i="6"/>
  <c r="BR106" i="6"/>
  <c r="BS106" i="6"/>
  <c r="BT106" i="6"/>
  <c r="BU106" i="6"/>
  <c r="BV106" i="6"/>
  <c r="BW106" i="6"/>
  <c r="BX106" i="6"/>
  <c r="BY106" i="6"/>
  <c r="BZ106" i="6"/>
  <c r="CA106" i="6"/>
  <c r="BM107" i="6"/>
  <c r="BN107" i="6"/>
  <c r="BO107" i="6"/>
  <c r="BP107" i="6"/>
  <c r="BQ107" i="6"/>
  <c r="BR107" i="6"/>
  <c r="BS107" i="6"/>
  <c r="BT107" i="6"/>
  <c r="BU107" i="6"/>
  <c r="BV107" i="6"/>
  <c r="BW107" i="6"/>
  <c r="BX107" i="6"/>
  <c r="BY107" i="6"/>
  <c r="BZ107" i="6"/>
  <c r="CA107" i="6"/>
  <c r="BM108" i="6"/>
  <c r="BN108" i="6"/>
  <c r="BO108" i="6"/>
  <c r="BP108" i="6"/>
  <c r="BQ108" i="6"/>
  <c r="BR108" i="6"/>
  <c r="BS108" i="6"/>
  <c r="BT108" i="6"/>
  <c r="BU108" i="6"/>
  <c r="BV108" i="6"/>
  <c r="BW108" i="6"/>
  <c r="BX108" i="6"/>
  <c r="BY108" i="6"/>
  <c r="BZ108" i="6"/>
  <c r="CA108" i="6"/>
  <c r="BM109" i="6"/>
  <c r="BN109" i="6"/>
  <c r="BO109" i="6"/>
  <c r="BP109" i="6"/>
  <c r="BQ109" i="6"/>
  <c r="BR109" i="6"/>
  <c r="BS109" i="6"/>
  <c r="BT109" i="6"/>
  <c r="BU109" i="6"/>
  <c r="BV109" i="6"/>
  <c r="BW109" i="6"/>
  <c r="BX109" i="6"/>
  <c r="BY109" i="6"/>
  <c r="BZ109" i="6"/>
  <c r="CA109" i="6"/>
  <c r="BM110" i="6"/>
  <c r="BN110" i="6"/>
  <c r="BO110" i="6"/>
  <c r="BP110" i="6"/>
  <c r="BQ110" i="6"/>
  <c r="BR110" i="6"/>
  <c r="BS110" i="6"/>
  <c r="BT110" i="6"/>
  <c r="BU110" i="6"/>
  <c r="BV110" i="6"/>
  <c r="BW110" i="6"/>
  <c r="BX110" i="6"/>
  <c r="BY110" i="6"/>
  <c r="BZ110" i="6"/>
  <c r="CA110" i="6"/>
  <c r="BM111" i="6"/>
  <c r="BN111" i="6"/>
  <c r="BO111" i="6"/>
  <c r="BP111" i="6"/>
  <c r="BQ111" i="6"/>
  <c r="BR111" i="6"/>
  <c r="BS111" i="6"/>
  <c r="BT111" i="6"/>
  <c r="BU111" i="6"/>
  <c r="BV111" i="6"/>
  <c r="BW111" i="6"/>
  <c r="BX111" i="6"/>
  <c r="BY111" i="6"/>
  <c r="BZ111" i="6"/>
  <c r="CA111" i="6"/>
  <c r="BM112" i="6"/>
  <c r="BN112" i="6"/>
  <c r="BO112" i="6"/>
  <c r="BP112" i="6"/>
  <c r="BQ112" i="6"/>
  <c r="BR112" i="6"/>
  <c r="BS112" i="6"/>
  <c r="BT112" i="6"/>
  <c r="BU112" i="6"/>
  <c r="BV112" i="6"/>
  <c r="BW112" i="6"/>
  <c r="BX112" i="6"/>
  <c r="BY112" i="6"/>
  <c r="BZ112" i="6"/>
  <c r="CA112" i="6"/>
  <c r="BM113" i="6"/>
  <c r="BN113" i="6"/>
  <c r="BO113" i="6"/>
  <c r="BP113" i="6"/>
  <c r="BQ113" i="6"/>
  <c r="BR113" i="6"/>
  <c r="BS113" i="6"/>
  <c r="BT113" i="6"/>
  <c r="BU113" i="6"/>
  <c r="BV113" i="6"/>
  <c r="BW113" i="6"/>
  <c r="BX113" i="6"/>
  <c r="BY113" i="6"/>
  <c r="BZ113" i="6"/>
  <c r="CA113" i="6"/>
  <c r="BM114" i="6"/>
  <c r="BN114" i="6"/>
  <c r="BO114" i="6"/>
  <c r="BP114" i="6"/>
  <c r="BQ114" i="6"/>
  <c r="BR114" i="6"/>
  <c r="BS114" i="6"/>
  <c r="BT114" i="6"/>
  <c r="BU114" i="6"/>
  <c r="BV114" i="6"/>
  <c r="BW114" i="6"/>
  <c r="BX114" i="6"/>
  <c r="BY114" i="6"/>
  <c r="BZ114" i="6"/>
  <c r="CA114" i="6"/>
  <c r="BM115" i="6"/>
  <c r="BN115" i="6"/>
  <c r="BO115" i="6"/>
  <c r="BP115" i="6"/>
  <c r="BQ115" i="6"/>
  <c r="BR115" i="6"/>
  <c r="BS115" i="6"/>
  <c r="BT115" i="6"/>
  <c r="BU115" i="6"/>
  <c r="BV115" i="6"/>
  <c r="BW115" i="6"/>
  <c r="BX115" i="6"/>
  <c r="BY115" i="6"/>
  <c r="BZ115" i="6"/>
  <c r="CA115" i="6"/>
  <c r="BM116" i="6"/>
  <c r="BN116" i="6"/>
  <c r="BO116" i="6"/>
  <c r="BP116" i="6"/>
  <c r="BQ116" i="6"/>
  <c r="BR116" i="6"/>
  <c r="BS116" i="6"/>
  <c r="BT116" i="6"/>
  <c r="BU116" i="6"/>
  <c r="BV116" i="6"/>
  <c r="BW116" i="6"/>
  <c r="BX116" i="6"/>
  <c r="BY116" i="6"/>
  <c r="BZ116" i="6"/>
  <c r="CA116" i="6"/>
  <c r="BM117" i="6"/>
  <c r="BN117" i="6"/>
  <c r="BO117" i="6"/>
  <c r="BP117" i="6"/>
  <c r="BQ117" i="6"/>
  <c r="BR117" i="6"/>
  <c r="BS117" i="6"/>
  <c r="BT117" i="6"/>
  <c r="BU117" i="6"/>
  <c r="BV117" i="6"/>
  <c r="BW117" i="6"/>
  <c r="BX117" i="6"/>
  <c r="BY117" i="6"/>
  <c r="BZ117" i="6"/>
  <c r="CA117" i="6"/>
  <c r="BM118" i="6"/>
  <c r="BN118" i="6"/>
  <c r="BO118" i="6"/>
  <c r="BP118" i="6"/>
  <c r="BQ118" i="6"/>
  <c r="BR118" i="6"/>
  <c r="BS118" i="6"/>
  <c r="BT118" i="6"/>
  <c r="BU118" i="6"/>
  <c r="BV118" i="6"/>
  <c r="BW118" i="6"/>
  <c r="BX118" i="6"/>
  <c r="BY118" i="6"/>
  <c r="BZ118" i="6"/>
  <c r="CA118" i="6"/>
  <c r="BM119" i="6"/>
  <c r="BN119" i="6"/>
  <c r="BO119" i="6"/>
  <c r="BP119" i="6"/>
  <c r="BQ119" i="6"/>
  <c r="BR119" i="6"/>
  <c r="BS119" i="6"/>
  <c r="BT119" i="6"/>
  <c r="BU119" i="6"/>
  <c r="BV119" i="6"/>
  <c r="BW119" i="6"/>
  <c r="BX119" i="6"/>
  <c r="BY119" i="6"/>
  <c r="BZ119" i="6"/>
  <c r="CA119" i="6"/>
  <c r="BM120" i="6"/>
  <c r="BN120" i="6"/>
  <c r="BO120" i="6"/>
  <c r="BP120" i="6"/>
  <c r="BQ120" i="6"/>
  <c r="BR120" i="6"/>
  <c r="BS120" i="6"/>
  <c r="BT120" i="6"/>
  <c r="BU120" i="6"/>
  <c r="BV120" i="6"/>
  <c r="BW120" i="6"/>
  <c r="BX120" i="6"/>
  <c r="BY120" i="6"/>
  <c r="BZ120" i="6"/>
  <c r="CA120" i="6"/>
  <c r="BM121" i="6"/>
  <c r="BN121" i="6"/>
  <c r="BO121" i="6"/>
  <c r="BP121" i="6"/>
  <c r="BQ121" i="6"/>
  <c r="BR121" i="6"/>
  <c r="BS121" i="6"/>
  <c r="BT121" i="6"/>
  <c r="BU121" i="6"/>
  <c r="BV121" i="6"/>
  <c r="BW121" i="6"/>
  <c r="BX121" i="6"/>
  <c r="BY121" i="6"/>
  <c r="BZ121" i="6"/>
  <c r="CA121" i="6"/>
  <c r="BM122" i="6"/>
  <c r="BN122" i="6"/>
  <c r="BO122" i="6"/>
  <c r="BP122" i="6"/>
  <c r="BQ122" i="6"/>
  <c r="BR122" i="6"/>
  <c r="BS122" i="6"/>
  <c r="BT122" i="6"/>
  <c r="BU122" i="6"/>
  <c r="BV122" i="6"/>
  <c r="BW122" i="6"/>
  <c r="BX122" i="6"/>
  <c r="BY122" i="6"/>
  <c r="BZ122" i="6"/>
  <c r="CA122" i="6"/>
  <c r="BM123" i="6"/>
  <c r="BN123" i="6"/>
  <c r="BO123" i="6"/>
  <c r="BP123" i="6"/>
  <c r="BQ123" i="6"/>
  <c r="BR123" i="6"/>
  <c r="BS123" i="6"/>
  <c r="BT123" i="6"/>
  <c r="BU123" i="6"/>
  <c r="BV123" i="6"/>
  <c r="BW123" i="6"/>
  <c r="BX123" i="6"/>
  <c r="BY123" i="6"/>
  <c r="BZ123" i="6"/>
  <c r="CA123" i="6"/>
  <c r="BM124" i="6"/>
  <c r="BN124" i="6"/>
  <c r="BO124" i="6"/>
  <c r="BP124" i="6"/>
  <c r="BQ124" i="6"/>
  <c r="BR124" i="6"/>
  <c r="BS124" i="6"/>
  <c r="BT124" i="6"/>
  <c r="BU124" i="6"/>
  <c r="BV124" i="6"/>
  <c r="BW124" i="6"/>
  <c r="BX124" i="6"/>
  <c r="BY124" i="6"/>
  <c r="BZ124" i="6"/>
  <c r="CA124" i="6"/>
  <c r="BM125" i="6"/>
  <c r="BN125" i="6"/>
  <c r="BO125" i="6"/>
  <c r="BP125" i="6"/>
  <c r="BQ125" i="6"/>
  <c r="BR125" i="6"/>
  <c r="BS125" i="6"/>
  <c r="BT125" i="6"/>
  <c r="BU125" i="6"/>
  <c r="BV125" i="6"/>
  <c r="BW125" i="6"/>
  <c r="BX125" i="6"/>
  <c r="BY125" i="6"/>
  <c r="BZ125" i="6"/>
  <c r="CA125" i="6"/>
  <c r="BM126" i="6"/>
  <c r="BN126" i="6"/>
  <c r="BO126" i="6"/>
  <c r="BP126" i="6"/>
  <c r="BQ126" i="6"/>
  <c r="BR126" i="6"/>
  <c r="BS126" i="6"/>
  <c r="BT126" i="6"/>
  <c r="BU126" i="6"/>
  <c r="BV126" i="6"/>
  <c r="BW126" i="6"/>
  <c r="BX126" i="6"/>
  <c r="BY126" i="6"/>
  <c r="BZ126" i="6"/>
  <c r="CA126" i="6"/>
  <c r="BM127" i="6"/>
  <c r="BN127" i="6"/>
  <c r="BO127" i="6"/>
  <c r="BP127" i="6"/>
  <c r="BQ127" i="6"/>
  <c r="BR127" i="6"/>
  <c r="BS127" i="6"/>
  <c r="BT127" i="6"/>
  <c r="BU127" i="6"/>
  <c r="BV127" i="6"/>
  <c r="BW127" i="6"/>
  <c r="BX127" i="6"/>
  <c r="BY127" i="6"/>
  <c r="BZ127" i="6"/>
  <c r="CA127" i="6"/>
  <c r="BM128" i="6"/>
  <c r="BN128" i="6"/>
  <c r="BO128" i="6"/>
  <c r="BP128" i="6"/>
  <c r="BQ128" i="6"/>
  <c r="BR128" i="6"/>
  <c r="BS128" i="6"/>
  <c r="BT128" i="6"/>
  <c r="BU128" i="6"/>
  <c r="BV128" i="6"/>
  <c r="BW128" i="6"/>
  <c r="BX128" i="6"/>
  <c r="BY128" i="6"/>
  <c r="BZ128" i="6"/>
  <c r="CA128" i="6"/>
  <c r="BM129" i="6"/>
  <c r="BN129" i="6"/>
  <c r="BO129" i="6"/>
  <c r="BP129" i="6"/>
  <c r="BQ129" i="6"/>
  <c r="BR129" i="6"/>
  <c r="BS129" i="6"/>
  <c r="BT129" i="6"/>
  <c r="BU129" i="6"/>
  <c r="BV129" i="6"/>
  <c r="BW129" i="6"/>
  <c r="BX129" i="6"/>
  <c r="BY129" i="6"/>
  <c r="BZ129" i="6"/>
  <c r="CA129" i="6"/>
  <c r="BM130" i="6"/>
  <c r="BN130" i="6"/>
  <c r="BO130" i="6"/>
  <c r="BP130" i="6"/>
  <c r="BQ130" i="6"/>
  <c r="BR130" i="6"/>
  <c r="BS130" i="6"/>
  <c r="BT130" i="6"/>
  <c r="BU130" i="6"/>
  <c r="BV130" i="6"/>
  <c r="BW130" i="6"/>
  <c r="BX130" i="6"/>
  <c r="BY130" i="6"/>
  <c r="BZ130" i="6"/>
  <c r="CA130" i="6"/>
  <c r="BM131" i="6"/>
  <c r="BN131" i="6"/>
  <c r="BO131" i="6"/>
  <c r="BP131" i="6"/>
  <c r="BQ131" i="6"/>
  <c r="BR131" i="6"/>
  <c r="BS131" i="6"/>
  <c r="BT131" i="6"/>
  <c r="BU131" i="6"/>
  <c r="BV131" i="6"/>
  <c r="BW131" i="6"/>
  <c r="BX131" i="6"/>
  <c r="BY131" i="6"/>
  <c r="BZ131" i="6"/>
  <c r="CA131" i="6"/>
  <c r="BM132" i="6"/>
  <c r="BN132" i="6"/>
  <c r="BO132" i="6"/>
  <c r="BP132" i="6"/>
  <c r="BQ132" i="6"/>
  <c r="BR132" i="6"/>
  <c r="BS132" i="6"/>
  <c r="BT132" i="6"/>
  <c r="BU132" i="6"/>
  <c r="BV132" i="6"/>
  <c r="BW132" i="6"/>
  <c r="BX132" i="6"/>
  <c r="BY132" i="6"/>
  <c r="BZ132" i="6"/>
  <c r="CA132" i="6"/>
  <c r="BM133" i="6"/>
  <c r="BN133" i="6"/>
  <c r="BO133" i="6"/>
  <c r="BP133" i="6"/>
  <c r="BQ133" i="6"/>
  <c r="BR133" i="6"/>
  <c r="BS133" i="6"/>
  <c r="BT133" i="6"/>
  <c r="BU133" i="6"/>
  <c r="BV133" i="6"/>
  <c r="BW133" i="6"/>
  <c r="BX133" i="6"/>
  <c r="BY133" i="6"/>
  <c r="BZ133" i="6"/>
  <c r="CA133" i="6"/>
  <c r="BM134" i="6"/>
  <c r="BN134" i="6"/>
  <c r="BO134" i="6"/>
  <c r="BP134" i="6"/>
  <c r="BQ134" i="6"/>
  <c r="BR134" i="6"/>
  <c r="BS134" i="6"/>
  <c r="BT134" i="6"/>
  <c r="BU134" i="6"/>
  <c r="BV134" i="6"/>
  <c r="BW134" i="6"/>
  <c r="BX134" i="6"/>
  <c r="BY134" i="6"/>
  <c r="BZ134" i="6"/>
  <c r="CA134" i="6"/>
  <c r="BM135" i="6"/>
  <c r="BN135" i="6"/>
  <c r="BO135" i="6"/>
  <c r="BP135" i="6"/>
  <c r="BQ135" i="6"/>
  <c r="BR135" i="6"/>
  <c r="BS135" i="6"/>
  <c r="BT135" i="6"/>
  <c r="BU135" i="6"/>
  <c r="BV135" i="6"/>
  <c r="BW135" i="6"/>
  <c r="BX135" i="6"/>
  <c r="BY135" i="6"/>
  <c r="BZ135" i="6"/>
  <c r="CA135" i="6"/>
  <c r="BM136" i="6"/>
  <c r="BN136" i="6"/>
  <c r="BO136" i="6"/>
  <c r="BP136" i="6"/>
  <c r="BQ136" i="6"/>
  <c r="BR136" i="6"/>
  <c r="BS136" i="6"/>
  <c r="BT136" i="6"/>
  <c r="BU136" i="6"/>
  <c r="BV136" i="6"/>
  <c r="BW136" i="6"/>
  <c r="BX136" i="6"/>
  <c r="BY136" i="6"/>
  <c r="BZ136" i="6"/>
  <c r="CA136" i="6"/>
  <c r="BM137" i="6"/>
  <c r="BN137" i="6"/>
  <c r="BO137" i="6"/>
  <c r="BP137" i="6"/>
  <c r="BQ137" i="6"/>
  <c r="BR137" i="6"/>
  <c r="BS137" i="6"/>
  <c r="BT137" i="6"/>
  <c r="BU137" i="6"/>
  <c r="BV137" i="6"/>
  <c r="BW137" i="6"/>
  <c r="BX137" i="6"/>
  <c r="BY137" i="6"/>
  <c r="BZ137" i="6"/>
  <c r="CA137" i="6"/>
  <c r="BM138" i="6"/>
  <c r="BN138" i="6"/>
  <c r="BO138" i="6"/>
  <c r="BP138" i="6"/>
  <c r="BQ138" i="6"/>
  <c r="BR138" i="6"/>
  <c r="BS138" i="6"/>
  <c r="BT138" i="6"/>
  <c r="BU138" i="6"/>
  <c r="BV138" i="6"/>
  <c r="BW138" i="6"/>
  <c r="BX138" i="6"/>
  <c r="BY138" i="6"/>
  <c r="BZ138" i="6"/>
  <c r="CA138" i="6"/>
  <c r="BM139" i="6"/>
  <c r="BN139" i="6"/>
  <c r="BO139" i="6"/>
  <c r="BP139" i="6"/>
  <c r="BQ139" i="6"/>
  <c r="BR139" i="6"/>
  <c r="BS139" i="6"/>
  <c r="BT139" i="6"/>
  <c r="BU139" i="6"/>
  <c r="BV139" i="6"/>
  <c r="BW139" i="6"/>
  <c r="BX139" i="6"/>
  <c r="BY139" i="6"/>
  <c r="BZ139" i="6"/>
  <c r="CA139" i="6"/>
  <c r="BM140" i="6"/>
  <c r="BN140" i="6"/>
  <c r="BO140" i="6"/>
  <c r="BP140" i="6"/>
  <c r="BQ140" i="6"/>
  <c r="BR140" i="6"/>
  <c r="BS140" i="6"/>
  <c r="BT140" i="6"/>
  <c r="BU140" i="6"/>
  <c r="BV140" i="6"/>
  <c r="BW140" i="6"/>
  <c r="BX140" i="6"/>
  <c r="BY140" i="6"/>
  <c r="BZ140" i="6"/>
  <c r="CA140" i="6"/>
  <c r="BM141" i="6"/>
  <c r="BN141" i="6"/>
  <c r="BO141" i="6"/>
  <c r="BP141" i="6"/>
  <c r="BQ141" i="6"/>
  <c r="BR141" i="6"/>
  <c r="BS141" i="6"/>
  <c r="BT141" i="6"/>
  <c r="BU141" i="6"/>
  <c r="BV141" i="6"/>
  <c r="BW141" i="6"/>
  <c r="BX141" i="6"/>
  <c r="BY141" i="6"/>
  <c r="BZ141" i="6"/>
  <c r="CA141" i="6"/>
  <c r="BM142" i="6"/>
  <c r="BN142" i="6"/>
  <c r="BO142" i="6"/>
  <c r="BP142" i="6"/>
  <c r="BQ142" i="6"/>
  <c r="BR142" i="6"/>
  <c r="BS142" i="6"/>
  <c r="BT142" i="6"/>
  <c r="BU142" i="6"/>
  <c r="BV142" i="6"/>
  <c r="BW142" i="6"/>
  <c r="BX142" i="6"/>
  <c r="BY142" i="6"/>
  <c r="BZ142" i="6"/>
  <c r="CA142" i="6"/>
  <c r="BM143" i="6"/>
  <c r="BN143" i="6"/>
  <c r="BO143" i="6"/>
  <c r="BP143" i="6"/>
  <c r="BQ143" i="6"/>
  <c r="BR143" i="6"/>
  <c r="BS143" i="6"/>
  <c r="BT143" i="6"/>
  <c r="BU143" i="6"/>
  <c r="BV143" i="6"/>
  <c r="BW143" i="6"/>
  <c r="BX143" i="6"/>
  <c r="BY143" i="6"/>
  <c r="BZ143" i="6"/>
  <c r="CA143" i="6"/>
  <c r="BM144" i="6"/>
  <c r="BN144" i="6"/>
  <c r="BO144" i="6"/>
  <c r="BP144" i="6"/>
  <c r="BQ144" i="6"/>
  <c r="BR144" i="6"/>
  <c r="BS144" i="6"/>
  <c r="BT144" i="6"/>
  <c r="BU144" i="6"/>
  <c r="BV144" i="6"/>
  <c r="BW144" i="6"/>
  <c r="BX144" i="6"/>
  <c r="BY144" i="6"/>
  <c r="BZ144" i="6"/>
  <c r="CA144" i="6"/>
  <c r="BM145" i="6"/>
  <c r="BN145" i="6"/>
  <c r="BO145" i="6"/>
  <c r="BP145" i="6"/>
  <c r="BQ145" i="6"/>
  <c r="BR145" i="6"/>
  <c r="BS145" i="6"/>
  <c r="BT145" i="6"/>
  <c r="BU145" i="6"/>
  <c r="BV145" i="6"/>
  <c r="BW145" i="6"/>
  <c r="BX145" i="6"/>
  <c r="BY145" i="6"/>
  <c r="BZ145" i="6"/>
  <c r="CA145" i="6"/>
  <c r="BM146" i="6"/>
  <c r="BN146" i="6"/>
  <c r="BO146" i="6"/>
  <c r="BP146" i="6"/>
  <c r="BQ146" i="6"/>
  <c r="BR146" i="6"/>
  <c r="BS146" i="6"/>
  <c r="BT146" i="6"/>
  <c r="BU146" i="6"/>
  <c r="BV146" i="6"/>
  <c r="BW146" i="6"/>
  <c r="BX146" i="6"/>
  <c r="BY146" i="6"/>
  <c r="BZ146" i="6"/>
  <c r="CA146" i="6"/>
  <c r="BM147" i="6"/>
  <c r="BN147" i="6"/>
  <c r="BO147" i="6"/>
  <c r="BP147" i="6"/>
  <c r="BQ147" i="6"/>
  <c r="BR147" i="6"/>
  <c r="BS147" i="6"/>
  <c r="BT147" i="6"/>
  <c r="BU147" i="6"/>
  <c r="BV147" i="6"/>
  <c r="BW147" i="6"/>
  <c r="BX147" i="6"/>
  <c r="BY147" i="6"/>
  <c r="BZ147" i="6"/>
  <c r="CA147" i="6"/>
  <c r="BM148" i="6"/>
  <c r="BN148" i="6"/>
  <c r="BO148" i="6"/>
  <c r="BP148" i="6"/>
  <c r="BQ148" i="6"/>
  <c r="BR148" i="6"/>
  <c r="BS148" i="6"/>
  <c r="BT148" i="6"/>
  <c r="BU148" i="6"/>
  <c r="BV148" i="6"/>
  <c r="BW148" i="6"/>
  <c r="BX148" i="6"/>
  <c r="BY148" i="6"/>
  <c r="BZ148" i="6"/>
  <c r="CA148" i="6"/>
  <c r="BM149" i="6"/>
  <c r="BN149" i="6"/>
  <c r="BO149" i="6"/>
  <c r="BP149" i="6"/>
  <c r="BQ149" i="6"/>
  <c r="BR149" i="6"/>
  <c r="BS149" i="6"/>
  <c r="BT149" i="6"/>
  <c r="BU149" i="6"/>
  <c r="BV149" i="6"/>
  <c r="BW149" i="6"/>
  <c r="BX149" i="6"/>
  <c r="BY149" i="6"/>
  <c r="BZ149" i="6"/>
  <c r="CA149" i="6"/>
  <c r="BM150" i="6"/>
  <c r="BN150" i="6"/>
  <c r="BO150" i="6"/>
  <c r="BP150" i="6"/>
  <c r="BQ150" i="6"/>
  <c r="BR150" i="6"/>
  <c r="BS150" i="6"/>
  <c r="BT150" i="6"/>
  <c r="BU150" i="6"/>
  <c r="BV150" i="6"/>
  <c r="BW150" i="6"/>
  <c r="BX150" i="6"/>
  <c r="BY150" i="6"/>
  <c r="BZ150" i="6"/>
  <c r="CA150" i="6"/>
  <c r="BM151" i="6"/>
  <c r="BN151" i="6"/>
  <c r="BO151" i="6"/>
  <c r="BP151" i="6"/>
  <c r="BQ151" i="6"/>
  <c r="BR151" i="6"/>
  <c r="BS151" i="6"/>
  <c r="BT151" i="6"/>
  <c r="BU151" i="6"/>
  <c r="BV151" i="6"/>
  <c r="BW151" i="6"/>
  <c r="BX151" i="6"/>
  <c r="BY151" i="6"/>
  <c r="BZ151" i="6"/>
  <c r="CA151" i="6"/>
  <c r="BM152" i="6"/>
  <c r="BN152" i="6"/>
  <c r="BO152" i="6"/>
  <c r="BP152" i="6"/>
  <c r="BQ152" i="6"/>
  <c r="BR152" i="6"/>
  <c r="BS152" i="6"/>
  <c r="BT152" i="6"/>
  <c r="BU152" i="6"/>
  <c r="BV152" i="6"/>
  <c r="BW152" i="6"/>
  <c r="BX152" i="6"/>
  <c r="BY152" i="6"/>
  <c r="BZ152" i="6"/>
  <c r="CA152" i="6"/>
  <c r="BM153" i="6"/>
  <c r="BN153" i="6"/>
  <c r="BO153" i="6"/>
  <c r="BP153" i="6"/>
  <c r="BQ153" i="6"/>
  <c r="BR153" i="6"/>
  <c r="BS153" i="6"/>
  <c r="BT153" i="6"/>
  <c r="BU153" i="6"/>
  <c r="BV153" i="6"/>
  <c r="BW153" i="6"/>
  <c r="BX153" i="6"/>
  <c r="BY153" i="6"/>
  <c r="BZ153" i="6"/>
  <c r="CA153" i="6"/>
  <c r="BM154" i="6"/>
  <c r="BN154" i="6"/>
  <c r="BO154" i="6"/>
  <c r="BP154" i="6"/>
  <c r="BQ154" i="6"/>
  <c r="BR154" i="6"/>
  <c r="BS154" i="6"/>
  <c r="BT154" i="6"/>
  <c r="BU154" i="6"/>
  <c r="BV154" i="6"/>
  <c r="BW154" i="6"/>
  <c r="BX154" i="6"/>
  <c r="BY154" i="6"/>
  <c r="BZ154" i="6"/>
  <c r="CA154" i="6"/>
  <c r="BM155" i="6"/>
  <c r="BN155" i="6"/>
  <c r="BO155" i="6"/>
  <c r="BP155" i="6"/>
  <c r="BQ155" i="6"/>
  <c r="BR155" i="6"/>
  <c r="BS155" i="6"/>
  <c r="BT155" i="6"/>
  <c r="BU155" i="6"/>
  <c r="BV155" i="6"/>
  <c r="BW155" i="6"/>
  <c r="BX155" i="6"/>
  <c r="BY155" i="6"/>
  <c r="BZ155" i="6"/>
  <c r="CA155" i="6"/>
  <c r="BM156" i="6"/>
  <c r="BN156" i="6"/>
  <c r="BO156" i="6"/>
  <c r="BP156" i="6"/>
  <c r="BQ156" i="6"/>
  <c r="BR156" i="6"/>
  <c r="BS156" i="6"/>
  <c r="BT156" i="6"/>
  <c r="BU156" i="6"/>
  <c r="BV156" i="6"/>
  <c r="BW156" i="6"/>
  <c r="BX156" i="6"/>
  <c r="BY156" i="6"/>
  <c r="BZ156" i="6"/>
  <c r="CA156" i="6"/>
  <c r="BM157" i="6"/>
  <c r="BN157" i="6"/>
  <c r="BO157" i="6"/>
  <c r="BP157" i="6"/>
  <c r="BQ157" i="6"/>
  <c r="BR157" i="6"/>
  <c r="BS157" i="6"/>
  <c r="BT157" i="6"/>
  <c r="BU157" i="6"/>
  <c r="BV157" i="6"/>
  <c r="BW157" i="6"/>
  <c r="BX157" i="6"/>
  <c r="BY157" i="6"/>
  <c r="BZ157" i="6"/>
  <c r="CA157" i="6"/>
  <c r="BM158" i="6"/>
  <c r="BN158" i="6"/>
  <c r="BO158" i="6"/>
  <c r="BP158" i="6"/>
  <c r="BQ158" i="6"/>
  <c r="BR158" i="6"/>
  <c r="BS158" i="6"/>
  <c r="BT158" i="6"/>
  <c r="BU158" i="6"/>
  <c r="BV158" i="6"/>
  <c r="BW158" i="6"/>
  <c r="BX158" i="6"/>
  <c r="BY158" i="6"/>
  <c r="BZ158" i="6"/>
  <c r="CA158" i="6"/>
  <c r="BM159" i="6"/>
  <c r="BN159" i="6"/>
  <c r="BO159" i="6"/>
  <c r="BP159" i="6"/>
  <c r="BQ159" i="6"/>
  <c r="BR159" i="6"/>
  <c r="BS159" i="6"/>
  <c r="BT159" i="6"/>
  <c r="BU159" i="6"/>
  <c r="BV159" i="6"/>
  <c r="BW159" i="6"/>
  <c r="BX159" i="6"/>
  <c r="BY159" i="6"/>
  <c r="BZ159" i="6"/>
  <c r="CA159" i="6"/>
  <c r="BM160" i="6"/>
  <c r="BN160" i="6"/>
  <c r="BO160" i="6"/>
  <c r="BP160" i="6"/>
  <c r="BQ160" i="6"/>
  <c r="BR160" i="6"/>
  <c r="BS160" i="6"/>
  <c r="BT160" i="6"/>
  <c r="BU160" i="6"/>
  <c r="BV160" i="6"/>
  <c r="BW160" i="6"/>
  <c r="BX160" i="6"/>
  <c r="BY160" i="6"/>
  <c r="BZ160" i="6"/>
  <c r="CA160" i="6"/>
  <c r="BM161" i="6"/>
  <c r="BN161" i="6"/>
  <c r="BO161" i="6"/>
  <c r="BP161" i="6"/>
  <c r="BQ161" i="6"/>
  <c r="BR161" i="6"/>
  <c r="BS161" i="6"/>
  <c r="BT161" i="6"/>
  <c r="BU161" i="6"/>
  <c r="BV161" i="6"/>
  <c r="BW161" i="6"/>
  <c r="BX161" i="6"/>
  <c r="BY161" i="6"/>
  <c r="BZ161" i="6"/>
  <c r="CA161" i="6"/>
  <c r="BM162" i="6"/>
  <c r="BN162" i="6"/>
  <c r="BO162" i="6"/>
  <c r="BP162" i="6"/>
  <c r="BQ162" i="6"/>
  <c r="BR162" i="6"/>
  <c r="BS162" i="6"/>
  <c r="BT162" i="6"/>
  <c r="BU162" i="6"/>
  <c r="BV162" i="6"/>
  <c r="BW162" i="6"/>
  <c r="BX162" i="6"/>
  <c r="BY162" i="6"/>
  <c r="BZ162" i="6"/>
  <c r="CA162" i="6"/>
  <c r="BM163" i="6"/>
  <c r="BN163" i="6"/>
  <c r="BO163" i="6"/>
  <c r="BP163" i="6"/>
  <c r="BQ163" i="6"/>
  <c r="BR163" i="6"/>
  <c r="BS163" i="6"/>
  <c r="BT163" i="6"/>
  <c r="BU163" i="6"/>
  <c r="BV163" i="6"/>
  <c r="BW163" i="6"/>
  <c r="BX163" i="6"/>
  <c r="BY163" i="6"/>
  <c r="BZ163" i="6"/>
  <c r="CA163" i="6"/>
  <c r="BM164" i="6"/>
  <c r="BN164" i="6"/>
  <c r="BO164" i="6"/>
  <c r="BP164" i="6"/>
  <c r="BQ164" i="6"/>
  <c r="BR164" i="6"/>
  <c r="BS164" i="6"/>
  <c r="BT164" i="6"/>
  <c r="BU164" i="6"/>
  <c r="BV164" i="6"/>
  <c r="BW164" i="6"/>
  <c r="BX164" i="6"/>
  <c r="BY164" i="6"/>
  <c r="BZ164" i="6"/>
  <c r="CA164" i="6"/>
  <c r="BM165" i="6"/>
  <c r="BN165" i="6"/>
  <c r="BO165" i="6"/>
  <c r="BP165" i="6"/>
  <c r="BQ165" i="6"/>
  <c r="BR165" i="6"/>
  <c r="BS165" i="6"/>
  <c r="BT165" i="6"/>
  <c r="BU165" i="6"/>
  <c r="BV165" i="6"/>
  <c r="BW165" i="6"/>
  <c r="BX165" i="6"/>
  <c r="BY165" i="6"/>
  <c r="BZ165" i="6"/>
  <c r="CA165" i="6"/>
  <c r="BM166" i="6"/>
  <c r="BN166" i="6"/>
  <c r="BO166" i="6"/>
  <c r="BP166" i="6"/>
  <c r="BQ166" i="6"/>
  <c r="BR166" i="6"/>
  <c r="BS166" i="6"/>
  <c r="BT166" i="6"/>
  <c r="BU166" i="6"/>
  <c r="BV166" i="6"/>
  <c r="BW166" i="6"/>
  <c r="BX166" i="6"/>
  <c r="BY166" i="6"/>
  <c r="BZ166" i="6"/>
  <c r="CA166" i="6"/>
  <c r="BM167" i="6"/>
  <c r="BN167" i="6"/>
  <c r="BO167" i="6"/>
  <c r="BP167" i="6"/>
  <c r="BQ167" i="6"/>
  <c r="BR167" i="6"/>
  <c r="BS167" i="6"/>
  <c r="BT167" i="6"/>
  <c r="BU167" i="6"/>
  <c r="BV167" i="6"/>
  <c r="BW167" i="6"/>
  <c r="BX167" i="6"/>
  <c r="BY167" i="6"/>
  <c r="BZ167" i="6"/>
  <c r="CA167" i="6"/>
  <c r="BM168" i="6"/>
  <c r="BN168" i="6"/>
  <c r="BO168" i="6"/>
  <c r="BP168" i="6"/>
  <c r="BQ168" i="6"/>
  <c r="BR168" i="6"/>
  <c r="BS168" i="6"/>
  <c r="BT168" i="6"/>
  <c r="BU168" i="6"/>
  <c r="BV168" i="6"/>
  <c r="BW168" i="6"/>
  <c r="BX168" i="6"/>
  <c r="BY168" i="6"/>
  <c r="BZ168" i="6"/>
  <c r="CA168" i="6"/>
  <c r="BM169" i="6"/>
  <c r="BN169" i="6"/>
  <c r="BO169" i="6"/>
  <c r="BP169" i="6"/>
  <c r="BQ169" i="6"/>
  <c r="BR169" i="6"/>
  <c r="BS169" i="6"/>
  <c r="BT169" i="6"/>
  <c r="BU169" i="6"/>
  <c r="BV169" i="6"/>
  <c r="BW169" i="6"/>
  <c r="BX169" i="6"/>
  <c r="BY169" i="6"/>
  <c r="BZ169" i="6"/>
  <c r="CA169" i="6"/>
  <c r="BM170" i="6"/>
  <c r="BN170" i="6"/>
  <c r="BO170" i="6"/>
  <c r="BP170" i="6"/>
  <c r="BQ170" i="6"/>
  <c r="BR170" i="6"/>
  <c r="BS170" i="6"/>
  <c r="BT170" i="6"/>
  <c r="BU170" i="6"/>
  <c r="BV170" i="6"/>
  <c r="BW170" i="6"/>
  <c r="BX170" i="6"/>
  <c r="BY170" i="6"/>
  <c r="BZ170" i="6"/>
  <c r="CA170" i="6"/>
  <c r="BM171" i="6"/>
  <c r="BN171" i="6"/>
  <c r="BO171" i="6"/>
  <c r="BP171" i="6"/>
  <c r="BQ171" i="6"/>
  <c r="BR171" i="6"/>
  <c r="BS171" i="6"/>
  <c r="BT171" i="6"/>
  <c r="BU171" i="6"/>
  <c r="BV171" i="6"/>
  <c r="BW171" i="6"/>
  <c r="BX171" i="6"/>
  <c r="BY171" i="6"/>
  <c r="BZ171" i="6"/>
  <c r="CA171" i="6"/>
  <c r="BM172" i="6"/>
  <c r="BN172" i="6"/>
  <c r="BO172" i="6"/>
  <c r="BP172" i="6"/>
  <c r="BQ172" i="6"/>
  <c r="BR172" i="6"/>
  <c r="BS172" i="6"/>
  <c r="BT172" i="6"/>
  <c r="BU172" i="6"/>
  <c r="BV172" i="6"/>
  <c r="BW172" i="6"/>
  <c r="BX172" i="6"/>
  <c r="BY172" i="6"/>
  <c r="BZ172" i="6"/>
  <c r="CA172" i="6"/>
  <c r="BM173" i="6"/>
  <c r="BN173" i="6"/>
  <c r="BO173" i="6"/>
  <c r="BP173" i="6"/>
  <c r="BQ173" i="6"/>
  <c r="BR173" i="6"/>
  <c r="BS173" i="6"/>
  <c r="BT173" i="6"/>
  <c r="BU173" i="6"/>
  <c r="BV173" i="6"/>
  <c r="BW173" i="6"/>
  <c r="BX173" i="6"/>
  <c r="BY173" i="6"/>
  <c r="BZ173" i="6"/>
  <c r="CA173" i="6"/>
  <c r="BM174" i="6"/>
  <c r="BN174" i="6"/>
  <c r="BO174" i="6"/>
  <c r="BP174" i="6"/>
  <c r="BQ174" i="6"/>
  <c r="BR174" i="6"/>
  <c r="BS174" i="6"/>
  <c r="BT174" i="6"/>
  <c r="BU174" i="6"/>
  <c r="BV174" i="6"/>
  <c r="BW174" i="6"/>
  <c r="BX174" i="6"/>
  <c r="BY174" i="6"/>
  <c r="BZ174" i="6"/>
  <c r="CA174" i="6"/>
  <c r="BM175" i="6"/>
  <c r="BN175" i="6"/>
  <c r="BO175" i="6"/>
  <c r="BP175" i="6"/>
  <c r="BQ175" i="6"/>
  <c r="BR175" i="6"/>
  <c r="BS175" i="6"/>
  <c r="BT175" i="6"/>
  <c r="BU175" i="6"/>
  <c r="BV175" i="6"/>
  <c r="BW175" i="6"/>
  <c r="BX175" i="6"/>
  <c r="BY175" i="6"/>
  <c r="BZ175" i="6"/>
  <c r="CA175" i="6"/>
  <c r="BM176" i="6"/>
  <c r="BN176" i="6"/>
  <c r="BO176" i="6"/>
  <c r="BP176" i="6"/>
  <c r="BQ176" i="6"/>
  <c r="BR176" i="6"/>
  <c r="BS176" i="6"/>
  <c r="BT176" i="6"/>
  <c r="BU176" i="6"/>
  <c r="BV176" i="6"/>
  <c r="BW176" i="6"/>
  <c r="BX176" i="6"/>
  <c r="BY176" i="6"/>
  <c r="BZ176" i="6"/>
  <c r="CA176" i="6"/>
  <c r="BM177" i="6"/>
  <c r="BN177" i="6"/>
  <c r="BO177" i="6"/>
  <c r="BP177" i="6"/>
  <c r="BQ177" i="6"/>
  <c r="BR177" i="6"/>
  <c r="BS177" i="6"/>
  <c r="BT177" i="6"/>
  <c r="BU177" i="6"/>
  <c r="BV177" i="6"/>
  <c r="BW177" i="6"/>
  <c r="BX177" i="6"/>
  <c r="BY177" i="6"/>
  <c r="BZ177" i="6"/>
  <c r="CA177" i="6"/>
  <c r="BM178" i="6"/>
  <c r="BN178" i="6"/>
  <c r="BO178" i="6"/>
  <c r="BP178" i="6"/>
  <c r="BQ178" i="6"/>
  <c r="BR178" i="6"/>
  <c r="BS178" i="6"/>
  <c r="BT178" i="6"/>
  <c r="BU178" i="6"/>
  <c r="BV178" i="6"/>
  <c r="BW178" i="6"/>
  <c r="BX178" i="6"/>
  <c r="BY178" i="6"/>
  <c r="BZ178" i="6"/>
  <c r="CA178" i="6"/>
  <c r="BM179" i="6"/>
  <c r="BN179" i="6"/>
  <c r="BO179" i="6"/>
  <c r="BP179" i="6"/>
  <c r="BQ179" i="6"/>
  <c r="BR179" i="6"/>
  <c r="BS179" i="6"/>
  <c r="BT179" i="6"/>
  <c r="BU179" i="6"/>
  <c r="BV179" i="6"/>
  <c r="BW179" i="6"/>
  <c r="BX179" i="6"/>
  <c r="BY179" i="6"/>
  <c r="BZ179" i="6"/>
  <c r="CA179" i="6"/>
  <c r="BM180" i="6"/>
  <c r="BN180" i="6"/>
  <c r="BO180" i="6"/>
  <c r="BP180" i="6"/>
  <c r="BQ180" i="6"/>
  <c r="BR180" i="6"/>
  <c r="BS180" i="6"/>
  <c r="BT180" i="6"/>
  <c r="BU180" i="6"/>
  <c r="BV180" i="6"/>
  <c r="BW180" i="6"/>
  <c r="BX180" i="6"/>
  <c r="BY180" i="6"/>
  <c r="BZ180" i="6"/>
  <c r="CA180" i="6"/>
  <c r="BM181" i="6"/>
  <c r="BN181" i="6"/>
  <c r="BO181" i="6"/>
  <c r="BP181" i="6"/>
  <c r="BQ181" i="6"/>
  <c r="BR181" i="6"/>
  <c r="BS181" i="6"/>
  <c r="BT181" i="6"/>
  <c r="BU181" i="6"/>
  <c r="BV181" i="6"/>
  <c r="BW181" i="6"/>
  <c r="BX181" i="6"/>
  <c r="BY181" i="6"/>
  <c r="BZ181" i="6"/>
  <c r="CA181" i="6"/>
  <c r="BM182" i="6"/>
  <c r="BN182" i="6"/>
  <c r="BO182" i="6"/>
  <c r="BP182" i="6"/>
  <c r="BQ182" i="6"/>
  <c r="BR182" i="6"/>
  <c r="BS182" i="6"/>
  <c r="BT182" i="6"/>
  <c r="BU182" i="6"/>
  <c r="BV182" i="6"/>
  <c r="BW182" i="6"/>
  <c r="BX182" i="6"/>
  <c r="BY182" i="6"/>
  <c r="BZ182" i="6"/>
  <c r="CA182" i="6"/>
  <c r="BM183" i="6"/>
  <c r="BN183" i="6"/>
  <c r="BO183" i="6"/>
  <c r="BP183" i="6"/>
  <c r="BQ183" i="6"/>
  <c r="BR183" i="6"/>
  <c r="BS183" i="6"/>
  <c r="BT183" i="6"/>
  <c r="BU183" i="6"/>
  <c r="BV183" i="6"/>
  <c r="BW183" i="6"/>
  <c r="BX183" i="6"/>
  <c r="BY183" i="6"/>
  <c r="BZ183" i="6"/>
  <c r="CA183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BM4" i="6"/>
  <c r="AY500" i="6"/>
  <c r="AZ500" i="6"/>
  <c r="BE500" i="6" s="1"/>
  <c r="BA500" i="6"/>
  <c r="BB500" i="6" s="1"/>
  <c r="BC500" i="6"/>
  <c r="BD500" i="6"/>
  <c r="BJ500" i="6" s="1"/>
  <c r="BF500" i="6"/>
  <c r="BG500" i="6"/>
  <c r="BH500" i="6"/>
  <c r="BI500" i="6"/>
  <c r="AY501" i="6"/>
  <c r="AZ501" i="6"/>
  <c r="BE501" i="6" s="1"/>
  <c r="BA501" i="6"/>
  <c r="BB501" i="6" s="1"/>
  <c r="BC501" i="6"/>
  <c r="BD501" i="6"/>
  <c r="BJ501" i="6" s="1"/>
  <c r="BF501" i="6"/>
  <c r="BG501" i="6"/>
  <c r="BH501" i="6"/>
  <c r="BI501" i="6"/>
  <c r="AY502" i="6"/>
  <c r="AZ502" i="6"/>
  <c r="BE502" i="6" s="1"/>
  <c r="BA502" i="6"/>
  <c r="BB502" i="6" s="1"/>
  <c r="BC502" i="6"/>
  <c r="BD502" i="6"/>
  <c r="BJ502" i="6" s="1"/>
  <c r="BF502" i="6"/>
  <c r="BG502" i="6"/>
  <c r="BH502" i="6"/>
  <c r="BI502" i="6"/>
  <c r="BA5" i="6" l="1"/>
  <c r="BA4" i="6"/>
  <c r="BB5" i="6"/>
  <c r="BA6" i="6"/>
  <c r="BB6" i="6"/>
  <c r="BA7" i="6"/>
  <c r="BB7" i="6"/>
  <c r="BA8" i="6"/>
  <c r="BB8" i="6"/>
  <c r="BA9" i="6"/>
  <c r="BB9" i="6"/>
  <c r="BA10" i="6"/>
  <c r="BB10" i="6"/>
  <c r="BA11" i="6"/>
  <c r="BB11" i="6"/>
  <c r="BA12" i="6"/>
  <c r="BB12" i="6"/>
  <c r="BA13" i="6"/>
  <c r="BB13" i="6"/>
  <c r="BA14" i="6"/>
  <c r="BB14" i="6"/>
  <c r="BA15" i="6"/>
  <c r="BB15" i="6"/>
  <c r="BA16" i="6"/>
  <c r="BB16" i="6"/>
  <c r="BA17" i="6"/>
  <c r="BB17" i="6"/>
  <c r="BA18" i="6"/>
  <c r="BB18" i="6"/>
  <c r="BA19" i="6"/>
  <c r="BB19" i="6"/>
  <c r="BA20" i="6"/>
  <c r="BB20" i="6"/>
  <c r="BA21" i="6"/>
  <c r="BB21" i="6"/>
  <c r="BA22" i="6"/>
  <c r="BB22" i="6"/>
  <c r="BA23" i="6"/>
  <c r="BB23" i="6"/>
  <c r="BA24" i="6"/>
  <c r="BB24" i="6"/>
  <c r="BA25" i="6"/>
  <c r="BB25" i="6"/>
  <c r="BA26" i="6"/>
  <c r="BB26" i="6"/>
  <c r="BA27" i="6"/>
  <c r="BB27" i="6"/>
  <c r="BA28" i="6"/>
  <c r="BB28" i="6"/>
  <c r="BA29" i="6"/>
  <c r="BB29" i="6"/>
  <c r="BA30" i="6"/>
  <c r="BB30" i="6"/>
  <c r="BA31" i="6"/>
  <c r="BB31" i="6"/>
  <c r="BA32" i="6"/>
  <c r="BB32" i="6"/>
  <c r="BA33" i="6"/>
  <c r="BB33" i="6"/>
  <c r="BA34" i="6"/>
  <c r="BB34" i="6"/>
  <c r="BA35" i="6"/>
  <c r="BB35" i="6"/>
  <c r="BA36" i="6"/>
  <c r="BB36" i="6"/>
  <c r="BA37" i="6"/>
  <c r="BB37" i="6"/>
  <c r="BA38" i="6"/>
  <c r="BB38" i="6"/>
  <c r="BA39" i="6"/>
  <c r="BB39" i="6"/>
  <c r="BA40" i="6"/>
  <c r="BB40" i="6"/>
  <c r="BA41" i="6"/>
  <c r="BB41" i="6"/>
  <c r="BA42" i="6"/>
  <c r="BB42" i="6"/>
  <c r="BA43" i="6"/>
  <c r="BB43" i="6"/>
  <c r="BA44" i="6"/>
  <c r="BB44" i="6"/>
  <c r="BA45" i="6"/>
  <c r="BB45" i="6"/>
  <c r="BA46" i="6"/>
  <c r="BB46" i="6"/>
  <c r="BA47" i="6"/>
  <c r="BB47" i="6"/>
  <c r="BA48" i="6"/>
  <c r="BB48" i="6"/>
  <c r="BA49" i="6"/>
  <c r="BB49" i="6"/>
  <c r="BA50" i="6"/>
  <c r="BB50" i="6"/>
  <c r="BA51" i="6"/>
  <c r="BB51" i="6"/>
  <c r="BA52" i="6"/>
  <c r="BB52" i="6"/>
  <c r="BA53" i="6"/>
  <c r="BB53" i="6"/>
  <c r="BA54" i="6"/>
  <c r="BB54" i="6"/>
  <c r="BA55" i="6"/>
  <c r="BB55" i="6"/>
  <c r="BA56" i="6"/>
  <c r="BB56" i="6"/>
  <c r="BA57" i="6"/>
  <c r="BB57" i="6"/>
  <c r="BA58" i="6"/>
  <c r="BB58" i="6"/>
  <c r="BA59" i="6"/>
  <c r="BB59" i="6"/>
  <c r="BA60" i="6"/>
  <c r="BB60" i="6"/>
  <c r="BA61" i="6"/>
  <c r="BB61" i="6"/>
  <c r="BA62" i="6"/>
  <c r="BB62" i="6"/>
  <c r="BA63" i="6"/>
  <c r="BB63" i="6"/>
  <c r="BA64" i="6"/>
  <c r="BB64" i="6"/>
  <c r="BA65" i="6"/>
  <c r="BB65" i="6"/>
  <c r="BA66" i="6"/>
  <c r="BB66" i="6"/>
  <c r="BA67" i="6"/>
  <c r="BB67" i="6"/>
  <c r="BA68" i="6"/>
  <c r="BB68" i="6"/>
  <c r="BA69" i="6"/>
  <c r="BB69" i="6"/>
  <c r="BA70" i="6"/>
  <c r="BB70" i="6"/>
  <c r="BA71" i="6"/>
  <c r="BB71" i="6"/>
  <c r="BA72" i="6"/>
  <c r="BB72" i="6"/>
  <c r="BA73" i="6"/>
  <c r="BB73" i="6"/>
  <c r="BA74" i="6"/>
  <c r="BB74" i="6"/>
  <c r="BA75" i="6"/>
  <c r="BB75" i="6"/>
  <c r="BA76" i="6"/>
  <c r="BB76" i="6"/>
  <c r="BA77" i="6"/>
  <c r="BB77" i="6"/>
  <c r="BA78" i="6"/>
  <c r="BB78" i="6"/>
  <c r="BA79" i="6"/>
  <c r="BB79" i="6"/>
  <c r="BA80" i="6"/>
  <c r="BB80" i="6"/>
  <c r="BA81" i="6"/>
  <c r="BB81" i="6"/>
  <c r="BA82" i="6"/>
  <c r="BB82" i="6"/>
  <c r="BA83" i="6"/>
  <c r="BB83" i="6"/>
  <c r="BA84" i="6"/>
  <c r="BB84" i="6"/>
  <c r="BA85" i="6"/>
  <c r="BB85" i="6"/>
  <c r="BA86" i="6"/>
  <c r="BB86" i="6"/>
  <c r="BA87" i="6"/>
  <c r="BB87" i="6"/>
  <c r="BA88" i="6"/>
  <c r="BB88" i="6"/>
  <c r="BA89" i="6"/>
  <c r="BB89" i="6"/>
  <c r="BA90" i="6"/>
  <c r="BB90" i="6"/>
  <c r="BA91" i="6"/>
  <c r="BB91" i="6"/>
  <c r="BA92" i="6"/>
  <c r="BB92" i="6"/>
  <c r="BA93" i="6"/>
  <c r="BB93" i="6"/>
  <c r="BA94" i="6"/>
  <c r="BB94" i="6"/>
  <c r="BA95" i="6"/>
  <c r="BB95" i="6"/>
  <c r="BA96" i="6"/>
  <c r="BB96" i="6"/>
  <c r="BA97" i="6"/>
  <c r="BB97" i="6"/>
  <c r="BA98" i="6"/>
  <c r="BB98" i="6"/>
  <c r="BA99" i="6"/>
  <c r="BB99" i="6"/>
  <c r="BA100" i="6"/>
  <c r="BB100" i="6"/>
  <c r="BA101" i="6"/>
  <c r="BB101" i="6"/>
  <c r="BA102" i="6"/>
  <c r="BB102" i="6"/>
  <c r="BA103" i="6"/>
  <c r="BB103" i="6"/>
  <c r="BA104" i="6"/>
  <c r="BB104" i="6"/>
  <c r="BA105" i="6"/>
  <c r="BB105" i="6"/>
  <c r="BA106" i="6"/>
  <c r="BB106" i="6"/>
  <c r="BA107" i="6"/>
  <c r="BB107" i="6"/>
  <c r="BA108" i="6"/>
  <c r="BB108" i="6"/>
  <c r="BA109" i="6"/>
  <c r="BB109" i="6"/>
  <c r="BA110" i="6"/>
  <c r="BB110" i="6"/>
  <c r="BA111" i="6"/>
  <c r="BB111" i="6"/>
  <c r="BA112" i="6"/>
  <c r="BB112" i="6"/>
  <c r="BA113" i="6"/>
  <c r="BB113" i="6"/>
  <c r="BA114" i="6"/>
  <c r="BB114" i="6"/>
  <c r="BA115" i="6"/>
  <c r="BB115" i="6"/>
  <c r="BA116" i="6"/>
  <c r="BB116" i="6"/>
  <c r="BA117" i="6"/>
  <c r="BB117" i="6"/>
  <c r="BA118" i="6"/>
  <c r="BB118" i="6"/>
  <c r="BA119" i="6"/>
  <c r="BB119" i="6"/>
  <c r="BA120" i="6"/>
  <c r="BB120" i="6"/>
  <c r="BA121" i="6"/>
  <c r="BB121" i="6"/>
  <c r="BA122" i="6"/>
  <c r="BB122" i="6"/>
  <c r="BA123" i="6"/>
  <c r="BB123" i="6"/>
  <c r="BA124" i="6"/>
  <c r="BB124" i="6"/>
  <c r="BA125" i="6"/>
  <c r="BB125" i="6"/>
  <c r="BA126" i="6"/>
  <c r="BB126" i="6"/>
  <c r="BA127" i="6"/>
  <c r="BB127" i="6"/>
  <c r="BA128" i="6"/>
  <c r="BB128" i="6"/>
  <c r="BA129" i="6"/>
  <c r="BB129" i="6"/>
  <c r="BA130" i="6"/>
  <c r="BB130" i="6"/>
  <c r="BA131" i="6"/>
  <c r="BB131" i="6"/>
  <c r="BA132" i="6"/>
  <c r="BB132" i="6"/>
  <c r="BA133" i="6"/>
  <c r="BB133" i="6"/>
  <c r="BA134" i="6"/>
  <c r="BB134" i="6"/>
  <c r="BA135" i="6"/>
  <c r="BB135" i="6"/>
  <c r="BA136" i="6"/>
  <c r="BB136" i="6"/>
  <c r="BA137" i="6"/>
  <c r="BB137" i="6"/>
  <c r="BA138" i="6"/>
  <c r="BB138" i="6"/>
  <c r="BA139" i="6"/>
  <c r="BB139" i="6"/>
  <c r="BA140" i="6"/>
  <c r="BB140" i="6"/>
  <c r="BA141" i="6"/>
  <c r="BB141" i="6"/>
  <c r="BA142" i="6"/>
  <c r="BB142" i="6"/>
  <c r="BA143" i="6"/>
  <c r="BB143" i="6"/>
  <c r="BA144" i="6"/>
  <c r="BB144" i="6"/>
  <c r="BA145" i="6"/>
  <c r="BB145" i="6"/>
  <c r="BA146" i="6"/>
  <c r="BB146" i="6"/>
  <c r="BA147" i="6"/>
  <c r="BB147" i="6"/>
  <c r="BA148" i="6"/>
  <c r="BB148" i="6"/>
  <c r="BA149" i="6"/>
  <c r="BB149" i="6"/>
  <c r="BA150" i="6"/>
  <c r="BB150" i="6"/>
  <c r="BA151" i="6"/>
  <c r="BB151" i="6"/>
  <c r="BA152" i="6"/>
  <c r="BB152" i="6"/>
  <c r="BA153" i="6"/>
  <c r="BB153" i="6"/>
  <c r="BA154" i="6"/>
  <c r="BB154" i="6"/>
  <c r="BA155" i="6"/>
  <c r="BB155" i="6"/>
  <c r="BA156" i="6"/>
  <c r="BB156" i="6"/>
  <c r="BA157" i="6"/>
  <c r="BB157" i="6"/>
  <c r="BA158" i="6"/>
  <c r="BB158" i="6"/>
  <c r="BA159" i="6"/>
  <c r="BB159" i="6"/>
  <c r="BA160" i="6"/>
  <c r="BB160" i="6"/>
  <c r="BA161" i="6"/>
  <c r="BB161" i="6"/>
  <c r="BA162" i="6"/>
  <c r="BB162" i="6"/>
  <c r="BA163" i="6"/>
  <c r="BB163" i="6"/>
  <c r="BA164" i="6"/>
  <c r="BB164" i="6"/>
  <c r="BA165" i="6"/>
  <c r="BB165" i="6"/>
  <c r="BA166" i="6"/>
  <c r="BB166" i="6"/>
  <c r="BA167" i="6"/>
  <c r="BB167" i="6"/>
  <c r="BA168" i="6"/>
  <c r="BB168" i="6"/>
  <c r="BA169" i="6"/>
  <c r="BB169" i="6"/>
  <c r="BA170" i="6"/>
  <c r="BB170" i="6"/>
  <c r="BA171" i="6"/>
  <c r="BB171" i="6"/>
  <c r="BA172" i="6"/>
  <c r="BB172" i="6"/>
  <c r="BA173" i="6"/>
  <c r="BB173" i="6"/>
  <c r="BA174" i="6"/>
  <c r="BB174" i="6"/>
  <c r="BA175" i="6"/>
  <c r="BB175" i="6"/>
  <c r="BA176" i="6"/>
  <c r="BB176" i="6"/>
  <c r="BA177" i="6"/>
  <c r="BB177" i="6"/>
  <c r="BA178" i="6"/>
  <c r="BB178" i="6"/>
  <c r="BA179" i="6"/>
  <c r="BB179" i="6"/>
  <c r="BA180" i="6"/>
  <c r="BB180" i="6"/>
  <c r="BA181" i="6"/>
  <c r="BB181" i="6"/>
  <c r="BA182" i="6"/>
  <c r="BB182" i="6"/>
  <c r="BA183" i="6"/>
  <c r="BB183" i="6"/>
  <c r="BA184" i="6"/>
  <c r="BB184" i="6"/>
  <c r="BA185" i="6"/>
  <c r="BB185" i="6"/>
  <c r="BA186" i="6"/>
  <c r="BB186" i="6"/>
  <c r="BA187" i="6"/>
  <c r="BB187" i="6"/>
  <c r="BA188" i="6"/>
  <c r="BB188" i="6"/>
  <c r="BA189" i="6"/>
  <c r="BB189" i="6"/>
  <c r="BA190" i="6"/>
  <c r="BB190" i="6"/>
  <c r="BA191" i="6"/>
  <c r="BB191" i="6"/>
  <c r="BA192" i="6"/>
  <c r="BB192" i="6"/>
  <c r="BA193" i="6"/>
  <c r="BB193" i="6"/>
  <c r="BA194" i="6"/>
  <c r="BB194" i="6"/>
  <c r="BA195" i="6"/>
  <c r="BB195" i="6"/>
  <c r="BA196" i="6"/>
  <c r="BB196" i="6"/>
  <c r="BA197" i="6"/>
  <c r="BB197" i="6"/>
  <c r="BA198" i="6"/>
  <c r="BB198" i="6"/>
  <c r="BA199" i="6"/>
  <c r="BB199" i="6"/>
  <c r="BA200" i="6"/>
  <c r="BB200" i="6"/>
  <c r="BA201" i="6"/>
  <c r="BB201" i="6"/>
  <c r="BA202" i="6"/>
  <c r="BB202" i="6"/>
  <c r="BA203" i="6"/>
  <c r="BB203" i="6"/>
  <c r="BA204" i="6"/>
  <c r="BB204" i="6"/>
  <c r="BA205" i="6"/>
  <c r="BB205" i="6"/>
  <c r="BA206" i="6"/>
  <c r="BB206" i="6"/>
  <c r="BA207" i="6"/>
  <c r="BB207" i="6"/>
  <c r="BA208" i="6"/>
  <c r="BB208" i="6"/>
  <c r="BA209" i="6"/>
  <c r="BB209" i="6"/>
  <c r="BA210" i="6"/>
  <c r="BB210" i="6"/>
  <c r="BA211" i="6"/>
  <c r="BB211" i="6"/>
  <c r="BA212" i="6"/>
  <c r="BB212" i="6"/>
  <c r="BA213" i="6"/>
  <c r="BB213" i="6"/>
  <c r="BA214" i="6"/>
  <c r="BB214" i="6"/>
  <c r="BA215" i="6"/>
  <c r="BB215" i="6"/>
  <c r="BA216" i="6"/>
  <c r="BB216" i="6"/>
  <c r="BA217" i="6"/>
  <c r="BB217" i="6"/>
  <c r="BA218" i="6"/>
  <c r="BB218" i="6"/>
  <c r="BA219" i="6"/>
  <c r="BB219" i="6"/>
  <c r="BA220" i="6"/>
  <c r="BB220" i="6"/>
  <c r="BA221" i="6"/>
  <c r="BB221" i="6"/>
  <c r="BA222" i="6"/>
  <c r="BB222" i="6"/>
  <c r="BA223" i="6"/>
  <c r="BB223" i="6"/>
  <c r="BA224" i="6"/>
  <c r="BB224" i="6"/>
  <c r="BA225" i="6"/>
  <c r="BB225" i="6"/>
  <c r="BA226" i="6"/>
  <c r="BB226" i="6"/>
  <c r="BA227" i="6"/>
  <c r="BB227" i="6"/>
  <c r="BA228" i="6"/>
  <c r="BB228" i="6"/>
  <c r="BA229" i="6"/>
  <c r="BB229" i="6"/>
  <c r="BA230" i="6"/>
  <c r="BB230" i="6"/>
  <c r="BA231" i="6"/>
  <c r="BB231" i="6"/>
  <c r="BA232" i="6"/>
  <c r="BB232" i="6"/>
  <c r="BA233" i="6"/>
  <c r="BB233" i="6"/>
  <c r="BA234" i="6"/>
  <c r="BB234" i="6"/>
  <c r="BA235" i="6"/>
  <c r="BB235" i="6"/>
  <c r="BA236" i="6"/>
  <c r="BB236" i="6"/>
  <c r="BA237" i="6"/>
  <c r="BB237" i="6"/>
  <c r="BA238" i="6"/>
  <c r="BB238" i="6"/>
  <c r="BA239" i="6"/>
  <c r="BB239" i="6"/>
  <c r="BA240" i="6"/>
  <c r="BB240" i="6"/>
  <c r="BA241" i="6"/>
  <c r="BB241" i="6"/>
  <c r="BA242" i="6"/>
  <c r="BB242" i="6"/>
  <c r="BA243" i="6"/>
  <c r="BB243" i="6"/>
  <c r="BA244" i="6"/>
  <c r="BB244" i="6"/>
  <c r="BA245" i="6"/>
  <c r="BB245" i="6"/>
  <c r="BA246" i="6"/>
  <c r="BB246" i="6"/>
  <c r="BA247" i="6"/>
  <c r="BB247" i="6"/>
  <c r="BA248" i="6"/>
  <c r="BB248" i="6"/>
  <c r="BA249" i="6"/>
  <c r="BB249" i="6"/>
  <c r="BA250" i="6"/>
  <c r="BB250" i="6"/>
  <c r="BA251" i="6"/>
  <c r="BB251" i="6"/>
  <c r="BA252" i="6"/>
  <c r="BB252" i="6"/>
  <c r="BA253" i="6"/>
  <c r="BB253" i="6"/>
  <c r="BA254" i="6"/>
  <c r="BB254" i="6"/>
  <c r="BA255" i="6"/>
  <c r="BB255" i="6"/>
  <c r="BA256" i="6"/>
  <c r="BB256" i="6"/>
  <c r="BA257" i="6"/>
  <c r="BB257" i="6"/>
  <c r="BA258" i="6"/>
  <c r="BB258" i="6"/>
  <c r="BA259" i="6"/>
  <c r="BB259" i="6"/>
  <c r="BA260" i="6"/>
  <c r="BB260" i="6"/>
  <c r="BA261" i="6"/>
  <c r="BB261" i="6"/>
  <c r="BA262" i="6"/>
  <c r="BB262" i="6"/>
  <c r="BA263" i="6"/>
  <c r="BB263" i="6"/>
  <c r="BA264" i="6"/>
  <c r="BB264" i="6"/>
  <c r="BA265" i="6"/>
  <c r="BB265" i="6"/>
  <c r="BA266" i="6"/>
  <c r="BB266" i="6"/>
  <c r="BA267" i="6"/>
  <c r="BB267" i="6"/>
  <c r="BA268" i="6"/>
  <c r="BB268" i="6"/>
  <c r="BA269" i="6"/>
  <c r="BB269" i="6"/>
  <c r="BA270" i="6"/>
  <c r="BB270" i="6"/>
  <c r="BA271" i="6"/>
  <c r="BB271" i="6"/>
  <c r="BA272" i="6"/>
  <c r="BB272" i="6"/>
  <c r="BA273" i="6"/>
  <c r="BB273" i="6"/>
  <c r="BA274" i="6"/>
  <c r="BB274" i="6"/>
  <c r="BA275" i="6"/>
  <c r="BB275" i="6"/>
  <c r="BA276" i="6"/>
  <c r="BB276" i="6"/>
  <c r="BA277" i="6"/>
  <c r="BB277" i="6"/>
  <c r="BA278" i="6"/>
  <c r="BB278" i="6"/>
  <c r="BA279" i="6"/>
  <c r="BB279" i="6"/>
  <c r="BA280" i="6"/>
  <c r="BB280" i="6"/>
  <c r="BA281" i="6"/>
  <c r="BB281" i="6"/>
  <c r="BA282" i="6"/>
  <c r="BB282" i="6"/>
  <c r="BA283" i="6"/>
  <c r="BB283" i="6"/>
  <c r="BA284" i="6"/>
  <c r="BB284" i="6"/>
  <c r="BA285" i="6"/>
  <c r="BB285" i="6"/>
  <c r="BA286" i="6"/>
  <c r="BB286" i="6"/>
  <c r="BA287" i="6"/>
  <c r="BB287" i="6"/>
  <c r="BA288" i="6"/>
  <c r="BB288" i="6"/>
  <c r="BA289" i="6"/>
  <c r="BB289" i="6"/>
  <c r="BA290" i="6"/>
  <c r="BB290" i="6"/>
  <c r="BA291" i="6"/>
  <c r="BB291" i="6"/>
  <c r="BA292" i="6"/>
  <c r="BB292" i="6"/>
  <c r="BA293" i="6"/>
  <c r="BB293" i="6"/>
  <c r="BA294" i="6"/>
  <c r="BB294" i="6"/>
  <c r="BA295" i="6"/>
  <c r="BB295" i="6"/>
  <c r="BA296" i="6"/>
  <c r="BB296" i="6"/>
  <c r="BA297" i="6"/>
  <c r="BB297" i="6"/>
  <c r="BA298" i="6"/>
  <c r="BB298" i="6"/>
  <c r="BA299" i="6"/>
  <c r="BB299" i="6"/>
  <c r="BA300" i="6"/>
  <c r="BB300" i="6"/>
  <c r="BA301" i="6"/>
  <c r="BB301" i="6"/>
  <c r="BA302" i="6"/>
  <c r="BB302" i="6"/>
  <c r="BA303" i="6"/>
  <c r="BB303" i="6"/>
  <c r="BA304" i="6"/>
  <c r="BB304" i="6"/>
  <c r="BA305" i="6"/>
  <c r="BB305" i="6"/>
  <c r="BA306" i="6"/>
  <c r="BB306" i="6"/>
  <c r="BA307" i="6"/>
  <c r="BB307" i="6"/>
  <c r="BA308" i="6"/>
  <c r="BB308" i="6"/>
  <c r="BA309" i="6"/>
  <c r="BB309" i="6"/>
  <c r="BA310" i="6"/>
  <c r="BB310" i="6"/>
  <c r="BA311" i="6"/>
  <c r="BB311" i="6"/>
  <c r="BA312" i="6"/>
  <c r="BB312" i="6"/>
  <c r="BA313" i="6"/>
  <c r="BB313" i="6"/>
  <c r="BA314" i="6"/>
  <c r="BB314" i="6"/>
  <c r="BA315" i="6"/>
  <c r="BB315" i="6"/>
  <c r="BA316" i="6"/>
  <c r="BB316" i="6"/>
  <c r="BA317" i="6"/>
  <c r="BB317" i="6"/>
  <c r="BA318" i="6"/>
  <c r="BB318" i="6"/>
  <c r="BA319" i="6"/>
  <c r="BB319" i="6"/>
  <c r="BA320" i="6"/>
  <c r="BB320" i="6"/>
  <c r="BA321" i="6"/>
  <c r="BB321" i="6"/>
  <c r="BA322" i="6"/>
  <c r="BB322" i="6"/>
  <c r="BA323" i="6"/>
  <c r="BB323" i="6"/>
  <c r="BA324" i="6"/>
  <c r="BB324" i="6"/>
  <c r="BA325" i="6"/>
  <c r="BB325" i="6"/>
  <c r="BA326" i="6"/>
  <c r="BB326" i="6"/>
  <c r="BA327" i="6"/>
  <c r="BB327" i="6"/>
  <c r="BA328" i="6"/>
  <c r="BB328" i="6"/>
  <c r="BA329" i="6"/>
  <c r="BB329" i="6"/>
  <c r="BA330" i="6"/>
  <c r="BB330" i="6"/>
  <c r="BA331" i="6"/>
  <c r="BB331" i="6"/>
  <c r="BA332" i="6"/>
  <c r="BB332" i="6"/>
  <c r="BA333" i="6"/>
  <c r="BB333" i="6"/>
  <c r="BA334" i="6"/>
  <c r="BB334" i="6"/>
  <c r="BA335" i="6"/>
  <c r="BB335" i="6"/>
  <c r="BA336" i="6"/>
  <c r="BB336" i="6"/>
  <c r="BA337" i="6"/>
  <c r="BB337" i="6"/>
  <c r="BA338" i="6"/>
  <c r="BB338" i="6"/>
  <c r="BA339" i="6"/>
  <c r="BB339" i="6"/>
  <c r="BA340" i="6"/>
  <c r="BB340" i="6"/>
  <c r="BA341" i="6"/>
  <c r="BB341" i="6"/>
  <c r="BA342" i="6"/>
  <c r="BB342" i="6"/>
  <c r="BA343" i="6"/>
  <c r="BB343" i="6"/>
  <c r="BA344" i="6"/>
  <c r="BB344" i="6"/>
  <c r="BA345" i="6"/>
  <c r="BB345" i="6"/>
  <c r="BA346" i="6"/>
  <c r="BB346" i="6"/>
  <c r="BA347" i="6"/>
  <c r="BB347" i="6"/>
  <c r="BA348" i="6"/>
  <c r="BB348" i="6"/>
  <c r="BA349" i="6"/>
  <c r="BB349" i="6"/>
  <c r="BA350" i="6"/>
  <c r="BB350" i="6"/>
  <c r="BA351" i="6"/>
  <c r="BB351" i="6"/>
  <c r="BA352" i="6"/>
  <c r="BB352" i="6"/>
  <c r="BA353" i="6"/>
  <c r="BB353" i="6"/>
  <c r="BA354" i="6"/>
  <c r="BB354" i="6"/>
  <c r="BA355" i="6"/>
  <c r="BB355" i="6"/>
  <c r="BA356" i="6"/>
  <c r="BB356" i="6"/>
  <c r="BA357" i="6"/>
  <c r="BB357" i="6"/>
  <c r="BA358" i="6"/>
  <c r="BB358" i="6"/>
  <c r="BA359" i="6"/>
  <c r="BB359" i="6"/>
  <c r="BA360" i="6"/>
  <c r="BB360" i="6"/>
  <c r="BA361" i="6"/>
  <c r="BB361" i="6"/>
  <c r="BA362" i="6"/>
  <c r="BB362" i="6"/>
  <c r="BA363" i="6"/>
  <c r="BB363" i="6"/>
  <c r="BA364" i="6"/>
  <c r="BB364" i="6"/>
  <c r="BA365" i="6"/>
  <c r="BB365" i="6"/>
  <c r="BA366" i="6"/>
  <c r="BB366" i="6"/>
  <c r="BA367" i="6"/>
  <c r="BB367" i="6"/>
  <c r="BA368" i="6"/>
  <c r="BB368" i="6"/>
  <c r="BA369" i="6"/>
  <c r="BB369" i="6"/>
  <c r="BA370" i="6"/>
  <c r="BB370" i="6"/>
  <c r="BA371" i="6"/>
  <c r="BB371" i="6"/>
  <c r="BA372" i="6"/>
  <c r="BB372" i="6"/>
  <c r="BA373" i="6"/>
  <c r="BB373" i="6"/>
  <c r="BA374" i="6"/>
  <c r="BB374" i="6"/>
  <c r="BA375" i="6"/>
  <c r="BB375" i="6"/>
  <c r="BA376" i="6"/>
  <c r="BB376" i="6"/>
  <c r="BA377" i="6"/>
  <c r="BB377" i="6"/>
  <c r="BA378" i="6"/>
  <c r="BB378" i="6"/>
  <c r="BA379" i="6"/>
  <c r="BB379" i="6"/>
  <c r="BA380" i="6"/>
  <c r="BB380" i="6"/>
  <c r="BA381" i="6"/>
  <c r="BB381" i="6"/>
  <c r="BA382" i="6"/>
  <c r="BB382" i="6"/>
  <c r="BA383" i="6"/>
  <c r="BB383" i="6"/>
  <c r="BA384" i="6"/>
  <c r="BB384" i="6"/>
  <c r="BA385" i="6"/>
  <c r="BB385" i="6"/>
  <c r="BA386" i="6"/>
  <c r="BB386" i="6"/>
  <c r="BA387" i="6"/>
  <c r="BB387" i="6"/>
  <c r="BA388" i="6"/>
  <c r="BB388" i="6"/>
  <c r="BA389" i="6"/>
  <c r="BB389" i="6"/>
  <c r="BA390" i="6"/>
  <c r="BB390" i="6"/>
  <c r="BA391" i="6"/>
  <c r="BB391" i="6"/>
  <c r="BA392" i="6"/>
  <c r="BB392" i="6"/>
  <c r="BA393" i="6"/>
  <c r="BB393" i="6"/>
  <c r="BA394" i="6"/>
  <c r="BB394" i="6"/>
  <c r="BA395" i="6"/>
  <c r="BB395" i="6"/>
  <c r="BA396" i="6"/>
  <c r="BB396" i="6"/>
  <c r="BA397" i="6"/>
  <c r="BB397" i="6"/>
  <c r="BA398" i="6"/>
  <c r="BB398" i="6"/>
  <c r="BA399" i="6"/>
  <c r="BB399" i="6"/>
  <c r="BA400" i="6"/>
  <c r="BB400" i="6"/>
  <c r="BA401" i="6"/>
  <c r="BB401" i="6"/>
  <c r="BA402" i="6"/>
  <c r="BB402" i="6"/>
  <c r="BA403" i="6"/>
  <c r="BB403" i="6"/>
  <c r="BA404" i="6"/>
  <c r="BB404" i="6"/>
  <c r="BA405" i="6"/>
  <c r="BB405" i="6"/>
  <c r="BA406" i="6"/>
  <c r="BB406" i="6"/>
  <c r="BA407" i="6"/>
  <c r="BB407" i="6"/>
  <c r="BA408" i="6"/>
  <c r="BB408" i="6"/>
  <c r="BA409" i="6"/>
  <c r="BB409" i="6"/>
  <c r="BA410" i="6"/>
  <c r="BB410" i="6"/>
  <c r="BA411" i="6"/>
  <c r="BB411" i="6"/>
  <c r="BA412" i="6"/>
  <c r="BB412" i="6"/>
  <c r="BA413" i="6"/>
  <c r="BB413" i="6"/>
  <c r="BA414" i="6"/>
  <c r="BB414" i="6"/>
  <c r="BA415" i="6"/>
  <c r="BB415" i="6"/>
  <c r="BA416" i="6"/>
  <c r="BB416" i="6"/>
  <c r="BA417" i="6"/>
  <c r="BB417" i="6"/>
  <c r="BA418" i="6"/>
  <c r="BB418" i="6"/>
  <c r="BA419" i="6"/>
  <c r="BB419" i="6"/>
  <c r="BA420" i="6"/>
  <c r="BB420" i="6"/>
  <c r="BA421" i="6"/>
  <c r="BB421" i="6"/>
  <c r="BA422" i="6"/>
  <c r="BB422" i="6"/>
  <c r="BA423" i="6"/>
  <c r="BB423" i="6"/>
  <c r="BA424" i="6"/>
  <c r="BB424" i="6"/>
  <c r="BA425" i="6"/>
  <c r="BB425" i="6"/>
  <c r="BA426" i="6"/>
  <c r="BB426" i="6"/>
  <c r="BA427" i="6"/>
  <c r="BB427" i="6"/>
  <c r="BA428" i="6"/>
  <c r="BB428" i="6"/>
  <c r="BA429" i="6"/>
  <c r="BB429" i="6"/>
  <c r="BA430" i="6"/>
  <c r="BB430" i="6"/>
  <c r="BA431" i="6"/>
  <c r="BB431" i="6"/>
  <c r="BA432" i="6"/>
  <c r="BB432" i="6"/>
  <c r="BA433" i="6"/>
  <c r="BB433" i="6"/>
  <c r="BA434" i="6"/>
  <c r="BB434" i="6"/>
  <c r="BA435" i="6"/>
  <c r="BB435" i="6"/>
  <c r="BA436" i="6"/>
  <c r="BB436" i="6"/>
  <c r="BA437" i="6"/>
  <c r="BB437" i="6"/>
  <c r="BA438" i="6"/>
  <c r="BB438" i="6"/>
  <c r="BA439" i="6"/>
  <c r="BB439" i="6"/>
  <c r="BA440" i="6"/>
  <c r="BB440" i="6"/>
  <c r="BA441" i="6"/>
  <c r="BB441" i="6"/>
  <c r="BA442" i="6"/>
  <c r="BB442" i="6"/>
  <c r="BA443" i="6"/>
  <c r="BB443" i="6"/>
  <c r="BA444" i="6"/>
  <c r="BB444" i="6"/>
  <c r="BA445" i="6"/>
  <c r="BB445" i="6"/>
  <c r="BA446" i="6"/>
  <c r="BB446" i="6"/>
  <c r="BA447" i="6"/>
  <c r="BB447" i="6"/>
  <c r="BA448" i="6"/>
  <c r="BB448" i="6"/>
  <c r="BA449" i="6"/>
  <c r="BB449" i="6"/>
  <c r="BA450" i="6"/>
  <c r="BB450" i="6"/>
  <c r="BA451" i="6"/>
  <c r="BB451" i="6"/>
  <c r="BA452" i="6"/>
  <c r="BB452" i="6"/>
  <c r="BA453" i="6"/>
  <c r="BB453" i="6"/>
  <c r="BA454" i="6"/>
  <c r="BB454" i="6"/>
  <c r="BA455" i="6"/>
  <c r="BB455" i="6"/>
  <c r="BA456" i="6"/>
  <c r="BB456" i="6"/>
  <c r="BA457" i="6"/>
  <c r="BB457" i="6"/>
  <c r="BA458" i="6"/>
  <c r="BB458" i="6"/>
  <c r="BA459" i="6"/>
  <c r="BB459" i="6"/>
  <c r="BA460" i="6"/>
  <c r="BB460" i="6"/>
  <c r="BA461" i="6"/>
  <c r="BB461" i="6"/>
  <c r="BA462" i="6"/>
  <c r="BB462" i="6"/>
  <c r="BA463" i="6"/>
  <c r="BB463" i="6"/>
  <c r="BA464" i="6"/>
  <c r="BB464" i="6"/>
  <c r="BA465" i="6"/>
  <c r="BB465" i="6"/>
  <c r="BA466" i="6"/>
  <c r="BB466" i="6"/>
  <c r="BA467" i="6"/>
  <c r="BB467" i="6"/>
  <c r="BA468" i="6"/>
  <c r="BB468" i="6"/>
  <c r="BA469" i="6"/>
  <c r="BB469" i="6"/>
  <c r="BA470" i="6"/>
  <c r="BB470" i="6"/>
  <c r="BA471" i="6"/>
  <c r="BB471" i="6"/>
  <c r="BA472" i="6"/>
  <c r="BB472" i="6"/>
  <c r="BA473" i="6"/>
  <c r="BB473" i="6"/>
  <c r="BA474" i="6"/>
  <c r="BB474" i="6"/>
  <c r="BA475" i="6"/>
  <c r="BB475" i="6"/>
  <c r="BA476" i="6"/>
  <c r="BB476" i="6"/>
  <c r="BA477" i="6"/>
  <c r="BB477" i="6"/>
  <c r="BA478" i="6"/>
  <c r="BB478" i="6"/>
  <c r="BA479" i="6"/>
  <c r="BB479" i="6"/>
  <c r="BA480" i="6"/>
  <c r="BB480" i="6"/>
  <c r="BA481" i="6"/>
  <c r="BB481" i="6"/>
  <c r="BA482" i="6"/>
  <c r="BB482" i="6"/>
  <c r="BA483" i="6"/>
  <c r="BB483" i="6"/>
  <c r="BA484" i="6"/>
  <c r="BB484" i="6"/>
  <c r="BA485" i="6"/>
  <c r="BB485" i="6"/>
  <c r="BA486" i="6"/>
  <c r="BB486" i="6"/>
  <c r="BA487" i="6"/>
  <c r="BB487" i="6"/>
  <c r="BA488" i="6"/>
  <c r="BB488" i="6"/>
  <c r="BA489" i="6"/>
  <c r="BB489" i="6"/>
  <c r="BA490" i="6"/>
  <c r="BB490" i="6"/>
  <c r="BA491" i="6"/>
  <c r="BB491" i="6"/>
  <c r="BA492" i="6"/>
  <c r="BB492" i="6"/>
  <c r="BA493" i="6"/>
  <c r="BB493" i="6"/>
  <c r="BA494" i="6"/>
  <c r="BB494" i="6"/>
  <c r="BA495" i="6"/>
  <c r="BB495" i="6"/>
  <c r="BA496" i="6"/>
  <c r="BB496" i="6"/>
  <c r="BA497" i="6"/>
  <c r="BB497" i="6"/>
  <c r="BA498" i="6"/>
  <c r="BB498" i="6"/>
  <c r="BA499" i="6"/>
  <c r="BB499" i="6"/>
  <c r="BB4" i="6"/>
  <c r="AZ339" i="6"/>
  <c r="BC339" i="6"/>
  <c r="BD339" i="6"/>
  <c r="BE339" i="6"/>
  <c r="BJ339" i="6"/>
  <c r="AZ340" i="6"/>
  <c r="BC340" i="6"/>
  <c r="BD340" i="6"/>
  <c r="BJ340" i="6" s="1"/>
  <c r="BE340" i="6"/>
  <c r="AZ44" i="6"/>
  <c r="BC44" i="6"/>
  <c r="BD44" i="6"/>
  <c r="BJ44" i="6" s="1"/>
  <c r="BE44" i="6"/>
  <c r="BF44" i="6"/>
  <c r="AZ45" i="6"/>
  <c r="BC45" i="6"/>
  <c r="BJ45" i="6"/>
  <c r="AZ46" i="6"/>
  <c r="BC46" i="6"/>
  <c r="BJ46" i="6"/>
  <c r="AZ47" i="6"/>
  <c r="BC47" i="6"/>
  <c r="BJ47" i="6"/>
  <c r="DF6" i="6"/>
  <c r="AZ4" i="6"/>
  <c r="BC4" i="6"/>
  <c r="BD4" i="6"/>
  <c r="BJ4" i="6"/>
  <c r="AZ5" i="6"/>
  <c r="BC5" i="6"/>
  <c r="BD5" i="6"/>
  <c r="BJ5" i="6"/>
  <c r="AZ64" i="6"/>
  <c r="BC64" i="6"/>
  <c r="BJ64" i="6"/>
  <c r="AZ6" i="6"/>
  <c r="BC6" i="6"/>
  <c r="BD6" i="6"/>
  <c r="BJ6" i="6"/>
  <c r="AZ86" i="6"/>
  <c r="BC86" i="6"/>
  <c r="BJ86" i="6"/>
  <c r="AZ87" i="6"/>
  <c r="BC87" i="6"/>
  <c r="BJ87" i="6"/>
  <c r="AZ88" i="6"/>
  <c r="BC88" i="6"/>
  <c r="BJ88" i="6"/>
  <c r="AZ117" i="6"/>
  <c r="BC117" i="6"/>
  <c r="BJ117" i="6"/>
  <c r="AZ118" i="6"/>
  <c r="BC118" i="6"/>
  <c r="BJ118" i="6"/>
  <c r="DF9" i="6"/>
  <c r="AZ328" i="6"/>
  <c r="BC328" i="6"/>
  <c r="BD328" i="6"/>
  <c r="BE328" i="6"/>
  <c r="BJ328" i="6"/>
  <c r="AZ329" i="6"/>
  <c r="BC329" i="6"/>
  <c r="BD329" i="6"/>
  <c r="BJ329" i="6" s="1"/>
  <c r="BE329" i="6"/>
  <c r="AZ368" i="6"/>
  <c r="BC368" i="6"/>
  <c r="BD368" i="6"/>
  <c r="BJ368" i="6" s="1"/>
  <c r="BE368" i="6"/>
  <c r="BF368" i="6"/>
  <c r="BG368" i="6"/>
  <c r="AZ370" i="6"/>
  <c r="BC370" i="6"/>
  <c r="BD370" i="6"/>
  <c r="BJ370" i="6" s="1"/>
  <c r="BE370" i="6"/>
  <c r="BF370" i="6"/>
  <c r="BG370" i="6"/>
  <c r="AZ467" i="6"/>
  <c r="BC467" i="6"/>
  <c r="BD467" i="6"/>
  <c r="BE467" i="6"/>
  <c r="BF467" i="6"/>
  <c r="BG467" i="6"/>
  <c r="BH467" i="6"/>
  <c r="BJ467" i="6"/>
  <c r="DF10" i="6"/>
  <c r="AZ362" i="6"/>
  <c r="BC362" i="6"/>
  <c r="BD362" i="6"/>
  <c r="BJ362" i="6" s="1"/>
  <c r="BE362" i="6"/>
  <c r="BF362" i="6"/>
  <c r="BG362" i="6"/>
  <c r="AZ364" i="6"/>
  <c r="BC364" i="6"/>
  <c r="BD364" i="6"/>
  <c r="BJ364" i="6" s="1"/>
  <c r="BE364" i="6"/>
  <c r="BF364" i="6"/>
  <c r="BG364" i="6"/>
  <c r="AZ365" i="6"/>
  <c r="BC365" i="6"/>
  <c r="BD365" i="6"/>
  <c r="BJ365" i="6" s="1"/>
  <c r="BE365" i="6"/>
  <c r="BF365" i="6"/>
  <c r="BG365" i="6"/>
  <c r="AZ421" i="6"/>
  <c r="BC421" i="6"/>
  <c r="BD421" i="6"/>
  <c r="BE421" i="6"/>
  <c r="BF421" i="6"/>
  <c r="BG421" i="6"/>
  <c r="BJ421" i="6"/>
  <c r="DF11" i="6"/>
  <c r="AZ142" i="6"/>
  <c r="BC142" i="6"/>
  <c r="BD142" i="6"/>
  <c r="BJ142" i="6" s="1"/>
  <c r="AZ143" i="6"/>
  <c r="BC143" i="6"/>
  <c r="BD143" i="6"/>
  <c r="BJ143" i="6" s="1"/>
  <c r="AZ144" i="6"/>
  <c r="BC144" i="6"/>
  <c r="BD144" i="6"/>
  <c r="BJ144" i="6" s="1"/>
  <c r="AZ435" i="6"/>
  <c r="BC435" i="6"/>
  <c r="BD435" i="6"/>
  <c r="BJ435" i="6" s="1"/>
  <c r="BE435" i="6"/>
  <c r="BF435" i="6"/>
  <c r="BG435" i="6"/>
  <c r="DF12" i="6"/>
  <c r="AZ167" i="6"/>
  <c r="BC167" i="6"/>
  <c r="BD167" i="6"/>
  <c r="BJ167" i="6" s="1"/>
  <c r="AZ168" i="6"/>
  <c r="BC168" i="6"/>
  <c r="BD168" i="6"/>
  <c r="BJ168" i="6" s="1"/>
  <c r="AZ169" i="6"/>
  <c r="BC169" i="6"/>
  <c r="BD169" i="6"/>
  <c r="BJ169" i="6" s="1"/>
  <c r="DF13" i="6"/>
  <c r="AZ7" i="6"/>
  <c r="BC7" i="6"/>
  <c r="BD7" i="6"/>
  <c r="BJ7" i="6" s="1"/>
  <c r="BE7" i="6"/>
  <c r="AZ8" i="6"/>
  <c r="BC8" i="6"/>
  <c r="BD8" i="6"/>
  <c r="BJ8" i="6" s="1"/>
  <c r="BE8" i="6"/>
  <c r="AZ185" i="6"/>
  <c r="BC185" i="6"/>
  <c r="BD185" i="6"/>
  <c r="BJ185" i="6"/>
  <c r="AZ391" i="6"/>
  <c r="BC391" i="6"/>
  <c r="BD391" i="6"/>
  <c r="BE391" i="6"/>
  <c r="BF391" i="6"/>
  <c r="BG391" i="6"/>
  <c r="BJ391" i="6"/>
  <c r="AZ392" i="6"/>
  <c r="BC392" i="6"/>
  <c r="BD392" i="6"/>
  <c r="BJ392" i="6" s="1"/>
  <c r="BE392" i="6"/>
  <c r="BF392" i="6"/>
  <c r="BG392" i="6"/>
  <c r="AZ393" i="6"/>
  <c r="BC393" i="6"/>
  <c r="BD393" i="6"/>
  <c r="BJ393" i="6" s="1"/>
  <c r="BE393" i="6"/>
  <c r="BF393" i="6"/>
  <c r="BG393" i="6"/>
  <c r="AZ413" i="6"/>
  <c r="BC413" i="6"/>
  <c r="BD413" i="6"/>
  <c r="BJ413" i="6" s="1"/>
  <c r="BE413" i="6"/>
  <c r="BF413" i="6"/>
  <c r="BG413" i="6"/>
  <c r="AZ341" i="6"/>
  <c r="BC341" i="6"/>
  <c r="BD341" i="6"/>
  <c r="BE341" i="6"/>
  <c r="BJ341" i="6"/>
  <c r="AZ342" i="6"/>
  <c r="BC342" i="6"/>
  <c r="BD342" i="6"/>
  <c r="BJ342" i="6" s="1"/>
  <c r="BE342" i="6"/>
  <c r="AZ456" i="6"/>
  <c r="BC456" i="6"/>
  <c r="BD456" i="6"/>
  <c r="BJ456" i="6" s="1"/>
  <c r="BE456" i="6"/>
  <c r="BF456" i="6"/>
  <c r="BG456" i="6"/>
  <c r="BH456" i="6"/>
  <c r="AZ9" i="6"/>
  <c r="BC9" i="6"/>
  <c r="BD9" i="6"/>
  <c r="BJ9" i="6"/>
  <c r="AZ10" i="6"/>
  <c r="BC10" i="6"/>
  <c r="BD10" i="6"/>
  <c r="BJ10" i="6" s="1"/>
  <c r="AZ11" i="6"/>
  <c r="BC11" i="6"/>
  <c r="BD11" i="6"/>
  <c r="BJ11" i="6"/>
  <c r="AZ410" i="6"/>
  <c r="BC410" i="6"/>
  <c r="BD410" i="6"/>
  <c r="BE410" i="6"/>
  <c r="BF410" i="6"/>
  <c r="BG410" i="6"/>
  <c r="BH410" i="6"/>
  <c r="BJ410" i="6"/>
  <c r="AZ12" i="6"/>
  <c r="BC12" i="6"/>
  <c r="BD12" i="6"/>
  <c r="BJ12" i="6" s="1"/>
  <c r="AZ13" i="6"/>
  <c r="BC13" i="6"/>
  <c r="BD13" i="6"/>
  <c r="BJ13" i="6" s="1"/>
  <c r="AZ14" i="6"/>
  <c r="BC14" i="6"/>
  <c r="BD14" i="6"/>
  <c r="BJ14" i="6" s="1"/>
  <c r="AZ227" i="6"/>
  <c r="BC227" i="6"/>
  <c r="BJ227" i="6"/>
  <c r="AZ228" i="6"/>
  <c r="BC228" i="6"/>
  <c r="BJ228" i="6"/>
  <c r="AZ253" i="6"/>
  <c r="BC253" i="6"/>
  <c r="BD253" i="6"/>
  <c r="BJ253" i="6" s="1"/>
  <c r="AZ254" i="6"/>
  <c r="BC254" i="6"/>
  <c r="BJ254" i="6"/>
  <c r="DF18" i="6"/>
  <c r="AZ15" i="6"/>
  <c r="BC15" i="6"/>
  <c r="BD15" i="6"/>
  <c r="BE15" i="6"/>
  <c r="BJ15" i="6"/>
  <c r="AZ16" i="6"/>
  <c r="BC16" i="6"/>
  <c r="BD16" i="6"/>
  <c r="BE16" i="6"/>
  <c r="BJ16" i="6"/>
  <c r="AZ17" i="6"/>
  <c r="BC17" i="6"/>
  <c r="BD17" i="6"/>
  <c r="BJ17" i="6" s="1"/>
  <c r="BE17" i="6"/>
  <c r="AZ280" i="6"/>
  <c r="BC280" i="6"/>
  <c r="BD280" i="6"/>
  <c r="BJ280" i="6" s="1"/>
  <c r="BE280" i="6"/>
  <c r="BF280" i="6"/>
  <c r="AZ281" i="6"/>
  <c r="BC281" i="6"/>
  <c r="BJ281" i="6"/>
  <c r="AZ493" i="6"/>
  <c r="BC493" i="6"/>
  <c r="BD493" i="6"/>
  <c r="BE493" i="6"/>
  <c r="BF493" i="6"/>
  <c r="BG493" i="6"/>
  <c r="BH493" i="6"/>
  <c r="BI493" i="6"/>
  <c r="BJ493" i="6"/>
  <c r="AZ18" i="6"/>
  <c r="BC18" i="6"/>
  <c r="BD18" i="6"/>
  <c r="BJ18" i="6" s="1"/>
  <c r="BE18" i="6"/>
  <c r="BF18" i="6"/>
  <c r="AZ19" i="6"/>
  <c r="BC19" i="6"/>
  <c r="BD19" i="6"/>
  <c r="BJ19" i="6" s="1"/>
  <c r="BE19" i="6"/>
  <c r="AZ302" i="6"/>
  <c r="BC302" i="6"/>
  <c r="BJ302" i="6"/>
  <c r="AZ303" i="6"/>
  <c r="BC303" i="6"/>
  <c r="BJ303" i="6"/>
  <c r="AZ304" i="6"/>
  <c r="BC304" i="6"/>
  <c r="BJ304" i="6"/>
  <c r="AZ20" i="6"/>
  <c r="BC20" i="6"/>
  <c r="BD20" i="6"/>
  <c r="BE20" i="6"/>
  <c r="BF20" i="6"/>
  <c r="BJ20" i="6"/>
  <c r="AZ21" i="6"/>
  <c r="BC21" i="6"/>
  <c r="BD21" i="6"/>
  <c r="BE21" i="6"/>
  <c r="BF21" i="6"/>
  <c r="BJ21" i="6"/>
  <c r="AZ22" i="6"/>
  <c r="BC22" i="6"/>
  <c r="BJ22" i="6"/>
  <c r="AZ23" i="6"/>
  <c r="BC23" i="6"/>
  <c r="BJ23" i="6"/>
  <c r="AZ24" i="6"/>
  <c r="BC24" i="6"/>
  <c r="BD24" i="6"/>
  <c r="BJ24" i="6" s="1"/>
  <c r="BE24" i="6"/>
  <c r="BF24" i="6"/>
  <c r="AZ25" i="6"/>
  <c r="BC25" i="6"/>
  <c r="BJ25" i="6"/>
  <c r="AZ26" i="6"/>
  <c r="BC26" i="6"/>
  <c r="BJ26" i="6"/>
  <c r="AZ27" i="6"/>
  <c r="BC27" i="6"/>
  <c r="BJ27" i="6"/>
  <c r="DF24" i="6"/>
  <c r="AZ28" i="6"/>
  <c r="BC28" i="6"/>
  <c r="BJ28" i="6"/>
  <c r="AZ29" i="6"/>
  <c r="BC29" i="6"/>
  <c r="BJ29" i="6"/>
  <c r="AZ30" i="6"/>
  <c r="BC30" i="6"/>
  <c r="BJ30" i="6"/>
  <c r="AZ31" i="6"/>
  <c r="BC31" i="6"/>
  <c r="BJ31" i="6"/>
  <c r="AZ32" i="6"/>
  <c r="BC32" i="6"/>
  <c r="BJ32" i="6"/>
  <c r="AZ33" i="6"/>
  <c r="BC33" i="6"/>
  <c r="BJ33" i="6"/>
  <c r="AZ34" i="6"/>
  <c r="BC34" i="6"/>
  <c r="BD34" i="6"/>
  <c r="BJ34" i="6" s="1"/>
  <c r="BE34" i="6"/>
  <c r="BF34" i="6"/>
  <c r="AZ35" i="6"/>
  <c r="BC35" i="6"/>
  <c r="BD35" i="6"/>
  <c r="BJ35" i="6" s="1"/>
  <c r="BE35" i="6"/>
  <c r="BF35" i="6"/>
  <c r="AZ36" i="6"/>
  <c r="BC36" i="6"/>
  <c r="BJ36" i="6"/>
  <c r="AZ37" i="6"/>
  <c r="BC37" i="6"/>
  <c r="BJ37" i="6"/>
  <c r="AZ38" i="6"/>
  <c r="BC38" i="6"/>
  <c r="BJ38" i="6"/>
  <c r="AZ346" i="6"/>
  <c r="BC346" i="6"/>
  <c r="BD346" i="6"/>
  <c r="BJ346" i="6" s="1"/>
  <c r="BE346" i="6"/>
  <c r="AZ39" i="6"/>
  <c r="BC39" i="6"/>
  <c r="BJ39" i="6"/>
  <c r="AZ347" i="6"/>
  <c r="BC347" i="6"/>
  <c r="BD347" i="6"/>
  <c r="BE347" i="6"/>
  <c r="BJ347" i="6"/>
  <c r="AZ40" i="6"/>
  <c r="BC40" i="6"/>
  <c r="BJ40" i="6"/>
  <c r="AZ41" i="6"/>
  <c r="BC41" i="6"/>
  <c r="BJ41" i="6"/>
  <c r="AZ348" i="6"/>
  <c r="BC348" i="6"/>
  <c r="BD348" i="6"/>
  <c r="BE348" i="6"/>
  <c r="BJ348" i="6"/>
  <c r="AZ349" i="6"/>
  <c r="BC349" i="6"/>
  <c r="BD349" i="6"/>
  <c r="BE349" i="6"/>
  <c r="BJ349" i="6"/>
  <c r="AZ42" i="6"/>
  <c r="BC42" i="6"/>
  <c r="BJ42" i="6"/>
  <c r="AZ43" i="6"/>
  <c r="BC43" i="6"/>
  <c r="BJ43" i="6"/>
  <c r="AZ48" i="6"/>
  <c r="BC48" i="6"/>
  <c r="BD48" i="6"/>
  <c r="BJ48" i="6"/>
  <c r="AZ49" i="6"/>
  <c r="BC49" i="6"/>
  <c r="BJ49" i="6"/>
  <c r="AZ50" i="6"/>
  <c r="BC50" i="6"/>
  <c r="BJ50" i="6"/>
  <c r="AZ51" i="6"/>
  <c r="BC51" i="6"/>
  <c r="BJ51" i="6"/>
  <c r="AZ52" i="6"/>
  <c r="BC52" i="6"/>
  <c r="BJ52" i="6"/>
  <c r="AZ53" i="6"/>
  <c r="BC53" i="6"/>
  <c r="BD53" i="6"/>
  <c r="BJ53" i="6" s="1"/>
  <c r="AZ54" i="6"/>
  <c r="BC54" i="6"/>
  <c r="BD54" i="6"/>
  <c r="BJ54" i="6" s="1"/>
  <c r="AZ55" i="6"/>
  <c r="BC55" i="6"/>
  <c r="BD55" i="6"/>
  <c r="BJ55" i="6" s="1"/>
  <c r="AZ56" i="6"/>
  <c r="BC56" i="6"/>
  <c r="BD56" i="6"/>
  <c r="BJ56" i="6" s="1"/>
  <c r="AZ350" i="6"/>
  <c r="BC350" i="6"/>
  <c r="BD350" i="6"/>
  <c r="BJ350" i="6" s="1"/>
  <c r="BE350" i="6"/>
  <c r="AZ351" i="6"/>
  <c r="BC351" i="6"/>
  <c r="BD351" i="6"/>
  <c r="BE351" i="6"/>
  <c r="BJ351" i="6"/>
  <c r="AZ57" i="6"/>
  <c r="BC57" i="6"/>
  <c r="BJ57" i="6"/>
  <c r="AZ58" i="6"/>
  <c r="BC58" i="6"/>
  <c r="BJ58" i="6"/>
  <c r="AZ59" i="6"/>
  <c r="BC59" i="6"/>
  <c r="BJ59" i="6"/>
  <c r="AZ60" i="6"/>
  <c r="BC60" i="6"/>
  <c r="BJ60" i="6"/>
  <c r="AZ61" i="6"/>
  <c r="BC61" i="6"/>
  <c r="BJ61" i="6"/>
  <c r="AZ62" i="6"/>
  <c r="BC62" i="6"/>
  <c r="BD62" i="6"/>
  <c r="BE62" i="6"/>
  <c r="BF62" i="6"/>
  <c r="BJ62" i="6"/>
  <c r="AZ63" i="6"/>
  <c r="BC63" i="6"/>
  <c r="BD63" i="6"/>
  <c r="BJ63" i="6" s="1"/>
  <c r="AZ494" i="6"/>
  <c r="BC494" i="6"/>
  <c r="BD494" i="6"/>
  <c r="BE494" i="6"/>
  <c r="BF494" i="6"/>
  <c r="BG494" i="6"/>
  <c r="BH494" i="6"/>
  <c r="BI494" i="6"/>
  <c r="BJ494" i="6"/>
  <c r="AZ65" i="6"/>
  <c r="BC65" i="6"/>
  <c r="BJ65" i="6"/>
  <c r="AZ66" i="6"/>
  <c r="BC66" i="6"/>
  <c r="BJ66" i="6"/>
  <c r="AZ67" i="6"/>
  <c r="BC67" i="6"/>
  <c r="BJ67" i="6"/>
  <c r="AZ68" i="6"/>
  <c r="BC68" i="6"/>
  <c r="BJ68" i="6"/>
  <c r="AZ69" i="6"/>
  <c r="BC69" i="6"/>
  <c r="BJ69" i="6"/>
  <c r="AZ495" i="6"/>
  <c r="BC495" i="6"/>
  <c r="BD495" i="6"/>
  <c r="BE495" i="6"/>
  <c r="BF495" i="6"/>
  <c r="BG495" i="6"/>
  <c r="BH495" i="6"/>
  <c r="BI495" i="6"/>
  <c r="BJ495" i="6"/>
  <c r="AZ70" i="6"/>
  <c r="BC70" i="6"/>
  <c r="BJ70" i="6"/>
  <c r="AZ71" i="6"/>
  <c r="BC71" i="6"/>
  <c r="BJ71" i="6"/>
  <c r="AZ72" i="6"/>
  <c r="BC72" i="6"/>
  <c r="BJ72" i="6"/>
  <c r="AZ73" i="6"/>
  <c r="BC73" i="6"/>
  <c r="BJ73" i="6"/>
  <c r="AZ74" i="6"/>
  <c r="BC74" i="6"/>
  <c r="BJ74" i="6"/>
  <c r="AZ75" i="6"/>
  <c r="BC75" i="6"/>
  <c r="BJ75" i="6"/>
  <c r="AZ76" i="6"/>
  <c r="BC76" i="6"/>
  <c r="BJ76" i="6"/>
  <c r="AZ77" i="6"/>
  <c r="BC77" i="6"/>
  <c r="BJ77" i="6"/>
  <c r="AZ78" i="6"/>
  <c r="BC78" i="6"/>
  <c r="BJ78" i="6"/>
  <c r="AZ79" i="6"/>
  <c r="BC79" i="6"/>
  <c r="BJ79" i="6"/>
  <c r="AZ80" i="6"/>
  <c r="BC80" i="6"/>
  <c r="BJ80" i="6"/>
  <c r="AZ81" i="6"/>
  <c r="BC81" i="6"/>
  <c r="BJ81" i="6"/>
  <c r="AZ82" i="6"/>
  <c r="BC82" i="6"/>
  <c r="BD82" i="6"/>
  <c r="BE82" i="6"/>
  <c r="BF82" i="6"/>
  <c r="BJ82" i="6"/>
  <c r="AZ83" i="6"/>
  <c r="BC83" i="6"/>
  <c r="BJ83" i="6"/>
  <c r="AZ84" i="6"/>
  <c r="BC84" i="6"/>
  <c r="BD84" i="6"/>
  <c r="BJ84" i="6" s="1"/>
  <c r="AZ85" i="6"/>
  <c r="BC85" i="6"/>
  <c r="BJ85" i="6"/>
  <c r="AZ89" i="6"/>
  <c r="BC89" i="6"/>
  <c r="BD89" i="6"/>
  <c r="BE89" i="6"/>
  <c r="BJ89" i="6"/>
  <c r="AZ90" i="6"/>
  <c r="BC90" i="6"/>
  <c r="BJ90" i="6"/>
  <c r="AZ91" i="6"/>
  <c r="BC91" i="6"/>
  <c r="BD91" i="6"/>
  <c r="BJ91" i="6" s="1"/>
  <c r="BE91" i="6"/>
  <c r="BF91" i="6"/>
  <c r="AZ92" i="6"/>
  <c r="BC92" i="6"/>
  <c r="BJ92" i="6"/>
  <c r="AZ93" i="6"/>
  <c r="BC93" i="6"/>
  <c r="BJ93" i="6"/>
  <c r="AZ94" i="6"/>
  <c r="BC94" i="6"/>
  <c r="BD94" i="6"/>
  <c r="BJ94" i="6" s="1"/>
  <c r="BE94" i="6"/>
  <c r="BF94" i="6"/>
  <c r="AZ95" i="6"/>
  <c r="BC95" i="6"/>
  <c r="BJ95" i="6"/>
  <c r="AZ96" i="6"/>
  <c r="BC96" i="6"/>
  <c r="BJ96" i="6"/>
  <c r="AZ97" i="6"/>
  <c r="BC97" i="6"/>
  <c r="BJ97" i="6"/>
  <c r="AZ98" i="6"/>
  <c r="BC98" i="6"/>
  <c r="BJ98" i="6"/>
  <c r="AZ99" i="6"/>
  <c r="BC99" i="6"/>
  <c r="BJ99" i="6"/>
  <c r="AZ100" i="6"/>
  <c r="BC100" i="6"/>
  <c r="BJ100" i="6"/>
  <c r="AZ101" i="6"/>
  <c r="BC101" i="6"/>
  <c r="BJ101" i="6"/>
  <c r="AZ102" i="6"/>
  <c r="BC102" i="6"/>
  <c r="BD102" i="6"/>
  <c r="BJ102" i="6" s="1"/>
  <c r="AZ103" i="6"/>
  <c r="BC103" i="6"/>
  <c r="BD103" i="6"/>
  <c r="BJ103" i="6" s="1"/>
  <c r="AZ104" i="6"/>
  <c r="BC104" i="6"/>
  <c r="BD104" i="6"/>
  <c r="BJ104" i="6" s="1"/>
  <c r="AZ105" i="6"/>
  <c r="BC105" i="6"/>
  <c r="BD105" i="6"/>
  <c r="BJ105" i="6" s="1"/>
  <c r="AZ106" i="6"/>
  <c r="BC106" i="6"/>
  <c r="BJ106" i="6"/>
  <c r="AZ107" i="6"/>
  <c r="BC107" i="6"/>
  <c r="BD107" i="6"/>
  <c r="BJ107" i="6" s="1"/>
  <c r="AZ108" i="6"/>
  <c r="BC108" i="6"/>
  <c r="BJ108" i="6"/>
  <c r="AZ109" i="6"/>
  <c r="BC109" i="6"/>
  <c r="BJ109" i="6"/>
  <c r="AZ110" i="6"/>
  <c r="BC110" i="6"/>
  <c r="BJ110" i="6"/>
  <c r="AZ111" i="6"/>
  <c r="BC111" i="6"/>
  <c r="BJ111" i="6"/>
  <c r="AZ112" i="6"/>
  <c r="BC112" i="6"/>
  <c r="BD112" i="6"/>
  <c r="BJ112" i="6" s="1"/>
  <c r="BE112" i="6"/>
  <c r="BF112" i="6"/>
  <c r="AZ113" i="6"/>
  <c r="BC113" i="6"/>
  <c r="BJ113" i="6"/>
  <c r="DF62" i="6"/>
  <c r="AZ114" i="6"/>
  <c r="BC114" i="6"/>
  <c r="BJ114" i="6"/>
  <c r="AZ115" i="6"/>
  <c r="BC115" i="6"/>
  <c r="BJ115" i="6"/>
  <c r="AZ116" i="6"/>
  <c r="BC116" i="6"/>
  <c r="BJ116" i="6"/>
  <c r="AZ119" i="6"/>
  <c r="BC119" i="6"/>
  <c r="BJ119" i="6"/>
  <c r="AZ120" i="6"/>
  <c r="BC120" i="6"/>
  <c r="BJ120" i="6"/>
  <c r="DF66" i="6"/>
  <c r="AZ380" i="6"/>
  <c r="BC380" i="6"/>
  <c r="BD380" i="6"/>
  <c r="BJ380" i="6" s="1"/>
  <c r="BE380" i="6"/>
  <c r="BF380" i="6"/>
  <c r="BG380" i="6"/>
  <c r="AZ381" i="6"/>
  <c r="BC381" i="6"/>
  <c r="BD381" i="6"/>
  <c r="BE381" i="6"/>
  <c r="BF381" i="6"/>
  <c r="BG381" i="6"/>
  <c r="BJ381" i="6"/>
  <c r="AZ378" i="6"/>
  <c r="BC378" i="6"/>
  <c r="BD378" i="6"/>
  <c r="BJ378" i="6" s="1"/>
  <c r="BE378" i="6"/>
  <c r="BF378" i="6"/>
  <c r="BG378" i="6"/>
  <c r="AZ379" i="6"/>
  <c r="BC379" i="6"/>
  <c r="BD379" i="6"/>
  <c r="BJ379" i="6" s="1"/>
  <c r="BE379" i="6"/>
  <c r="BF379" i="6"/>
  <c r="BG379" i="6"/>
  <c r="AZ382" i="6"/>
  <c r="BC382" i="6"/>
  <c r="BD382" i="6"/>
  <c r="BJ382" i="6" s="1"/>
  <c r="BE382" i="6"/>
  <c r="BF382" i="6"/>
  <c r="BG382" i="6"/>
  <c r="AZ383" i="6"/>
  <c r="BC383" i="6"/>
  <c r="BD383" i="6"/>
  <c r="BJ383" i="6" s="1"/>
  <c r="BE383" i="6"/>
  <c r="BF383" i="6"/>
  <c r="BG383" i="6"/>
  <c r="AZ384" i="6"/>
  <c r="BC384" i="6"/>
  <c r="BD384" i="6"/>
  <c r="BE384" i="6"/>
  <c r="BF384" i="6"/>
  <c r="BG384" i="6"/>
  <c r="BJ384" i="6"/>
  <c r="AZ385" i="6"/>
  <c r="BC385" i="6"/>
  <c r="BD385" i="6"/>
  <c r="BJ385" i="6" s="1"/>
  <c r="BE385" i="6"/>
  <c r="BF385" i="6"/>
  <c r="BG385" i="6"/>
  <c r="AZ377" i="6"/>
  <c r="BC377" i="6"/>
  <c r="BD377" i="6"/>
  <c r="BJ377" i="6" s="1"/>
  <c r="BE377" i="6"/>
  <c r="BF377" i="6"/>
  <c r="BG377" i="6"/>
  <c r="AZ466" i="6"/>
  <c r="BC466" i="6"/>
  <c r="BD466" i="6"/>
  <c r="BE466" i="6"/>
  <c r="BF466" i="6"/>
  <c r="BG466" i="6"/>
  <c r="BH466" i="6"/>
  <c r="BJ466" i="6"/>
  <c r="AZ375" i="6"/>
  <c r="BC375" i="6"/>
  <c r="BD375" i="6"/>
  <c r="BJ375" i="6" s="1"/>
  <c r="BE375" i="6"/>
  <c r="BF375" i="6"/>
  <c r="BG375" i="6"/>
  <c r="AZ376" i="6"/>
  <c r="BC376" i="6"/>
  <c r="BD376" i="6"/>
  <c r="BJ376" i="6" s="1"/>
  <c r="BE376" i="6"/>
  <c r="BF376" i="6"/>
  <c r="BG376" i="6"/>
  <c r="AZ371" i="6"/>
  <c r="BC371" i="6"/>
  <c r="BD371" i="6"/>
  <c r="BJ371" i="6" s="1"/>
  <c r="BE371" i="6"/>
  <c r="BF371" i="6"/>
  <c r="BG371" i="6"/>
  <c r="AZ372" i="6"/>
  <c r="BC372" i="6"/>
  <c r="BD372" i="6"/>
  <c r="BE372" i="6"/>
  <c r="BF372" i="6"/>
  <c r="BG372" i="6"/>
  <c r="BJ372" i="6"/>
  <c r="AZ373" i="6"/>
  <c r="BC373" i="6"/>
  <c r="BD373" i="6"/>
  <c r="BE373" i="6"/>
  <c r="BF373" i="6"/>
  <c r="BG373" i="6"/>
  <c r="BJ373" i="6"/>
  <c r="AZ374" i="6"/>
  <c r="BC374" i="6"/>
  <c r="BD374" i="6"/>
  <c r="BJ374" i="6" s="1"/>
  <c r="BE374" i="6"/>
  <c r="BF374" i="6"/>
  <c r="BG374" i="6"/>
  <c r="AZ386" i="6"/>
  <c r="BC386" i="6"/>
  <c r="BD386" i="6"/>
  <c r="BJ386" i="6" s="1"/>
  <c r="BE386" i="6"/>
  <c r="BF386" i="6"/>
  <c r="BG386" i="6"/>
  <c r="AZ387" i="6"/>
  <c r="BC387" i="6"/>
  <c r="BD387" i="6"/>
  <c r="BJ387" i="6" s="1"/>
  <c r="BE387" i="6"/>
  <c r="BF387" i="6"/>
  <c r="BG387" i="6"/>
  <c r="AZ388" i="6"/>
  <c r="BC388" i="6"/>
  <c r="BD388" i="6"/>
  <c r="BE388" i="6"/>
  <c r="BF388" i="6"/>
  <c r="BG388" i="6"/>
  <c r="BJ388" i="6"/>
  <c r="AZ330" i="6"/>
  <c r="BC330" i="6"/>
  <c r="BD330" i="6"/>
  <c r="BE330" i="6"/>
  <c r="BJ330" i="6"/>
  <c r="AZ331" i="6"/>
  <c r="BC331" i="6"/>
  <c r="BD331" i="6"/>
  <c r="BE331" i="6"/>
  <c r="BJ331" i="6"/>
  <c r="AZ334" i="6"/>
  <c r="BC334" i="6"/>
  <c r="BD334" i="6"/>
  <c r="BE334" i="6"/>
  <c r="BJ334" i="6"/>
  <c r="AZ464" i="6"/>
  <c r="BC464" i="6"/>
  <c r="BD464" i="6"/>
  <c r="BE464" i="6"/>
  <c r="BF464" i="6"/>
  <c r="BG464" i="6"/>
  <c r="BH464" i="6"/>
  <c r="BJ464" i="6"/>
  <c r="AZ332" i="6"/>
  <c r="BC332" i="6"/>
  <c r="BD332" i="6"/>
  <c r="BE332" i="6"/>
  <c r="BJ332" i="6"/>
  <c r="AZ333" i="6"/>
  <c r="BC333" i="6"/>
  <c r="BD333" i="6"/>
  <c r="BE333" i="6"/>
  <c r="BJ333" i="6"/>
  <c r="AZ358" i="6"/>
  <c r="BC358" i="6"/>
  <c r="BD358" i="6"/>
  <c r="BE358" i="6"/>
  <c r="BF358" i="6"/>
  <c r="BG358" i="6"/>
  <c r="BJ358" i="6"/>
  <c r="AZ460" i="6"/>
  <c r="BC460" i="6"/>
  <c r="BD460" i="6"/>
  <c r="BJ460" i="6" s="1"/>
  <c r="BE460" i="6"/>
  <c r="BF460" i="6"/>
  <c r="BG460" i="6"/>
  <c r="AZ461" i="6"/>
  <c r="BC461" i="6"/>
  <c r="BD461" i="6"/>
  <c r="BE461" i="6"/>
  <c r="BF461" i="6"/>
  <c r="BG461" i="6"/>
  <c r="BH461" i="6"/>
  <c r="BJ461" i="6"/>
  <c r="AZ354" i="6"/>
  <c r="BC354" i="6"/>
  <c r="BD354" i="6"/>
  <c r="BE354" i="6"/>
  <c r="BF354" i="6"/>
  <c r="BG354" i="6"/>
  <c r="BJ354" i="6"/>
  <c r="AZ355" i="6"/>
  <c r="BC355" i="6"/>
  <c r="BD355" i="6"/>
  <c r="BJ355" i="6" s="1"/>
  <c r="BE355" i="6"/>
  <c r="BF355" i="6"/>
  <c r="BG355" i="6"/>
  <c r="AZ356" i="6"/>
  <c r="BC356" i="6"/>
  <c r="BD356" i="6"/>
  <c r="BJ356" i="6" s="1"/>
  <c r="BE356" i="6"/>
  <c r="BF356" i="6"/>
  <c r="BG356" i="6"/>
  <c r="AZ369" i="6"/>
  <c r="BC369" i="6"/>
  <c r="BD369" i="6"/>
  <c r="BJ369" i="6" s="1"/>
  <c r="BE369" i="6"/>
  <c r="BF369" i="6"/>
  <c r="BG369" i="6"/>
  <c r="AZ352" i="6"/>
  <c r="BC352" i="6"/>
  <c r="BD352" i="6"/>
  <c r="BE352" i="6"/>
  <c r="BF352" i="6"/>
  <c r="BG352" i="6"/>
  <c r="BJ352" i="6"/>
  <c r="AZ353" i="6"/>
  <c r="BC353" i="6"/>
  <c r="BD353" i="6"/>
  <c r="BE353" i="6"/>
  <c r="BF353" i="6"/>
  <c r="BG353" i="6"/>
  <c r="BJ353" i="6"/>
  <c r="AZ462" i="6"/>
  <c r="BC462" i="6"/>
  <c r="BD462" i="6"/>
  <c r="BJ462" i="6" s="1"/>
  <c r="BE462" i="6"/>
  <c r="BF462" i="6"/>
  <c r="BG462" i="6"/>
  <c r="BH462" i="6"/>
  <c r="AZ465" i="6"/>
  <c r="BC465" i="6"/>
  <c r="BD465" i="6"/>
  <c r="BJ465" i="6" s="1"/>
  <c r="BE465" i="6"/>
  <c r="BF465" i="6"/>
  <c r="BG465" i="6"/>
  <c r="BH465" i="6"/>
  <c r="AZ360" i="6"/>
  <c r="BC360" i="6"/>
  <c r="BD360" i="6"/>
  <c r="BE360" i="6"/>
  <c r="BF360" i="6"/>
  <c r="BG360" i="6"/>
  <c r="BJ360" i="6"/>
  <c r="AZ357" i="6"/>
  <c r="BC357" i="6"/>
  <c r="BD357" i="6"/>
  <c r="BJ357" i="6" s="1"/>
  <c r="BE357" i="6"/>
  <c r="BF357" i="6"/>
  <c r="BG357" i="6"/>
  <c r="AZ359" i="6"/>
  <c r="BC359" i="6"/>
  <c r="BD359" i="6"/>
  <c r="BJ359" i="6" s="1"/>
  <c r="BE359" i="6"/>
  <c r="BF359" i="6"/>
  <c r="BG359" i="6"/>
  <c r="AZ412" i="6"/>
  <c r="BC412" i="6"/>
  <c r="BD412" i="6"/>
  <c r="BJ412" i="6" s="1"/>
  <c r="BE412" i="6"/>
  <c r="BF412" i="6"/>
  <c r="BG412" i="6"/>
  <c r="AZ415" i="6"/>
  <c r="BC415" i="6"/>
  <c r="BD415" i="6"/>
  <c r="BE415" i="6"/>
  <c r="BF415" i="6"/>
  <c r="BG415" i="6"/>
  <c r="BH415" i="6"/>
  <c r="BJ415" i="6"/>
  <c r="AZ417" i="6"/>
  <c r="BC417" i="6"/>
  <c r="BD417" i="6"/>
  <c r="BJ417" i="6" s="1"/>
  <c r="BE417" i="6"/>
  <c r="BF417" i="6"/>
  <c r="BG417" i="6"/>
  <c r="AZ454" i="6"/>
  <c r="BC454" i="6"/>
  <c r="BD454" i="6"/>
  <c r="BE454" i="6"/>
  <c r="BF454" i="6"/>
  <c r="BG454" i="6"/>
  <c r="BH454" i="6"/>
  <c r="BJ454" i="6"/>
  <c r="AZ121" i="6"/>
  <c r="BC121" i="6"/>
  <c r="BD121" i="6"/>
  <c r="BE121" i="6"/>
  <c r="BJ121" i="6"/>
  <c r="AZ122" i="6"/>
  <c r="BC122" i="6"/>
  <c r="BD122" i="6"/>
  <c r="BJ122" i="6" s="1"/>
  <c r="AZ335" i="6"/>
  <c r="BC335" i="6"/>
  <c r="BD335" i="6"/>
  <c r="BE335" i="6"/>
  <c r="BJ335" i="6"/>
  <c r="AZ367" i="6"/>
  <c r="BC367" i="6"/>
  <c r="BD367" i="6"/>
  <c r="BJ367" i="6" s="1"/>
  <c r="BE367" i="6"/>
  <c r="BF367" i="6"/>
  <c r="BG367" i="6"/>
  <c r="AZ414" i="6"/>
  <c r="BC414" i="6"/>
  <c r="BD414" i="6"/>
  <c r="BJ414" i="6" s="1"/>
  <c r="BE414" i="6"/>
  <c r="BF414" i="6"/>
  <c r="BG414" i="6"/>
  <c r="AZ398" i="6"/>
  <c r="BC398" i="6"/>
  <c r="BD398" i="6"/>
  <c r="BJ398" i="6" s="1"/>
  <c r="BE398" i="6"/>
  <c r="BF398" i="6"/>
  <c r="BG398" i="6"/>
  <c r="AZ399" i="6"/>
  <c r="BC399" i="6"/>
  <c r="BD399" i="6"/>
  <c r="BE399" i="6"/>
  <c r="BF399" i="6"/>
  <c r="BG399" i="6"/>
  <c r="BJ399" i="6"/>
  <c r="AZ420" i="6"/>
  <c r="BC420" i="6"/>
  <c r="BD420" i="6"/>
  <c r="BE420" i="6"/>
  <c r="BF420" i="6"/>
  <c r="BG420" i="6"/>
  <c r="BJ420" i="6"/>
  <c r="AZ453" i="6"/>
  <c r="BC453" i="6"/>
  <c r="BD453" i="6"/>
  <c r="BJ453" i="6" s="1"/>
  <c r="BE453" i="6"/>
  <c r="BF453" i="6"/>
  <c r="BG453" i="6"/>
  <c r="BH453" i="6"/>
  <c r="AZ366" i="6"/>
  <c r="BC366" i="6"/>
  <c r="BD366" i="6"/>
  <c r="BE366" i="6"/>
  <c r="BF366" i="6"/>
  <c r="BG366" i="6"/>
  <c r="BJ366" i="6"/>
  <c r="AZ416" i="6"/>
  <c r="BC416" i="6"/>
  <c r="BD416" i="6"/>
  <c r="BE416" i="6"/>
  <c r="BF416" i="6"/>
  <c r="BG416" i="6"/>
  <c r="BJ416" i="6"/>
  <c r="AZ418" i="6"/>
  <c r="BC418" i="6"/>
  <c r="BD418" i="6"/>
  <c r="BJ418" i="6" s="1"/>
  <c r="BE418" i="6"/>
  <c r="BF418" i="6"/>
  <c r="BG418" i="6"/>
  <c r="AZ419" i="6"/>
  <c r="BC419" i="6"/>
  <c r="BD419" i="6"/>
  <c r="BJ419" i="6" s="1"/>
  <c r="BE419" i="6"/>
  <c r="BF419" i="6"/>
  <c r="BG419" i="6"/>
  <c r="AZ452" i="6"/>
  <c r="BC452" i="6"/>
  <c r="BD452" i="6"/>
  <c r="BJ452" i="6" s="1"/>
  <c r="BE452" i="6"/>
  <c r="BF452" i="6"/>
  <c r="BG452" i="6"/>
  <c r="BH452" i="6"/>
  <c r="AZ123" i="6"/>
  <c r="BC123" i="6"/>
  <c r="BD123" i="6"/>
  <c r="BJ123" i="6"/>
  <c r="AZ395" i="6"/>
  <c r="BC395" i="6"/>
  <c r="BD395" i="6"/>
  <c r="BJ395" i="6" s="1"/>
  <c r="BE395" i="6"/>
  <c r="BF395" i="6"/>
  <c r="BG395" i="6"/>
  <c r="AZ397" i="6"/>
  <c r="BC397" i="6"/>
  <c r="BD397" i="6"/>
  <c r="BE397" i="6"/>
  <c r="BJ397" i="6"/>
  <c r="AZ451" i="6"/>
  <c r="BC451" i="6"/>
  <c r="BD451" i="6"/>
  <c r="BJ451" i="6" s="1"/>
  <c r="BE451" i="6"/>
  <c r="BF451" i="6"/>
  <c r="BG451" i="6"/>
  <c r="BH451" i="6"/>
  <c r="AZ124" i="6"/>
  <c r="BC124" i="6"/>
  <c r="BD124" i="6"/>
  <c r="BJ124" i="6" s="1"/>
  <c r="BE124" i="6"/>
  <c r="AZ394" i="6"/>
  <c r="BC394" i="6"/>
  <c r="BD394" i="6"/>
  <c r="BE394" i="6"/>
  <c r="BF394" i="6"/>
  <c r="BG394" i="6"/>
  <c r="BJ394" i="6"/>
  <c r="AZ396" i="6"/>
  <c r="BC396" i="6"/>
  <c r="BD396" i="6"/>
  <c r="BJ396" i="6" s="1"/>
  <c r="BE396" i="6"/>
  <c r="BF396" i="6"/>
  <c r="BG396" i="6"/>
  <c r="AZ463" i="6"/>
  <c r="BC463" i="6"/>
  <c r="BD463" i="6"/>
  <c r="BE463" i="6"/>
  <c r="BF463" i="6"/>
  <c r="BG463" i="6"/>
  <c r="BH463" i="6"/>
  <c r="BJ463" i="6"/>
  <c r="AZ125" i="6"/>
  <c r="BC125" i="6"/>
  <c r="BD125" i="6"/>
  <c r="BE125" i="6"/>
  <c r="BJ125" i="6"/>
  <c r="AZ126" i="6"/>
  <c r="BC126" i="6"/>
  <c r="BD126" i="6"/>
  <c r="BJ126" i="6" s="1"/>
  <c r="AZ127" i="6"/>
  <c r="BC127" i="6"/>
  <c r="BD127" i="6"/>
  <c r="BJ127" i="6"/>
  <c r="AZ128" i="6"/>
  <c r="BC128" i="6"/>
  <c r="BD128" i="6"/>
  <c r="BJ128" i="6"/>
  <c r="AZ129" i="6"/>
  <c r="BC129" i="6"/>
  <c r="BD129" i="6"/>
  <c r="BJ129" i="6" s="1"/>
  <c r="AZ130" i="6"/>
  <c r="BC130" i="6"/>
  <c r="BD130" i="6"/>
  <c r="BJ130" i="6"/>
  <c r="AZ497" i="6"/>
  <c r="BC497" i="6"/>
  <c r="BD497" i="6"/>
  <c r="BE497" i="6"/>
  <c r="BF497" i="6"/>
  <c r="BG497" i="6"/>
  <c r="BH497" i="6"/>
  <c r="BI497" i="6"/>
  <c r="BJ497" i="6"/>
  <c r="AZ131" i="6"/>
  <c r="BC131" i="6"/>
  <c r="BD131" i="6"/>
  <c r="BJ131" i="6" s="1"/>
  <c r="AZ132" i="6"/>
  <c r="BC132" i="6"/>
  <c r="BD132" i="6"/>
  <c r="BJ132" i="6" s="1"/>
  <c r="AZ468" i="6"/>
  <c r="BC468" i="6"/>
  <c r="BD468" i="6"/>
  <c r="BJ468" i="6" s="1"/>
  <c r="BE468" i="6"/>
  <c r="BF468" i="6"/>
  <c r="BG468" i="6"/>
  <c r="BH468" i="6"/>
  <c r="AZ133" i="6"/>
  <c r="BC133" i="6"/>
  <c r="BD133" i="6"/>
  <c r="BJ133" i="6" s="1"/>
  <c r="AZ134" i="6"/>
  <c r="BC134" i="6"/>
  <c r="BD134" i="6"/>
  <c r="BJ134" i="6"/>
  <c r="AZ135" i="6"/>
  <c r="BC135" i="6"/>
  <c r="BD135" i="6"/>
  <c r="BJ135" i="6"/>
  <c r="AZ434" i="6"/>
  <c r="BC434" i="6"/>
  <c r="BD434" i="6"/>
  <c r="BJ434" i="6" s="1"/>
  <c r="BE434" i="6"/>
  <c r="BF434" i="6"/>
  <c r="BG434" i="6"/>
  <c r="AZ136" i="6"/>
  <c r="BC136" i="6"/>
  <c r="BD136" i="6"/>
  <c r="BJ136" i="6"/>
  <c r="AZ137" i="6"/>
  <c r="BC137" i="6"/>
  <c r="BD137" i="6"/>
  <c r="BJ137" i="6" s="1"/>
  <c r="AZ138" i="6"/>
  <c r="BC138" i="6"/>
  <c r="BD138" i="6"/>
  <c r="BJ138" i="6"/>
  <c r="AZ139" i="6"/>
  <c r="BC139" i="6"/>
  <c r="BD139" i="6"/>
  <c r="BJ139" i="6" s="1"/>
  <c r="AZ140" i="6"/>
  <c r="BC140" i="6"/>
  <c r="BD140" i="6"/>
  <c r="BJ140" i="6" s="1"/>
  <c r="AZ141" i="6"/>
  <c r="BC141" i="6"/>
  <c r="BD141" i="6"/>
  <c r="BJ141" i="6"/>
  <c r="AZ443" i="6"/>
  <c r="BC443" i="6"/>
  <c r="BD443" i="6"/>
  <c r="BJ443" i="6" s="1"/>
  <c r="BE443" i="6"/>
  <c r="BF443" i="6"/>
  <c r="BG443" i="6"/>
  <c r="AZ145" i="6"/>
  <c r="BC145" i="6"/>
  <c r="BD145" i="6"/>
  <c r="BJ145" i="6" s="1"/>
  <c r="AZ146" i="6"/>
  <c r="BC146" i="6"/>
  <c r="BD146" i="6"/>
  <c r="BJ146" i="6" s="1"/>
  <c r="AZ147" i="6"/>
  <c r="BC147" i="6"/>
  <c r="BD147" i="6"/>
  <c r="BE147" i="6"/>
  <c r="BJ147" i="6"/>
  <c r="AZ148" i="6"/>
  <c r="BC148" i="6"/>
  <c r="BD148" i="6"/>
  <c r="BJ148" i="6"/>
  <c r="AZ149" i="6"/>
  <c r="BC149" i="6"/>
  <c r="BD149" i="6"/>
  <c r="BJ149" i="6" s="1"/>
  <c r="AZ150" i="6"/>
  <c r="BC150" i="6"/>
  <c r="BD150" i="6"/>
  <c r="BJ150" i="6"/>
  <c r="AZ151" i="6"/>
  <c r="BC151" i="6"/>
  <c r="BD151" i="6"/>
  <c r="BJ151" i="6"/>
  <c r="AZ445" i="6"/>
  <c r="BC445" i="6"/>
  <c r="BD445" i="6"/>
  <c r="BE445" i="6"/>
  <c r="BF445" i="6"/>
  <c r="BG445" i="6"/>
  <c r="BJ445" i="6"/>
  <c r="AZ152" i="6"/>
  <c r="BC152" i="6"/>
  <c r="BJ152" i="6"/>
  <c r="AZ153" i="6"/>
  <c r="BC153" i="6"/>
  <c r="BJ153" i="6"/>
  <c r="AZ154" i="6"/>
  <c r="BC154" i="6"/>
  <c r="BJ154" i="6"/>
  <c r="AZ155" i="6"/>
  <c r="BC155" i="6"/>
  <c r="BD155" i="6"/>
  <c r="BJ155" i="6" s="1"/>
  <c r="BE155" i="6"/>
  <c r="AZ496" i="6"/>
  <c r="BC496" i="6"/>
  <c r="BD496" i="6"/>
  <c r="BE496" i="6"/>
  <c r="BF496" i="6"/>
  <c r="BG496" i="6"/>
  <c r="BH496" i="6"/>
  <c r="BI496" i="6"/>
  <c r="BJ496" i="6"/>
  <c r="AZ156" i="6"/>
  <c r="BC156" i="6"/>
  <c r="BD156" i="6"/>
  <c r="BJ156" i="6" s="1"/>
  <c r="AZ157" i="6"/>
  <c r="BC157" i="6"/>
  <c r="BD157" i="6"/>
  <c r="BE157" i="6"/>
  <c r="BJ157" i="6"/>
  <c r="AZ158" i="6"/>
  <c r="BC158" i="6"/>
  <c r="BD158" i="6"/>
  <c r="BJ158" i="6" s="1"/>
  <c r="AZ159" i="6"/>
  <c r="BC159" i="6"/>
  <c r="BD159" i="6"/>
  <c r="BJ159" i="6" s="1"/>
  <c r="AZ160" i="6"/>
  <c r="BC160" i="6"/>
  <c r="BD160" i="6"/>
  <c r="BJ160" i="6"/>
  <c r="AZ161" i="6"/>
  <c r="BC161" i="6"/>
  <c r="BD161" i="6"/>
  <c r="BJ161" i="6"/>
  <c r="AZ162" i="6"/>
  <c r="BC162" i="6"/>
  <c r="BD162" i="6"/>
  <c r="BJ162" i="6" s="1"/>
  <c r="AZ345" i="6"/>
  <c r="BC345" i="6"/>
  <c r="BD345" i="6"/>
  <c r="BE345" i="6"/>
  <c r="BJ345" i="6"/>
  <c r="AZ163" i="6"/>
  <c r="BC163" i="6"/>
  <c r="BD163" i="6"/>
  <c r="BJ163" i="6" s="1"/>
  <c r="AZ337" i="6"/>
  <c r="BC337" i="6"/>
  <c r="BD337" i="6"/>
  <c r="BE337" i="6"/>
  <c r="BJ337" i="6"/>
  <c r="AZ338" i="6"/>
  <c r="BC338" i="6"/>
  <c r="BD338" i="6"/>
  <c r="BE338" i="6"/>
  <c r="BJ338" i="6"/>
  <c r="AZ164" i="6"/>
  <c r="BC164" i="6"/>
  <c r="BD164" i="6"/>
  <c r="BJ164" i="6" s="1"/>
  <c r="AZ165" i="6"/>
  <c r="BC165" i="6"/>
  <c r="BD165" i="6"/>
  <c r="BJ165" i="6" s="1"/>
  <c r="AZ166" i="6"/>
  <c r="BC166" i="6"/>
  <c r="BD166" i="6"/>
  <c r="BJ166" i="6"/>
  <c r="AZ170" i="6"/>
  <c r="BC170" i="6"/>
  <c r="BD170" i="6"/>
  <c r="BJ170" i="6"/>
  <c r="AZ171" i="6"/>
  <c r="BC171" i="6"/>
  <c r="BD171" i="6"/>
  <c r="BJ171" i="6" s="1"/>
  <c r="AZ172" i="6"/>
  <c r="BC172" i="6"/>
  <c r="BD172" i="6"/>
  <c r="BJ172" i="6"/>
  <c r="AZ446" i="6"/>
  <c r="BC446" i="6"/>
  <c r="BD446" i="6"/>
  <c r="BJ446" i="6" s="1"/>
  <c r="BE446" i="6"/>
  <c r="BF446" i="6"/>
  <c r="BG446" i="6"/>
  <c r="AZ173" i="6"/>
  <c r="BC173" i="6"/>
  <c r="BD173" i="6"/>
  <c r="BJ173" i="6" s="1"/>
  <c r="AZ174" i="6"/>
  <c r="BC174" i="6"/>
  <c r="BD174" i="6"/>
  <c r="BJ174" i="6"/>
  <c r="AZ175" i="6"/>
  <c r="BC175" i="6"/>
  <c r="BD175" i="6"/>
  <c r="BJ175" i="6" s="1"/>
  <c r="AZ176" i="6"/>
  <c r="BC176" i="6"/>
  <c r="BD176" i="6"/>
  <c r="BJ176" i="6" s="1"/>
  <c r="AZ177" i="6"/>
  <c r="BC177" i="6"/>
  <c r="BD177" i="6"/>
  <c r="BJ177" i="6" s="1"/>
  <c r="AZ178" i="6"/>
  <c r="BC178" i="6"/>
  <c r="BD178" i="6"/>
  <c r="BJ178" i="6"/>
  <c r="AZ179" i="6"/>
  <c r="BC179" i="6"/>
  <c r="BD179" i="6"/>
  <c r="BJ179" i="6" s="1"/>
  <c r="AZ180" i="6"/>
  <c r="BC180" i="6"/>
  <c r="BD180" i="6"/>
  <c r="BJ180" i="6"/>
  <c r="AZ181" i="6"/>
  <c r="BC181" i="6"/>
  <c r="BD181" i="6"/>
  <c r="BJ181" i="6" s="1"/>
  <c r="AZ182" i="6"/>
  <c r="BC182" i="6"/>
  <c r="BD182" i="6"/>
  <c r="BJ182" i="6"/>
  <c r="AZ183" i="6"/>
  <c r="BC183" i="6"/>
  <c r="BD183" i="6"/>
  <c r="BJ183" i="6" s="1"/>
  <c r="AZ321" i="6"/>
  <c r="BC321" i="6"/>
  <c r="BD321" i="6"/>
  <c r="BJ321" i="6" s="1"/>
  <c r="BE321" i="6"/>
  <c r="AZ184" i="6"/>
  <c r="BC184" i="6"/>
  <c r="BD184" i="6"/>
  <c r="BJ184" i="6"/>
  <c r="AZ336" i="6"/>
  <c r="BC336" i="6"/>
  <c r="BD336" i="6"/>
  <c r="BJ336" i="6" s="1"/>
  <c r="BE336" i="6"/>
  <c r="AZ322" i="6"/>
  <c r="BC322" i="6"/>
  <c r="BD322" i="6"/>
  <c r="BJ322" i="6" s="1"/>
  <c r="BE322" i="6"/>
  <c r="AZ323" i="6"/>
  <c r="BC323" i="6"/>
  <c r="BD323" i="6"/>
  <c r="BE323" i="6"/>
  <c r="BJ323" i="6"/>
  <c r="AZ440" i="6"/>
  <c r="BC440" i="6"/>
  <c r="BD440" i="6"/>
  <c r="BE440" i="6"/>
  <c r="BF440" i="6"/>
  <c r="BG440" i="6"/>
  <c r="BJ440" i="6"/>
  <c r="AZ324" i="6"/>
  <c r="BC324" i="6"/>
  <c r="BD324" i="6"/>
  <c r="BJ324" i="6" s="1"/>
  <c r="BE324" i="6"/>
  <c r="AZ325" i="6"/>
  <c r="BC325" i="6"/>
  <c r="BD325" i="6"/>
  <c r="BE325" i="6"/>
  <c r="BJ325" i="6"/>
  <c r="AZ437" i="6"/>
  <c r="BC437" i="6"/>
  <c r="BD437" i="6"/>
  <c r="BJ437" i="6" s="1"/>
  <c r="BE437" i="6"/>
  <c r="BF437" i="6"/>
  <c r="BG437" i="6"/>
  <c r="AZ438" i="6"/>
  <c r="BC438" i="6"/>
  <c r="BD438" i="6"/>
  <c r="BE438" i="6"/>
  <c r="BF438" i="6"/>
  <c r="BG438" i="6"/>
  <c r="BJ438" i="6"/>
  <c r="AZ439" i="6"/>
  <c r="BC439" i="6"/>
  <c r="BD439" i="6"/>
  <c r="BE439" i="6"/>
  <c r="BF439" i="6"/>
  <c r="BG439" i="6"/>
  <c r="BJ439" i="6"/>
  <c r="AZ442" i="6"/>
  <c r="BC442" i="6"/>
  <c r="BD442" i="6"/>
  <c r="BJ442" i="6" s="1"/>
  <c r="BE442" i="6"/>
  <c r="BF442" i="6"/>
  <c r="BG442" i="6"/>
  <c r="AZ436" i="6"/>
  <c r="BC436" i="6"/>
  <c r="BD436" i="6"/>
  <c r="BE436" i="6"/>
  <c r="BF436" i="6"/>
  <c r="BG436" i="6"/>
  <c r="BJ436" i="6"/>
  <c r="AZ441" i="6"/>
  <c r="BC441" i="6"/>
  <c r="BD441" i="6"/>
  <c r="BE441" i="6"/>
  <c r="BF441" i="6"/>
  <c r="BG441" i="6"/>
  <c r="BJ441" i="6"/>
  <c r="AZ326" i="6"/>
  <c r="BC326" i="6"/>
  <c r="BD326" i="6"/>
  <c r="BE326" i="6"/>
  <c r="BJ326" i="6"/>
  <c r="AZ327" i="6"/>
  <c r="BC327" i="6"/>
  <c r="BD327" i="6"/>
  <c r="BE327" i="6"/>
  <c r="BJ327" i="6"/>
  <c r="AZ389" i="6"/>
  <c r="BC389" i="6"/>
  <c r="BD389" i="6"/>
  <c r="BE389" i="6"/>
  <c r="BF389" i="6"/>
  <c r="BG389" i="6"/>
  <c r="BJ389" i="6"/>
  <c r="AZ390" i="6"/>
  <c r="BC390" i="6"/>
  <c r="BD390" i="6"/>
  <c r="BE390" i="6"/>
  <c r="BF390" i="6"/>
  <c r="BG390" i="6"/>
  <c r="BJ390" i="6"/>
  <c r="AZ411" i="6"/>
  <c r="BC411" i="6"/>
  <c r="BD411" i="6"/>
  <c r="BE411" i="6"/>
  <c r="BF411" i="6"/>
  <c r="BG411" i="6"/>
  <c r="BJ411" i="6"/>
  <c r="AZ186" i="6"/>
  <c r="BC186" i="6"/>
  <c r="BD186" i="6"/>
  <c r="BJ186" i="6"/>
  <c r="AZ319" i="6"/>
  <c r="BC319" i="6"/>
  <c r="BD319" i="6"/>
  <c r="BJ319" i="6" s="1"/>
  <c r="BE319" i="6"/>
  <c r="AZ320" i="6"/>
  <c r="BC320" i="6"/>
  <c r="BD320" i="6"/>
  <c r="BE320" i="6"/>
  <c r="BJ320" i="6"/>
  <c r="AZ317" i="6"/>
  <c r="BC317" i="6"/>
  <c r="BD317" i="6"/>
  <c r="BE317" i="6"/>
  <c r="BJ317" i="6"/>
  <c r="AZ318" i="6"/>
  <c r="BC318" i="6"/>
  <c r="BD318" i="6"/>
  <c r="BE318" i="6"/>
  <c r="BJ318" i="6"/>
  <c r="AZ315" i="6"/>
  <c r="BC315" i="6"/>
  <c r="BD315" i="6"/>
  <c r="BE315" i="6"/>
  <c r="BJ315" i="6"/>
  <c r="AZ316" i="6"/>
  <c r="BC316" i="6"/>
  <c r="BD316" i="6"/>
  <c r="BJ316" i="6" s="1"/>
  <c r="BE316" i="6"/>
  <c r="DF119" i="6"/>
  <c r="AZ474" i="6"/>
  <c r="BC474" i="6"/>
  <c r="BD474" i="6"/>
  <c r="BJ474" i="6" s="1"/>
  <c r="BE474" i="6"/>
  <c r="BF474" i="6"/>
  <c r="BG474" i="6"/>
  <c r="BH474" i="6"/>
  <c r="DF121" i="6"/>
  <c r="AZ187" i="6"/>
  <c r="BC187" i="6"/>
  <c r="BJ187" i="6"/>
  <c r="AZ471" i="6"/>
  <c r="BC471" i="6"/>
  <c r="BD471" i="6"/>
  <c r="BE471" i="6"/>
  <c r="BF471" i="6"/>
  <c r="BG471" i="6"/>
  <c r="BH471" i="6"/>
  <c r="BJ471" i="6"/>
  <c r="AZ472" i="6"/>
  <c r="BC472" i="6"/>
  <c r="BD472" i="6"/>
  <c r="BJ472" i="6" s="1"/>
  <c r="BE472" i="6"/>
  <c r="BF472" i="6"/>
  <c r="BG472" i="6"/>
  <c r="BH472" i="6"/>
  <c r="AZ457" i="6"/>
  <c r="BC457" i="6"/>
  <c r="BD457" i="6"/>
  <c r="BJ457" i="6" s="1"/>
  <c r="BE457" i="6"/>
  <c r="BF457" i="6"/>
  <c r="BG457" i="6"/>
  <c r="BH457" i="6"/>
  <c r="AZ473" i="6"/>
  <c r="BC473" i="6"/>
  <c r="BD473" i="6"/>
  <c r="BJ473" i="6" s="1"/>
  <c r="BE473" i="6"/>
  <c r="BF473" i="6"/>
  <c r="BG473" i="6"/>
  <c r="BH473" i="6"/>
  <c r="AZ424" i="6"/>
  <c r="BC424" i="6"/>
  <c r="BD424" i="6"/>
  <c r="BJ424" i="6" s="1"/>
  <c r="BE424" i="6"/>
  <c r="BF424" i="6"/>
  <c r="BG424" i="6"/>
  <c r="AZ425" i="6"/>
  <c r="BC425" i="6"/>
  <c r="BD425" i="6"/>
  <c r="BE425" i="6"/>
  <c r="BF425" i="6"/>
  <c r="BG425" i="6"/>
  <c r="BJ425" i="6"/>
  <c r="AZ426" i="6"/>
  <c r="BC426" i="6"/>
  <c r="BD426" i="6"/>
  <c r="BE426" i="6"/>
  <c r="BF426" i="6"/>
  <c r="BG426" i="6"/>
  <c r="BJ426" i="6"/>
  <c r="AZ427" i="6"/>
  <c r="BC427" i="6"/>
  <c r="BD427" i="6"/>
  <c r="BJ427" i="6" s="1"/>
  <c r="BE427" i="6"/>
  <c r="BF427" i="6"/>
  <c r="BG427" i="6"/>
  <c r="AZ455" i="6"/>
  <c r="BC455" i="6"/>
  <c r="BD455" i="6"/>
  <c r="BE455" i="6"/>
  <c r="BF455" i="6"/>
  <c r="BG455" i="6"/>
  <c r="BH455" i="6"/>
  <c r="BJ455" i="6"/>
  <c r="AZ361" i="6"/>
  <c r="BC361" i="6"/>
  <c r="BD361" i="6"/>
  <c r="BE361" i="6"/>
  <c r="BF361" i="6"/>
  <c r="BG361" i="6"/>
  <c r="BJ361" i="6"/>
  <c r="AZ363" i="6"/>
  <c r="BC363" i="6"/>
  <c r="BD363" i="6"/>
  <c r="BE363" i="6"/>
  <c r="BF363" i="6"/>
  <c r="BG363" i="6"/>
  <c r="BJ363" i="6"/>
  <c r="AZ422" i="6"/>
  <c r="BC422" i="6"/>
  <c r="BD422" i="6"/>
  <c r="BJ422" i="6" s="1"/>
  <c r="BE422" i="6"/>
  <c r="BF422" i="6"/>
  <c r="BG422" i="6"/>
  <c r="AZ423" i="6"/>
  <c r="BC423" i="6"/>
  <c r="BD423" i="6"/>
  <c r="BE423" i="6"/>
  <c r="BF423" i="6"/>
  <c r="BG423" i="6"/>
  <c r="BJ423" i="6"/>
  <c r="AZ403" i="6"/>
  <c r="BC403" i="6"/>
  <c r="BD403" i="6"/>
  <c r="BJ403" i="6" s="1"/>
  <c r="BE403" i="6"/>
  <c r="BF403" i="6"/>
  <c r="BG403" i="6"/>
  <c r="AZ404" i="6"/>
  <c r="BC404" i="6"/>
  <c r="BD404" i="6"/>
  <c r="BE404" i="6"/>
  <c r="BF404" i="6"/>
  <c r="BG404" i="6"/>
  <c r="BJ404" i="6"/>
  <c r="AZ405" i="6"/>
  <c r="BC405" i="6"/>
  <c r="BD405" i="6"/>
  <c r="BE405" i="6"/>
  <c r="BF405" i="6"/>
  <c r="BG405" i="6"/>
  <c r="BJ405" i="6"/>
  <c r="AZ428" i="6"/>
  <c r="BC428" i="6"/>
  <c r="BD428" i="6"/>
  <c r="BJ428" i="6" s="1"/>
  <c r="BE428" i="6"/>
  <c r="BF428" i="6"/>
  <c r="BG428" i="6"/>
  <c r="AZ449" i="6"/>
  <c r="BC449" i="6"/>
  <c r="BD449" i="6"/>
  <c r="BE449" i="6"/>
  <c r="BF449" i="6"/>
  <c r="BG449" i="6"/>
  <c r="BH449" i="6"/>
  <c r="BJ449" i="6"/>
  <c r="AZ188" i="6"/>
  <c r="BC188" i="6"/>
  <c r="BD188" i="6"/>
  <c r="BJ188" i="6"/>
  <c r="AZ189" i="6"/>
  <c r="BC189" i="6"/>
  <c r="BD189" i="6"/>
  <c r="BJ189" i="6"/>
  <c r="AZ400" i="6"/>
  <c r="BC400" i="6"/>
  <c r="BD400" i="6"/>
  <c r="BJ400" i="6" s="1"/>
  <c r="BE400" i="6"/>
  <c r="BF400" i="6"/>
  <c r="BG400" i="6"/>
  <c r="AZ401" i="6"/>
  <c r="BC401" i="6"/>
  <c r="BD401" i="6"/>
  <c r="BE401" i="6"/>
  <c r="BF401" i="6"/>
  <c r="BG401" i="6"/>
  <c r="BJ401" i="6"/>
  <c r="AZ402" i="6"/>
  <c r="BC402" i="6"/>
  <c r="BD402" i="6"/>
  <c r="BE402" i="6"/>
  <c r="BF402" i="6"/>
  <c r="BG402" i="6"/>
  <c r="BJ402" i="6"/>
  <c r="AZ408" i="6"/>
  <c r="BC408" i="6"/>
  <c r="BD408" i="6"/>
  <c r="BJ408" i="6" s="1"/>
  <c r="BE408" i="6"/>
  <c r="BF408" i="6"/>
  <c r="BG408" i="6"/>
  <c r="AZ447" i="6"/>
  <c r="BC447" i="6"/>
  <c r="BD447" i="6"/>
  <c r="BE447" i="6"/>
  <c r="BF447" i="6"/>
  <c r="BG447" i="6"/>
  <c r="BJ447" i="6"/>
  <c r="AZ448" i="6"/>
  <c r="BC448" i="6"/>
  <c r="BD448" i="6"/>
  <c r="BJ448" i="6" s="1"/>
  <c r="BE448" i="6"/>
  <c r="BF448" i="6"/>
  <c r="BG448" i="6"/>
  <c r="BH448" i="6"/>
  <c r="AZ450" i="6"/>
  <c r="BC450" i="6"/>
  <c r="BD450" i="6"/>
  <c r="BE450" i="6"/>
  <c r="BF450" i="6"/>
  <c r="BG450" i="6"/>
  <c r="BH450" i="6"/>
  <c r="BJ450" i="6"/>
  <c r="AZ190" i="6"/>
  <c r="BC190" i="6"/>
  <c r="BD190" i="6"/>
  <c r="BJ190" i="6"/>
  <c r="AZ191" i="6"/>
  <c r="BC191" i="6"/>
  <c r="BD191" i="6"/>
  <c r="BJ191" i="6"/>
  <c r="AZ192" i="6"/>
  <c r="BC192" i="6"/>
  <c r="BD192" i="6"/>
  <c r="BJ192" i="6" s="1"/>
  <c r="AZ406" i="6"/>
  <c r="BC406" i="6"/>
  <c r="BD406" i="6"/>
  <c r="BE406" i="6"/>
  <c r="BF406" i="6"/>
  <c r="BG406" i="6"/>
  <c r="BJ406" i="6"/>
  <c r="AZ193" i="6"/>
  <c r="BC193" i="6"/>
  <c r="BD193" i="6"/>
  <c r="BJ193" i="6" s="1"/>
  <c r="AZ194" i="6"/>
  <c r="BC194" i="6"/>
  <c r="BD194" i="6"/>
  <c r="BJ194" i="6"/>
  <c r="AZ195" i="6"/>
  <c r="BC195" i="6"/>
  <c r="BD195" i="6"/>
  <c r="BJ195" i="6"/>
  <c r="AZ459" i="6"/>
  <c r="BC459" i="6"/>
  <c r="BD459" i="6"/>
  <c r="BJ459" i="6" s="1"/>
  <c r="BE459" i="6"/>
  <c r="BF459" i="6"/>
  <c r="BG459" i="6"/>
  <c r="BH459" i="6"/>
  <c r="AZ469" i="6"/>
  <c r="BC469" i="6"/>
  <c r="BD469" i="6"/>
  <c r="BE469" i="6"/>
  <c r="BF469" i="6"/>
  <c r="BG469" i="6"/>
  <c r="BJ469" i="6"/>
  <c r="AZ196" i="6"/>
  <c r="BC196" i="6"/>
  <c r="BD196" i="6"/>
  <c r="BJ196" i="6"/>
  <c r="AZ197" i="6"/>
  <c r="BC197" i="6"/>
  <c r="BD197" i="6"/>
  <c r="BJ197" i="6"/>
  <c r="AZ484" i="6"/>
  <c r="BC484" i="6"/>
  <c r="BD484" i="6"/>
  <c r="BE484" i="6"/>
  <c r="BF484" i="6"/>
  <c r="BG484" i="6"/>
  <c r="BH484" i="6"/>
  <c r="BI484" i="6"/>
  <c r="BJ484" i="6"/>
  <c r="AZ485" i="6"/>
  <c r="BC485" i="6"/>
  <c r="BD485" i="6"/>
  <c r="BE485" i="6"/>
  <c r="BF485" i="6"/>
  <c r="BG485" i="6"/>
  <c r="BH485" i="6"/>
  <c r="BI485" i="6"/>
  <c r="BJ485" i="6"/>
  <c r="AZ486" i="6"/>
  <c r="BC486" i="6"/>
  <c r="BD486" i="6"/>
  <c r="BE486" i="6"/>
  <c r="BF486" i="6"/>
  <c r="BG486" i="6"/>
  <c r="BH486" i="6"/>
  <c r="BI486" i="6"/>
  <c r="BJ486" i="6"/>
  <c r="AZ429" i="6"/>
  <c r="BC429" i="6"/>
  <c r="BD429" i="6"/>
  <c r="BE429" i="6"/>
  <c r="BF429" i="6"/>
  <c r="BG429" i="6"/>
  <c r="BJ429" i="6"/>
  <c r="AZ430" i="6"/>
  <c r="BC430" i="6"/>
  <c r="BD430" i="6"/>
  <c r="BE430" i="6"/>
  <c r="BF430" i="6"/>
  <c r="BG430" i="6"/>
  <c r="BJ430" i="6"/>
  <c r="AZ431" i="6"/>
  <c r="BC431" i="6"/>
  <c r="BD431" i="6"/>
  <c r="BE431" i="6"/>
  <c r="BF431" i="6"/>
  <c r="BG431" i="6"/>
  <c r="BJ431" i="6"/>
  <c r="AZ458" i="6"/>
  <c r="BC458" i="6"/>
  <c r="BD458" i="6"/>
  <c r="BE458" i="6"/>
  <c r="BF458" i="6"/>
  <c r="BG458" i="6"/>
  <c r="BH458" i="6"/>
  <c r="BJ458" i="6"/>
  <c r="AZ487" i="6"/>
  <c r="BC487" i="6"/>
  <c r="BD487" i="6"/>
  <c r="BE487" i="6"/>
  <c r="BF487" i="6"/>
  <c r="BG487" i="6"/>
  <c r="BH487" i="6"/>
  <c r="BI487" i="6"/>
  <c r="BJ487" i="6"/>
  <c r="AZ198" i="6"/>
  <c r="BC198" i="6"/>
  <c r="BJ198" i="6"/>
  <c r="AZ199" i="6"/>
  <c r="BC199" i="6"/>
  <c r="BJ199" i="6"/>
  <c r="AZ200" i="6"/>
  <c r="BC200" i="6"/>
  <c r="BJ200" i="6"/>
  <c r="AZ499" i="6"/>
  <c r="BC499" i="6"/>
  <c r="BD499" i="6"/>
  <c r="BE499" i="6"/>
  <c r="BF499" i="6"/>
  <c r="BG499" i="6"/>
  <c r="BH499" i="6"/>
  <c r="BI499" i="6"/>
  <c r="BJ499" i="6"/>
  <c r="AZ201" i="6"/>
  <c r="BC201" i="6"/>
  <c r="BJ201" i="6"/>
  <c r="AZ202" i="6"/>
  <c r="BC202" i="6"/>
  <c r="BJ202" i="6"/>
  <c r="AZ203" i="6"/>
  <c r="BC203" i="6"/>
  <c r="BJ203" i="6"/>
  <c r="AZ490" i="6"/>
  <c r="BC490" i="6"/>
  <c r="BD490" i="6"/>
  <c r="BE490" i="6"/>
  <c r="BF490" i="6"/>
  <c r="BG490" i="6"/>
  <c r="BH490" i="6"/>
  <c r="BI490" i="6"/>
  <c r="BJ490" i="6"/>
  <c r="AZ204" i="6"/>
  <c r="BC204" i="6"/>
  <c r="BJ204" i="6"/>
  <c r="AZ205" i="6"/>
  <c r="BC205" i="6"/>
  <c r="BJ205" i="6"/>
  <c r="AZ206" i="6"/>
  <c r="BC206" i="6"/>
  <c r="BD206" i="6"/>
  <c r="BJ206" i="6"/>
  <c r="AZ207" i="6"/>
  <c r="BC207" i="6"/>
  <c r="BJ207" i="6"/>
  <c r="AZ208" i="6"/>
  <c r="BC208" i="6"/>
  <c r="BD208" i="6"/>
  <c r="BJ208" i="6" s="1"/>
  <c r="AZ209" i="6"/>
  <c r="BC209" i="6"/>
  <c r="BD209" i="6"/>
  <c r="BJ209" i="6" s="1"/>
  <c r="AZ210" i="6"/>
  <c r="BC210" i="6"/>
  <c r="BD210" i="6"/>
  <c r="BJ210" i="6"/>
  <c r="AZ407" i="6"/>
  <c r="BC407" i="6"/>
  <c r="BD407" i="6"/>
  <c r="BJ407" i="6" s="1"/>
  <c r="BE407" i="6"/>
  <c r="BF407" i="6"/>
  <c r="BG407" i="6"/>
  <c r="AZ409" i="6"/>
  <c r="BC409" i="6"/>
  <c r="BD409" i="6"/>
  <c r="BE409" i="6"/>
  <c r="BF409" i="6"/>
  <c r="BG409" i="6"/>
  <c r="BJ409" i="6"/>
  <c r="AZ498" i="6"/>
  <c r="BC498" i="6"/>
  <c r="BD498" i="6"/>
  <c r="BE498" i="6"/>
  <c r="BF498" i="6"/>
  <c r="BG498" i="6"/>
  <c r="BH498" i="6"/>
  <c r="BI498" i="6"/>
  <c r="BJ498" i="6"/>
  <c r="AZ211" i="6"/>
  <c r="BC211" i="6"/>
  <c r="BD211" i="6"/>
  <c r="BJ211" i="6" s="1"/>
  <c r="AZ212" i="6"/>
  <c r="BC212" i="6"/>
  <c r="BD212" i="6"/>
  <c r="BJ212" i="6" s="1"/>
  <c r="AZ213" i="6"/>
  <c r="BC213" i="6"/>
  <c r="BD213" i="6"/>
  <c r="BJ213" i="6"/>
  <c r="AZ214" i="6"/>
  <c r="BC214" i="6"/>
  <c r="BD214" i="6"/>
  <c r="BJ214" i="6"/>
  <c r="AZ432" i="6"/>
  <c r="BC432" i="6"/>
  <c r="BD432" i="6"/>
  <c r="BJ432" i="6" s="1"/>
  <c r="BE432" i="6"/>
  <c r="BF432" i="6"/>
  <c r="BG432" i="6"/>
  <c r="AZ433" i="6"/>
  <c r="BC433" i="6"/>
  <c r="BD433" i="6"/>
  <c r="BE433" i="6"/>
  <c r="BF433" i="6"/>
  <c r="BG433" i="6"/>
  <c r="BJ433" i="6"/>
  <c r="AZ215" i="6"/>
  <c r="BC215" i="6"/>
  <c r="BJ215" i="6"/>
  <c r="AZ216" i="6"/>
  <c r="BC216" i="6"/>
  <c r="BJ216" i="6"/>
  <c r="AZ217" i="6"/>
  <c r="BC217" i="6"/>
  <c r="BJ217" i="6"/>
  <c r="AZ470" i="6"/>
  <c r="BC470" i="6"/>
  <c r="BD470" i="6"/>
  <c r="BJ470" i="6" s="1"/>
  <c r="BE470" i="6"/>
  <c r="BF470" i="6"/>
  <c r="BG470" i="6"/>
  <c r="BH470" i="6"/>
  <c r="AZ476" i="6"/>
  <c r="BC476" i="6"/>
  <c r="BD476" i="6"/>
  <c r="BE476" i="6"/>
  <c r="BF476" i="6"/>
  <c r="BG476" i="6"/>
  <c r="BH476" i="6"/>
  <c r="BJ476" i="6"/>
  <c r="AZ481" i="6"/>
  <c r="BC481" i="6"/>
  <c r="BD481" i="6"/>
  <c r="BE481" i="6"/>
  <c r="BF481" i="6"/>
  <c r="BG481" i="6"/>
  <c r="BH481" i="6"/>
  <c r="BI481" i="6"/>
  <c r="BJ481" i="6"/>
  <c r="AZ218" i="6"/>
  <c r="BC218" i="6"/>
  <c r="BD218" i="6"/>
  <c r="BE218" i="6"/>
  <c r="BF218" i="6"/>
  <c r="BJ218" i="6"/>
  <c r="AZ219" i="6"/>
  <c r="BC219" i="6"/>
  <c r="BJ219" i="6"/>
  <c r="AZ220" i="6"/>
  <c r="BC220" i="6"/>
  <c r="BJ220" i="6"/>
  <c r="AZ221" i="6"/>
  <c r="BC221" i="6"/>
  <c r="BJ221" i="6"/>
  <c r="AZ222" i="6"/>
  <c r="BC222" i="6"/>
  <c r="BJ222" i="6"/>
  <c r="AZ488" i="6"/>
  <c r="BC488" i="6"/>
  <c r="BD488" i="6"/>
  <c r="BE488" i="6"/>
  <c r="BF488" i="6"/>
  <c r="BG488" i="6"/>
  <c r="BH488" i="6"/>
  <c r="BI488" i="6"/>
  <c r="BJ488" i="6"/>
  <c r="AZ491" i="6"/>
  <c r="BC491" i="6"/>
  <c r="BD491" i="6"/>
  <c r="BE491" i="6"/>
  <c r="BF491" i="6"/>
  <c r="BG491" i="6"/>
  <c r="BH491" i="6"/>
  <c r="BI491" i="6"/>
  <c r="BJ491" i="6"/>
  <c r="AZ223" i="6"/>
  <c r="BC223" i="6"/>
  <c r="BJ223" i="6"/>
  <c r="AZ224" i="6"/>
  <c r="BC224" i="6"/>
  <c r="BJ224" i="6"/>
  <c r="AZ225" i="6"/>
  <c r="BC225" i="6"/>
  <c r="BJ225" i="6"/>
  <c r="AZ226" i="6"/>
  <c r="BC226" i="6"/>
  <c r="BJ226" i="6"/>
  <c r="AZ229" i="6"/>
  <c r="BC229" i="6"/>
  <c r="BJ229" i="6"/>
  <c r="AZ230" i="6"/>
  <c r="BC230" i="6"/>
  <c r="BJ230" i="6"/>
  <c r="AZ231" i="6"/>
  <c r="BC231" i="6"/>
  <c r="BJ231" i="6"/>
  <c r="AZ232" i="6"/>
  <c r="BC232" i="6"/>
  <c r="BJ232" i="6"/>
  <c r="AZ233" i="6"/>
  <c r="BC233" i="6"/>
  <c r="BJ233" i="6"/>
  <c r="AZ234" i="6"/>
  <c r="BC234" i="6"/>
  <c r="BJ234" i="6"/>
  <c r="AZ492" i="6"/>
  <c r="BC492" i="6"/>
  <c r="BD492" i="6"/>
  <c r="BE492" i="6"/>
  <c r="BF492" i="6"/>
  <c r="BG492" i="6"/>
  <c r="BH492" i="6"/>
  <c r="BI492" i="6"/>
  <c r="BJ492" i="6"/>
  <c r="AZ235" i="6"/>
  <c r="BC235" i="6"/>
  <c r="BJ235" i="6"/>
  <c r="AZ236" i="6"/>
  <c r="BC236" i="6"/>
  <c r="BJ236" i="6"/>
  <c r="AZ237" i="6"/>
  <c r="BC237" i="6"/>
  <c r="BJ237" i="6"/>
  <c r="AZ238" i="6"/>
  <c r="BC238" i="6"/>
  <c r="BD238" i="6"/>
  <c r="BJ238" i="6"/>
  <c r="AZ239" i="6"/>
  <c r="BC239" i="6"/>
  <c r="BJ239" i="6"/>
  <c r="AZ240" i="6"/>
  <c r="BC240" i="6"/>
  <c r="BJ240" i="6"/>
  <c r="AZ477" i="6"/>
  <c r="BC477" i="6"/>
  <c r="BD477" i="6"/>
  <c r="BJ477" i="6" s="1"/>
  <c r="BE477" i="6"/>
  <c r="BF477" i="6"/>
  <c r="BG477" i="6"/>
  <c r="BH477" i="6"/>
  <c r="AZ241" i="6"/>
  <c r="BC241" i="6"/>
  <c r="BJ241" i="6"/>
  <c r="AZ242" i="6"/>
  <c r="BC242" i="6"/>
  <c r="BJ242" i="6"/>
  <c r="AZ478" i="6"/>
  <c r="BC478" i="6"/>
  <c r="BD478" i="6"/>
  <c r="BE478" i="6"/>
  <c r="BF478" i="6"/>
  <c r="BG478" i="6"/>
  <c r="BH478" i="6"/>
  <c r="BI478" i="6"/>
  <c r="BJ478" i="6"/>
  <c r="AZ243" i="6"/>
  <c r="BC243" i="6"/>
  <c r="BJ243" i="6"/>
  <c r="AZ475" i="6"/>
  <c r="BC475" i="6"/>
  <c r="BD475" i="6"/>
  <c r="BE475" i="6"/>
  <c r="BF475" i="6"/>
  <c r="BG475" i="6"/>
  <c r="BH475" i="6"/>
  <c r="BJ475" i="6"/>
  <c r="AZ483" i="6"/>
  <c r="BC483" i="6"/>
  <c r="BD483" i="6"/>
  <c r="BE483" i="6"/>
  <c r="BF483" i="6"/>
  <c r="BG483" i="6"/>
  <c r="BH483" i="6"/>
  <c r="BI483" i="6"/>
  <c r="BJ483" i="6"/>
  <c r="AZ244" i="6"/>
  <c r="BC244" i="6"/>
  <c r="BD244" i="6"/>
  <c r="BJ244" i="6" s="1"/>
  <c r="AZ245" i="6"/>
  <c r="BC245" i="6"/>
  <c r="BD245" i="6"/>
  <c r="BJ245" i="6" s="1"/>
  <c r="AZ246" i="6"/>
  <c r="BC246" i="6"/>
  <c r="BD246" i="6"/>
  <c r="BJ246" i="6" s="1"/>
  <c r="AZ247" i="6"/>
  <c r="BC247" i="6"/>
  <c r="BD247" i="6"/>
  <c r="BJ247" i="6" s="1"/>
  <c r="BE247" i="6"/>
  <c r="AZ248" i="6"/>
  <c r="BC248" i="6"/>
  <c r="BD248" i="6"/>
  <c r="BJ248" i="6" s="1"/>
  <c r="AZ444" i="6"/>
  <c r="BC444" i="6"/>
  <c r="BD444" i="6"/>
  <c r="BE444" i="6"/>
  <c r="BF444" i="6"/>
  <c r="BG444" i="6"/>
  <c r="BJ444" i="6"/>
  <c r="AZ479" i="6"/>
  <c r="BC479" i="6"/>
  <c r="BD479" i="6"/>
  <c r="BE479" i="6"/>
  <c r="BF479" i="6"/>
  <c r="BG479" i="6"/>
  <c r="BH479" i="6"/>
  <c r="BI479" i="6"/>
  <c r="BJ479" i="6"/>
  <c r="AZ480" i="6"/>
  <c r="BC480" i="6"/>
  <c r="BD480" i="6"/>
  <c r="BE480" i="6"/>
  <c r="BF480" i="6"/>
  <c r="BG480" i="6"/>
  <c r="BH480" i="6"/>
  <c r="BI480" i="6"/>
  <c r="BJ480" i="6"/>
  <c r="AZ249" i="6"/>
  <c r="BC249" i="6"/>
  <c r="BD249" i="6"/>
  <c r="BJ249" i="6" s="1"/>
  <c r="AZ250" i="6"/>
  <c r="BC250" i="6"/>
  <c r="BD250" i="6"/>
  <c r="BJ250" i="6"/>
  <c r="AZ251" i="6"/>
  <c r="BC251" i="6"/>
  <c r="BD251" i="6"/>
  <c r="BJ251" i="6" s="1"/>
  <c r="BE251" i="6"/>
  <c r="BF251" i="6"/>
  <c r="AZ252" i="6"/>
  <c r="BC252" i="6"/>
  <c r="BJ252" i="6"/>
  <c r="AZ255" i="6"/>
  <c r="BC255" i="6"/>
  <c r="BJ255" i="6"/>
  <c r="AZ482" i="6"/>
  <c r="BC482" i="6"/>
  <c r="BD482" i="6"/>
  <c r="BE482" i="6"/>
  <c r="BF482" i="6"/>
  <c r="BG482" i="6"/>
  <c r="BH482" i="6"/>
  <c r="BI482" i="6"/>
  <c r="BJ482" i="6"/>
  <c r="AZ256" i="6"/>
  <c r="BC256" i="6"/>
  <c r="BJ256" i="6"/>
  <c r="AZ257" i="6"/>
  <c r="BC257" i="6"/>
  <c r="BJ257" i="6"/>
  <c r="AZ258" i="6"/>
  <c r="BC258" i="6"/>
  <c r="BD258" i="6"/>
  <c r="BJ258" i="6" s="1"/>
  <c r="AZ259" i="6"/>
  <c r="BC259" i="6"/>
  <c r="BD259" i="6"/>
  <c r="BJ259" i="6"/>
  <c r="AZ260" i="6"/>
  <c r="BC260" i="6"/>
  <c r="BJ260" i="6"/>
  <c r="AZ261" i="6"/>
  <c r="BC261" i="6"/>
  <c r="BD261" i="6"/>
  <c r="BJ261" i="6" s="1"/>
  <c r="BE261" i="6"/>
  <c r="AZ262" i="6"/>
  <c r="BC262" i="6"/>
  <c r="BJ262" i="6"/>
  <c r="AZ263" i="6"/>
  <c r="BC263" i="6"/>
  <c r="BJ263" i="6"/>
  <c r="AZ264" i="6"/>
  <c r="BC264" i="6"/>
  <c r="BJ264" i="6"/>
  <c r="AZ265" i="6"/>
  <c r="BC265" i="6"/>
  <c r="BJ265" i="6"/>
  <c r="AZ266" i="6"/>
  <c r="BC266" i="6"/>
  <c r="BJ266" i="6"/>
  <c r="AZ267" i="6"/>
  <c r="BC267" i="6"/>
  <c r="BJ267" i="6"/>
  <c r="AZ268" i="6"/>
  <c r="BC268" i="6"/>
  <c r="BJ268" i="6"/>
  <c r="AZ269" i="6"/>
  <c r="BC269" i="6"/>
  <c r="BJ269" i="6"/>
  <c r="AZ270" i="6"/>
  <c r="BC270" i="6"/>
  <c r="BD270" i="6"/>
  <c r="BJ270" i="6" s="1"/>
  <c r="BE270" i="6"/>
  <c r="AZ271" i="6"/>
  <c r="BC271" i="6"/>
  <c r="BD271" i="6"/>
  <c r="BE271" i="6"/>
  <c r="BF271" i="6"/>
  <c r="BJ271" i="6"/>
  <c r="AZ272" i="6"/>
  <c r="BC272" i="6"/>
  <c r="BJ272" i="6"/>
  <c r="AZ273" i="6"/>
  <c r="BC273" i="6"/>
  <c r="BJ273" i="6"/>
  <c r="AZ489" i="6"/>
  <c r="BC489" i="6"/>
  <c r="BD489" i="6"/>
  <c r="BE489" i="6"/>
  <c r="BF489" i="6"/>
  <c r="BG489" i="6"/>
  <c r="BH489" i="6"/>
  <c r="BI489" i="6"/>
  <c r="BJ489" i="6"/>
  <c r="AZ274" i="6"/>
  <c r="BC274" i="6"/>
  <c r="BJ274" i="6"/>
  <c r="AZ275" i="6"/>
  <c r="BC275" i="6"/>
  <c r="BJ275" i="6"/>
  <c r="AZ276" i="6"/>
  <c r="BC276" i="6"/>
  <c r="BJ276" i="6"/>
  <c r="AZ277" i="6"/>
  <c r="BC277" i="6"/>
  <c r="BJ277" i="6"/>
  <c r="AZ278" i="6"/>
  <c r="BC278" i="6"/>
  <c r="BJ278" i="6"/>
  <c r="AZ279" i="6"/>
  <c r="BC279" i="6"/>
  <c r="BJ279" i="6"/>
  <c r="AZ282" i="6"/>
  <c r="BC282" i="6"/>
  <c r="BJ282" i="6"/>
  <c r="AZ283" i="6"/>
  <c r="BC283" i="6"/>
  <c r="BJ283" i="6"/>
  <c r="AZ284" i="6"/>
  <c r="BC284" i="6"/>
  <c r="BD284" i="6"/>
  <c r="BJ284" i="6" s="1"/>
  <c r="BE284" i="6"/>
  <c r="BF284" i="6"/>
  <c r="AZ285" i="6"/>
  <c r="BC285" i="6"/>
  <c r="BJ285" i="6"/>
  <c r="AZ286" i="6"/>
  <c r="BC286" i="6"/>
  <c r="BJ286" i="6"/>
  <c r="AZ287" i="6"/>
  <c r="BC287" i="6"/>
  <c r="BJ287" i="6"/>
  <c r="AZ288" i="6"/>
  <c r="BC288" i="6"/>
  <c r="BJ288" i="6"/>
  <c r="AZ289" i="6"/>
  <c r="BC289" i="6"/>
  <c r="BJ289" i="6"/>
  <c r="AZ290" i="6"/>
  <c r="BC290" i="6"/>
  <c r="BJ290" i="6"/>
  <c r="AZ291" i="6"/>
  <c r="BC291" i="6"/>
  <c r="BD291" i="6"/>
  <c r="BE291" i="6"/>
  <c r="BF291" i="6"/>
  <c r="BJ291" i="6"/>
  <c r="AZ292" i="6"/>
  <c r="BC292" i="6"/>
  <c r="BJ292" i="6"/>
  <c r="AZ293" i="6"/>
  <c r="BC293" i="6"/>
  <c r="BD293" i="6"/>
  <c r="BJ293" i="6" s="1"/>
  <c r="BE293" i="6"/>
  <c r="BF293" i="6"/>
  <c r="AZ294" i="6"/>
  <c r="BC294" i="6"/>
  <c r="BJ294" i="6"/>
  <c r="AZ295" i="6"/>
  <c r="BC295" i="6"/>
  <c r="BJ295" i="6"/>
  <c r="AZ296" i="6"/>
  <c r="BC296" i="6"/>
  <c r="BJ296" i="6"/>
  <c r="AZ297" i="6"/>
  <c r="BC297" i="6"/>
  <c r="BJ297" i="6"/>
  <c r="AZ298" i="6"/>
  <c r="BC298" i="6"/>
  <c r="BJ298" i="6"/>
  <c r="AZ299" i="6"/>
  <c r="BC299" i="6"/>
  <c r="BJ299" i="6"/>
  <c r="AZ300" i="6"/>
  <c r="BC300" i="6"/>
  <c r="BJ300" i="6"/>
  <c r="AZ301" i="6"/>
  <c r="BC301" i="6"/>
  <c r="BJ301" i="6"/>
  <c r="DF173" i="6"/>
  <c r="AZ305" i="6"/>
  <c r="BC305" i="6"/>
  <c r="BJ305" i="6"/>
  <c r="AZ306" i="6"/>
  <c r="BC306" i="6"/>
  <c r="BJ306" i="6"/>
  <c r="DF176" i="6"/>
  <c r="DF177" i="6"/>
  <c r="AZ307" i="6"/>
  <c r="BC307" i="6"/>
  <c r="BJ307" i="6"/>
  <c r="AZ308" i="6"/>
  <c r="BC308" i="6"/>
  <c r="BJ308" i="6"/>
  <c r="AZ309" i="6"/>
  <c r="BC309" i="6"/>
  <c r="BJ309" i="6"/>
  <c r="AZ310" i="6"/>
  <c r="BC310" i="6"/>
  <c r="BJ310" i="6"/>
  <c r="AZ311" i="6"/>
  <c r="BC311" i="6"/>
  <c r="BJ311" i="6"/>
  <c r="AZ312" i="6"/>
  <c r="BC312" i="6"/>
  <c r="BJ312" i="6"/>
  <c r="AZ313" i="6"/>
  <c r="BC313" i="6"/>
  <c r="BJ313" i="6"/>
  <c r="AZ314" i="6"/>
  <c r="BC314" i="6"/>
  <c r="BJ314" i="6"/>
  <c r="DF183" i="6"/>
  <c r="J83" i="6"/>
  <c r="AT144" i="6"/>
  <c r="AT145" i="6"/>
  <c r="AT146" i="6"/>
  <c r="AT147" i="6"/>
  <c r="AT148" i="6"/>
  <c r="AT149" i="6"/>
  <c r="AT150" i="6"/>
  <c r="AT151" i="6"/>
  <c r="AT152" i="6"/>
  <c r="AT153" i="6"/>
  <c r="AT154" i="6"/>
  <c r="AT155" i="6"/>
  <c r="AT156" i="6"/>
  <c r="AT157" i="6"/>
  <c r="AT158" i="6"/>
  <c r="AT159" i="6"/>
  <c r="AT160" i="6"/>
  <c r="AT161" i="6"/>
  <c r="AT162" i="6"/>
  <c r="AT163" i="6"/>
  <c r="AT164" i="6"/>
  <c r="AT165" i="6"/>
  <c r="AT166" i="6"/>
  <c r="AT167" i="6"/>
  <c r="AT168" i="6"/>
  <c r="AT169" i="6"/>
  <c r="AT170" i="6"/>
  <c r="AT171" i="6"/>
  <c r="AT172" i="6"/>
  <c r="AT173" i="6"/>
  <c r="AY5" i="6"/>
  <c r="AY6" i="6"/>
  <c r="AY7" i="6"/>
  <c r="AY8" i="6"/>
  <c r="AY9" i="6"/>
  <c r="AY10" i="6"/>
  <c r="AY11" i="6"/>
  <c r="AY12" i="6"/>
  <c r="AY13" i="6"/>
  <c r="AY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59" i="6"/>
  <c r="AY60" i="6"/>
  <c r="AY61" i="6"/>
  <c r="AY62" i="6"/>
  <c r="AY63" i="6"/>
  <c r="AY64" i="6"/>
  <c r="AY65" i="6"/>
  <c r="AY66" i="6"/>
  <c r="AY67" i="6"/>
  <c r="AY68" i="6"/>
  <c r="AY69" i="6"/>
  <c r="AY70" i="6"/>
  <c r="AY71" i="6"/>
  <c r="AY72" i="6"/>
  <c r="AY73" i="6"/>
  <c r="AY74" i="6"/>
  <c r="AY75" i="6"/>
  <c r="AY76" i="6"/>
  <c r="AY77" i="6"/>
  <c r="AY78" i="6"/>
  <c r="AY79" i="6"/>
  <c r="AY80" i="6"/>
  <c r="AY81" i="6"/>
  <c r="AY82" i="6"/>
  <c r="AY83" i="6"/>
  <c r="AY84" i="6"/>
  <c r="AY85" i="6"/>
  <c r="AY86" i="6"/>
  <c r="AY87" i="6"/>
  <c r="AY88" i="6"/>
  <c r="AY89" i="6"/>
  <c r="AY90" i="6"/>
  <c r="AY91" i="6"/>
  <c r="AY92" i="6"/>
  <c r="AY93" i="6"/>
  <c r="AY94" i="6"/>
  <c r="AY95" i="6"/>
  <c r="AY96" i="6"/>
  <c r="AY97" i="6"/>
  <c r="AY98" i="6"/>
  <c r="AY99" i="6"/>
  <c r="AY100" i="6"/>
  <c r="AY101" i="6"/>
  <c r="AY102" i="6"/>
  <c r="AY103" i="6"/>
  <c r="AY104" i="6"/>
  <c r="AY105" i="6"/>
  <c r="AY106" i="6"/>
  <c r="AY107" i="6"/>
  <c r="AY108" i="6"/>
  <c r="AY109" i="6"/>
  <c r="AY110" i="6"/>
  <c r="AY111" i="6"/>
  <c r="AY112" i="6"/>
  <c r="AY113" i="6"/>
  <c r="AY114" i="6"/>
  <c r="AY115" i="6"/>
  <c r="AY116" i="6"/>
  <c r="AY117" i="6"/>
  <c r="AY118" i="6"/>
  <c r="AY119" i="6"/>
  <c r="AY120" i="6"/>
  <c r="AY121" i="6"/>
  <c r="AY122" i="6"/>
  <c r="AY123" i="6"/>
  <c r="AY124" i="6"/>
  <c r="AY125" i="6"/>
  <c r="AY126" i="6"/>
  <c r="AY127" i="6"/>
  <c r="AY128" i="6"/>
  <c r="AY129" i="6"/>
  <c r="AY130" i="6"/>
  <c r="AY131" i="6"/>
  <c r="AY132" i="6"/>
  <c r="AY133" i="6"/>
  <c r="AY134" i="6"/>
  <c r="AY135" i="6"/>
  <c r="AY136" i="6"/>
  <c r="AY137" i="6"/>
  <c r="AY138" i="6"/>
  <c r="AY139" i="6"/>
  <c r="AY140" i="6"/>
  <c r="AY141" i="6"/>
  <c r="AY142" i="6"/>
  <c r="AY143" i="6"/>
  <c r="AY144" i="6"/>
  <c r="AY145" i="6"/>
  <c r="AY146" i="6"/>
  <c r="AY147" i="6"/>
  <c r="AY148" i="6"/>
  <c r="AY149" i="6"/>
  <c r="AY150" i="6"/>
  <c r="AY151" i="6"/>
  <c r="AY152" i="6"/>
  <c r="AY153" i="6"/>
  <c r="AY154" i="6"/>
  <c r="AY155" i="6"/>
  <c r="AY156" i="6"/>
  <c r="AY157" i="6"/>
  <c r="AY158" i="6"/>
  <c r="AY159" i="6"/>
  <c r="AY160" i="6"/>
  <c r="AY161" i="6"/>
  <c r="AY162" i="6"/>
  <c r="AY163" i="6"/>
  <c r="AY164" i="6"/>
  <c r="AY165" i="6"/>
  <c r="AY166" i="6"/>
  <c r="AY167" i="6"/>
  <c r="AY168" i="6"/>
  <c r="AY169" i="6"/>
  <c r="AY170" i="6"/>
  <c r="AY171" i="6"/>
  <c r="AY172" i="6"/>
  <c r="AY173" i="6"/>
  <c r="AY174" i="6"/>
  <c r="AY175" i="6"/>
  <c r="AY176" i="6"/>
  <c r="AY177" i="6"/>
  <c r="AY178" i="6"/>
  <c r="AY179" i="6"/>
  <c r="AY180" i="6"/>
  <c r="AY181" i="6"/>
  <c r="AY182" i="6"/>
  <c r="AY183" i="6"/>
  <c r="AY184" i="6"/>
  <c r="AY185" i="6"/>
  <c r="AY186" i="6"/>
  <c r="AY187" i="6"/>
  <c r="AY188" i="6"/>
  <c r="AY189" i="6"/>
  <c r="AY190" i="6"/>
  <c r="AY191" i="6"/>
  <c r="AY192" i="6"/>
  <c r="AY193" i="6"/>
  <c r="AY194" i="6"/>
  <c r="AY195" i="6"/>
  <c r="AY196" i="6"/>
  <c r="AY197" i="6"/>
  <c r="AY198" i="6"/>
  <c r="AY199" i="6"/>
  <c r="AY200" i="6"/>
  <c r="AY201" i="6"/>
  <c r="AY202" i="6"/>
  <c r="AY203" i="6"/>
  <c r="AY204" i="6"/>
  <c r="AY205" i="6"/>
  <c r="AY206" i="6"/>
  <c r="AY207" i="6"/>
  <c r="AY208" i="6"/>
  <c r="AY209" i="6"/>
  <c r="AY210" i="6"/>
  <c r="AY211" i="6"/>
  <c r="AY212" i="6"/>
  <c r="AY213" i="6"/>
  <c r="AY214" i="6"/>
  <c r="AY215" i="6"/>
  <c r="AY216" i="6"/>
  <c r="AY217" i="6"/>
  <c r="AY218" i="6"/>
  <c r="AY219" i="6"/>
  <c r="AY220" i="6"/>
  <c r="AY221" i="6"/>
  <c r="AY222" i="6"/>
  <c r="AY223" i="6"/>
  <c r="AY224" i="6"/>
  <c r="AY225" i="6"/>
  <c r="AY226" i="6"/>
  <c r="AY227" i="6"/>
  <c r="AY228" i="6"/>
  <c r="AY229" i="6"/>
  <c r="AY230" i="6"/>
  <c r="AY231" i="6"/>
  <c r="AY232" i="6"/>
  <c r="AY233" i="6"/>
  <c r="AY234" i="6"/>
  <c r="AY235" i="6"/>
  <c r="AY236" i="6"/>
  <c r="AY237" i="6"/>
  <c r="AY238" i="6"/>
  <c r="AY239" i="6"/>
  <c r="AY240" i="6"/>
  <c r="AY241" i="6"/>
  <c r="AY242" i="6"/>
  <c r="AY243" i="6"/>
  <c r="AY244" i="6"/>
  <c r="AY245" i="6"/>
  <c r="AY246" i="6"/>
  <c r="AY247" i="6"/>
  <c r="AY248" i="6"/>
  <c r="AY249" i="6"/>
  <c r="AY250" i="6"/>
  <c r="AY251" i="6"/>
  <c r="AY252" i="6"/>
  <c r="AY253" i="6"/>
  <c r="AY254" i="6"/>
  <c r="AY255" i="6"/>
  <c r="AY256" i="6"/>
  <c r="AY257" i="6"/>
  <c r="AY258" i="6"/>
  <c r="AY259" i="6"/>
  <c r="AY260" i="6"/>
  <c r="AY261" i="6"/>
  <c r="AY262" i="6"/>
  <c r="AY263" i="6"/>
  <c r="AY264" i="6"/>
  <c r="AY265" i="6"/>
  <c r="AY266" i="6"/>
  <c r="AY267" i="6"/>
  <c r="AY268" i="6"/>
  <c r="AY269" i="6"/>
  <c r="AY270" i="6"/>
  <c r="AY271" i="6"/>
  <c r="AY272" i="6"/>
  <c r="AY273" i="6"/>
  <c r="AY274" i="6"/>
  <c r="AY275" i="6"/>
  <c r="AY276" i="6"/>
  <c r="AY277" i="6"/>
  <c r="AY278" i="6"/>
  <c r="AY279" i="6"/>
  <c r="AY280" i="6"/>
  <c r="AY281" i="6"/>
  <c r="AY282" i="6"/>
  <c r="AY283" i="6"/>
  <c r="AY284" i="6"/>
  <c r="AY285" i="6"/>
  <c r="AY286" i="6"/>
  <c r="AY287" i="6"/>
  <c r="AY288" i="6"/>
  <c r="AY289" i="6"/>
  <c r="AY290" i="6"/>
  <c r="AY291" i="6"/>
  <c r="AY292" i="6"/>
  <c r="AY293" i="6"/>
  <c r="AY294" i="6"/>
  <c r="AY295" i="6"/>
  <c r="AY296" i="6"/>
  <c r="AY297" i="6"/>
  <c r="AY298" i="6"/>
  <c r="AY299" i="6"/>
  <c r="AY300" i="6"/>
  <c r="AY301" i="6"/>
  <c r="AY302" i="6"/>
  <c r="AY303" i="6"/>
  <c r="AY304" i="6"/>
  <c r="AY305" i="6"/>
  <c r="AY306" i="6"/>
  <c r="AY307" i="6"/>
  <c r="AY308" i="6"/>
  <c r="AY309" i="6"/>
  <c r="AY310" i="6"/>
  <c r="AY311" i="6"/>
  <c r="AY312" i="6"/>
  <c r="AY313" i="6"/>
  <c r="AY314" i="6"/>
  <c r="AY315" i="6"/>
  <c r="AY316" i="6"/>
  <c r="AY317" i="6"/>
  <c r="AY318" i="6"/>
  <c r="AY319" i="6"/>
  <c r="AY320" i="6"/>
  <c r="AY321" i="6"/>
  <c r="AY322" i="6"/>
  <c r="AY323" i="6"/>
  <c r="AY324" i="6"/>
  <c r="AY325" i="6"/>
  <c r="AY326" i="6"/>
  <c r="AY327" i="6"/>
  <c r="AY328" i="6"/>
  <c r="AY329" i="6"/>
  <c r="AY330" i="6"/>
  <c r="AY331" i="6"/>
  <c r="AY332" i="6"/>
  <c r="AY333" i="6"/>
  <c r="AY334" i="6"/>
  <c r="AY335" i="6"/>
  <c r="AY336" i="6"/>
  <c r="AY337" i="6"/>
  <c r="AY338" i="6"/>
  <c r="AY339" i="6"/>
  <c r="AY340" i="6"/>
  <c r="AY341" i="6"/>
  <c r="AY342" i="6"/>
  <c r="AY343" i="6"/>
  <c r="AZ343" i="6"/>
  <c r="AY344" i="6"/>
  <c r="AZ344" i="6"/>
  <c r="AY345" i="6"/>
  <c r="AY346" i="6"/>
  <c r="AY347" i="6"/>
  <c r="AY348" i="6"/>
  <c r="AY349" i="6"/>
  <c r="AY350" i="6"/>
  <c r="AY351" i="6"/>
  <c r="AY352" i="6"/>
  <c r="AY353" i="6"/>
  <c r="AY354" i="6"/>
  <c r="AY355" i="6"/>
  <c r="AY356" i="6"/>
  <c r="AY357" i="6"/>
  <c r="AY358" i="6"/>
  <c r="AY359" i="6"/>
  <c r="AY360" i="6"/>
  <c r="AY361" i="6"/>
  <c r="AY362" i="6"/>
  <c r="AY363" i="6"/>
  <c r="AY364" i="6"/>
  <c r="AY365" i="6"/>
  <c r="AY366" i="6"/>
  <c r="AY367" i="6"/>
  <c r="AY368" i="6"/>
  <c r="AY369" i="6"/>
  <c r="AY370" i="6"/>
  <c r="AY371" i="6"/>
  <c r="AY372" i="6"/>
  <c r="AY373" i="6"/>
  <c r="AY374" i="6"/>
  <c r="AY375" i="6"/>
  <c r="AY376" i="6"/>
  <c r="AY377" i="6"/>
  <c r="AY378" i="6"/>
  <c r="AY379" i="6"/>
  <c r="AY380" i="6"/>
  <c r="AY381" i="6"/>
  <c r="AY382" i="6"/>
  <c r="AY383" i="6"/>
  <c r="AY384" i="6"/>
  <c r="AY385" i="6"/>
  <c r="AY386" i="6"/>
  <c r="AY387" i="6"/>
  <c r="AY388" i="6"/>
  <c r="AY389" i="6"/>
  <c r="AY390" i="6"/>
  <c r="AY391" i="6"/>
  <c r="AY392" i="6"/>
  <c r="AY393" i="6"/>
  <c r="AY394" i="6"/>
  <c r="AY395" i="6"/>
  <c r="AY396" i="6"/>
  <c r="AY397" i="6"/>
  <c r="AY398" i="6"/>
  <c r="AY399" i="6"/>
  <c r="AY400" i="6"/>
  <c r="AY401" i="6"/>
  <c r="AY402" i="6"/>
  <c r="AY403" i="6"/>
  <c r="AY404" i="6"/>
  <c r="AY405" i="6"/>
  <c r="AY406" i="6"/>
  <c r="AY407" i="6"/>
  <c r="AY408" i="6"/>
  <c r="AY409" i="6"/>
  <c r="AY410" i="6"/>
  <c r="AY411" i="6"/>
  <c r="AY412" i="6"/>
  <c r="AY413" i="6"/>
  <c r="AY414" i="6"/>
  <c r="AY415" i="6"/>
  <c r="AY416" i="6"/>
  <c r="AY417" i="6"/>
  <c r="AY418" i="6"/>
  <c r="AY419" i="6"/>
  <c r="AY420" i="6"/>
  <c r="AY421" i="6"/>
  <c r="AY422" i="6"/>
  <c r="AY423" i="6"/>
  <c r="AY424" i="6"/>
  <c r="AY425" i="6"/>
  <c r="AY426" i="6"/>
  <c r="AY427" i="6"/>
  <c r="AY428" i="6"/>
  <c r="AY429" i="6"/>
  <c r="AY430" i="6"/>
  <c r="AY431" i="6"/>
  <c r="AY432" i="6"/>
  <c r="AY433" i="6"/>
  <c r="AY434" i="6"/>
  <c r="AY435" i="6"/>
  <c r="AY436" i="6"/>
  <c r="AY437" i="6"/>
  <c r="AY438" i="6"/>
  <c r="AY439" i="6"/>
  <c r="AY440" i="6"/>
  <c r="AY441" i="6"/>
  <c r="AY442" i="6"/>
  <c r="AY443" i="6"/>
  <c r="AY444" i="6"/>
  <c r="AY445" i="6"/>
  <c r="AY446" i="6"/>
  <c r="AY447" i="6"/>
  <c r="AY448" i="6"/>
  <c r="AY449" i="6"/>
  <c r="AY450" i="6"/>
  <c r="AY451" i="6"/>
  <c r="AY452" i="6"/>
  <c r="AY453" i="6"/>
  <c r="AY454" i="6"/>
  <c r="AY455" i="6"/>
  <c r="AY456" i="6"/>
  <c r="AY457" i="6"/>
  <c r="AY458" i="6"/>
  <c r="AY459" i="6"/>
  <c r="AY460" i="6"/>
  <c r="AY461" i="6"/>
  <c r="AY462" i="6"/>
  <c r="AY463" i="6"/>
  <c r="AY464" i="6"/>
  <c r="AY465" i="6"/>
  <c r="AY466" i="6"/>
  <c r="AY467" i="6"/>
  <c r="AY468" i="6"/>
  <c r="AY469" i="6"/>
  <c r="AY470" i="6"/>
  <c r="AY471" i="6"/>
  <c r="AY472" i="6"/>
  <c r="AY473" i="6"/>
  <c r="AY474" i="6"/>
  <c r="AY475" i="6"/>
  <c r="AY476" i="6"/>
  <c r="AY477" i="6"/>
  <c r="AY478" i="6"/>
  <c r="AY479" i="6"/>
  <c r="AY480" i="6"/>
  <c r="AY481" i="6"/>
  <c r="AY482" i="6"/>
  <c r="AY483" i="6"/>
  <c r="AY484" i="6"/>
  <c r="AY485" i="6"/>
  <c r="AY486" i="6"/>
  <c r="AY487" i="6"/>
  <c r="AY488" i="6"/>
  <c r="AY489" i="6"/>
  <c r="AY490" i="6"/>
  <c r="AY491" i="6"/>
  <c r="AY492" i="6"/>
  <c r="AY493" i="6"/>
  <c r="AY494" i="6"/>
  <c r="AY495" i="6"/>
  <c r="AY496" i="6"/>
  <c r="AY497" i="6"/>
  <c r="AY498" i="6"/>
  <c r="AY499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66" i="6"/>
  <c r="AT67" i="6"/>
  <c r="AT68" i="6"/>
  <c r="AT69" i="6"/>
  <c r="AT70" i="6"/>
  <c r="AT71" i="6"/>
  <c r="AT72" i="6"/>
  <c r="AT73" i="6"/>
  <c r="AT74" i="6"/>
  <c r="AT75" i="6"/>
  <c r="AT76" i="6"/>
  <c r="AT77" i="6"/>
  <c r="AT78" i="6"/>
  <c r="AT79" i="6"/>
  <c r="AT80" i="6"/>
  <c r="AT81" i="6"/>
  <c r="AT82" i="6"/>
  <c r="AT83" i="6"/>
  <c r="AT84" i="6"/>
  <c r="AT85" i="6"/>
  <c r="AT86" i="6"/>
  <c r="AT87" i="6"/>
  <c r="AT88" i="6"/>
  <c r="AT89" i="6"/>
  <c r="AT90" i="6"/>
  <c r="AT91" i="6"/>
  <c r="AT92" i="6"/>
  <c r="AT93" i="6"/>
  <c r="AT94" i="6"/>
  <c r="AT95" i="6"/>
  <c r="AT96" i="6"/>
  <c r="AT97" i="6"/>
  <c r="AT98" i="6"/>
  <c r="AT99" i="6"/>
  <c r="AT100" i="6"/>
  <c r="AT101" i="6"/>
  <c r="AT102" i="6"/>
  <c r="AT103" i="6"/>
  <c r="AT104" i="6"/>
  <c r="AT105" i="6"/>
  <c r="AT106" i="6"/>
  <c r="AT107" i="6"/>
  <c r="AT108" i="6"/>
  <c r="AT109" i="6"/>
  <c r="AT110" i="6"/>
  <c r="AT111" i="6"/>
  <c r="AT112" i="6"/>
  <c r="AT113" i="6"/>
  <c r="AT114" i="6"/>
  <c r="AT115" i="6"/>
  <c r="AT116" i="6"/>
  <c r="AT117" i="6"/>
  <c r="AT118" i="6"/>
  <c r="AT119" i="6"/>
  <c r="AT120" i="6"/>
  <c r="AT121" i="6"/>
  <c r="AT122" i="6"/>
  <c r="AT123" i="6"/>
  <c r="AT124" i="6"/>
  <c r="AT125" i="6"/>
  <c r="AT126" i="6"/>
  <c r="AT127" i="6"/>
  <c r="AT128" i="6"/>
  <c r="AT129" i="6"/>
  <c r="AT130" i="6"/>
  <c r="AT131" i="6"/>
  <c r="AT132" i="6"/>
  <c r="AT133" i="6"/>
  <c r="AT134" i="6"/>
  <c r="AT135" i="6"/>
  <c r="AT136" i="6"/>
  <c r="AT137" i="6"/>
  <c r="AT138" i="6"/>
  <c r="AT139" i="6"/>
  <c r="AT140" i="6"/>
  <c r="AT141" i="6"/>
  <c r="AT142" i="6"/>
  <c r="AT143" i="6"/>
  <c r="AN5" i="6"/>
  <c r="AN6" i="6"/>
  <c r="AN7" i="6"/>
  <c r="AN8" i="6"/>
  <c r="AN9" i="6"/>
  <c r="AN10" i="6"/>
  <c r="AN11" i="6"/>
  <c r="AN12" i="6"/>
  <c r="AN13" i="6"/>
  <c r="AN14" i="6"/>
  <c r="AN15" i="6"/>
  <c r="AN16" i="6"/>
  <c r="AN17" i="6"/>
  <c r="AN18" i="6"/>
  <c r="AN19" i="6"/>
  <c r="AN20" i="6"/>
  <c r="AN21" i="6"/>
  <c r="AN22" i="6"/>
  <c r="AN23" i="6"/>
  <c r="AN24" i="6"/>
  <c r="AN25" i="6"/>
  <c r="AN26" i="6"/>
  <c r="AN27" i="6"/>
  <c r="AN28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AN57" i="6"/>
  <c r="AN58" i="6"/>
  <c r="AN59" i="6"/>
  <c r="AN60" i="6"/>
  <c r="AN61" i="6"/>
  <c r="AN62" i="6"/>
  <c r="AN63" i="6"/>
  <c r="AN64" i="6"/>
  <c r="AN65" i="6"/>
  <c r="AN66" i="6"/>
  <c r="AN67" i="6"/>
  <c r="AN68" i="6"/>
  <c r="AN69" i="6"/>
  <c r="AN70" i="6"/>
  <c r="AN71" i="6"/>
  <c r="AN72" i="6"/>
  <c r="AN73" i="6"/>
  <c r="AN74" i="6"/>
  <c r="AN75" i="6"/>
  <c r="AN76" i="6"/>
  <c r="AN77" i="6"/>
  <c r="AN78" i="6"/>
  <c r="AN79" i="6"/>
  <c r="AN80" i="6"/>
  <c r="AN81" i="6"/>
  <c r="AN82" i="6"/>
  <c r="AN83" i="6"/>
  <c r="AN84" i="6"/>
  <c r="AN85" i="6"/>
  <c r="AN86" i="6"/>
  <c r="AN87" i="6"/>
  <c r="AN88" i="6"/>
  <c r="AN89" i="6"/>
  <c r="AN90" i="6"/>
  <c r="AN91" i="6"/>
  <c r="AN92" i="6"/>
  <c r="AN93" i="6"/>
  <c r="AN94" i="6"/>
  <c r="AN95" i="6"/>
  <c r="AN96" i="6"/>
  <c r="AN97" i="6"/>
  <c r="AN98" i="6"/>
  <c r="AN99" i="6"/>
  <c r="AN100" i="6"/>
  <c r="AN101" i="6"/>
  <c r="AN102" i="6"/>
  <c r="AN103" i="6"/>
  <c r="AN104" i="6"/>
  <c r="AN105" i="6"/>
  <c r="AN106" i="6"/>
  <c r="AN107" i="6"/>
  <c r="AN108" i="6"/>
  <c r="AN109" i="6"/>
  <c r="AN110" i="6"/>
  <c r="AN111" i="6"/>
  <c r="AN112" i="6"/>
  <c r="AN113" i="6"/>
  <c r="AN114" i="6"/>
  <c r="AN115" i="6"/>
  <c r="AN116" i="6"/>
  <c r="AN117" i="6"/>
  <c r="AN118" i="6"/>
  <c r="AN119" i="6"/>
  <c r="AN120" i="6"/>
  <c r="AN121" i="6"/>
  <c r="AN122" i="6"/>
  <c r="AN123" i="6"/>
  <c r="AN124" i="6"/>
  <c r="AN125" i="6"/>
  <c r="AN126" i="6"/>
  <c r="AN127" i="6"/>
  <c r="AN128" i="6"/>
  <c r="AN129" i="6"/>
  <c r="AN130" i="6"/>
  <c r="AN131" i="6"/>
  <c r="AN132" i="6"/>
  <c r="AN133" i="6"/>
  <c r="AN134" i="6"/>
  <c r="AN135" i="6"/>
  <c r="AN136" i="6"/>
  <c r="AN137" i="6"/>
  <c r="AN138" i="6"/>
  <c r="AN139" i="6"/>
  <c r="AN140" i="6"/>
  <c r="AN141" i="6"/>
  <c r="AN142" i="6"/>
  <c r="AN143" i="6"/>
  <c r="AN144" i="6"/>
  <c r="AN145" i="6"/>
  <c r="AN146" i="6"/>
  <c r="AN147" i="6"/>
  <c r="AN148" i="6"/>
  <c r="AN149" i="6"/>
  <c r="AN150" i="6"/>
  <c r="AN151" i="6"/>
  <c r="AN152" i="6"/>
  <c r="AN153" i="6"/>
  <c r="AN154" i="6"/>
  <c r="AN155" i="6"/>
  <c r="AN156" i="6"/>
  <c r="AN157" i="6"/>
  <c r="AN158" i="6"/>
  <c r="AN159" i="6"/>
  <c r="AN160" i="6"/>
  <c r="AN161" i="6"/>
  <c r="AN162" i="6"/>
  <c r="AN163" i="6"/>
  <c r="AN164" i="6"/>
  <c r="AN165" i="6"/>
  <c r="AN166" i="6"/>
  <c r="AN167" i="6"/>
  <c r="AN168" i="6"/>
  <c r="AN169" i="6"/>
  <c r="AN170" i="6"/>
  <c r="AN171" i="6"/>
  <c r="AN172" i="6"/>
  <c r="AN173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BI477" i="6"/>
  <c r="BI475" i="6"/>
  <c r="BI473" i="6"/>
  <c r="BI471" i="6"/>
  <c r="BI469" i="6"/>
  <c r="BH469" i="6"/>
  <c r="BI467" i="6"/>
  <c r="BI465" i="6"/>
  <c r="BI463" i="6"/>
  <c r="BI461" i="6"/>
  <c r="BI459" i="6"/>
  <c r="BI457" i="6"/>
  <c r="BI455" i="6"/>
  <c r="BI453" i="6"/>
  <c r="BI451" i="6"/>
  <c r="BI449" i="6"/>
  <c r="BH447" i="6"/>
  <c r="BI447" i="6"/>
  <c r="BH445" i="6"/>
  <c r="BI445" i="6"/>
  <c r="BI443" i="6"/>
  <c r="BH443" i="6"/>
  <c r="BH441" i="6"/>
  <c r="BI441" i="6"/>
  <c r="BH439" i="6"/>
  <c r="BI439" i="6"/>
  <c r="BI437" i="6"/>
  <c r="BH437" i="6"/>
  <c r="BI435" i="6"/>
  <c r="BH435" i="6"/>
  <c r="BH433" i="6"/>
  <c r="BI433" i="6"/>
  <c r="BI431" i="6"/>
  <c r="BH431" i="6"/>
  <c r="BI429" i="6"/>
  <c r="BH429" i="6"/>
  <c r="BI427" i="6"/>
  <c r="BH427" i="6"/>
  <c r="BI425" i="6"/>
  <c r="BH425" i="6"/>
  <c r="BH423" i="6"/>
  <c r="BI423" i="6"/>
  <c r="BH421" i="6"/>
  <c r="BI421" i="6"/>
  <c r="BI419" i="6"/>
  <c r="BH419" i="6"/>
  <c r="BI417" i="6"/>
  <c r="BH417" i="6"/>
  <c r="BI415" i="6"/>
  <c r="BI413" i="6"/>
  <c r="BH413" i="6"/>
  <c r="BH411" i="6"/>
  <c r="BI411" i="6"/>
  <c r="BH409" i="6"/>
  <c r="BI409" i="6"/>
  <c r="BI407" i="6"/>
  <c r="BH407" i="6"/>
  <c r="BH405" i="6"/>
  <c r="BI405" i="6"/>
  <c r="BH403" i="6"/>
  <c r="BI403" i="6"/>
  <c r="BI401" i="6"/>
  <c r="BH401" i="6"/>
  <c r="BH399" i="6"/>
  <c r="BI399" i="6"/>
  <c r="BG397" i="6"/>
  <c r="BF397" i="6"/>
  <c r="BH397" i="6"/>
  <c r="BI397" i="6"/>
  <c r="BI395" i="6"/>
  <c r="BH395" i="6"/>
  <c r="BI393" i="6"/>
  <c r="BH393" i="6"/>
  <c r="BI391" i="6"/>
  <c r="BH391" i="6"/>
  <c r="BI389" i="6"/>
  <c r="BH389" i="6"/>
  <c r="BH387" i="6"/>
  <c r="BI387" i="6"/>
  <c r="BH385" i="6"/>
  <c r="BI385" i="6"/>
  <c r="BI383" i="6"/>
  <c r="BH383" i="6"/>
  <c r="BI381" i="6"/>
  <c r="BH381" i="6"/>
  <c r="BI379" i="6"/>
  <c r="BH379" i="6"/>
  <c r="BI377" i="6"/>
  <c r="BH377" i="6"/>
  <c r="BH375" i="6"/>
  <c r="BI375" i="6"/>
  <c r="BH373" i="6"/>
  <c r="BI373" i="6"/>
  <c r="BI371" i="6"/>
  <c r="BH371" i="6"/>
  <c r="BH369" i="6"/>
  <c r="BI369" i="6"/>
  <c r="BH367" i="6"/>
  <c r="BI367" i="6"/>
  <c r="BH365" i="6"/>
  <c r="BI365" i="6"/>
  <c r="BH363" i="6"/>
  <c r="BI363" i="6"/>
  <c r="BH361" i="6"/>
  <c r="BI361" i="6"/>
  <c r="BI359" i="6"/>
  <c r="BH359" i="6"/>
  <c r="BI357" i="6"/>
  <c r="BH357" i="6"/>
  <c r="BH355" i="6"/>
  <c r="BI355" i="6"/>
  <c r="BH353" i="6"/>
  <c r="BI353" i="6"/>
  <c r="BF351" i="6"/>
  <c r="BH351" i="6"/>
  <c r="BI351" i="6"/>
  <c r="BG351" i="6"/>
  <c r="BH349" i="6"/>
  <c r="BI349" i="6"/>
  <c r="BF349" i="6"/>
  <c r="BG349" i="6"/>
  <c r="BG347" i="6"/>
  <c r="BI347" i="6"/>
  <c r="BF347" i="6"/>
  <c r="BH347" i="6"/>
  <c r="BF345" i="6"/>
  <c r="BG345" i="6"/>
  <c r="BH345" i="6"/>
  <c r="BI345" i="6"/>
  <c r="BH343" i="6"/>
  <c r="BD343" i="6"/>
  <c r="BJ343" i="6" s="1"/>
  <c r="BI343" i="6"/>
  <c r="BC343" i="6"/>
  <c r="BE343" i="6"/>
  <c r="BF343" i="6"/>
  <c r="BG343" i="6"/>
  <c r="BF341" i="6"/>
  <c r="BH341" i="6"/>
  <c r="BG341" i="6"/>
  <c r="BI341" i="6"/>
  <c r="BF339" i="6"/>
  <c r="BG339" i="6"/>
  <c r="BH339" i="6"/>
  <c r="BI339" i="6"/>
  <c r="BH337" i="6"/>
  <c r="BG337" i="6"/>
  <c r="BF337" i="6"/>
  <c r="BI337" i="6"/>
  <c r="BI335" i="6"/>
  <c r="BG335" i="6"/>
  <c r="BF335" i="6"/>
  <c r="BH335" i="6"/>
  <c r="BF333" i="6"/>
  <c r="BI333" i="6"/>
  <c r="BG333" i="6"/>
  <c r="BH333" i="6"/>
  <c r="BH331" i="6"/>
  <c r="BI331" i="6"/>
  <c r="BF331" i="6"/>
  <c r="BG331" i="6"/>
  <c r="BH329" i="6"/>
  <c r="BF329" i="6"/>
  <c r="BG329" i="6"/>
  <c r="BI329" i="6"/>
  <c r="BF327" i="6"/>
  <c r="BH327" i="6"/>
  <c r="BI327" i="6"/>
  <c r="BG327" i="6"/>
  <c r="BH325" i="6"/>
  <c r="BG325" i="6"/>
  <c r="BI325" i="6"/>
  <c r="BF325" i="6"/>
  <c r="BG323" i="6"/>
  <c r="BI323" i="6"/>
  <c r="BF323" i="6"/>
  <c r="BH323" i="6"/>
  <c r="BF321" i="6"/>
  <c r="BG321" i="6"/>
  <c r="BH321" i="6"/>
  <c r="BI321" i="6"/>
  <c r="BH319" i="6"/>
  <c r="BF319" i="6"/>
  <c r="BG319" i="6"/>
  <c r="BI319" i="6"/>
  <c r="BF317" i="6"/>
  <c r="BI317" i="6"/>
  <c r="BG317" i="6"/>
  <c r="BH317" i="6"/>
  <c r="BF315" i="6"/>
  <c r="BG315" i="6"/>
  <c r="BI315" i="6"/>
  <c r="BH315" i="6"/>
  <c r="BH313" i="6"/>
  <c r="BE313" i="6"/>
  <c r="BF313" i="6"/>
  <c r="BD313" i="6"/>
  <c r="BG313" i="6"/>
  <c r="BI313" i="6"/>
  <c r="BD311" i="6"/>
  <c r="BE311" i="6"/>
  <c r="BH311" i="6"/>
  <c r="BF311" i="6"/>
  <c r="BG311" i="6"/>
  <c r="BI311" i="6"/>
  <c r="BF309" i="6"/>
  <c r="BD309" i="6"/>
  <c r="BE309" i="6"/>
  <c r="BH309" i="6"/>
  <c r="BG309" i="6"/>
  <c r="BI309" i="6"/>
  <c r="BH307" i="6"/>
  <c r="BD307" i="6"/>
  <c r="BE307" i="6"/>
  <c r="BF307" i="6"/>
  <c r="BG307" i="6"/>
  <c r="BI307" i="6"/>
  <c r="BD305" i="6"/>
  <c r="BG305" i="6"/>
  <c r="BI305" i="6"/>
  <c r="BF305" i="6"/>
  <c r="BH305" i="6"/>
  <c r="BE305" i="6"/>
  <c r="BF303" i="6"/>
  <c r="BD303" i="6"/>
  <c r="BG303" i="6"/>
  <c r="BH303" i="6"/>
  <c r="BI303" i="6"/>
  <c r="BE303" i="6"/>
  <c r="BH301" i="6"/>
  <c r="BI301" i="6"/>
  <c r="BD301" i="6"/>
  <c r="BG301" i="6"/>
  <c r="BE301" i="6"/>
  <c r="BF301" i="6"/>
  <c r="BD299" i="6"/>
  <c r="BI299" i="6"/>
  <c r="BF299" i="6"/>
  <c r="BH299" i="6"/>
  <c r="BE299" i="6"/>
  <c r="BG299" i="6"/>
  <c r="BF297" i="6"/>
  <c r="BI297" i="6"/>
  <c r="BE297" i="6"/>
  <c r="BD297" i="6"/>
  <c r="BG297" i="6"/>
  <c r="BH297" i="6"/>
  <c r="BH295" i="6"/>
  <c r="BI295" i="6"/>
  <c r="BG295" i="6"/>
  <c r="BD295" i="6"/>
  <c r="BE295" i="6"/>
  <c r="BF295" i="6"/>
  <c r="BH293" i="6"/>
  <c r="BG293" i="6"/>
  <c r="BI293" i="6"/>
  <c r="BH291" i="6"/>
  <c r="BG291" i="6"/>
  <c r="BI291" i="6"/>
  <c r="BH289" i="6"/>
  <c r="BG289" i="6"/>
  <c r="BF289" i="6"/>
  <c r="BI289" i="6"/>
  <c r="BD289" i="6"/>
  <c r="BE289" i="6"/>
  <c r="BD287" i="6"/>
  <c r="BG287" i="6"/>
  <c r="BE287" i="6"/>
  <c r="BF287" i="6"/>
  <c r="BH287" i="6"/>
  <c r="BI287" i="6"/>
  <c r="BF285" i="6"/>
  <c r="BG285" i="6"/>
  <c r="BI285" i="6"/>
  <c r="BH285" i="6"/>
  <c r="BD285" i="6"/>
  <c r="BE285" i="6"/>
  <c r="BH283" i="6"/>
  <c r="BF283" i="6"/>
  <c r="BE283" i="6"/>
  <c r="BG283" i="6"/>
  <c r="BI283" i="6"/>
  <c r="BD283" i="6"/>
  <c r="BD281" i="6"/>
  <c r="BF281" i="6"/>
  <c r="BE281" i="6"/>
  <c r="BG281" i="6"/>
  <c r="BH281" i="6"/>
  <c r="BI281" i="6"/>
  <c r="BF279" i="6"/>
  <c r="BE279" i="6"/>
  <c r="BH279" i="6"/>
  <c r="BI279" i="6"/>
  <c r="BD279" i="6"/>
  <c r="BG279" i="6"/>
  <c r="BH277" i="6"/>
  <c r="BE277" i="6"/>
  <c r="BD277" i="6"/>
  <c r="BF277" i="6"/>
  <c r="BG277" i="6"/>
  <c r="BI277" i="6"/>
  <c r="BD275" i="6"/>
  <c r="BE275" i="6"/>
  <c r="BI275" i="6"/>
  <c r="BH275" i="6"/>
  <c r="BF275" i="6"/>
  <c r="BG275" i="6"/>
  <c r="BF273" i="6"/>
  <c r="BD273" i="6"/>
  <c r="BG273" i="6"/>
  <c r="BH273" i="6"/>
  <c r="BI273" i="6"/>
  <c r="BE273" i="6"/>
  <c r="BI271" i="6"/>
  <c r="BG271" i="6"/>
  <c r="BH271" i="6"/>
  <c r="BG269" i="6"/>
  <c r="BE269" i="6"/>
  <c r="BF269" i="6"/>
  <c r="BD269" i="6"/>
  <c r="BH269" i="6"/>
  <c r="BI269" i="6"/>
  <c r="BI267" i="6"/>
  <c r="BE267" i="6"/>
  <c r="BG267" i="6"/>
  <c r="BH267" i="6"/>
  <c r="BF267" i="6"/>
  <c r="BD267" i="6"/>
  <c r="BE265" i="6"/>
  <c r="BD265" i="6"/>
  <c r="BH265" i="6"/>
  <c r="BF265" i="6"/>
  <c r="BG265" i="6"/>
  <c r="BI265" i="6"/>
  <c r="BG263" i="6"/>
  <c r="BD263" i="6"/>
  <c r="BE263" i="6"/>
  <c r="BF263" i="6"/>
  <c r="BH263" i="6"/>
  <c r="BI263" i="6"/>
  <c r="BI261" i="6"/>
  <c r="BG261" i="6"/>
  <c r="BH261" i="6"/>
  <c r="BF261" i="6"/>
  <c r="BE259" i="6"/>
  <c r="BG259" i="6"/>
  <c r="BF259" i="6"/>
  <c r="BH259" i="6"/>
  <c r="BI259" i="6"/>
  <c r="BG257" i="6"/>
  <c r="BD257" i="6"/>
  <c r="BE257" i="6"/>
  <c r="BF257" i="6"/>
  <c r="BH257" i="6"/>
  <c r="BI257" i="6"/>
  <c r="BI255" i="6"/>
  <c r="BH255" i="6"/>
  <c r="BG255" i="6"/>
  <c r="BD255" i="6"/>
  <c r="BE255" i="6"/>
  <c r="BF255" i="6"/>
  <c r="BE253" i="6"/>
  <c r="BI253" i="6"/>
  <c r="BF253" i="6"/>
  <c r="BG253" i="6"/>
  <c r="BH253" i="6"/>
  <c r="BG251" i="6"/>
  <c r="BI251" i="6"/>
  <c r="BH251" i="6"/>
  <c r="BI249" i="6"/>
  <c r="BH249" i="6"/>
  <c r="BG249" i="6"/>
  <c r="BE249" i="6"/>
  <c r="BF249" i="6"/>
  <c r="BH247" i="6"/>
  <c r="BF247" i="6"/>
  <c r="BG247" i="6"/>
  <c r="BI247" i="6"/>
  <c r="BG245" i="6"/>
  <c r="BH245" i="6"/>
  <c r="BE245" i="6"/>
  <c r="BF245" i="6"/>
  <c r="BI245" i="6"/>
  <c r="BI243" i="6"/>
  <c r="BG243" i="6"/>
  <c r="BF243" i="6"/>
  <c r="BD243" i="6"/>
  <c r="BE243" i="6"/>
  <c r="BH243" i="6"/>
  <c r="BE241" i="6"/>
  <c r="BG241" i="6"/>
  <c r="BD241" i="6"/>
  <c r="BF241" i="6"/>
  <c r="BH241" i="6"/>
  <c r="BI241" i="6"/>
  <c r="BG239" i="6"/>
  <c r="BF239" i="6"/>
  <c r="BI239" i="6"/>
  <c r="BD239" i="6"/>
  <c r="BE239" i="6"/>
  <c r="BH239" i="6"/>
  <c r="BI237" i="6"/>
  <c r="BF237" i="6"/>
  <c r="BE237" i="6"/>
  <c r="BH237" i="6"/>
  <c r="BD237" i="6"/>
  <c r="BG237" i="6"/>
  <c r="BE235" i="6"/>
  <c r="BF235" i="6"/>
  <c r="BD235" i="6"/>
  <c r="BG235" i="6"/>
  <c r="BH235" i="6"/>
  <c r="BI235" i="6"/>
  <c r="BG233" i="6"/>
  <c r="BE233" i="6"/>
  <c r="BH233" i="6"/>
  <c r="BF233" i="6"/>
  <c r="BI233" i="6"/>
  <c r="BD233" i="6"/>
  <c r="BI231" i="6"/>
  <c r="BE231" i="6"/>
  <c r="BD231" i="6"/>
  <c r="BG231" i="6"/>
  <c r="BH231" i="6"/>
  <c r="BF231" i="6"/>
  <c r="BE229" i="6"/>
  <c r="BD229" i="6"/>
  <c r="BI229" i="6"/>
  <c r="BH229" i="6"/>
  <c r="BF229" i="6"/>
  <c r="BG229" i="6"/>
  <c r="BG227" i="6"/>
  <c r="BD227" i="6"/>
  <c r="BF227" i="6"/>
  <c r="BI227" i="6"/>
  <c r="BE227" i="6"/>
  <c r="BH227" i="6"/>
  <c r="BI225" i="6"/>
  <c r="BD225" i="6"/>
  <c r="BF225" i="6"/>
  <c r="BE225" i="6"/>
  <c r="BG225" i="6"/>
  <c r="BH225" i="6"/>
  <c r="BE223" i="6"/>
  <c r="BH223" i="6"/>
  <c r="BD223" i="6"/>
  <c r="BF223" i="6"/>
  <c r="BG223" i="6"/>
  <c r="BI223" i="6"/>
  <c r="BG221" i="6"/>
  <c r="BE221" i="6"/>
  <c r="BH221" i="6"/>
  <c r="BD221" i="6"/>
  <c r="BF221" i="6"/>
  <c r="BI221" i="6"/>
  <c r="BI219" i="6"/>
  <c r="BE219" i="6"/>
  <c r="BD219" i="6"/>
  <c r="BF219" i="6"/>
  <c r="BG219" i="6"/>
  <c r="BH219" i="6"/>
  <c r="BE217" i="6"/>
  <c r="BI217" i="6"/>
  <c r="BG217" i="6"/>
  <c r="BD217" i="6"/>
  <c r="BF217" i="6"/>
  <c r="BH217" i="6"/>
  <c r="BG215" i="6"/>
  <c r="BI215" i="6"/>
  <c r="BD215" i="6"/>
  <c r="BF215" i="6"/>
  <c r="BE215" i="6"/>
  <c r="BH215" i="6"/>
  <c r="BI213" i="6"/>
  <c r="BH213" i="6"/>
  <c r="BE213" i="6"/>
  <c r="BF213" i="6"/>
  <c r="BG213" i="6"/>
  <c r="BE211" i="6"/>
  <c r="BH211" i="6"/>
  <c r="BF211" i="6"/>
  <c r="BI211" i="6"/>
  <c r="BG211" i="6"/>
  <c r="BG209" i="6"/>
  <c r="BH209" i="6"/>
  <c r="BE209" i="6"/>
  <c r="BF209" i="6"/>
  <c r="BI209" i="6"/>
  <c r="BI207" i="6"/>
  <c r="BG207" i="6"/>
  <c r="BH207" i="6"/>
  <c r="BF207" i="6"/>
  <c r="BD207" i="6"/>
  <c r="BE207" i="6"/>
  <c r="BE205" i="6"/>
  <c r="BG205" i="6"/>
  <c r="BD205" i="6"/>
  <c r="BH205" i="6"/>
  <c r="BI205" i="6"/>
  <c r="BF205" i="6"/>
  <c r="BG203" i="6"/>
  <c r="BF203" i="6"/>
  <c r="BD203" i="6"/>
  <c r="BI203" i="6"/>
  <c r="BE203" i="6"/>
  <c r="BH203" i="6"/>
  <c r="BI201" i="6"/>
  <c r="BF201" i="6"/>
  <c r="BG201" i="6"/>
  <c r="BD201" i="6"/>
  <c r="BE201" i="6"/>
  <c r="BH201" i="6"/>
  <c r="BE199" i="6"/>
  <c r="BF199" i="6"/>
  <c r="BG199" i="6"/>
  <c r="BD199" i="6"/>
  <c r="BH199" i="6"/>
  <c r="BI199" i="6"/>
  <c r="BG197" i="6"/>
  <c r="BE197" i="6"/>
  <c r="BI197" i="6"/>
  <c r="BF197" i="6"/>
  <c r="BH197" i="6"/>
  <c r="BI195" i="6"/>
  <c r="BE195" i="6"/>
  <c r="BF195" i="6"/>
  <c r="BH195" i="6"/>
  <c r="BG195" i="6"/>
  <c r="BE193" i="6"/>
  <c r="BF193" i="6"/>
  <c r="BG193" i="6"/>
  <c r="BH193" i="6"/>
  <c r="BI193" i="6"/>
  <c r="BG191" i="6"/>
  <c r="BH191" i="6"/>
  <c r="BE191" i="6"/>
  <c r="BF191" i="6"/>
  <c r="BI191" i="6"/>
  <c r="BI189" i="6"/>
  <c r="BE189" i="6"/>
  <c r="BG189" i="6"/>
  <c r="BF189" i="6"/>
  <c r="BH189" i="6"/>
  <c r="BE187" i="6"/>
  <c r="BI187" i="6"/>
  <c r="BD187" i="6"/>
  <c r="BF187" i="6"/>
  <c r="BG187" i="6"/>
  <c r="BH187" i="6"/>
  <c r="BG185" i="6"/>
  <c r="BF185" i="6"/>
  <c r="BI185" i="6"/>
  <c r="BE185" i="6"/>
  <c r="BH185" i="6"/>
  <c r="BI183" i="6"/>
  <c r="BF183" i="6"/>
  <c r="BG183" i="6"/>
  <c r="BH183" i="6"/>
  <c r="BE183" i="6"/>
  <c r="BE181" i="6"/>
  <c r="BI181" i="6"/>
  <c r="BH181" i="6"/>
  <c r="BG181" i="6"/>
  <c r="BF181" i="6"/>
  <c r="BG179" i="6"/>
  <c r="BF179" i="6"/>
  <c r="BI179" i="6"/>
  <c r="BH179" i="6"/>
  <c r="BE179" i="6"/>
  <c r="BI177" i="6"/>
  <c r="BF177" i="6"/>
  <c r="BE177" i="6"/>
  <c r="BH177" i="6"/>
  <c r="BG177" i="6"/>
  <c r="BE175" i="6"/>
  <c r="BF175" i="6"/>
  <c r="BG175" i="6"/>
  <c r="BH175" i="6"/>
  <c r="BI175" i="6"/>
  <c r="BG173" i="6"/>
  <c r="BE173" i="6"/>
  <c r="BH173" i="6"/>
  <c r="BI173" i="6"/>
  <c r="BF173" i="6"/>
  <c r="BI171" i="6"/>
  <c r="BE171" i="6"/>
  <c r="BH171" i="6"/>
  <c r="BF171" i="6"/>
  <c r="BG171" i="6"/>
  <c r="BE169" i="6"/>
  <c r="BI169" i="6"/>
  <c r="BF169" i="6"/>
  <c r="BG169" i="6"/>
  <c r="BH169" i="6"/>
  <c r="BG167" i="6"/>
  <c r="BF167" i="6"/>
  <c r="BE167" i="6"/>
  <c r="BI167" i="6"/>
  <c r="BH167" i="6"/>
  <c r="BI165" i="6"/>
  <c r="BH165" i="6"/>
  <c r="BE165" i="6"/>
  <c r="BF165" i="6"/>
  <c r="BG165" i="6"/>
  <c r="BE163" i="6"/>
  <c r="BH163" i="6"/>
  <c r="BF163" i="6"/>
  <c r="BG163" i="6"/>
  <c r="BI163" i="6"/>
  <c r="BG161" i="6"/>
  <c r="BE161" i="6"/>
  <c r="BF161" i="6"/>
  <c r="BI161" i="6"/>
  <c r="BH161" i="6"/>
  <c r="BI159" i="6"/>
  <c r="BH159" i="6"/>
  <c r="BG159" i="6"/>
  <c r="BE159" i="6"/>
  <c r="BF159" i="6"/>
  <c r="BI157" i="6"/>
  <c r="BG157" i="6"/>
  <c r="BF157" i="6"/>
  <c r="BH157" i="6"/>
  <c r="BG155" i="6"/>
  <c r="BI155" i="6"/>
  <c r="BF155" i="6"/>
  <c r="BH155" i="6"/>
  <c r="BI153" i="6"/>
  <c r="BH153" i="6"/>
  <c r="BD153" i="6"/>
  <c r="BE153" i="6"/>
  <c r="BF153" i="6"/>
  <c r="BG153" i="6"/>
  <c r="BE151" i="6"/>
  <c r="BH151" i="6"/>
  <c r="BF151" i="6"/>
  <c r="BG151" i="6"/>
  <c r="BI151" i="6"/>
  <c r="BG149" i="6"/>
  <c r="BH149" i="6"/>
  <c r="BF149" i="6"/>
  <c r="BE149" i="6"/>
  <c r="BI149" i="6"/>
  <c r="BI147" i="6"/>
  <c r="BG147" i="6"/>
  <c r="BH147" i="6"/>
  <c r="BF147" i="6"/>
  <c r="BE145" i="6"/>
  <c r="BG145" i="6"/>
  <c r="BH145" i="6"/>
  <c r="BF145" i="6"/>
  <c r="BI145" i="6"/>
  <c r="BG143" i="6"/>
  <c r="BF143" i="6"/>
  <c r="BH143" i="6"/>
  <c r="BE143" i="6"/>
  <c r="BI143" i="6"/>
  <c r="BI141" i="6"/>
  <c r="BF141" i="6"/>
  <c r="BG141" i="6"/>
  <c r="BE141" i="6"/>
  <c r="BH141" i="6"/>
  <c r="BE139" i="6"/>
  <c r="BF139" i="6"/>
  <c r="BH139" i="6"/>
  <c r="BI139" i="6"/>
  <c r="BG139" i="6"/>
  <c r="BG137" i="6"/>
  <c r="BE137" i="6"/>
  <c r="BI137" i="6"/>
  <c r="BH137" i="6"/>
  <c r="BF137" i="6"/>
  <c r="BI135" i="6"/>
  <c r="BE135" i="6"/>
  <c r="BF135" i="6"/>
  <c r="BG135" i="6"/>
  <c r="BH135" i="6"/>
  <c r="BE133" i="6"/>
  <c r="BF133" i="6"/>
  <c r="BH133" i="6"/>
  <c r="BG133" i="6"/>
  <c r="BI133" i="6"/>
  <c r="BG131" i="6"/>
  <c r="BH131" i="6"/>
  <c r="BI131" i="6"/>
  <c r="BE131" i="6"/>
  <c r="BF131" i="6"/>
  <c r="BI129" i="6"/>
  <c r="BE129" i="6"/>
  <c r="BF129" i="6"/>
  <c r="BG129" i="6"/>
  <c r="BH129" i="6"/>
  <c r="BE127" i="6"/>
  <c r="BI127" i="6"/>
  <c r="BF127" i="6"/>
  <c r="BH127" i="6"/>
  <c r="BG127" i="6"/>
  <c r="BG125" i="6"/>
  <c r="BF125" i="6"/>
  <c r="BI125" i="6"/>
  <c r="BH125" i="6"/>
  <c r="BI123" i="6"/>
  <c r="BF123" i="6"/>
  <c r="BE123" i="6"/>
  <c r="BG123" i="6"/>
  <c r="BH123" i="6"/>
  <c r="BI121" i="6"/>
  <c r="BH121" i="6"/>
  <c r="BF121" i="6"/>
  <c r="BG121" i="6"/>
  <c r="BG119" i="6"/>
  <c r="BI119" i="6"/>
  <c r="BE119" i="6"/>
  <c r="BH119" i="6"/>
  <c r="BD119" i="6"/>
  <c r="BF119" i="6"/>
  <c r="BI117" i="6"/>
  <c r="BH117" i="6"/>
  <c r="BD117" i="6"/>
  <c r="BF117" i="6"/>
  <c r="BG117" i="6"/>
  <c r="BE117" i="6"/>
  <c r="BE115" i="6"/>
  <c r="BH115" i="6"/>
  <c r="BG115" i="6"/>
  <c r="BF115" i="6"/>
  <c r="BD115" i="6"/>
  <c r="BI115" i="6"/>
  <c r="BG113" i="6"/>
  <c r="BH113" i="6"/>
  <c r="BD113" i="6"/>
  <c r="BE113" i="6"/>
  <c r="BF113" i="6"/>
  <c r="BI113" i="6"/>
  <c r="BI111" i="6"/>
  <c r="BG111" i="6"/>
  <c r="BD111" i="6"/>
  <c r="BF111" i="6"/>
  <c r="BE111" i="6"/>
  <c r="BH111" i="6"/>
  <c r="BE109" i="6"/>
  <c r="BG109" i="6"/>
  <c r="BF109" i="6"/>
  <c r="BH109" i="6"/>
  <c r="BD109" i="6"/>
  <c r="BI109" i="6"/>
  <c r="BG107" i="6"/>
  <c r="BF107" i="6"/>
  <c r="BE107" i="6"/>
  <c r="BH107" i="6"/>
  <c r="BI107" i="6"/>
  <c r="BI105" i="6"/>
  <c r="BF105" i="6"/>
  <c r="BH105" i="6"/>
  <c r="BG105" i="6"/>
  <c r="BE105" i="6"/>
  <c r="BE103" i="6"/>
  <c r="BF103" i="6"/>
  <c r="BH103" i="6"/>
  <c r="BG103" i="6"/>
  <c r="BI103" i="6"/>
  <c r="BG101" i="6"/>
  <c r="BE101" i="6"/>
  <c r="BD101" i="6"/>
  <c r="BI101" i="6"/>
  <c r="BF101" i="6"/>
  <c r="BH101" i="6"/>
  <c r="BI99" i="6"/>
  <c r="BE99" i="6"/>
  <c r="BG99" i="6"/>
  <c r="BD99" i="6"/>
  <c r="BH99" i="6"/>
  <c r="BF99" i="6"/>
  <c r="BE97" i="6"/>
  <c r="BD97" i="6"/>
  <c r="BH97" i="6"/>
  <c r="BG97" i="6"/>
  <c r="BI97" i="6"/>
  <c r="BF97" i="6"/>
  <c r="BG95" i="6"/>
  <c r="BD95" i="6"/>
  <c r="BI95" i="6"/>
  <c r="BE95" i="6"/>
  <c r="BF95" i="6"/>
  <c r="BH95" i="6"/>
  <c r="BI93" i="6"/>
  <c r="BD93" i="6"/>
  <c r="BF93" i="6"/>
  <c r="BE93" i="6"/>
  <c r="BH93" i="6"/>
  <c r="BG93" i="6"/>
  <c r="BH91" i="6"/>
  <c r="BG91" i="6"/>
  <c r="BI91" i="6"/>
  <c r="BG89" i="6"/>
  <c r="BH89" i="6"/>
  <c r="BF89" i="6"/>
  <c r="BI89" i="6"/>
  <c r="BI87" i="6"/>
  <c r="BE87" i="6"/>
  <c r="BF87" i="6"/>
  <c r="BH87" i="6"/>
  <c r="BD87" i="6"/>
  <c r="BG87" i="6"/>
  <c r="BE85" i="6"/>
  <c r="BI85" i="6"/>
  <c r="BH85" i="6"/>
  <c r="BD85" i="6"/>
  <c r="BF85" i="6"/>
  <c r="BG85" i="6"/>
  <c r="BG83" i="6"/>
  <c r="BI83" i="6"/>
  <c r="BF83" i="6"/>
  <c r="BE83" i="6"/>
  <c r="BD83" i="6"/>
  <c r="BH83" i="6"/>
  <c r="BI81" i="6"/>
  <c r="BH81" i="6"/>
  <c r="BD81" i="6"/>
  <c r="BF81" i="6"/>
  <c r="BE81" i="6"/>
  <c r="BG81" i="6"/>
  <c r="BE79" i="6"/>
  <c r="BH79" i="6"/>
  <c r="BI79" i="6"/>
  <c r="BG79" i="6"/>
  <c r="BD79" i="6"/>
  <c r="BF79" i="6"/>
  <c r="BG77" i="6"/>
  <c r="BH77" i="6"/>
  <c r="BE77" i="6"/>
  <c r="BF77" i="6"/>
  <c r="BI77" i="6"/>
  <c r="BD77" i="6"/>
  <c r="BI75" i="6"/>
  <c r="BG75" i="6"/>
  <c r="BF75" i="6"/>
  <c r="BE75" i="6"/>
  <c r="BH75" i="6"/>
  <c r="BD75" i="6"/>
  <c r="BE73" i="6"/>
  <c r="BG73" i="6"/>
  <c r="BH73" i="6"/>
  <c r="BD73" i="6"/>
  <c r="BF73" i="6"/>
  <c r="BI73" i="6"/>
  <c r="BG71" i="6"/>
  <c r="BF71" i="6"/>
  <c r="BD71" i="6"/>
  <c r="BH71" i="6"/>
  <c r="BE71" i="6"/>
  <c r="BI71" i="6"/>
  <c r="BI69" i="6"/>
  <c r="BF69" i="6"/>
  <c r="BG69" i="6"/>
  <c r="BD69" i="6"/>
  <c r="BE69" i="6"/>
  <c r="BH69" i="6"/>
  <c r="BE67" i="6"/>
  <c r="BF67" i="6"/>
  <c r="BG67" i="6"/>
  <c r="BD67" i="6"/>
  <c r="BH67" i="6"/>
  <c r="BI67" i="6"/>
  <c r="BG65" i="6"/>
  <c r="BE65" i="6"/>
  <c r="BD65" i="6"/>
  <c r="BH65" i="6"/>
  <c r="BF65" i="6"/>
  <c r="BI65" i="6"/>
  <c r="BI63" i="6"/>
  <c r="BE63" i="6"/>
  <c r="BH63" i="6"/>
  <c r="BG63" i="6"/>
  <c r="BF63" i="6"/>
  <c r="BE61" i="6"/>
  <c r="BD61" i="6"/>
  <c r="BF61" i="6"/>
  <c r="BI61" i="6"/>
  <c r="BG61" i="6"/>
  <c r="BH61" i="6"/>
  <c r="BG59" i="6"/>
  <c r="BD59" i="6"/>
  <c r="BE59" i="6"/>
  <c r="BH59" i="6"/>
  <c r="BI59" i="6"/>
  <c r="BF59" i="6"/>
  <c r="BI57" i="6"/>
  <c r="BD57" i="6"/>
  <c r="BG57" i="6"/>
  <c r="BH57" i="6"/>
  <c r="BF57" i="6"/>
  <c r="BE57" i="6"/>
  <c r="BE55" i="6"/>
  <c r="BF55" i="6"/>
  <c r="BG55" i="6"/>
  <c r="BH55" i="6"/>
  <c r="BI55" i="6"/>
  <c r="BG53" i="6"/>
  <c r="BI53" i="6"/>
  <c r="BE53" i="6"/>
  <c r="BH53" i="6"/>
  <c r="BF53" i="6"/>
  <c r="BI51" i="6"/>
  <c r="BF51" i="6"/>
  <c r="BH51" i="6"/>
  <c r="BD51" i="6"/>
  <c r="BE51" i="6"/>
  <c r="BG51" i="6"/>
  <c r="BE49" i="6"/>
  <c r="BI49" i="6"/>
  <c r="BF49" i="6"/>
  <c r="BD49" i="6"/>
  <c r="BG49" i="6"/>
  <c r="BH49" i="6"/>
  <c r="BG47" i="6"/>
  <c r="BI47" i="6"/>
  <c r="BH47" i="6"/>
  <c r="BE47" i="6"/>
  <c r="BD47" i="6"/>
  <c r="BF47" i="6"/>
  <c r="BI45" i="6"/>
  <c r="BH45" i="6"/>
  <c r="BE45" i="6"/>
  <c r="BD45" i="6"/>
  <c r="BF45" i="6"/>
  <c r="BG45" i="6"/>
  <c r="BE43" i="6"/>
  <c r="BH43" i="6"/>
  <c r="BF43" i="6"/>
  <c r="BD43" i="6"/>
  <c r="BG43" i="6"/>
  <c r="BI43" i="6"/>
  <c r="BG41" i="6"/>
  <c r="BH41" i="6"/>
  <c r="BF41" i="6"/>
  <c r="BE41" i="6"/>
  <c r="BD41" i="6"/>
  <c r="BI41" i="6"/>
  <c r="BI39" i="6"/>
  <c r="BG39" i="6"/>
  <c r="BD39" i="6"/>
  <c r="BH39" i="6"/>
  <c r="BE39" i="6"/>
  <c r="BF39" i="6"/>
  <c r="BE37" i="6"/>
  <c r="BG37" i="6"/>
  <c r="BI37" i="6"/>
  <c r="BF37" i="6"/>
  <c r="BH37" i="6"/>
  <c r="BD37" i="6"/>
  <c r="BG35" i="6"/>
  <c r="BH35" i="6"/>
  <c r="BI35" i="6"/>
  <c r="BI33" i="6"/>
  <c r="BF33" i="6"/>
  <c r="BD33" i="6"/>
  <c r="BE33" i="6"/>
  <c r="BG33" i="6"/>
  <c r="BH33" i="6"/>
  <c r="BE31" i="6"/>
  <c r="BF31" i="6"/>
  <c r="BH31" i="6"/>
  <c r="BG31" i="6"/>
  <c r="BD31" i="6"/>
  <c r="BI31" i="6"/>
  <c r="BG29" i="6"/>
  <c r="BE29" i="6"/>
  <c r="BD29" i="6"/>
  <c r="BH29" i="6"/>
  <c r="BF29" i="6"/>
  <c r="BI29" i="6"/>
  <c r="BI27" i="6"/>
  <c r="BE27" i="6"/>
  <c r="BD27" i="6"/>
  <c r="BF27" i="6"/>
  <c r="BG27" i="6"/>
  <c r="BH27" i="6"/>
  <c r="BE25" i="6"/>
  <c r="BD25" i="6"/>
  <c r="BG25" i="6"/>
  <c r="BH25" i="6"/>
  <c r="BF25" i="6"/>
  <c r="BI25" i="6"/>
  <c r="BG23" i="6"/>
  <c r="BD23" i="6"/>
  <c r="BH23" i="6"/>
  <c r="BE23" i="6"/>
  <c r="BF23" i="6"/>
  <c r="BI23" i="6"/>
  <c r="BI21" i="6"/>
  <c r="BH21" i="6"/>
  <c r="BG21" i="6"/>
  <c r="BF19" i="6"/>
  <c r="BH19" i="6"/>
  <c r="BI19" i="6"/>
  <c r="BG19" i="6"/>
  <c r="BG17" i="6"/>
  <c r="BH17" i="6"/>
  <c r="BF17" i="6"/>
  <c r="BI17" i="6"/>
  <c r="BI15" i="6"/>
  <c r="BG15" i="6"/>
  <c r="BF15" i="6"/>
  <c r="BH15" i="6"/>
  <c r="BE13" i="6"/>
  <c r="BI13" i="6"/>
  <c r="BF13" i="6"/>
  <c r="BH13" i="6"/>
  <c r="BG13" i="6"/>
  <c r="BG11" i="6"/>
  <c r="BI11" i="6"/>
  <c r="BH11" i="6"/>
  <c r="BE11" i="6"/>
  <c r="BF11" i="6"/>
  <c r="BI9" i="6"/>
  <c r="BH9" i="6"/>
  <c r="BF9" i="6"/>
  <c r="BE9" i="6"/>
  <c r="BG9" i="6"/>
  <c r="BH7" i="6"/>
  <c r="BF7" i="6"/>
  <c r="BI7" i="6"/>
  <c r="BG7" i="6"/>
  <c r="BG5" i="6"/>
  <c r="BH5" i="6"/>
  <c r="BI5" i="6"/>
  <c r="BE5" i="6"/>
  <c r="BF5" i="6"/>
  <c r="BI476" i="6"/>
  <c r="BI474" i="6"/>
  <c r="BI472" i="6"/>
  <c r="BI470" i="6"/>
  <c r="BI468" i="6"/>
  <c r="BI466" i="6"/>
  <c r="BI464" i="6"/>
  <c r="BI462" i="6"/>
  <c r="BH460" i="6"/>
  <c r="BI460" i="6"/>
  <c r="BI458" i="6"/>
  <c r="BI456" i="6"/>
  <c r="BI454" i="6"/>
  <c r="BI452" i="6"/>
  <c r="BI450" i="6"/>
  <c r="BI448" i="6"/>
  <c r="BH446" i="6"/>
  <c r="BI446" i="6"/>
  <c r="BH444" i="6"/>
  <c r="BI444" i="6"/>
  <c r="BH442" i="6"/>
  <c r="BI442" i="6"/>
  <c r="BH440" i="6"/>
  <c r="BI440" i="6"/>
  <c r="BH438" i="6"/>
  <c r="BI438" i="6"/>
  <c r="BH436" i="6"/>
  <c r="BI436" i="6"/>
  <c r="BH434" i="6"/>
  <c r="BI434" i="6"/>
  <c r="BH432" i="6"/>
  <c r="BI432" i="6"/>
  <c r="BI430" i="6"/>
  <c r="BH430" i="6"/>
  <c r="BI428" i="6"/>
  <c r="BH428" i="6"/>
  <c r="BH426" i="6"/>
  <c r="BI426" i="6"/>
  <c r="BH424" i="6"/>
  <c r="BI424" i="6"/>
  <c r="BH422" i="6"/>
  <c r="BI422" i="6"/>
  <c r="BH420" i="6"/>
  <c r="BI420" i="6"/>
  <c r="BI418" i="6"/>
  <c r="BH418" i="6"/>
  <c r="BI416" i="6"/>
  <c r="BH416" i="6"/>
  <c r="BH414" i="6"/>
  <c r="BI414" i="6"/>
  <c r="BH412" i="6"/>
  <c r="BI412" i="6"/>
  <c r="BI410" i="6"/>
  <c r="BH408" i="6"/>
  <c r="BI408" i="6"/>
  <c r="BH406" i="6"/>
  <c r="BI406" i="6"/>
  <c r="BH404" i="6"/>
  <c r="BI404" i="6"/>
  <c r="BH402" i="6"/>
  <c r="BI402" i="6"/>
  <c r="BH400" i="6"/>
  <c r="BI400" i="6"/>
  <c r="BI398" i="6"/>
  <c r="BH398" i="6"/>
  <c r="BH396" i="6"/>
  <c r="BI396" i="6"/>
  <c r="BI394" i="6"/>
  <c r="BH394" i="6"/>
  <c r="BI392" i="6"/>
  <c r="BH392" i="6"/>
  <c r="BH390" i="6"/>
  <c r="BI390" i="6"/>
  <c r="BH388" i="6"/>
  <c r="BI388" i="6"/>
  <c r="BH386" i="6"/>
  <c r="BI386" i="6"/>
  <c r="BH384" i="6"/>
  <c r="BI384" i="6"/>
  <c r="BI382" i="6"/>
  <c r="BH382" i="6"/>
  <c r="BI380" i="6"/>
  <c r="BH380" i="6"/>
  <c r="BH378" i="6"/>
  <c r="BI378" i="6"/>
  <c r="BH376" i="6"/>
  <c r="BI376" i="6"/>
  <c r="BH374" i="6"/>
  <c r="BI374" i="6"/>
  <c r="BH372" i="6"/>
  <c r="BI372" i="6"/>
  <c r="BH370" i="6"/>
  <c r="BI370" i="6"/>
  <c r="BH368" i="6"/>
  <c r="BI368" i="6"/>
  <c r="BH366" i="6"/>
  <c r="BI366" i="6"/>
  <c r="BH364" i="6"/>
  <c r="BI364" i="6"/>
  <c r="BH362" i="6"/>
  <c r="BI362" i="6"/>
  <c r="BI360" i="6"/>
  <c r="BH360" i="6"/>
  <c r="BH358" i="6"/>
  <c r="BI358" i="6"/>
  <c r="BH356" i="6"/>
  <c r="BI356" i="6"/>
  <c r="BI354" i="6"/>
  <c r="BH354" i="6"/>
  <c r="BI352" i="6"/>
  <c r="BH352" i="6"/>
  <c r="BG350" i="6"/>
  <c r="BF350" i="6"/>
  <c r="BH350" i="6"/>
  <c r="BI350" i="6"/>
  <c r="BI348" i="6"/>
  <c r="BH348" i="6"/>
  <c r="BF348" i="6"/>
  <c r="BG348" i="6"/>
  <c r="BF346" i="6"/>
  <c r="BH346" i="6"/>
  <c r="BG346" i="6"/>
  <c r="BI346" i="6"/>
  <c r="BG344" i="6"/>
  <c r="BD344" i="6"/>
  <c r="BE344" i="6"/>
  <c r="BF344" i="6"/>
  <c r="BH344" i="6"/>
  <c r="BI344" i="6"/>
  <c r="BC344" i="6"/>
  <c r="BI342" i="6"/>
  <c r="BG342" i="6"/>
  <c r="BF342" i="6"/>
  <c r="BH342" i="6"/>
  <c r="BG340" i="6"/>
  <c r="BH340" i="6"/>
  <c r="BI340" i="6"/>
  <c r="BF340" i="6"/>
  <c r="BG338" i="6"/>
  <c r="BI338" i="6"/>
  <c r="BH338" i="6"/>
  <c r="BF338" i="6"/>
  <c r="BI336" i="6"/>
  <c r="BF336" i="6"/>
  <c r="BH336" i="6"/>
  <c r="BG336" i="6"/>
  <c r="BI334" i="6"/>
  <c r="BF334" i="6"/>
  <c r="BG334" i="6"/>
  <c r="BH334" i="6"/>
  <c r="BG332" i="6"/>
  <c r="BI332" i="6"/>
  <c r="BH332" i="6"/>
  <c r="BF332" i="6"/>
  <c r="BI330" i="6"/>
  <c r="BH330" i="6"/>
  <c r="BG330" i="6"/>
  <c r="BF330" i="6"/>
  <c r="BH328" i="6"/>
  <c r="BF328" i="6"/>
  <c r="BG328" i="6"/>
  <c r="BI328" i="6"/>
  <c r="BG326" i="6"/>
  <c r="BH326" i="6"/>
  <c r="BF326" i="6"/>
  <c r="BI326" i="6"/>
  <c r="BI324" i="6"/>
  <c r="BG324" i="6"/>
  <c r="BF324" i="6"/>
  <c r="BH324" i="6"/>
  <c r="BG322" i="6"/>
  <c r="BI322" i="6"/>
  <c r="BF322" i="6"/>
  <c r="BH322" i="6"/>
  <c r="BG320" i="6"/>
  <c r="BF320" i="6"/>
  <c r="BI320" i="6"/>
  <c r="BH320" i="6"/>
  <c r="BI318" i="6"/>
  <c r="BF318" i="6"/>
  <c r="BG318" i="6"/>
  <c r="BH318" i="6"/>
  <c r="BF316" i="6"/>
  <c r="BH316" i="6"/>
  <c r="BG316" i="6"/>
  <c r="BI316" i="6"/>
  <c r="BG314" i="6"/>
  <c r="BE314" i="6"/>
  <c r="BD314" i="6"/>
  <c r="BH314" i="6"/>
  <c r="BI314" i="6"/>
  <c r="BF314" i="6"/>
  <c r="BI312" i="6"/>
  <c r="BE312" i="6"/>
  <c r="BD312" i="6"/>
  <c r="BH312" i="6"/>
  <c r="BF312" i="6"/>
  <c r="BG312" i="6"/>
  <c r="BE310" i="6"/>
  <c r="BD310" i="6"/>
  <c r="BG310" i="6"/>
  <c r="BI310" i="6"/>
  <c r="BF310" i="6"/>
  <c r="BH310" i="6"/>
  <c r="BG308" i="6"/>
  <c r="BD308" i="6"/>
  <c r="BF308" i="6"/>
  <c r="BE308" i="6"/>
  <c r="BH308" i="6"/>
  <c r="BI308" i="6"/>
  <c r="BI306" i="6"/>
  <c r="BD306" i="6"/>
  <c r="BH306" i="6"/>
  <c r="BE306" i="6"/>
  <c r="BF306" i="6"/>
  <c r="BG306" i="6"/>
  <c r="BE304" i="6"/>
  <c r="BF304" i="6"/>
  <c r="BH304" i="6"/>
  <c r="BD304" i="6"/>
  <c r="BG304" i="6"/>
  <c r="BI304" i="6"/>
  <c r="BG302" i="6"/>
  <c r="BE302" i="6"/>
  <c r="BD302" i="6"/>
  <c r="BF302" i="6"/>
  <c r="BH302" i="6"/>
  <c r="BI302" i="6"/>
  <c r="BI300" i="6"/>
  <c r="BG300" i="6"/>
  <c r="BD300" i="6"/>
  <c r="BE300" i="6"/>
  <c r="BF300" i="6"/>
  <c r="BH300" i="6"/>
  <c r="BE298" i="6"/>
  <c r="BI298" i="6"/>
  <c r="BD298" i="6"/>
  <c r="BG298" i="6"/>
  <c r="BF298" i="6"/>
  <c r="BH298" i="6"/>
  <c r="BG296" i="6"/>
  <c r="BI296" i="6"/>
  <c r="BD296" i="6"/>
  <c r="BE296" i="6"/>
  <c r="BF296" i="6"/>
  <c r="BH296" i="6"/>
  <c r="BI294" i="6"/>
  <c r="BH294" i="6"/>
  <c r="BF294" i="6"/>
  <c r="BE294" i="6"/>
  <c r="BG294" i="6"/>
  <c r="BD294" i="6"/>
  <c r="BE292" i="6"/>
  <c r="BH292" i="6"/>
  <c r="BF292" i="6"/>
  <c r="BG292" i="6"/>
  <c r="BI292" i="6"/>
  <c r="BD292" i="6"/>
  <c r="BG290" i="6"/>
  <c r="BH290" i="6"/>
  <c r="BI290" i="6"/>
  <c r="BF290" i="6"/>
  <c r="BD290" i="6"/>
  <c r="BE290" i="6"/>
  <c r="BI288" i="6"/>
  <c r="BG288" i="6"/>
  <c r="BE288" i="6"/>
  <c r="BF288" i="6"/>
  <c r="BH288" i="6"/>
  <c r="BD288" i="6"/>
  <c r="BE286" i="6"/>
  <c r="BG286" i="6"/>
  <c r="BD286" i="6"/>
  <c r="BF286" i="6"/>
  <c r="BH286" i="6"/>
  <c r="BI286" i="6"/>
  <c r="BG284" i="6"/>
  <c r="BH284" i="6"/>
  <c r="BI284" i="6"/>
  <c r="BI282" i="6"/>
  <c r="BF282" i="6"/>
  <c r="BD282" i="6"/>
  <c r="BE282" i="6"/>
  <c r="BG282" i="6"/>
  <c r="BH282" i="6"/>
  <c r="BI280" i="6"/>
  <c r="BH280" i="6"/>
  <c r="BG280" i="6"/>
  <c r="BG278" i="6"/>
  <c r="BE278" i="6"/>
  <c r="BF278" i="6"/>
  <c r="BH278" i="6"/>
  <c r="BI278" i="6"/>
  <c r="BD278" i="6"/>
  <c r="BI276" i="6"/>
  <c r="BE276" i="6"/>
  <c r="BD276" i="6"/>
  <c r="BF276" i="6"/>
  <c r="BG276" i="6"/>
  <c r="BH276" i="6"/>
  <c r="BE274" i="6"/>
  <c r="BD274" i="6"/>
  <c r="BH274" i="6"/>
  <c r="BI274" i="6"/>
  <c r="BF274" i="6"/>
  <c r="BG274" i="6"/>
  <c r="BD272" i="6"/>
  <c r="BF272" i="6"/>
  <c r="BE272" i="6"/>
  <c r="BG272" i="6"/>
  <c r="BH272" i="6"/>
  <c r="BI272" i="6"/>
  <c r="BF270" i="6"/>
  <c r="BH270" i="6"/>
  <c r="BG270" i="6"/>
  <c r="BI270" i="6"/>
  <c r="BH268" i="6"/>
  <c r="BE268" i="6"/>
  <c r="BD268" i="6"/>
  <c r="BF268" i="6"/>
  <c r="BG268" i="6"/>
  <c r="BI268" i="6"/>
  <c r="BD266" i="6"/>
  <c r="BE266" i="6"/>
  <c r="BI266" i="6"/>
  <c r="BF266" i="6"/>
  <c r="BG266" i="6"/>
  <c r="BH266" i="6"/>
  <c r="BF264" i="6"/>
  <c r="BD264" i="6"/>
  <c r="BG264" i="6"/>
  <c r="BH264" i="6"/>
  <c r="BI264" i="6"/>
  <c r="BE264" i="6"/>
  <c r="BH262" i="6"/>
  <c r="BD262" i="6"/>
  <c r="BE262" i="6"/>
  <c r="BF262" i="6"/>
  <c r="BG262" i="6"/>
  <c r="BI262" i="6"/>
  <c r="BD260" i="6"/>
  <c r="BH260" i="6"/>
  <c r="BE260" i="6"/>
  <c r="BF260" i="6"/>
  <c r="BG260" i="6"/>
  <c r="BI260" i="6"/>
  <c r="BF258" i="6"/>
  <c r="BE258" i="6"/>
  <c r="BH258" i="6"/>
  <c r="BI258" i="6"/>
  <c r="BG258" i="6"/>
  <c r="BH256" i="6"/>
  <c r="BD256" i="6"/>
  <c r="BE256" i="6"/>
  <c r="BF256" i="6"/>
  <c r="BG256" i="6"/>
  <c r="BI256" i="6"/>
  <c r="BD254" i="6"/>
  <c r="BI254" i="6"/>
  <c r="BG254" i="6"/>
  <c r="BE254" i="6"/>
  <c r="BF254" i="6"/>
  <c r="BH254" i="6"/>
  <c r="BF252" i="6"/>
  <c r="BI252" i="6"/>
  <c r="BD252" i="6"/>
  <c r="BH252" i="6"/>
  <c r="BE252" i="6"/>
  <c r="BG252" i="6"/>
  <c r="BH250" i="6"/>
  <c r="BI250" i="6"/>
  <c r="BE250" i="6"/>
  <c r="BF250" i="6"/>
  <c r="BG250" i="6"/>
  <c r="BH248" i="6"/>
  <c r="BF248" i="6"/>
  <c r="BE248" i="6"/>
  <c r="BG248" i="6"/>
  <c r="BI248" i="6"/>
  <c r="BF246" i="6"/>
  <c r="BH246" i="6"/>
  <c r="BI246" i="6"/>
  <c r="BE246" i="6"/>
  <c r="BG246" i="6"/>
  <c r="BH244" i="6"/>
  <c r="BG244" i="6"/>
  <c r="BI244" i="6"/>
  <c r="BE244" i="6"/>
  <c r="BF244" i="6"/>
  <c r="BD242" i="6"/>
  <c r="BG242" i="6"/>
  <c r="BE242" i="6"/>
  <c r="BF242" i="6"/>
  <c r="BH242" i="6"/>
  <c r="BI242" i="6"/>
  <c r="BF240" i="6"/>
  <c r="BG240" i="6"/>
  <c r="BD240" i="6"/>
  <c r="BI240" i="6"/>
  <c r="BE240" i="6"/>
  <c r="BH240" i="6"/>
  <c r="BH238" i="6"/>
  <c r="BF238" i="6"/>
  <c r="BG238" i="6"/>
  <c r="BE238" i="6"/>
  <c r="BI238" i="6"/>
  <c r="BD236" i="6"/>
  <c r="BF236" i="6"/>
  <c r="BG236" i="6"/>
  <c r="BE236" i="6"/>
  <c r="BH236" i="6"/>
  <c r="BI236" i="6"/>
  <c r="BF234" i="6"/>
  <c r="BE234" i="6"/>
  <c r="BI234" i="6"/>
  <c r="BD234" i="6"/>
  <c r="BG234" i="6"/>
  <c r="BH234" i="6"/>
  <c r="BH232" i="6"/>
  <c r="BE232" i="6"/>
  <c r="BF232" i="6"/>
  <c r="BI232" i="6"/>
  <c r="BD232" i="6"/>
  <c r="BG232" i="6"/>
  <c r="BD230" i="6"/>
  <c r="BE230" i="6"/>
  <c r="BF230" i="6"/>
  <c r="BG230" i="6"/>
  <c r="BH230" i="6"/>
  <c r="BI230" i="6"/>
  <c r="BF228" i="6"/>
  <c r="BD228" i="6"/>
  <c r="BH228" i="6"/>
  <c r="BE228" i="6"/>
  <c r="BG228" i="6"/>
  <c r="BI228" i="6"/>
  <c r="BH226" i="6"/>
  <c r="BD226" i="6"/>
  <c r="BE226" i="6"/>
  <c r="BG226" i="6"/>
  <c r="BF226" i="6"/>
  <c r="BI226" i="6"/>
  <c r="BD224" i="6"/>
  <c r="BI224" i="6"/>
  <c r="BE224" i="6"/>
  <c r="BF224" i="6"/>
  <c r="BG224" i="6"/>
  <c r="BH224" i="6"/>
  <c r="BF222" i="6"/>
  <c r="BG222" i="6"/>
  <c r="BI222" i="6"/>
  <c r="BE222" i="6"/>
  <c r="BH222" i="6"/>
  <c r="BD222" i="6"/>
  <c r="BH220" i="6"/>
  <c r="BD220" i="6"/>
  <c r="BF220" i="6"/>
  <c r="BG220" i="6"/>
  <c r="BI220" i="6"/>
  <c r="BE220" i="6"/>
  <c r="BI218" i="6"/>
  <c r="BH218" i="6"/>
  <c r="BG218" i="6"/>
  <c r="BF216" i="6"/>
  <c r="BI216" i="6"/>
  <c r="BE216" i="6"/>
  <c r="BH216" i="6"/>
  <c r="BD216" i="6"/>
  <c r="BG216" i="6"/>
  <c r="BH214" i="6"/>
  <c r="BI214" i="6"/>
  <c r="BE214" i="6"/>
  <c r="BF214" i="6"/>
  <c r="BG214" i="6"/>
  <c r="BH212" i="6"/>
  <c r="BG212" i="6"/>
  <c r="BE212" i="6"/>
  <c r="BF212" i="6"/>
  <c r="BI212" i="6"/>
  <c r="BF210" i="6"/>
  <c r="BH210" i="6"/>
  <c r="BG210" i="6"/>
  <c r="BE210" i="6"/>
  <c r="BI210" i="6"/>
  <c r="BH208" i="6"/>
  <c r="BG208" i="6"/>
  <c r="BE208" i="6"/>
  <c r="BF208" i="6"/>
  <c r="BI208" i="6"/>
  <c r="BG206" i="6"/>
  <c r="BF206" i="6"/>
  <c r="BI206" i="6"/>
  <c r="BE206" i="6"/>
  <c r="BH206" i="6"/>
  <c r="BF204" i="6"/>
  <c r="BG204" i="6"/>
  <c r="BE204" i="6"/>
  <c r="BD204" i="6"/>
  <c r="BH204" i="6"/>
  <c r="BI204" i="6"/>
  <c r="BH202" i="6"/>
  <c r="BF202" i="6"/>
  <c r="BI202" i="6"/>
  <c r="BD202" i="6"/>
  <c r="BE202" i="6"/>
  <c r="BG202" i="6"/>
  <c r="BD200" i="6"/>
  <c r="BF200" i="6"/>
  <c r="BE200" i="6"/>
  <c r="BH200" i="6"/>
  <c r="BG200" i="6"/>
  <c r="BI200" i="6"/>
  <c r="BF198" i="6"/>
  <c r="BE198" i="6"/>
  <c r="BD198" i="6"/>
  <c r="BG198" i="6"/>
  <c r="BH198" i="6"/>
  <c r="BI198" i="6"/>
  <c r="BH196" i="6"/>
  <c r="BE196" i="6"/>
  <c r="BG196" i="6"/>
  <c r="BF196" i="6"/>
  <c r="BI196" i="6"/>
  <c r="BE194" i="6"/>
  <c r="BG194" i="6"/>
  <c r="BH194" i="6"/>
  <c r="BI194" i="6"/>
  <c r="BF194" i="6"/>
  <c r="BF192" i="6"/>
  <c r="BI192" i="6"/>
  <c r="BH192" i="6"/>
  <c r="BE192" i="6"/>
  <c r="BG192" i="6"/>
  <c r="BH190" i="6"/>
  <c r="BF190" i="6"/>
  <c r="BI190" i="6"/>
  <c r="BE190" i="6"/>
  <c r="BG190" i="6"/>
  <c r="BF188" i="6"/>
  <c r="BI188" i="6"/>
  <c r="BE188" i="6"/>
  <c r="BG188" i="6"/>
  <c r="BH188" i="6"/>
  <c r="BF186" i="6"/>
  <c r="BH186" i="6"/>
  <c r="BE186" i="6"/>
  <c r="BG186" i="6"/>
  <c r="BI186" i="6"/>
  <c r="BH184" i="6"/>
  <c r="BE184" i="6"/>
  <c r="BG184" i="6"/>
  <c r="BF184" i="6"/>
  <c r="BI184" i="6"/>
  <c r="BI182" i="6"/>
  <c r="BE182" i="6"/>
  <c r="BF182" i="6"/>
  <c r="BG182" i="6"/>
  <c r="BH182" i="6"/>
  <c r="BF180" i="6"/>
  <c r="BI180" i="6"/>
  <c r="BG180" i="6"/>
  <c r="BE180" i="6"/>
  <c r="BH180" i="6"/>
  <c r="BH178" i="6"/>
  <c r="BF178" i="6"/>
  <c r="BG178" i="6"/>
  <c r="BE178" i="6"/>
  <c r="BI178" i="6"/>
  <c r="BF176" i="6"/>
  <c r="BE176" i="6"/>
  <c r="BH176" i="6"/>
  <c r="BG176" i="6"/>
  <c r="BI176" i="6"/>
  <c r="BF174" i="6"/>
  <c r="BE174" i="6"/>
  <c r="BI174" i="6"/>
  <c r="BH174" i="6"/>
  <c r="BG174" i="6"/>
  <c r="BH172" i="6"/>
  <c r="BE172" i="6"/>
  <c r="BF172" i="6"/>
  <c r="BG172" i="6"/>
  <c r="BI172" i="6"/>
  <c r="BE170" i="6"/>
  <c r="BF170" i="6"/>
  <c r="BH170" i="6"/>
  <c r="BI170" i="6"/>
  <c r="BG170" i="6"/>
  <c r="BF168" i="6"/>
  <c r="BH168" i="6"/>
  <c r="BI168" i="6"/>
  <c r="BG168" i="6"/>
  <c r="BE168" i="6"/>
  <c r="BH166" i="6"/>
  <c r="BE166" i="6"/>
  <c r="BF166" i="6"/>
  <c r="BG166" i="6"/>
  <c r="BI166" i="6"/>
  <c r="BI164" i="6"/>
  <c r="BF164" i="6"/>
  <c r="BH164" i="6"/>
  <c r="BE164" i="6"/>
  <c r="BG164" i="6"/>
  <c r="BF162" i="6"/>
  <c r="BG162" i="6"/>
  <c r="BI162" i="6"/>
  <c r="BE162" i="6"/>
  <c r="BH162" i="6"/>
  <c r="BH160" i="6"/>
  <c r="BF160" i="6"/>
  <c r="BE160" i="6"/>
  <c r="BG160" i="6"/>
  <c r="BI160" i="6"/>
  <c r="BI158" i="6"/>
  <c r="BH158" i="6"/>
  <c r="BF158" i="6"/>
  <c r="BE158" i="6"/>
  <c r="BG158" i="6"/>
  <c r="BF156" i="6"/>
  <c r="BI156" i="6"/>
  <c r="BE156" i="6"/>
  <c r="BG156" i="6"/>
  <c r="BH156" i="6"/>
  <c r="BH154" i="6"/>
  <c r="BI154" i="6"/>
  <c r="BD154" i="6"/>
  <c r="BF154" i="6"/>
  <c r="BE154" i="6"/>
  <c r="BG154" i="6"/>
  <c r="BD152" i="6"/>
  <c r="BH152" i="6"/>
  <c r="BG152" i="6"/>
  <c r="BF152" i="6"/>
  <c r="BE152" i="6"/>
  <c r="BI152" i="6"/>
  <c r="BF150" i="6"/>
  <c r="BH150" i="6"/>
  <c r="BI150" i="6"/>
  <c r="BE150" i="6"/>
  <c r="BG150" i="6"/>
  <c r="BH148" i="6"/>
  <c r="BG148" i="6"/>
  <c r="BF148" i="6"/>
  <c r="BI148" i="6"/>
  <c r="BE148" i="6"/>
  <c r="BG146" i="6"/>
  <c r="BF146" i="6"/>
  <c r="BH146" i="6"/>
  <c r="BE146" i="6"/>
  <c r="BI146" i="6"/>
  <c r="BF144" i="6"/>
  <c r="BG144" i="6"/>
  <c r="BE144" i="6"/>
  <c r="BH144" i="6"/>
  <c r="BI144" i="6"/>
  <c r="BH142" i="6"/>
  <c r="BF142" i="6"/>
  <c r="BI142" i="6"/>
  <c r="BG142" i="6"/>
  <c r="BE142" i="6"/>
  <c r="BF140" i="6"/>
  <c r="BE140" i="6"/>
  <c r="BH140" i="6"/>
  <c r="BG140" i="6"/>
  <c r="BI140" i="6"/>
  <c r="BF138" i="6"/>
  <c r="BE138" i="6"/>
  <c r="BG138" i="6"/>
  <c r="BH138" i="6"/>
  <c r="BI138" i="6"/>
  <c r="BH136" i="6"/>
  <c r="BE136" i="6"/>
  <c r="BG136" i="6"/>
  <c r="BI136" i="6"/>
  <c r="BF136" i="6"/>
  <c r="BE134" i="6"/>
  <c r="BH134" i="6"/>
  <c r="BF134" i="6"/>
  <c r="BG134" i="6"/>
  <c r="BI134" i="6"/>
  <c r="BF132" i="6"/>
  <c r="BI132" i="6"/>
  <c r="BE132" i="6"/>
  <c r="BG132" i="6"/>
  <c r="BH132" i="6"/>
  <c r="BH130" i="6"/>
  <c r="BF130" i="6"/>
  <c r="BE130" i="6"/>
  <c r="BI130" i="6"/>
  <c r="BG130" i="6"/>
  <c r="BH128" i="6"/>
  <c r="BG128" i="6"/>
  <c r="BI128" i="6"/>
  <c r="BE128" i="6"/>
  <c r="BF128" i="6"/>
  <c r="BF126" i="6"/>
  <c r="BH126" i="6"/>
  <c r="BE126" i="6"/>
  <c r="BG126" i="6"/>
  <c r="BI126" i="6"/>
  <c r="BH124" i="6"/>
  <c r="BF124" i="6"/>
  <c r="BI124" i="6"/>
  <c r="BG124" i="6"/>
  <c r="BI122" i="6"/>
  <c r="BH122" i="6"/>
  <c r="BE122" i="6"/>
  <c r="BF122" i="6"/>
  <c r="BG122" i="6"/>
  <c r="BF120" i="6"/>
  <c r="BI120" i="6"/>
  <c r="BG120" i="6"/>
  <c r="BE120" i="6"/>
  <c r="BD120" i="6"/>
  <c r="BH120" i="6"/>
  <c r="BH118" i="6"/>
  <c r="BI118" i="6"/>
  <c r="BD118" i="6"/>
  <c r="BF118" i="6"/>
  <c r="BE118" i="6"/>
  <c r="BG118" i="6"/>
  <c r="BD116" i="6"/>
  <c r="BH116" i="6"/>
  <c r="BI116" i="6"/>
  <c r="BE116" i="6"/>
  <c r="BF116" i="6"/>
  <c r="BG116" i="6"/>
  <c r="BF114" i="6"/>
  <c r="BH114" i="6"/>
  <c r="BE114" i="6"/>
  <c r="BG114" i="6"/>
  <c r="BD114" i="6"/>
  <c r="BI114" i="6"/>
  <c r="BH112" i="6"/>
  <c r="BG112" i="6"/>
  <c r="BI112" i="6"/>
  <c r="BD110" i="6"/>
  <c r="BG110" i="6"/>
  <c r="BH110" i="6"/>
  <c r="BI110" i="6"/>
  <c r="BE110" i="6"/>
  <c r="BF110" i="6"/>
  <c r="BF108" i="6"/>
  <c r="BG108" i="6"/>
  <c r="BD108" i="6"/>
  <c r="BH108" i="6"/>
  <c r="BI108" i="6"/>
  <c r="BE108" i="6"/>
  <c r="BH106" i="6"/>
  <c r="BF106" i="6"/>
  <c r="BG106" i="6"/>
  <c r="BE106" i="6"/>
  <c r="BI106" i="6"/>
  <c r="BD106" i="6"/>
  <c r="BF104" i="6"/>
  <c r="BG104" i="6"/>
  <c r="BE104" i="6"/>
  <c r="BH104" i="6"/>
  <c r="BI104" i="6"/>
  <c r="BF102" i="6"/>
  <c r="BE102" i="6"/>
  <c r="BH102" i="6"/>
  <c r="BG102" i="6"/>
  <c r="BI102" i="6"/>
  <c r="BH100" i="6"/>
  <c r="BE100" i="6"/>
  <c r="BI100" i="6"/>
  <c r="BG100" i="6"/>
  <c r="BD100" i="6"/>
  <c r="BF100" i="6"/>
  <c r="BD98" i="6"/>
  <c r="BE98" i="6"/>
  <c r="BF98" i="6"/>
  <c r="BG98" i="6"/>
  <c r="BH98" i="6"/>
  <c r="BI98" i="6"/>
  <c r="BF96" i="6"/>
  <c r="BD96" i="6"/>
  <c r="BE96" i="6"/>
  <c r="BH96" i="6"/>
  <c r="BG96" i="6"/>
  <c r="BI96" i="6"/>
  <c r="BH94" i="6"/>
  <c r="BG94" i="6"/>
  <c r="BI94" i="6"/>
  <c r="BD92" i="6"/>
  <c r="BE92" i="6"/>
  <c r="BF92" i="6"/>
  <c r="BI92" i="6"/>
  <c r="BG92" i="6"/>
  <c r="BH92" i="6"/>
  <c r="BF90" i="6"/>
  <c r="BI90" i="6"/>
  <c r="BE90" i="6"/>
  <c r="BH90" i="6"/>
  <c r="BD90" i="6"/>
  <c r="BG90" i="6"/>
  <c r="BH88" i="6"/>
  <c r="BF88" i="6"/>
  <c r="BI88" i="6"/>
  <c r="BG88" i="6"/>
  <c r="BD88" i="6"/>
  <c r="BE88" i="6"/>
  <c r="BD86" i="6"/>
  <c r="BI86" i="6"/>
  <c r="BF86" i="6"/>
  <c r="BG86" i="6"/>
  <c r="BH86" i="6"/>
  <c r="BE86" i="6"/>
  <c r="BF84" i="6"/>
  <c r="BI84" i="6"/>
  <c r="BH84" i="6"/>
  <c r="BE84" i="6"/>
  <c r="BG84" i="6"/>
  <c r="BH82" i="6"/>
  <c r="BI82" i="6"/>
  <c r="BG82" i="6"/>
  <c r="BD80" i="6"/>
  <c r="BH80" i="6"/>
  <c r="BF80" i="6"/>
  <c r="BE80" i="6"/>
  <c r="BG80" i="6"/>
  <c r="BI80" i="6"/>
  <c r="BF78" i="6"/>
  <c r="BH78" i="6"/>
  <c r="BG78" i="6"/>
  <c r="BE78" i="6"/>
  <c r="BD78" i="6"/>
  <c r="BI78" i="6"/>
  <c r="BH76" i="6"/>
  <c r="BG76" i="6"/>
  <c r="BD76" i="6"/>
  <c r="BE76" i="6"/>
  <c r="BF76" i="6"/>
  <c r="BI76" i="6"/>
  <c r="BD74" i="6"/>
  <c r="BG74" i="6"/>
  <c r="BI74" i="6"/>
  <c r="BF74" i="6"/>
  <c r="BE74" i="6"/>
  <c r="BH74" i="6"/>
  <c r="BF72" i="6"/>
  <c r="BG72" i="6"/>
  <c r="BE72" i="6"/>
  <c r="BH72" i="6"/>
  <c r="BD72" i="6"/>
  <c r="BI72" i="6"/>
  <c r="BH70" i="6"/>
  <c r="BF70" i="6"/>
  <c r="BD70" i="6"/>
  <c r="BI70" i="6"/>
  <c r="BE70" i="6"/>
  <c r="BG70" i="6"/>
  <c r="BD68" i="6"/>
  <c r="BF68" i="6"/>
  <c r="BH68" i="6"/>
  <c r="BG68" i="6"/>
  <c r="BI68" i="6"/>
  <c r="BE68" i="6"/>
  <c r="BF66" i="6"/>
  <c r="BE66" i="6"/>
  <c r="BD66" i="6"/>
  <c r="BH66" i="6"/>
  <c r="BG66" i="6"/>
  <c r="BI66" i="6"/>
  <c r="BH64" i="6"/>
  <c r="BE64" i="6"/>
  <c r="BD64" i="6"/>
  <c r="BF64" i="6"/>
  <c r="BG64" i="6"/>
  <c r="BI64" i="6"/>
  <c r="BG62" i="6"/>
  <c r="BH62" i="6"/>
  <c r="BI62" i="6"/>
  <c r="BF60" i="6"/>
  <c r="BD60" i="6"/>
  <c r="BH60" i="6"/>
  <c r="BE60" i="6"/>
  <c r="BG60" i="6"/>
  <c r="BI60" i="6"/>
  <c r="BH58" i="6"/>
  <c r="BD58" i="6"/>
  <c r="BI58" i="6"/>
  <c r="BE58" i="6"/>
  <c r="BF58" i="6"/>
  <c r="BG58" i="6"/>
  <c r="BF56" i="6"/>
  <c r="BE56" i="6"/>
  <c r="BH56" i="6"/>
  <c r="BG56" i="6"/>
  <c r="BI56" i="6"/>
  <c r="BF54" i="6"/>
  <c r="BH54" i="6"/>
  <c r="BE54" i="6"/>
  <c r="BG54" i="6"/>
  <c r="BI54" i="6"/>
  <c r="BH52" i="6"/>
  <c r="BG52" i="6"/>
  <c r="BE52" i="6"/>
  <c r="BD52" i="6"/>
  <c r="BF52" i="6"/>
  <c r="BI52" i="6"/>
  <c r="BD50" i="6"/>
  <c r="BI50" i="6"/>
  <c r="BE50" i="6"/>
  <c r="BF50" i="6"/>
  <c r="BH50" i="6"/>
  <c r="BG50" i="6"/>
  <c r="BF48" i="6"/>
  <c r="BI48" i="6"/>
  <c r="BH48" i="6"/>
  <c r="BG48" i="6"/>
  <c r="BE48" i="6"/>
  <c r="BH46" i="6"/>
  <c r="BI46" i="6"/>
  <c r="BF46" i="6"/>
  <c r="BE46" i="6"/>
  <c r="BG46" i="6"/>
  <c r="BD46" i="6"/>
  <c r="BH44" i="6"/>
  <c r="BI44" i="6"/>
  <c r="BG44" i="6"/>
  <c r="BF42" i="6"/>
  <c r="BH42" i="6"/>
  <c r="BI42" i="6"/>
  <c r="BD42" i="6"/>
  <c r="BE42" i="6"/>
  <c r="BG42" i="6"/>
  <c r="BH40" i="6"/>
  <c r="BG40" i="6"/>
  <c r="BE40" i="6"/>
  <c r="BF40" i="6"/>
  <c r="BD40" i="6"/>
  <c r="BI40" i="6"/>
  <c r="BD38" i="6"/>
  <c r="BG38" i="6"/>
  <c r="BF38" i="6"/>
  <c r="BI38" i="6"/>
  <c r="BE38" i="6"/>
  <c r="BH38" i="6"/>
  <c r="BF36" i="6"/>
  <c r="BG36" i="6"/>
  <c r="BH36" i="6"/>
  <c r="BD36" i="6"/>
  <c r="BE36" i="6"/>
  <c r="BI36" i="6"/>
  <c r="BH34" i="6"/>
  <c r="BG34" i="6"/>
  <c r="BI34" i="6"/>
  <c r="BD32" i="6"/>
  <c r="BF32" i="6"/>
  <c r="BI32" i="6"/>
  <c r="BG32" i="6"/>
  <c r="BE32" i="6"/>
  <c r="BH32" i="6"/>
  <c r="BF30" i="6"/>
  <c r="BE30" i="6"/>
  <c r="BG30" i="6"/>
  <c r="BI30" i="6"/>
  <c r="BD30" i="6"/>
  <c r="BH30" i="6"/>
  <c r="BH28" i="6"/>
  <c r="BE28" i="6"/>
  <c r="BD28" i="6"/>
  <c r="BG28" i="6"/>
  <c r="BI28" i="6"/>
  <c r="BF28" i="6"/>
  <c r="BD26" i="6"/>
  <c r="BE26" i="6"/>
  <c r="BH26" i="6"/>
  <c r="BG26" i="6"/>
  <c r="BF26" i="6"/>
  <c r="BI26" i="6"/>
  <c r="BG24" i="6"/>
  <c r="BH24" i="6"/>
  <c r="BI24" i="6"/>
  <c r="BH22" i="6"/>
  <c r="BD22" i="6"/>
  <c r="BE22" i="6"/>
  <c r="BG22" i="6"/>
  <c r="BF22" i="6"/>
  <c r="BI22" i="6"/>
  <c r="BG20" i="6"/>
  <c r="BH20" i="6"/>
  <c r="BI20" i="6"/>
  <c r="BG18" i="6"/>
  <c r="BH18" i="6"/>
  <c r="BI18" i="6"/>
  <c r="BH16" i="6"/>
  <c r="BI16" i="6"/>
  <c r="BG16" i="6"/>
  <c r="BF16" i="6"/>
  <c r="BI14" i="6"/>
  <c r="BF14" i="6"/>
  <c r="BH14" i="6"/>
  <c r="BE14" i="6"/>
  <c r="BG14" i="6"/>
  <c r="BF12" i="6"/>
  <c r="BI12" i="6"/>
  <c r="BE12" i="6"/>
  <c r="BG12" i="6"/>
  <c r="BH12" i="6"/>
  <c r="BH10" i="6"/>
  <c r="BI10" i="6"/>
  <c r="BG10" i="6"/>
  <c r="BE10" i="6"/>
  <c r="BF10" i="6"/>
  <c r="BH8" i="6"/>
  <c r="BI8" i="6"/>
  <c r="BG8" i="6"/>
  <c r="BF8" i="6"/>
  <c r="BF6" i="6"/>
  <c r="BH6" i="6"/>
  <c r="BE6" i="6"/>
  <c r="BG6" i="6"/>
  <c r="BI6" i="6"/>
  <c r="BJ344" i="6"/>
  <c r="AT4" i="6"/>
  <c r="AN4" i="6"/>
  <c r="AH4" i="6"/>
  <c r="AB4" i="6"/>
  <c r="V4" i="6"/>
  <c r="P4" i="6"/>
  <c r="J4" i="6"/>
  <c r="BA83" i="4"/>
  <c r="AB101" i="4"/>
  <c r="AB75" i="4"/>
  <c r="BH38" i="4" s="1"/>
  <c r="BO6" i="4"/>
  <c r="BO7" i="4"/>
  <c r="BO8" i="4"/>
  <c r="BO9" i="4"/>
  <c r="BO10" i="4"/>
  <c r="BO11" i="4"/>
  <c r="BO12" i="4"/>
  <c r="BO13" i="4"/>
  <c r="BO14" i="4"/>
  <c r="BO15" i="4"/>
  <c r="BO16" i="4"/>
  <c r="BO17" i="4"/>
  <c r="BO18" i="4"/>
  <c r="BO19" i="4"/>
  <c r="BO20" i="4"/>
  <c r="BO21" i="4"/>
  <c r="BO22" i="4"/>
  <c r="BO23" i="4"/>
  <c r="BO24" i="4"/>
  <c r="BO25" i="4"/>
  <c r="BO26" i="4"/>
  <c r="BO27" i="4"/>
  <c r="BO28" i="4"/>
  <c r="BO29" i="4"/>
  <c r="BO30" i="4"/>
  <c r="BO31" i="4"/>
  <c r="BO32" i="4"/>
  <c r="BO33" i="4"/>
  <c r="BO34" i="4"/>
  <c r="BO35" i="4"/>
  <c r="BO36" i="4"/>
  <c r="BO37" i="4"/>
  <c r="BO38" i="4"/>
  <c r="BO39" i="4"/>
  <c r="BO40" i="4"/>
  <c r="BO41" i="4"/>
  <c r="BO42" i="4"/>
  <c r="BO43" i="4"/>
  <c r="BO44" i="4"/>
  <c r="BO45" i="4"/>
  <c r="BO46" i="4"/>
  <c r="BO47" i="4"/>
  <c r="BO48" i="4"/>
  <c r="BO49" i="4"/>
  <c r="BO50" i="4"/>
  <c r="BO5" i="4"/>
  <c r="BH9" i="4"/>
  <c r="AB45" i="4"/>
  <c r="BH24" i="4" s="1"/>
  <c r="BH43" i="4"/>
  <c r="BA6" i="4"/>
  <c r="BA7" i="4"/>
  <c r="BA8" i="4"/>
  <c r="BA9" i="4"/>
  <c r="BA10" i="4"/>
  <c r="BA11" i="4"/>
  <c r="BA12" i="4"/>
  <c r="BA13" i="4"/>
  <c r="BA14" i="4"/>
  <c r="BA15" i="4"/>
  <c r="BA16" i="4"/>
  <c r="BA17" i="4"/>
  <c r="BA18" i="4"/>
  <c r="BA19" i="4"/>
  <c r="BA20" i="4"/>
  <c r="BA21" i="4"/>
  <c r="BA22" i="4"/>
  <c r="BA23" i="4"/>
  <c r="BA24" i="4"/>
  <c r="BA25" i="4"/>
  <c r="BA26" i="4"/>
  <c r="BA27" i="4"/>
  <c r="BA28" i="4"/>
  <c r="BA29" i="4"/>
  <c r="BA30" i="4"/>
  <c r="BA31" i="4"/>
  <c r="BA32" i="4"/>
  <c r="BA33" i="4"/>
  <c r="BA34" i="4"/>
  <c r="BA35" i="4"/>
  <c r="BA36" i="4"/>
  <c r="BA37" i="4"/>
  <c r="BA38" i="4"/>
  <c r="BA39" i="4"/>
  <c r="BA40" i="4"/>
  <c r="BA41" i="4"/>
  <c r="BA42" i="4"/>
  <c r="BA43" i="4"/>
  <c r="BA44" i="4"/>
  <c r="BA45" i="4"/>
  <c r="BA46" i="4"/>
  <c r="BA47" i="4"/>
  <c r="BA48" i="4"/>
  <c r="BA49" i="4"/>
  <c r="BA50" i="4"/>
  <c r="BA51" i="4"/>
  <c r="BA52" i="4"/>
  <c r="BA53" i="4"/>
  <c r="BA54" i="4"/>
  <c r="BA55" i="4"/>
  <c r="BA56" i="4"/>
  <c r="BA57" i="4"/>
  <c r="BA58" i="4"/>
  <c r="BA59" i="4"/>
  <c r="BA60" i="4"/>
  <c r="BA61" i="4"/>
  <c r="BA62" i="4"/>
  <c r="BA63" i="4"/>
  <c r="BA64" i="4"/>
  <c r="BA65" i="4"/>
  <c r="BA66" i="4"/>
  <c r="BA67" i="4"/>
  <c r="BA68" i="4"/>
  <c r="BA69" i="4"/>
  <c r="BA70" i="4"/>
  <c r="BA71" i="4"/>
  <c r="BA72" i="4"/>
  <c r="BA73" i="4"/>
  <c r="BA74" i="4"/>
  <c r="BA75" i="4"/>
  <c r="BA76" i="4"/>
  <c r="BA77" i="4"/>
  <c r="BA78" i="4"/>
  <c r="BA79" i="4"/>
  <c r="BA80" i="4"/>
  <c r="BA81" i="4"/>
  <c r="BA82" i="4"/>
  <c r="BA84" i="4"/>
  <c r="BA85" i="4"/>
  <c r="BA86" i="4"/>
  <c r="BA87" i="4"/>
  <c r="BA88" i="4"/>
  <c r="BA89" i="4"/>
  <c r="BA90" i="4"/>
  <c r="BA91" i="4"/>
  <c r="BA92" i="4"/>
  <c r="BA93" i="4"/>
  <c r="BA94" i="4"/>
  <c r="BA95" i="4"/>
  <c r="BA96" i="4"/>
  <c r="BA97" i="4"/>
  <c r="BA98" i="4"/>
  <c r="BA99" i="4"/>
  <c r="BA100" i="4"/>
  <c r="BA101" i="4"/>
  <c r="BA102" i="4"/>
  <c r="BA103" i="4"/>
  <c r="BA104" i="4"/>
  <c r="BA105" i="4"/>
  <c r="BA106" i="4"/>
  <c r="BA107" i="4"/>
  <c r="BA108" i="4"/>
  <c r="BA109" i="4"/>
  <c r="BA5" i="4"/>
  <c r="AZ6" i="4"/>
  <c r="AZ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5" i="4"/>
  <c r="AB7" i="4"/>
  <c r="BH5" i="4" s="1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38" i="4"/>
  <c r="AC37" i="4"/>
  <c r="AC36" i="4"/>
  <c r="AC35" i="4"/>
  <c r="AC34" i="4"/>
  <c r="AC33" i="4"/>
  <c r="AC32" i="4"/>
  <c r="AC6" i="4"/>
  <c r="AB8" i="4"/>
  <c r="BH6" i="4" s="1"/>
  <c r="AB9" i="4"/>
  <c r="BH7" i="4" s="1"/>
  <c r="AB10" i="4"/>
  <c r="BH8" i="4" s="1"/>
  <c r="AB11" i="4"/>
  <c r="AB12" i="4"/>
  <c r="BH10" i="4" s="1"/>
  <c r="AB13" i="4"/>
  <c r="BH11" i="4" s="1"/>
  <c r="AB39" i="4"/>
  <c r="BH12" i="4" s="1"/>
  <c r="AB14" i="4"/>
  <c r="BH13" i="4" s="1"/>
  <c r="AB40" i="4"/>
  <c r="BH14" i="4" s="1"/>
  <c r="AB15" i="4"/>
  <c r="BH15" i="4" s="1"/>
  <c r="AB41" i="4"/>
  <c r="BH16" i="4" s="1"/>
  <c r="AB16" i="4"/>
  <c r="BH17" i="4" s="1"/>
  <c r="AB42" i="4"/>
  <c r="BH18" i="4" s="1"/>
  <c r="AB17" i="4"/>
  <c r="BH19" i="4" s="1"/>
  <c r="AB43" i="4"/>
  <c r="BH20" i="4" s="1"/>
  <c r="AB18" i="4"/>
  <c r="BH21" i="4" s="1"/>
  <c r="AB44" i="4"/>
  <c r="BH22" i="4" s="1"/>
  <c r="AB19" i="4"/>
  <c r="BH23" i="4" s="1"/>
  <c r="AB71" i="4"/>
  <c r="BH25" i="4" s="1"/>
  <c r="AB20" i="4"/>
  <c r="BH26" i="4" s="1"/>
  <c r="AB46" i="4"/>
  <c r="BH27" i="4" s="1"/>
  <c r="AB72" i="4"/>
  <c r="BH28" i="4" s="1"/>
  <c r="AB21" i="4"/>
  <c r="BH29" i="4" s="1"/>
  <c r="AB47" i="4"/>
  <c r="BH30" i="4" s="1"/>
  <c r="AB73" i="4"/>
  <c r="BH31" i="4" s="1"/>
  <c r="AB22" i="4"/>
  <c r="BH32" i="4" s="1"/>
  <c r="AB48" i="4"/>
  <c r="BH33" i="4" s="1"/>
  <c r="AB74" i="4"/>
  <c r="BH34" i="4" s="1"/>
  <c r="AB23" i="4"/>
  <c r="BH35" i="4" s="1"/>
  <c r="AB49" i="4"/>
  <c r="BH36" i="4"/>
  <c r="AB24" i="4"/>
  <c r="BH39" i="4" s="1"/>
  <c r="AB50" i="4"/>
  <c r="AB76" i="4"/>
  <c r="AB102" i="4"/>
  <c r="BH40" i="4" s="1"/>
  <c r="AB25" i="4"/>
  <c r="AB51" i="4"/>
  <c r="AB77" i="4"/>
  <c r="AB103" i="4"/>
  <c r="BH44" i="4" s="1"/>
  <c r="AB26" i="4"/>
  <c r="BH47" i="4" s="1"/>
  <c r="AB52" i="4"/>
  <c r="BH49" i="4"/>
  <c r="AB78" i="4"/>
  <c r="BH50" i="4" s="1"/>
  <c r="AB104" i="4"/>
  <c r="BH48" i="4" s="1"/>
  <c r="AY4" i="6"/>
  <c r="AL81" i="4"/>
  <c r="AB100" i="4"/>
  <c r="AB99" i="4"/>
  <c r="AB98" i="4"/>
  <c r="AB97" i="4"/>
  <c r="AB96" i="4"/>
  <c r="AB95" i="4"/>
  <c r="AB94" i="4"/>
  <c r="AB93" i="4"/>
  <c r="AB92" i="4"/>
  <c r="AB91" i="4"/>
  <c r="AB90" i="4"/>
  <c r="AB89" i="4"/>
  <c r="AB88" i="4"/>
  <c r="AB87" i="4"/>
  <c r="AB86" i="4"/>
  <c r="AB85" i="4"/>
  <c r="AB84" i="4"/>
  <c r="AB70" i="4"/>
  <c r="AB69" i="4"/>
  <c r="AB68" i="4"/>
  <c r="AB67" i="4"/>
  <c r="AB66" i="4"/>
  <c r="AB65" i="4"/>
  <c r="AB64" i="4"/>
  <c r="AB63" i="4"/>
  <c r="AB62" i="4"/>
  <c r="AB61" i="4"/>
  <c r="AB60" i="4"/>
  <c r="AB59" i="4"/>
  <c r="AB58" i="4"/>
  <c r="AB38" i="4"/>
  <c r="AB37" i="4"/>
  <c r="AB36" i="4"/>
  <c r="AB35" i="4"/>
  <c r="AB34" i="4"/>
  <c r="AB33" i="4"/>
  <c r="AB32" i="4"/>
  <c r="AB6" i="4"/>
  <c r="AJ9" i="4"/>
  <c r="AJ10" i="4" s="1"/>
  <c r="AJ11" i="4" s="1"/>
  <c r="AL6" i="4"/>
  <c r="AM6" i="4"/>
  <c r="AN6" i="4"/>
  <c r="AO6" i="4"/>
  <c r="AP6" i="4"/>
  <c r="AQ6" i="4"/>
  <c r="AL7" i="4"/>
  <c r="AM7" i="4"/>
  <c r="AN7" i="4"/>
  <c r="AO7" i="4"/>
  <c r="AP7" i="4"/>
  <c r="AQ7" i="4"/>
  <c r="AR7" i="4" s="1"/>
  <c r="AL8" i="4"/>
  <c r="AM8" i="4"/>
  <c r="AN8" i="4"/>
  <c r="AO8" i="4"/>
  <c r="AP8" i="4"/>
  <c r="AQ8" i="4"/>
  <c r="AL9" i="4"/>
  <c r="AM9" i="4"/>
  <c r="AN9" i="4"/>
  <c r="AO9" i="4"/>
  <c r="AP9" i="4"/>
  <c r="AQ9" i="4"/>
  <c r="AL10" i="4"/>
  <c r="AM10" i="4"/>
  <c r="AN10" i="4"/>
  <c r="AO10" i="4"/>
  <c r="AP10" i="4"/>
  <c r="AQ10" i="4"/>
  <c r="AR10" i="4" s="1"/>
  <c r="AL11" i="4"/>
  <c r="AM11" i="4"/>
  <c r="AN11" i="4"/>
  <c r="AO11" i="4"/>
  <c r="AP11" i="4"/>
  <c r="AQ11" i="4"/>
  <c r="AL12" i="4"/>
  <c r="AM12" i="4"/>
  <c r="AN12" i="4"/>
  <c r="AO12" i="4"/>
  <c r="AP12" i="4"/>
  <c r="AQ12" i="4"/>
  <c r="AL13" i="4"/>
  <c r="AM13" i="4"/>
  <c r="AN13" i="4"/>
  <c r="AO13" i="4"/>
  <c r="AP13" i="4"/>
  <c r="AQ13" i="4"/>
  <c r="AL14" i="4"/>
  <c r="AM14" i="4"/>
  <c r="AN14" i="4"/>
  <c r="AO14" i="4"/>
  <c r="AP14" i="4"/>
  <c r="AQ14" i="4"/>
  <c r="AL15" i="4"/>
  <c r="AM15" i="4"/>
  <c r="AN15" i="4"/>
  <c r="AO15" i="4"/>
  <c r="AP15" i="4"/>
  <c r="AQ15" i="4"/>
  <c r="AL16" i="4"/>
  <c r="AM16" i="4"/>
  <c r="AN16" i="4"/>
  <c r="AO16" i="4"/>
  <c r="AP16" i="4"/>
  <c r="AQ16" i="4"/>
  <c r="AL17" i="4"/>
  <c r="AM17" i="4"/>
  <c r="AN17" i="4"/>
  <c r="AO17" i="4"/>
  <c r="AP17" i="4"/>
  <c r="AQ17" i="4"/>
  <c r="AL18" i="4"/>
  <c r="AM18" i="4"/>
  <c r="AN18" i="4"/>
  <c r="AO18" i="4"/>
  <c r="AP18" i="4"/>
  <c r="AQ18" i="4"/>
  <c r="AL19" i="4"/>
  <c r="AM19" i="4"/>
  <c r="AN19" i="4"/>
  <c r="AO19" i="4"/>
  <c r="AP19" i="4"/>
  <c r="AQ19" i="4"/>
  <c r="AL20" i="4"/>
  <c r="AM20" i="4"/>
  <c r="AN20" i="4"/>
  <c r="AO20" i="4"/>
  <c r="AP20" i="4"/>
  <c r="AQ20" i="4"/>
  <c r="AL21" i="4"/>
  <c r="AM21" i="4"/>
  <c r="AN21" i="4"/>
  <c r="AO21" i="4"/>
  <c r="AP21" i="4"/>
  <c r="AQ21" i="4"/>
  <c r="AL22" i="4"/>
  <c r="AM22" i="4"/>
  <c r="AN22" i="4"/>
  <c r="AO22" i="4"/>
  <c r="AP22" i="4"/>
  <c r="AQ22" i="4"/>
  <c r="AL23" i="4"/>
  <c r="AM23" i="4"/>
  <c r="AN23" i="4"/>
  <c r="AO23" i="4"/>
  <c r="AP23" i="4"/>
  <c r="AQ23" i="4"/>
  <c r="AL24" i="4"/>
  <c r="AM24" i="4"/>
  <c r="AN24" i="4"/>
  <c r="AO24" i="4"/>
  <c r="AP24" i="4"/>
  <c r="AQ24" i="4"/>
  <c r="AL25" i="4"/>
  <c r="AM25" i="4"/>
  <c r="AN25" i="4"/>
  <c r="AO25" i="4"/>
  <c r="AP25" i="4"/>
  <c r="AQ25" i="4"/>
  <c r="AL26" i="4"/>
  <c r="AM26" i="4"/>
  <c r="AN26" i="4"/>
  <c r="AO26" i="4"/>
  <c r="AP26" i="4"/>
  <c r="AQ26" i="4"/>
  <c r="AL27" i="4"/>
  <c r="AM27" i="4"/>
  <c r="AN27" i="4"/>
  <c r="AO27" i="4"/>
  <c r="AP27" i="4"/>
  <c r="AQ27" i="4"/>
  <c r="AL28" i="4"/>
  <c r="AM28" i="4"/>
  <c r="AN28" i="4"/>
  <c r="AO28" i="4"/>
  <c r="AP28" i="4"/>
  <c r="AQ28" i="4"/>
  <c r="AL29" i="4"/>
  <c r="AM29" i="4"/>
  <c r="AN29" i="4"/>
  <c r="AO29" i="4"/>
  <c r="AP29" i="4"/>
  <c r="AQ29" i="4"/>
  <c r="AL30" i="4"/>
  <c r="AM30" i="4"/>
  <c r="AN30" i="4"/>
  <c r="AO30" i="4"/>
  <c r="AP30" i="4"/>
  <c r="AQ30" i="4"/>
  <c r="AL31" i="4"/>
  <c r="AM31" i="4"/>
  <c r="AN31" i="4"/>
  <c r="AO31" i="4"/>
  <c r="AP31" i="4"/>
  <c r="AQ31" i="4"/>
  <c r="AL32" i="4"/>
  <c r="AM32" i="4"/>
  <c r="AN32" i="4"/>
  <c r="AO32" i="4"/>
  <c r="AP32" i="4"/>
  <c r="AQ32" i="4"/>
  <c r="AL33" i="4"/>
  <c r="AM33" i="4"/>
  <c r="AN33" i="4"/>
  <c r="AO33" i="4"/>
  <c r="AP33" i="4"/>
  <c r="AQ33" i="4"/>
  <c r="AL34" i="4"/>
  <c r="AM34" i="4"/>
  <c r="AN34" i="4"/>
  <c r="AO34" i="4"/>
  <c r="AP34" i="4"/>
  <c r="AQ34" i="4"/>
  <c r="AL35" i="4"/>
  <c r="AM35" i="4"/>
  <c r="AN35" i="4"/>
  <c r="AO35" i="4"/>
  <c r="AP35" i="4"/>
  <c r="AQ35" i="4"/>
  <c r="AL36" i="4"/>
  <c r="AM36" i="4"/>
  <c r="AN36" i="4"/>
  <c r="AO36" i="4"/>
  <c r="AP36" i="4"/>
  <c r="AQ36" i="4"/>
  <c r="AL37" i="4"/>
  <c r="AM37" i="4"/>
  <c r="AN37" i="4"/>
  <c r="AO37" i="4"/>
  <c r="AP37" i="4"/>
  <c r="AQ37" i="4"/>
  <c r="AL38" i="4"/>
  <c r="AM38" i="4"/>
  <c r="AN38" i="4"/>
  <c r="AO38" i="4"/>
  <c r="AP38" i="4"/>
  <c r="AQ38" i="4"/>
  <c r="AL39" i="4"/>
  <c r="AM39" i="4"/>
  <c r="AN39" i="4"/>
  <c r="AO39" i="4"/>
  <c r="AP39" i="4"/>
  <c r="AQ39" i="4"/>
  <c r="AL40" i="4"/>
  <c r="AM40" i="4"/>
  <c r="AN40" i="4"/>
  <c r="AO40" i="4"/>
  <c r="AP40" i="4"/>
  <c r="AQ40" i="4"/>
  <c r="AR40" i="4" s="1"/>
  <c r="AL41" i="4"/>
  <c r="AM41" i="4"/>
  <c r="AN41" i="4"/>
  <c r="AO41" i="4"/>
  <c r="AP41" i="4"/>
  <c r="AQ41" i="4"/>
  <c r="AR41" i="4" s="1"/>
  <c r="AL42" i="4"/>
  <c r="AM42" i="4"/>
  <c r="AN42" i="4"/>
  <c r="AO42" i="4"/>
  <c r="AP42" i="4"/>
  <c r="AQ42" i="4"/>
  <c r="AL43" i="4"/>
  <c r="AM43" i="4"/>
  <c r="AN43" i="4"/>
  <c r="AO43" i="4"/>
  <c r="AP43" i="4"/>
  <c r="AQ43" i="4"/>
  <c r="AL44" i="4"/>
  <c r="AM44" i="4"/>
  <c r="AN44" i="4"/>
  <c r="AO44" i="4"/>
  <c r="AP44" i="4"/>
  <c r="AQ44" i="4"/>
  <c r="AL45" i="4"/>
  <c r="AM45" i="4"/>
  <c r="AN45" i="4"/>
  <c r="AO45" i="4"/>
  <c r="AP45" i="4"/>
  <c r="AQ45" i="4"/>
  <c r="AL46" i="4"/>
  <c r="AM46" i="4"/>
  <c r="AN46" i="4"/>
  <c r="AO46" i="4"/>
  <c r="AP46" i="4"/>
  <c r="AQ46" i="4"/>
  <c r="AL47" i="4"/>
  <c r="AM47" i="4"/>
  <c r="AN47" i="4"/>
  <c r="AO47" i="4"/>
  <c r="AP47" i="4"/>
  <c r="AQ47" i="4"/>
  <c r="AL48" i="4"/>
  <c r="AM48" i="4"/>
  <c r="AN48" i="4"/>
  <c r="AO48" i="4"/>
  <c r="AP48" i="4"/>
  <c r="AQ48" i="4"/>
  <c r="AL49" i="4"/>
  <c r="AM49" i="4"/>
  <c r="AN49" i="4"/>
  <c r="AO49" i="4"/>
  <c r="AP49" i="4"/>
  <c r="AQ49" i="4"/>
  <c r="AL50" i="4"/>
  <c r="AM50" i="4"/>
  <c r="AN50" i="4"/>
  <c r="AO50" i="4"/>
  <c r="AP50" i="4"/>
  <c r="AQ50" i="4"/>
  <c r="AL51" i="4"/>
  <c r="AM51" i="4"/>
  <c r="AN51" i="4"/>
  <c r="AO51" i="4"/>
  <c r="AP51" i="4"/>
  <c r="AQ51" i="4"/>
  <c r="AL52" i="4"/>
  <c r="AM52" i="4"/>
  <c r="AN52" i="4"/>
  <c r="AO52" i="4"/>
  <c r="AP52" i="4"/>
  <c r="AQ52" i="4"/>
  <c r="AL53" i="4"/>
  <c r="AM53" i="4"/>
  <c r="AN53" i="4"/>
  <c r="AO53" i="4"/>
  <c r="AP53" i="4"/>
  <c r="AQ53" i="4"/>
  <c r="AL54" i="4"/>
  <c r="AM54" i="4"/>
  <c r="AN54" i="4"/>
  <c r="AO54" i="4"/>
  <c r="AP54" i="4"/>
  <c r="AQ54" i="4"/>
  <c r="AL55" i="4"/>
  <c r="AM55" i="4"/>
  <c r="AN55" i="4"/>
  <c r="AO55" i="4"/>
  <c r="AP55" i="4"/>
  <c r="AQ55" i="4"/>
  <c r="AL56" i="4"/>
  <c r="AM56" i="4"/>
  <c r="AN56" i="4"/>
  <c r="AO56" i="4"/>
  <c r="AP56" i="4"/>
  <c r="AQ56" i="4"/>
  <c r="AL57" i="4"/>
  <c r="AM57" i="4"/>
  <c r="AN57" i="4"/>
  <c r="AO57" i="4"/>
  <c r="AP57" i="4"/>
  <c r="AQ57" i="4"/>
  <c r="AL58" i="4"/>
  <c r="AM58" i="4"/>
  <c r="AN58" i="4"/>
  <c r="AO58" i="4"/>
  <c r="AP58" i="4"/>
  <c r="AQ58" i="4"/>
  <c r="AL59" i="4"/>
  <c r="AM59" i="4"/>
  <c r="AN59" i="4"/>
  <c r="AO59" i="4"/>
  <c r="AP59" i="4"/>
  <c r="AQ59" i="4"/>
  <c r="AL60" i="4"/>
  <c r="AM60" i="4"/>
  <c r="AN60" i="4"/>
  <c r="AO60" i="4"/>
  <c r="AP60" i="4"/>
  <c r="AQ60" i="4"/>
  <c r="AL61" i="4"/>
  <c r="AM61" i="4"/>
  <c r="AN61" i="4"/>
  <c r="AO61" i="4"/>
  <c r="AP61" i="4"/>
  <c r="AQ61" i="4"/>
  <c r="AL62" i="4"/>
  <c r="AM62" i="4"/>
  <c r="AN62" i="4"/>
  <c r="AO62" i="4"/>
  <c r="AP62" i="4"/>
  <c r="AQ62" i="4"/>
  <c r="AL63" i="4"/>
  <c r="AM63" i="4"/>
  <c r="AN63" i="4"/>
  <c r="AO63" i="4"/>
  <c r="AP63" i="4"/>
  <c r="AQ63" i="4"/>
  <c r="AL64" i="4"/>
  <c r="AM64" i="4"/>
  <c r="AN64" i="4"/>
  <c r="AO64" i="4"/>
  <c r="AP64" i="4"/>
  <c r="AQ64" i="4"/>
  <c r="AL65" i="4"/>
  <c r="AM65" i="4"/>
  <c r="AN65" i="4"/>
  <c r="AO65" i="4"/>
  <c r="AP65" i="4"/>
  <c r="AQ65" i="4"/>
  <c r="AL66" i="4"/>
  <c r="AM66" i="4"/>
  <c r="AN66" i="4"/>
  <c r="AO66" i="4"/>
  <c r="AP66" i="4"/>
  <c r="AQ66" i="4"/>
  <c r="AL67" i="4"/>
  <c r="AM67" i="4"/>
  <c r="AN67" i="4"/>
  <c r="AO67" i="4"/>
  <c r="AP67" i="4"/>
  <c r="AQ67" i="4"/>
  <c r="AL68" i="4"/>
  <c r="AM68" i="4"/>
  <c r="AN68" i="4"/>
  <c r="AO68" i="4"/>
  <c r="AP68" i="4"/>
  <c r="AQ68" i="4"/>
  <c r="AL69" i="4"/>
  <c r="AM69" i="4"/>
  <c r="AN69" i="4"/>
  <c r="AO69" i="4"/>
  <c r="AP69" i="4"/>
  <c r="AQ69" i="4"/>
  <c r="AL70" i="4"/>
  <c r="AM70" i="4"/>
  <c r="AN70" i="4"/>
  <c r="AO70" i="4"/>
  <c r="AP70" i="4"/>
  <c r="AQ70" i="4"/>
  <c r="AL71" i="4"/>
  <c r="AM71" i="4"/>
  <c r="AN71" i="4"/>
  <c r="AO71" i="4"/>
  <c r="AP71" i="4"/>
  <c r="AQ71" i="4"/>
  <c r="AL72" i="4"/>
  <c r="AM72" i="4"/>
  <c r="AN72" i="4"/>
  <c r="AO72" i="4"/>
  <c r="AP72" i="4"/>
  <c r="AQ72" i="4"/>
  <c r="AL73" i="4"/>
  <c r="AM73" i="4"/>
  <c r="AN73" i="4"/>
  <c r="AO73" i="4"/>
  <c r="AP73" i="4"/>
  <c r="AQ73" i="4"/>
  <c r="AL74" i="4"/>
  <c r="AM74" i="4"/>
  <c r="AN74" i="4"/>
  <c r="AO74" i="4"/>
  <c r="AP74" i="4"/>
  <c r="AQ74" i="4"/>
  <c r="AL75" i="4"/>
  <c r="AM75" i="4"/>
  <c r="AN75" i="4"/>
  <c r="AO75" i="4"/>
  <c r="AP75" i="4"/>
  <c r="AQ75" i="4"/>
  <c r="AL76" i="4"/>
  <c r="AM76" i="4"/>
  <c r="AN76" i="4"/>
  <c r="AO76" i="4"/>
  <c r="AP76" i="4"/>
  <c r="AQ76" i="4"/>
  <c r="AL77" i="4"/>
  <c r="AM77" i="4"/>
  <c r="AN77" i="4"/>
  <c r="AO77" i="4"/>
  <c r="AP77" i="4"/>
  <c r="AQ77" i="4"/>
  <c r="AL78" i="4"/>
  <c r="AM78" i="4"/>
  <c r="AN78" i="4"/>
  <c r="AO78" i="4"/>
  <c r="AP78" i="4"/>
  <c r="AQ78" i="4"/>
  <c r="AL79" i="4"/>
  <c r="AM79" i="4"/>
  <c r="AN79" i="4"/>
  <c r="AO79" i="4"/>
  <c r="AP79" i="4"/>
  <c r="AQ79" i="4"/>
  <c r="AL80" i="4"/>
  <c r="AM80" i="4"/>
  <c r="AN80" i="4"/>
  <c r="AO80" i="4"/>
  <c r="AP80" i="4"/>
  <c r="AQ80" i="4"/>
  <c r="AM81" i="4"/>
  <c r="AN81" i="4"/>
  <c r="AO81" i="4"/>
  <c r="AP81" i="4"/>
  <c r="AQ81" i="4"/>
  <c r="AL82" i="4"/>
  <c r="AM82" i="4"/>
  <c r="AN82" i="4"/>
  <c r="AO82" i="4"/>
  <c r="AP82" i="4"/>
  <c r="AQ82" i="4"/>
  <c r="AL83" i="4"/>
  <c r="AM83" i="4"/>
  <c r="AN83" i="4"/>
  <c r="AO83" i="4"/>
  <c r="AP83" i="4"/>
  <c r="AQ83" i="4"/>
  <c r="AL84" i="4"/>
  <c r="AM84" i="4"/>
  <c r="AN84" i="4"/>
  <c r="AO84" i="4"/>
  <c r="AP84" i="4"/>
  <c r="AQ84" i="4"/>
  <c r="AL85" i="4"/>
  <c r="AM85" i="4"/>
  <c r="AN85" i="4"/>
  <c r="AO85" i="4"/>
  <c r="AP85" i="4"/>
  <c r="AQ85" i="4"/>
  <c r="AL86" i="4"/>
  <c r="AM86" i="4"/>
  <c r="AN86" i="4"/>
  <c r="AO86" i="4"/>
  <c r="AP86" i="4"/>
  <c r="AQ86" i="4"/>
  <c r="AL87" i="4"/>
  <c r="AM87" i="4"/>
  <c r="AN87" i="4"/>
  <c r="AO87" i="4"/>
  <c r="AP87" i="4"/>
  <c r="AQ87" i="4"/>
  <c r="AL88" i="4"/>
  <c r="AM88" i="4"/>
  <c r="AN88" i="4"/>
  <c r="AO88" i="4"/>
  <c r="AP88" i="4"/>
  <c r="AQ88" i="4"/>
  <c r="AL89" i="4"/>
  <c r="AM89" i="4"/>
  <c r="AN89" i="4"/>
  <c r="AO89" i="4"/>
  <c r="AP89" i="4"/>
  <c r="AQ89" i="4"/>
  <c r="AL90" i="4"/>
  <c r="AM90" i="4"/>
  <c r="AN90" i="4"/>
  <c r="AO90" i="4"/>
  <c r="AP90" i="4"/>
  <c r="AQ90" i="4"/>
  <c r="AL91" i="4"/>
  <c r="AM91" i="4"/>
  <c r="AN91" i="4"/>
  <c r="AO91" i="4"/>
  <c r="AP91" i="4"/>
  <c r="AQ91" i="4"/>
  <c r="AL92" i="4"/>
  <c r="AM92" i="4"/>
  <c r="AN92" i="4"/>
  <c r="AO92" i="4"/>
  <c r="AP92" i="4"/>
  <c r="AQ92" i="4"/>
  <c r="AL93" i="4"/>
  <c r="AM93" i="4"/>
  <c r="AN93" i="4"/>
  <c r="AO93" i="4"/>
  <c r="AP93" i="4"/>
  <c r="AQ93" i="4"/>
  <c r="AL94" i="4"/>
  <c r="AM94" i="4"/>
  <c r="AN94" i="4"/>
  <c r="AO94" i="4"/>
  <c r="AP94" i="4"/>
  <c r="AQ94" i="4"/>
  <c r="AL95" i="4"/>
  <c r="AM95" i="4"/>
  <c r="AN95" i="4"/>
  <c r="AO95" i="4"/>
  <c r="AP95" i="4"/>
  <c r="AQ95" i="4"/>
  <c r="AL96" i="4"/>
  <c r="AM96" i="4"/>
  <c r="AN96" i="4"/>
  <c r="AO96" i="4"/>
  <c r="AP96" i="4"/>
  <c r="AQ96" i="4"/>
  <c r="AL97" i="4"/>
  <c r="AM97" i="4"/>
  <c r="AN97" i="4"/>
  <c r="AO97" i="4"/>
  <c r="AP97" i="4"/>
  <c r="AQ97" i="4"/>
  <c r="AL98" i="4"/>
  <c r="AM98" i="4"/>
  <c r="AN98" i="4"/>
  <c r="AO98" i="4"/>
  <c r="AP98" i="4"/>
  <c r="AQ98" i="4"/>
  <c r="AL99" i="4"/>
  <c r="AM99" i="4"/>
  <c r="AN99" i="4"/>
  <c r="AO99" i="4"/>
  <c r="AP99" i="4"/>
  <c r="AQ99" i="4"/>
  <c r="AL100" i="4"/>
  <c r="AM100" i="4"/>
  <c r="AN100" i="4"/>
  <c r="AO100" i="4"/>
  <c r="AP100" i="4"/>
  <c r="AQ100" i="4"/>
  <c r="AL101" i="4"/>
  <c r="AR101" i="4" s="1"/>
  <c r="AM101" i="4"/>
  <c r="AN101" i="4"/>
  <c r="AO101" i="4"/>
  <c r="AP101" i="4"/>
  <c r="AQ101" i="4"/>
  <c r="AL102" i="4"/>
  <c r="AM102" i="4"/>
  <c r="AN102" i="4"/>
  <c r="AO102" i="4"/>
  <c r="AP102" i="4"/>
  <c r="AQ102" i="4"/>
  <c r="AL103" i="4"/>
  <c r="AM103" i="4"/>
  <c r="AN103" i="4"/>
  <c r="AO103" i="4"/>
  <c r="AP103" i="4"/>
  <c r="AQ103" i="4"/>
  <c r="AL104" i="4"/>
  <c r="AM104" i="4"/>
  <c r="AN104" i="4"/>
  <c r="AO104" i="4"/>
  <c r="AP104" i="4"/>
  <c r="AQ104" i="4"/>
  <c r="AL105" i="4"/>
  <c r="AM105" i="4"/>
  <c r="AN105" i="4"/>
  <c r="AO105" i="4"/>
  <c r="AP105" i="4"/>
  <c r="AQ105" i="4"/>
  <c r="AL106" i="4"/>
  <c r="AM106" i="4"/>
  <c r="AN106" i="4"/>
  <c r="AO106" i="4"/>
  <c r="AP106" i="4"/>
  <c r="AQ106" i="4"/>
  <c r="AL107" i="4"/>
  <c r="AM107" i="4"/>
  <c r="AN107" i="4"/>
  <c r="AO107" i="4"/>
  <c r="AP107" i="4"/>
  <c r="AQ107" i="4"/>
  <c r="AL108" i="4"/>
  <c r="AM108" i="4"/>
  <c r="AN108" i="4"/>
  <c r="AO108" i="4"/>
  <c r="AP108" i="4"/>
  <c r="AQ108" i="4"/>
  <c r="AL109" i="4"/>
  <c r="AM109" i="4"/>
  <c r="AN109" i="4"/>
  <c r="AO109" i="4"/>
  <c r="AP109" i="4"/>
  <c r="AQ109" i="4"/>
  <c r="AM5" i="4"/>
  <c r="AN5" i="4"/>
  <c r="AO5" i="4"/>
  <c r="AP5" i="4"/>
  <c r="AQ5" i="4"/>
  <c r="AL5" i="4"/>
  <c r="BF6" i="4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F35" i="4" s="1"/>
  <c r="BF36" i="4" s="1"/>
  <c r="BF37" i="4" s="1"/>
  <c r="BF38" i="4" s="1"/>
  <c r="BF39" i="4" s="1"/>
  <c r="BF40" i="4" s="1"/>
  <c r="BF41" i="4" s="1"/>
  <c r="BF42" i="4" s="1"/>
  <c r="BF43" i="4" s="1"/>
  <c r="BF44" i="4" s="1"/>
  <c r="BF45" i="4" s="1"/>
  <c r="BF46" i="4" s="1"/>
  <c r="BF47" i="4" s="1"/>
  <c r="BF48" i="4" s="1"/>
  <c r="BF49" i="4" s="1"/>
  <c r="BF50" i="4" s="1"/>
  <c r="U32" i="4"/>
  <c r="U58" i="4"/>
  <c r="U84" i="4" s="1"/>
  <c r="U33" i="4"/>
  <c r="U59" i="4" s="1"/>
  <c r="U85" i="4" s="1"/>
  <c r="U34" i="4"/>
  <c r="U60" i="4" s="1"/>
  <c r="U86" i="4" s="1"/>
  <c r="U35" i="4"/>
  <c r="U61" i="4"/>
  <c r="U87" i="4" s="1"/>
  <c r="U36" i="4"/>
  <c r="U62" i="4" s="1"/>
  <c r="U88" i="4" s="1"/>
  <c r="U37" i="4"/>
  <c r="U63" i="4" s="1"/>
  <c r="U89" i="4" s="1"/>
  <c r="U38" i="4"/>
  <c r="U64" i="4"/>
  <c r="U90" i="4" s="1"/>
  <c r="U39" i="4"/>
  <c r="U65" i="4" s="1"/>
  <c r="U91" i="4" s="1"/>
  <c r="U40" i="4"/>
  <c r="U66" i="4" s="1"/>
  <c r="U92" i="4" s="1"/>
  <c r="U41" i="4"/>
  <c r="U67" i="4"/>
  <c r="U93" i="4" s="1"/>
  <c r="U42" i="4"/>
  <c r="U68" i="4" s="1"/>
  <c r="U94" i="4" s="1"/>
  <c r="U43" i="4"/>
  <c r="U69" i="4" s="1"/>
  <c r="U95" i="4" s="1"/>
  <c r="U44" i="4"/>
  <c r="U70" i="4"/>
  <c r="U96" i="4" s="1"/>
  <c r="U45" i="4"/>
  <c r="U71" i="4" s="1"/>
  <c r="U97" i="4" s="1"/>
  <c r="U46" i="4"/>
  <c r="U72" i="4" s="1"/>
  <c r="U98" i="4" s="1"/>
  <c r="U47" i="4"/>
  <c r="U73" i="4"/>
  <c r="U99" i="4" s="1"/>
  <c r="U48" i="4"/>
  <c r="U74" i="4" s="1"/>
  <c r="U100" i="4" s="1"/>
  <c r="U49" i="4"/>
  <c r="U75" i="4" s="1"/>
  <c r="U101" i="4" s="1"/>
  <c r="U50" i="4"/>
  <c r="U76" i="4"/>
  <c r="U102" i="4" s="1"/>
  <c r="U51" i="4"/>
  <c r="U77" i="4" s="1"/>
  <c r="U103" i="4" s="1"/>
  <c r="U52" i="4"/>
  <c r="U78" i="4" s="1"/>
  <c r="U104" i="4" s="1"/>
  <c r="U31" i="4"/>
  <c r="U57" i="4"/>
  <c r="U83" i="4" s="1"/>
  <c r="L31" i="4"/>
  <c r="L57" i="4" s="1"/>
  <c r="L83" i="4" s="1"/>
  <c r="AR12" i="4"/>
  <c r="BK61" i="3"/>
  <c r="BD61" i="3"/>
  <c r="AW61" i="3"/>
  <c r="AP61" i="3"/>
  <c r="AI61" i="3"/>
  <c r="L7" i="4"/>
  <c r="L33" i="4" s="1"/>
  <c r="L59" i="4" s="1"/>
  <c r="L85" i="4" s="1"/>
  <c r="M7" i="4"/>
  <c r="N7" i="4"/>
  <c r="L8" i="4"/>
  <c r="L34" i="4" s="1"/>
  <c r="L60" i="4" s="1"/>
  <c r="L86" i="4" s="1"/>
  <c r="M8" i="4"/>
  <c r="N8" i="4"/>
  <c r="L9" i="4"/>
  <c r="L35" i="4" s="1"/>
  <c r="L61" i="4" s="1"/>
  <c r="L87" i="4" s="1"/>
  <c r="M9" i="4"/>
  <c r="N9" i="4"/>
  <c r="L10" i="4"/>
  <c r="L36" i="4" s="1"/>
  <c r="L62" i="4" s="1"/>
  <c r="L88" i="4" s="1"/>
  <c r="M10" i="4"/>
  <c r="N10" i="4"/>
  <c r="L11" i="4"/>
  <c r="L37" i="4" s="1"/>
  <c r="L63" i="4" s="1"/>
  <c r="L89" i="4" s="1"/>
  <c r="M11" i="4"/>
  <c r="N11" i="4"/>
  <c r="L12" i="4"/>
  <c r="L38" i="4" s="1"/>
  <c r="L64" i="4" s="1"/>
  <c r="L90" i="4" s="1"/>
  <c r="M12" i="4"/>
  <c r="N12" i="4"/>
  <c r="L13" i="4"/>
  <c r="L39" i="4" s="1"/>
  <c r="L65" i="4" s="1"/>
  <c r="L91" i="4" s="1"/>
  <c r="M13" i="4"/>
  <c r="N13" i="4"/>
  <c r="L14" i="4"/>
  <c r="L40" i="4" s="1"/>
  <c r="L66" i="4" s="1"/>
  <c r="L92" i="4" s="1"/>
  <c r="M14" i="4"/>
  <c r="N14" i="4"/>
  <c r="L15" i="4"/>
  <c r="L41" i="4" s="1"/>
  <c r="L67" i="4" s="1"/>
  <c r="L93" i="4" s="1"/>
  <c r="M15" i="4"/>
  <c r="N15" i="4"/>
  <c r="L16" i="4"/>
  <c r="L42" i="4" s="1"/>
  <c r="L68" i="4" s="1"/>
  <c r="L94" i="4" s="1"/>
  <c r="M16" i="4"/>
  <c r="N16" i="4"/>
  <c r="L17" i="4"/>
  <c r="L43" i="4" s="1"/>
  <c r="L69" i="4" s="1"/>
  <c r="L95" i="4" s="1"/>
  <c r="M17" i="4"/>
  <c r="N17" i="4"/>
  <c r="L18" i="4"/>
  <c r="L44" i="4" s="1"/>
  <c r="L70" i="4" s="1"/>
  <c r="L96" i="4" s="1"/>
  <c r="M18" i="4"/>
  <c r="N18" i="4"/>
  <c r="L19" i="4"/>
  <c r="L45" i="4" s="1"/>
  <c r="L71" i="4" s="1"/>
  <c r="L97" i="4" s="1"/>
  <c r="M19" i="4"/>
  <c r="N19" i="4"/>
  <c r="L20" i="4"/>
  <c r="L46" i="4" s="1"/>
  <c r="L72" i="4" s="1"/>
  <c r="L98" i="4" s="1"/>
  <c r="M20" i="4"/>
  <c r="N20" i="4"/>
  <c r="L21" i="4"/>
  <c r="L47" i="4" s="1"/>
  <c r="L73" i="4" s="1"/>
  <c r="L99" i="4" s="1"/>
  <c r="M21" i="4"/>
  <c r="N21" i="4"/>
  <c r="L22" i="4"/>
  <c r="L48" i="4" s="1"/>
  <c r="L74" i="4" s="1"/>
  <c r="L100" i="4" s="1"/>
  <c r="M22" i="4"/>
  <c r="N22" i="4"/>
  <c r="L23" i="4"/>
  <c r="L49" i="4" s="1"/>
  <c r="L75" i="4" s="1"/>
  <c r="L101" i="4" s="1"/>
  <c r="M23" i="4"/>
  <c r="N23" i="4"/>
  <c r="L24" i="4"/>
  <c r="L50" i="4" s="1"/>
  <c r="L76" i="4" s="1"/>
  <c r="L102" i="4" s="1"/>
  <c r="M24" i="4"/>
  <c r="N24" i="4"/>
  <c r="L25" i="4"/>
  <c r="L51" i="4" s="1"/>
  <c r="L77" i="4" s="1"/>
  <c r="L103" i="4" s="1"/>
  <c r="M25" i="4"/>
  <c r="N25" i="4"/>
  <c r="L26" i="4"/>
  <c r="L52" i="4" s="1"/>
  <c r="L78" i="4" s="1"/>
  <c r="L104" i="4" s="1"/>
  <c r="M26" i="4"/>
  <c r="N26" i="4"/>
  <c r="L6" i="4"/>
  <c r="L32" i="4" s="1"/>
  <c r="L58" i="4" s="1"/>
  <c r="L84" i="4" s="1"/>
  <c r="M6" i="4"/>
  <c r="R6" i="4"/>
  <c r="R7" i="4"/>
  <c r="R8" i="4"/>
  <c r="R9" i="4"/>
  <c r="R10" i="4"/>
  <c r="R11" i="4"/>
  <c r="R12" i="4"/>
  <c r="R13" i="4"/>
  <c r="R14" i="4"/>
  <c r="R15" i="4"/>
  <c r="R16" i="4"/>
  <c r="R18" i="4"/>
  <c r="R19" i="4"/>
  <c r="R20" i="4"/>
  <c r="R21" i="4"/>
  <c r="R22" i="4"/>
  <c r="R23" i="4"/>
  <c r="R24" i="4"/>
  <c r="R25" i="4"/>
  <c r="R26" i="4"/>
  <c r="R32" i="4"/>
  <c r="R33" i="4"/>
  <c r="R34" i="4"/>
  <c r="R35" i="4"/>
  <c r="R36" i="4"/>
  <c r="R37" i="4"/>
  <c r="R38" i="4"/>
  <c r="R39" i="4"/>
  <c r="R40" i="4"/>
  <c r="R41" i="4"/>
  <c r="R42" i="4"/>
  <c r="R44" i="4"/>
  <c r="R45" i="4"/>
  <c r="R46" i="4"/>
  <c r="R47" i="4"/>
  <c r="R52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6" i="4"/>
  <c r="R77" i="4"/>
  <c r="R78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4" i="4"/>
  <c r="O7" i="4"/>
  <c r="P7" i="4"/>
  <c r="Q7" i="4"/>
  <c r="S6" i="4"/>
  <c r="M33" i="4"/>
  <c r="N33" i="4"/>
  <c r="O33" i="4"/>
  <c r="P33" i="4"/>
  <c r="Q33" i="4"/>
  <c r="M59" i="4"/>
  <c r="N59" i="4"/>
  <c r="O59" i="4"/>
  <c r="P59" i="4"/>
  <c r="Q59" i="4"/>
  <c r="M85" i="4"/>
  <c r="N85" i="4"/>
  <c r="O85" i="4"/>
  <c r="P85" i="4"/>
  <c r="Q85" i="4"/>
  <c r="O8" i="4"/>
  <c r="P8" i="4"/>
  <c r="Q8" i="4"/>
  <c r="S7" i="4"/>
  <c r="M34" i="4"/>
  <c r="N34" i="4"/>
  <c r="O34" i="4"/>
  <c r="P34" i="4"/>
  <c r="Q34" i="4"/>
  <c r="M60" i="4"/>
  <c r="N60" i="4"/>
  <c r="O60" i="4"/>
  <c r="P60" i="4"/>
  <c r="Q60" i="4"/>
  <c r="M86" i="4"/>
  <c r="N86" i="4"/>
  <c r="O86" i="4"/>
  <c r="P86" i="4"/>
  <c r="Q86" i="4"/>
  <c r="O9" i="4"/>
  <c r="P9" i="4"/>
  <c r="Q9" i="4"/>
  <c r="S8" i="4"/>
  <c r="M35" i="4"/>
  <c r="N35" i="4"/>
  <c r="O35" i="4"/>
  <c r="P35" i="4"/>
  <c r="Q35" i="4"/>
  <c r="M61" i="4"/>
  <c r="N61" i="4"/>
  <c r="O61" i="4"/>
  <c r="P61" i="4"/>
  <c r="Q61" i="4"/>
  <c r="M87" i="4"/>
  <c r="N87" i="4"/>
  <c r="O87" i="4"/>
  <c r="P87" i="4"/>
  <c r="Q87" i="4"/>
  <c r="O10" i="4"/>
  <c r="P10" i="4"/>
  <c r="Q10" i="4"/>
  <c r="S9" i="4"/>
  <c r="M36" i="4"/>
  <c r="N36" i="4"/>
  <c r="O36" i="4"/>
  <c r="P36" i="4"/>
  <c r="Q36" i="4"/>
  <c r="M62" i="4"/>
  <c r="N62" i="4"/>
  <c r="O62" i="4"/>
  <c r="P62" i="4"/>
  <c r="Q62" i="4"/>
  <c r="M88" i="4"/>
  <c r="N88" i="4"/>
  <c r="O88" i="4"/>
  <c r="P88" i="4"/>
  <c r="Q88" i="4"/>
  <c r="O11" i="4"/>
  <c r="P11" i="4"/>
  <c r="Q11" i="4"/>
  <c r="S10" i="4"/>
  <c r="M37" i="4"/>
  <c r="N37" i="4"/>
  <c r="O37" i="4"/>
  <c r="P37" i="4"/>
  <c r="Q37" i="4"/>
  <c r="M63" i="4"/>
  <c r="N63" i="4"/>
  <c r="O63" i="4"/>
  <c r="P63" i="4"/>
  <c r="Q63" i="4"/>
  <c r="M89" i="4"/>
  <c r="N89" i="4"/>
  <c r="O89" i="4"/>
  <c r="P89" i="4"/>
  <c r="Q89" i="4"/>
  <c r="O12" i="4"/>
  <c r="P12" i="4"/>
  <c r="Q12" i="4"/>
  <c r="S11" i="4"/>
  <c r="M38" i="4"/>
  <c r="N38" i="4"/>
  <c r="O38" i="4"/>
  <c r="P38" i="4"/>
  <c r="Q38" i="4"/>
  <c r="M64" i="4"/>
  <c r="N64" i="4"/>
  <c r="O64" i="4"/>
  <c r="P64" i="4"/>
  <c r="Q64" i="4"/>
  <c r="M90" i="4"/>
  <c r="N90" i="4"/>
  <c r="O90" i="4"/>
  <c r="P90" i="4"/>
  <c r="Q90" i="4"/>
  <c r="O13" i="4"/>
  <c r="P13" i="4"/>
  <c r="Q13" i="4"/>
  <c r="S12" i="4"/>
  <c r="M39" i="4"/>
  <c r="N39" i="4"/>
  <c r="O39" i="4"/>
  <c r="P39" i="4"/>
  <c r="Q39" i="4"/>
  <c r="M65" i="4"/>
  <c r="N65" i="4"/>
  <c r="O65" i="4"/>
  <c r="P65" i="4"/>
  <c r="Q65" i="4"/>
  <c r="M91" i="4"/>
  <c r="N91" i="4"/>
  <c r="O91" i="4"/>
  <c r="P91" i="4"/>
  <c r="Q91" i="4"/>
  <c r="O14" i="4"/>
  <c r="P14" i="4"/>
  <c r="Q14" i="4"/>
  <c r="S13" i="4"/>
  <c r="M40" i="4"/>
  <c r="N40" i="4"/>
  <c r="O40" i="4"/>
  <c r="P40" i="4"/>
  <c r="Q40" i="4"/>
  <c r="M66" i="4"/>
  <c r="N66" i="4"/>
  <c r="O66" i="4"/>
  <c r="P66" i="4"/>
  <c r="Q66" i="4"/>
  <c r="M92" i="4"/>
  <c r="N92" i="4"/>
  <c r="O92" i="4"/>
  <c r="P92" i="4"/>
  <c r="Q92" i="4"/>
  <c r="O15" i="4"/>
  <c r="P15" i="4"/>
  <c r="Q15" i="4"/>
  <c r="S14" i="4"/>
  <c r="M41" i="4"/>
  <c r="N41" i="4"/>
  <c r="O41" i="4"/>
  <c r="P41" i="4"/>
  <c r="Q41" i="4"/>
  <c r="M67" i="4"/>
  <c r="N67" i="4"/>
  <c r="O67" i="4"/>
  <c r="P67" i="4"/>
  <c r="Q67" i="4"/>
  <c r="M93" i="4"/>
  <c r="N93" i="4"/>
  <c r="O93" i="4"/>
  <c r="P93" i="4"/>
  <c r="Q93" i="4"/>
  <c r="O16" i="4"/>
  <c r="P16" i="4"/>
  <c r="Q16" i="4"/>
  <c r="S15" i="4"/>
  <c r="M42" i="4"/>
  <c r="N42" i="4"/>
  <c r="O42" i="4"/>
  <c r="P42" i="4"/>
  <c r="Q42" i="4"/>
  <c r="M68" i="4"/>
  <c r="N68" i="4"/>
  <c r="O68" i="4"/>
  <c r="P68" i="4"/>
  <c r="Q68" i="4"/>
  <c r="M94" i="4"/>
  <c r="N94" i="4"/>
  <c r="O94" i="4"/>
  <c r="P94" i="4"/>
  <c r="Q94" i="4"/>
  <c r="O17" i="4"/>
  <c r="P17" i="4"/>
  <c r="Q17" i="4"/>
  <c r="S16" i="4"/>
  <c r="M43" i="4"/>
  <c r="N43" i="4"/>
  <c r="O43" i="4"/>
  <c r="P43" i="4"/>
  <c r="Q43" i="4"/>
  <c r="M69" i="4"/>
  <c r="N69" i="4"/>
  <c r="O69" i="4"/>
  <c r="P69" i="4"/>
  <c r="Q69" i="4"/>
  <c r="M95" i="4"/>
  <c r="N95" i="4"/>
  <c r="O95" i="4"/>
  <c r="P95" i="4"/>
  <c r="Q95" i="4"/>
  <c r="O18" i="4"/>
  <c r="P18" i="4"/>
  <c r="Q18" i="4"/>
  <c r="S17" i="4"/>
  <c r="M44" i="4"/>
  <c r="N44" i="4"/>
  <c r="O44" i="4"/>
  <c r="P44" i="4"/>
  <c r="Q44" i="4"/>
  <c r="M70" i="4"/>
  <c r="N70" i="4"/>
  <c r="O70" i="4"/>
  <c r="P70" i="4"/>
  <c r="Q70" i="4"/>
  <c r="M96" i="4"/>
  <c r="N96" i="4"/>
  <c r="O96" i="4"/>
  <c r="P96" i="4"/>
  <c r="Q96" i="4"/>
  <c r="O19" i="4"/>
  <c r="P19" i="4"/>
  <c r="Q19" i="4"/>
  <c r="S18" i="4"/>
  <c r="M45" i="4"/>
  <c r="N45" i="4"/>
  <c r="O45" i="4"/>
  <c r="P45" i="4"/>
  <c r="Q45" i="4"/>
  <c r="M71" i="4"/>
  <c r="N71" i="4"/>
  <c r="O71" i="4"/>
  <c r="P71" i="4"/>
  <c r="Q71" i="4"/>
  <c r="M97" i="4"/>
  <c r="N97" i="4"/>
  <c r="O97" i="4"/>
  <c r="P97" i="4"/>
  <c r="Q97" i="4"/>
  <c r="O20" i="4"/>
  <c r="P20" i="4"/>
  <c r="Q20" i="4"/>
  <c r="S19" i="4"/>
  <c r="M46" i="4"/>
  <c r="N46" i="4"/>
  <c r="O46" i="4"/>
  <c r="P46" i="4"/>
  <c r="Q46" i="4"/>
  <c r="M72" i="4"/>
  <c r="N72" i="4"/>
  <c r="O72" i="4"/>
  <c r="P72" i="4"/>
  <c r="Q72" i="4"/>
  <c r="M98" i="4"/>
  <c r="N98" i="4"/>
  <c r="O98" i="4"/>
  <c r="P98" i="4"/>
  <c r="Q98" i="4"/>
  <c r="O21" i="4"/>
  <c r="P21" i="4"/>
  <c r="Q21" i="4"/>
  <c r="S20" i="4"/>
  <c r="M47" i="4"/>
  <c r="N47" i="4"/>
  <c r="O47" i="4"/>
  <c r="P47" i="4"/>
  <c r="Q47" i="4"/>
  <c r="M73" i="4"/>
  <c r="N73" i="4"/>
  <c r="O73" i="4"/>
  <c r="P73" i="4"/>
  <c r="Q73" i="4"/>
  <c r="M99" i="4"/>
  <c r="N99" i="4"/>
  <c r="O99" i="4"/>
  <c r="P99" i="4"/>
  <c r="Q99" i="4"/>
  <c r="O22" i="4"/>
  <c r="P22" i="4"/>
  <c r="Q22" i="4"/>
  <c r="S21" i="4"/>
  <c r="M48" i="4"/>
  <c r="N48" i="4"/>
  <c r="O48" i="4"/>
  <c r="P48" i="4"/>
  <c r="Q48" i="4"/>
  <c r="M74" i="4"/>
  <c r="N74" i="4"/>
  <c r="O74" i="4"/>
  <c r="P74" i="4"/>
  <c r="Q74" i="4"/>
  <c r="M100" i="4"/>
  <c r="N100" i="4"/>
  <c r="O100" i="4"/>
  <c r="P100" i="4"/>
  <c r="Q100" i="4"/>
  <c r="O23" i="4"/>
  <c r="P23" i="4"/>
  <c r="Q23" i="4"/>
  <c r="S22" i="4"/>
  <c r="M49" i="4"/>
  <c r="N49" i="4"/>
  <c r="O49" i="4"/>
  <c r="P49" i="4"/>
  <c r="Q49" i="4"/>
  <c r="M75" i="4"/>
  <c r="N75" i="4"/>
  <c r="O75" i="4"/>
  <c r="P75" i="4"/>
  <c r="Q75" i="4"/>
  <c r="M101" i="4"/>
  <c r="N101" i="4"/>
  <c r="O101" i="4"/>
  <c r="P101" i="4"/>
  <c r="Q101" i="4"/>
  <c r="O24" i="4"/>
  <c r="P24" i="4"/>
  <c r="Q24" i="4"/>
  <c r="S23" i="4"/>
  <c r="M50" i="4"/>
  <c r="N50" i="4"/>
  <c r="O50" i="4"/>
  <c r="P50" i="4"/>
  <c r="Q50" i="4"/>
  <c r="M76" i="4"/>
  <c r="N76" i="4"/>
  <c r="O76" i="4"/>
  <c r="P76" i="4"/>
  <c r="Q76" i="4"/>
  <c r="M102" i="4"/>
  <c r="N102" i="4"/>
  <c r="O102" i="4"/>
  <c r="P102" i="4"/>
  <c r="Q102" i="4"/>
  <c r="O25" i="4"/>
  <c r="P25" i="4"/>
  <c r="Q25" i="4"/>
  <c r="S24" i="4"/>
  <c r="M51" i="4"/>
  <c r="N51" i="4"/>
  <c r="O51" i="4"/>
  <c r="P51" i="4"/>
  <c r="Q51" i="4"/>
  <c r="M77" i="4"/>
  <c r="N77" i="4"/>
  <c r="O77" i="4"/>
  <c r="P77" i="4"/>
  <c r="Q77" i="4"/>
  <c r="M103" i="4"/>
  <c r="N103" i="4"/>
  <c r="O103" i="4"/>
  <c r="P103" i="4"/>
  <c r="Q103" i="4"/>
  <c r="O26" i="4"/>
  <c r="P26" i="4"/>
  <c r="Q26" i="4"/>
  <c r="S25" i="4"/>
  <c r="M52" i="4"/>
  <c r="N52" i="4"/>
  <c r="O52" i="4"/>
  <c r="P52" i="4"/>
  <c r="Q52" i="4"/>
  <c r="M78" i="4"/>
  <c r="N78" i="4"/>
  <c r="O78" i="4"/>
  <c r="P78" i="4"/>
  <c r="Q78" i="4"/>
  <c r="M104" i="4"/>
  <c r="N104" i="4"/>
  <c r="O104" i="4"/>
  <c r="P104" i="4"/>
  <c r="Q104" i="4"/>
  <c r="O6" i="4"/>
  <c r="P6" i="4"/>
  <c r="Q6" i="4"/>
  <c r="S5" i="4"/>
  <c r="M32" i="4"/>
  <c r="N32" i="4"/>
  <c r="O32" i="4"/>
  <c r="P32" i="4"/>
  <c r="Q32" i="4"/>
  <c r="M58" i="4"/>
  <c r="N58" i="4"/>
  <c r="O58" i="4"/>
  <c r="P58" i="4"/>
  <c r="Q58" i="4"/>
  <c r="M84" i="4"/>
  <c r="N84" i="4"/>
  <c r="O84" i="4"/>
  <c r="P84" i="4"/>
  <c r="Q84" i="4"/>
  <c r="N6" i="4"/>
  <c r="BK162" i="3"/>
  <c r="BK144" i="3"/>
  <c r="BK112" i="3"/>
  <c r="BD162" i="3"/>
  <c r="BD144" i="3"/>
  <c r="BD112" i="3"/>
  <c r="AW162" i="3"/>
  <c r="AW144" i="3"/>
  <c r="AW112" i="3"/>
  <c r="AP162" i="3"/>
  <c r="AP144" i="3"/>
  <c r="AP112" i="3"/>
  <c r="AI112" i="3"/>
  <c r="AI144" i="3"/>
  <c r="AI162" i="3"/>
  <c r="BJ170" i="3"/>
  <c r="BJ169" i="3"/>
  <c r="BJ168" i="3"/>
  <c r="BJ167" i="3"/>
  <c r="BJ166" i="3"/>
  <c r="BJ165" i="3"/>
  <c r="BJ164" i="3"/>
  <c r="BJ163" i="3"/>
  <c r="BJ161" i="3"/>
  <c r="BJ160" i="3"/>
  <c r="BJ159" i="3"/>
  <c r="BJ158" i="3"/>
  <c r="BJ157" i="3"/>
  <c r="BJ156" i="3"/>
  <c r="BJ155" i="3"/>
  <c r="BJ154" i="3"/>
  <c r="BJ153" i="3"/>
  <c r="BK153" i="3"/>
  <c r="BJ152" i="3"/>
  <c r="BJ151" i="3"/>
  <c r="BJ150" i="3"/>
  <c r="BJ149" i="3"/>
  <c r="BJ148" i="3"/>
  <c r="BJ147" i="3"/>
  <c r="BJ146" i="3"/>
  <c r="BJ145" i="3"/>
  <c r="BJ143" i="3"/>
  <c r="BJ142" i="3"/>
  <c r="BJ141" i="3"/>
  <c r="BJ140" i="3"/>
  <c r="BJ139" i="3"/>
  <c r="BJ138" i="3"/>
  <c r="BJ137" i="3"/>
  <c r="BJ136" i="3"/>
  <c r="BJ135" i="3"/>
  <c r="BJ134" i="3"/>
  <c r="BJ133" i="3"/>
  <c r="BJ132" i="3"/>
  <c r="BJ131" i="3"/>
  <c r="BJ130" i="3"/>
  <c r="BJ129" i="3"/>
  <c r="BJ128" i="3"/>
  <c r="BJ127" i="3"/>
  <c r="BJ126" i="3"/>
  <c r="BJ125" i="3"/>
  <c r="BJ124" i="3"/>
  <c r="BJ123" i="3"/>
  <c r="BJ122" i="3"/>
  <c r="BJ121" i="3"/>
  <c r="BJ120" i="3"/>
  <c r="BJ119" i="3"/>
  <c r="BJ118" i="3"/>
  <c r="BJ117" i="3"/>
  <c r="BJ116" i="3"/>
  <c r="BJ115" i="3"/>
  <c r="BJ114" i="3"/>
  <c r="BJ113" i="3"/>
  <c r="BJ111" i="3"/>
  <c r="BJ110" i="3"/>
  <c r="BJ109" i="3"/>
  <c r="BJ108" i="3"/>
  <c r="BJ107" i="3"/>
  <c r="BJ106" i="3"/>
  <c r="BJ105" i="3"/>
  <c r="BJ104" i="3"/>
  <c r="BJ103" i="3"/>
  <c r="BJ102" i="3"/>
  <c r="BJ101" i="3"/>
  <c r="BJ100" i="3"/>
  <c r="BJ99" i="3"/>
  <c r="BJ98" i="3"/>
  <c r="BJ97" i="3"/>
  <c r="BJ96" i="3"/>
  <c r="BJ95" i="3"/>
  <c r="BJ94" i="3"/>
  <c r="BK94" i="3"/>
  <c r="BJ93" i="3"/>
  <c r="BK93" i="3"/>
  <c r="BJ92" i="3"/>
  <c r="BK92" i="3"/>
  <c r="BJ91" i="3"/>
  <c r="BJ90" i="3"/>
  <c r="BJ89" i="3"/>
  <c r="BJ88" i="3"/>
  <c r="BJ87" i="3"/>
  <c r="BJ86" i="3"/>
  <c r="BJ85" i="3"/>
  <c r="BJ84" i="3"/>
  <c r="BJ83" i="3"/>
  <c r="BJ82" i="3"/>
  <c r="BJ81" i="3"/>
  <c r="BJ80" i="3"/>
  <c r="BJ79" i="3"/>
  <c r="BJ78" i="3"/>
  <c r="BJ77" i="3"/>
  <c r="BJ76" i="3"/>
  <c r="BJ75" i="3"/>
  <c r="BJ74" i="3"/>
  <c r="BJ73" i="3"/>
  <c r="BJ72" i="3"/>
  <c r="BJ71" i="3"/>
  <c r="BJ70" i="3"/>
  <c r="BJ69" i="3"/>
  <c r="BJ68" i="3"/>
  <c r="BJ67" i="3"/>
  <c r="BJ66" i="3"/>
  <c r="BJ65" i="3"/>
  <c r="BJ64" i="3"/>
  <c r="BJ63" i="3"/>
  <c r="BC170" i="3"/>
  <c r="BC169" i="3"/>
  <c r="BC168" i="3"/>
  <c r="BC167" i="3"/>
  <c r="BC166" i="3"/>
  <c r="BC165" i="3"/>
  <c r="BC164" i="3"/>
  <c r="BC163" i="3"/>
  <c r="BC161" i="3"/>
  <c r="BC160" i="3"/>
  <c r="BC159" i="3"/>
  <c r="BC158" i="3"/>
  <c r="BC157" i="3"/>
  <c r="BC156" i="3"/>
  <c r="BC155" i="3"/>
  <c r="BC154" i="3"/>
  <c r="BC153" i="3"/>
  <c r="BD153" i="3"/>
  <c r="BC152" i="3"/>
  <c r="BC151" i="3"/>
  <c r="BC150" i="3"/>
  <c r="BC149" i="3"/>
  <c r="BC148" i="3"/>
  <c r="BC147" i="3"/>
  <c r="BC146" i="3"/>
  <c r="BC145" i="3"/>
  <c r="BC143" i="3"/>
  <c r="BC142" i="3"/>
  <c r="BC141" i="3"/>
  <c r="BC140" i="3"/>
  <c r="BC139" i="3"/>
  <c r="BC138" i="3"/>
  <c r="BC137" i="3"/>
  <c r="BC136" i="3"/>
  <c r="BC135" i="3"/>
  <c r="BC134" i="3"/>
  <c r="BC133" i="3"/>
  <c r="BC132" i="3"/>
  <c r="BC131" i="3"/>
  <c r="BC130" i="3"/>
  <c r="BC129" i="3"/>
  <c r="BC128" i="3"/>
  <c r="BC127" i="3"/>
  <c r="BC126" i="3"/>
  <c r="BC125" i="3"/>
  <c r="BC124" i="3"/>
  <c r="BC123" i="3"/>
  <c r="BC122" i="3"/>
  <c r="BC121" i="3"/>
  <c r="BC120" i="3"/>
  <c r="BC119" i="3"/>
  <c r="BC118" i="3"/>
  <c r="BC117" i="3"/>
  <c r="BC116" i="3"/>
  <c r="BC115" i="3"/>
  <c r="BC114" i="3"/>
  <c r="BC113" i="3"/>
  <c r="BC111" i="3"/>
  <c r="BC110" i="3"/>
  <c r="BC109" i="3"/>
  <c r="BC108" i="3"/>
  <c r="BC107" i="3"/>
  <c r="BC106" i="3"/>
  <c r="BC105" i="3"/>
  <c r="BC104" i="3"/>
  <c r="BC103" i="3"/>
  <c r="BC102" i="3"/>
  <c r="BC101" i="3"/>
  <c r="BC100" i="3"/>
  <c r="BC99" i="3"/>
  <c r="BC98" i="3"/>
  <c r="BC97" i="3"/>
  <c r="BC96" i="3"/>
  <c r="BC95" i="3"/>
  <c r="BC94" i="3"/>
  <c r="BD94" i="3"/>
  <c r="BC93" i="3"/>
  <c r="BD93" i="3"/>
  <c r="BC92" i="3"/>
  <c r="BD92" i="3"/>
  <c r="BC91" i="3"/>
  <c r="BC90" i="3"/>
  <c r="BC89" i="3"/>
  <c r="BC88" i="3"/>
  <c r="BC87" i="3"/>
  <c r="BC86" i="3"/>
  <c r="BC85" i="3"/>
  <c r="BC84" i="3"/>
  <c r="BC83" i="3"/>
  <c r="BC82" i="3"/>
  <c r="BC81" i="3"/>
  <c r="BC80" i="3"/>
  <c r="BC79" i="3"/>
  <c r="BC78" i="3"/>
  <c r="BC77" i="3"/>
  <c r="BC76" i="3"/>
  <c r="BC75" i="3"/>
  <c r="BC74" i="3"/>
  <c r="BC73" i="3"/>
  <c r="BC72" i="3"/>
  <c r="BC71" i="3"/>
  <c r="BC70" i="3"/>
  <c r="BC69" i="3"/>
  <c r="BC68" i="3"/>
  <c r="BC67" i="3"/>
  <c r="BC66" i="3"/>
  <c r="BC65" i="3"/>
  <c r="BC64" i="3"/>
  <c r="BC63" i="3"/>
  <c r="AV170" i="3"/>
  <c r="AV169" i="3"/>
  <c r="AV168" i="3"/>
  <c r="AV167" i="3"/>
  <c r="AV166" i="3"/>
  <c r="AV165" i="3"/>
  <c r="AV164" i="3"/>
  <c r="AV163" i="3"/>
  <c r="AV161" i="3"/>
  <c r="AV160" i="3"/>
  <c r="AV159" i="3"/>
  <c r="AV158" i="3"/>
  <c r="AV157" i="3"/>
  <c r="AV156" i="3"/>
  <c r="AV155" i="3"/>
  <c r="AV154" i="3"/>
  <c r="AV153" i="3"/>
  <c r="AW153" i="3"/>
  <c r="AV152" i="3"/>
  <c r="AV151" i="3"/>
  <c r="AV150" i="3"/>
  <c r="AV149" i="3"/>
  <c r="AV148" i="3"/>
  <c r="AV147" i="3"/>
  <c r="AV146" i="3"/>
  <c r="AV145" i="3"/>
  <c r="AV143" i="3"/>
  <c r="AV142" i="3"/>
  <c r="AV141" i="3"/>
  <c r="AV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W94" i="3"/>
  <c r="AV93" i="3"/>
  <c r="AW93" i="3"/>
  <c r="AV92" i="3"/>
  <c r="AW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O170" i="3"/>
  <c r="AO169" i="3"/>
  <c r="AO168" i="3"/>
  <c r="AO167" i="3"/>
  <c r="AO166" i="3"/>
  <c r="AO165" i="3"/>
  <c r="AO164" i="3"/>
  <c r="AO163" i="3"/>
  <c r="AO161" i="3"/>
  <c r="AO160" i="3"/>
  <c r="AO159" i="3"/>
  <c r="AO158" i="3"/>
  <c r="AO157" i="3"/>
  <c r="AO156" i="3"/>
  <c r="AO155" i="3"/>
  <c r="AO154" i="3"/>
  <c r="AO153" i="3"/>
  <c r="AP153" i="3"/>
  <c r="AO152" i="3"/>
  <c r="AO151" i="3"/>
  <c r="AO150" i="3"/>
  <c r="AO149" i="3"/>
  <c r="AO148" i="3"/>
  <c r="AO147" i="3"/>
  <c r="AO146" i="3"/>
  <c r="AO145" i="3"/>
  <c r="AO143" i="3"/>
  <c r="AO142" i="3"/>
  <c r="AO141" i="3"/>
  <c r="AO140" i="3"/>
  <c r="AO139" i="3"/>
  <c r="AO138" i="3"/>
  <c r="AO137" i="3"/>
  <c r="AO136" i="3"/>
  <c r="AO135" i="3"/>
  <c r="AO134" i="3"/>
  <c r="AO133" i="3"/>
  <c r="AO132" i="3"/>
  <c r="AO131" i="3"/>
  <c r="AO130" i="3"/>
  <c r="AO129" i="3"/>
  <c r="AO128" i="3"/>
  <c r="AO127" i="3"/>
  <c r="AO126" i="3"/>
  <c r="AO125" i="3"/>
  <c r="AO124" i="3"/>
  <c r="AO123" i="3"/>
  <c r="AO122" i="3"/>
  <c r="AO121" i="3"/>
  <c r="AO120" i="3"/>
  <c r="AO119" i="3"/>
  <c r="AO118" i="3"/>
  <c r="AO117" i="3"/>
  <c r="AO116" i="3"/>
  <c r="AO115" i="3"/>
  <c r="AO114" i="3"/>
  <c r="AO113" i="3"/>
  <c r="AO111" i="3"/>
  <c r="AO110" i="3"/>
  <c r="AO109" i="3"/>
  <c r="AO108" i="3"/>
  <c r="AO107" i="3"/>
  <c r="AO106" i="3"/>
  <c r="AO105" i="3"/>
  <c r="AO104" i="3"/>
  <c r="AO103" i="3"/>
  <c r="AO102" i="3"/>
  <c r="AO101" i="3"/>
  <c r="AO100" i="3"/>
  <c r="AO99" i="3"/>
  <c r="AO98" i="3"/>
  <c r="AO97" i="3"/>
  <c r="AO96" i="3"/>
  <c r="AO95" i="3"/>
  <c r="AO94" i="3"/>
  <c r="AP94" i="3"/>
  <c r="AO93" i="3"/>
  <c r="AP93" i="3"/>
  <c r="AO92" i="3"/>
  <c r="AP92" i="3"/>
  <c r="AO91" i="3"/>
  <c r="AO90" i="3"/>
  <c r="AO89" i="3"/>
  <c r="AO88" i="3"/>
  <c r="AO87" i="3"/>
  <c r="AO86" i="3"/>
  <c r="AO85" i="3"/>
  <c r="AO84" i="3"/>
  <c r="AO83" i="3"/>
  <c r="AO82" i="3"/>
  <c r="AO81" i="3"/>
  <c r="AO80" i="3"/>
  <c r="AO79" i="3"/>
  <c r="AO78" i="3"/>
  <c r="AO77" i="3"/>
  <c r="AO76" i="3"/>
  <c r="AO75" i="3"/>
  <c r="AO74" i="3"/>
  <c r="AO73" i="3"/>
  <c r="AO72" i="3"/>
  <c r="AO71" i="3"/>
  <c r="AO70" i="3"/>
  <c r="AO69" i="3"/>
  <c r="AO68" i="3"/>
  <c r="AO67" i="3"/>
  <c r="AO66" i="3"/>
  <c r="AO65" i="3"/>
  <c r="AO64" i="3"/>
  <c r="AO63" i="3"/>
  <c r="AH164" i="3"/>
  <c r="AH165" i="3"/>
  <c r="AH166" i="3"/>
  <c r="AH167" i="3"/>
  <c r="AH168" i="3"/>
  <c r="AH169" i="3"/>
  <c r="AH170" i="3"/>
  <c r="AH163" i="3"/>
  <c r="AH146" i="3"/>
  <c r="AH147" i="3"/>
  <c r="AH148" i="3"/>
  <c r="AH149" i="3"/>
  <c r="AH150" i="3"/>
  <c r="AH151" i="3"/>
  <c r="AH152" i="3"/>
  <c r="AH153" i="3"/>
  <c r="AI153" i="3"/>
  <c r="AH154" i="3"/>
  <c r="AH155" i="3"/>
  <c r="AH156" i="3"/>
  <c r="AH157" i="3"/>
  <c r="AH158" i="3"/>
  <c r="AH159" i="3"/>
  <c r="AH160" i="3"/>
  <c r="AH161" i="3"/>
  <c r="AH145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1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I92" i="3"/>
  <c r="AH93" i="3"/>
  <c r="AI93" i="3"/>
  <c r="AH94" i="3"/>
  <c r="AI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63" i="3"/>
  <c r="BK99" i="3"/>
  <c r="BK129" i="3"/>
  <c r="BK69" i="3"/>
  <c r="AW116" i="3"/>
  <c r="AW122" i="3"/>
  <c r="AW128" i="3"/>
  <c r="BK116" i="3"/>
  <c r="BK122" i="3"/>
  <c r="BK128" i="3"/>
  <c r="BK134" i="3"/>
  <c r="BK140" i="3"/>
  <c r="BK111" i="3"/>
  <c r="BK117" i="3"/>
  <c r="BK135" i="3"/>
  <c r="BK123" i="3"/>
  <c r="AW81" i="3"/>
  <c r="BD135" i="3"/>
  <c r="BD77" i="3"/>
  <c r="BD71" i="3"/>
  <c r="BD147" i="3"/>
  <c r="BD113" i="3"/>
  <c r="BD119" i="3"/>
  <c r="BD125" i="3"/>
  <c r="BD131" i="3"/>
  <c r="BD137" i="3"/>
  <c r="BD143" i="3"/>
  <c r="BD150" i="3"/>
  <c r="BD156" i="3"/>
  <c r="BD117" i="3"/>
  <c r="AW68" i="3"/>
  <c r="AW74" i="3"/>
  <c r="AW134" i="3"/>
  <c r="AW117" i="3"/>
  <c r="AW123" i="3"/>
  <c r="AW141" i="3"/>
  <c r="AW140" i="3"/>
  <c r="AW111" i="3"/>
  <c r="AW129" i="3"/>
  <c r="AW165" i="3"/>
  <c r="AW135" i="3"/>
  <c r="AW80" i="3"/>
  <c r="AW98" i="3"/>
  <c r="AW104" i="3"/>
  <c r="AW154" i="3"/>
  <c r="AW167" i="3"/>
  <c r="BD83" i="3"/>
  <c r="BD151" i="3"/>
  <c r="AW169" i="3"/>
  <c r="AW72" i="3"/>
  <c r="AW78" i="3"/>
  <c r="AW84" i="3"/>
  <c r="AW90" i="3"/>
  <c r="AW96" i="3"/>
  <c r="AW102" i="3"/>
  <c r="AW108" i="3"/>
  <c r="AW115" i="3"/>
  <c r="AW121" i="3"/>
  <c r="AW127" i="3"/>
  <c r="AW133" i="3"/>
  <c r="AW139" i="3"/>
  <c r="AW146" i="3"/>
  <c r="AW152" i="3"/>
  <c r="AW158" i="3"/>
  <c r="BD118" i="3"/>
  <c r="BD124" i="3"/>
  <c r="BD130" i="3"/>
  <c r="BD136" i="3"/>
  <c r="BD142" i="3"/>
  <c r="BD149" i="3"/>
  <c r="BD155" i="3"/>
  <c r="BD161" i="3"/>
  <c r="BD168" i="3"/>
  <c r="BK169" i="3"/>
  <c r="BK72" i="3"/>
  <c r="BK78" i="3"/>
  <c r="BK84" i="3"/>
  <c r="BK90" i="3"/>
  <c r="BK96" i="3"/>
  <c r="BK102" i="3"/>
  <c r="BK108" i="3"/>
  <c r="BK115" i="3"/>
  <c r="BK121" i="3"/>
  <c r="BK127" i="3"/>
  <c r="BK133" i="3"/>
  <c r="BK139" i="3"/>
  <c r="BK146" i="3"/>
  <c r="BK152" i="3"/>
  <c r="BK158" i="3"/>
  <c r="AW75" i="3"/>
  <c r="AW105" i="3"/>
  <c r="BD87" i="3"/>
  <c r="BK63" i="3"/>
  <c r="BD101" i="3"/>
  <c r="BD120" i="3"/>
  <c r="BD138" i="3"/>
  <c r="BD164" i="3"/>
  <c r="BK74" i="3"/>
  <c r="BK98" i="3"/>
  <c r="BK110" i="3"/>
  <c r="BK148" i="3"/>
  <c r="BK160" i="3"/>
  <c r="AW87" i="3"/>
  <c r="BK105" i="3"/>
  <c r="AW118" i="3"/>
  <c r="AW130" i="3"/>
  <c r="AW142" i="3"/>
  <c r="AW155" i="3"/>
  <c r="AW161" i="3"/>
  <c r="AW168" i="3"/>
  <c r="BD66" i="3"/>
  <c r="BD72" i="3"/>
  <c r="BD78" i="3"/>
  <c r="BD84" i="3"/>
  <c r="BD90" i="3"/>
  <c r="BD96" i="3"/>
  <c r="BD102" i="3"/>
  <c r="BD108" i="3"/>
  <c r="BD115" i="3"/>
  <c r="BD121" i="3"/>
  <c r="BD127" i="3"/>
  <c r="BD133" i="3"/>
  <c r="BD139" i="3"/>
  <c r="BD146" i="3"/>
  <c r="BD152" i="3"/>
  <c r="BD158" i="3"/>
  <c r="BK118" i="3"/>
  <c r="BK124" i="3"/>
  <c r="BK130" i="3"/>
  <c r="BK136" i="3"/>
  <c r="BK142" i="3"/>
  <c r="BK149" i="3"/>
  <c r="BK155" i="3"/>
  <c r="BK161" i="3"/>
  <c r="BK168" i="3"/>
  <c r="AW147" i="3"/>
  <c r="BD69" i="3"/>
  <c r="BD99" i="3"/>
  <c r="BD129" i="3"/>
  <c r="BD159" i="3"/>
  <c r="BK81" i="3"/>
  <c r="AP167" i="3"/>
  <c r="BD89" i="3"/>
  <c r="BD107" i="3"/>
  <c r="BD126" i="3"/>
  <c r="BD157" i="3"/>
  <c r="BK68" i="3"/>
  <c r="BK147" i="3"/>
  <c r="BK165" i="3"/>
  <c r="BK159" i="3"/>
  <c r="BK80" i="3"/>
  <c r="BK104" i="3"/>
  <c r="BK141" i="3"/>
  <c r="BK154" i="3"/>
  <c r="BK167" i="3"/>
  <c r="BD63" i="3"/>
  <c r="BD123" i="3"/>
  <c r="BK75" i="3"/>
  <c r="AW124" i="3"/>
  <c r="AW136" i="3"/>
  <c r="AW149" i="3"/>
  <c r="AW113" i="3"/>
  <c r="AW119" i="3"/>
  <c r="AW125" i="3"/>
  <c r="AW131" i="3"/>
  <c r="AW137" i="3"/>
  <c r="AW143" i="3"/>
  <c r="AW150" i="3"/>
  <c r="AW156" i="3"/>
  <c r="BD116" i="3"/>
  <c r="BD122" i="3"/>
  <c r="BD128" i="3"/>
  <c r="BD134" i="3"/>
  <c r="BD140" i="3"/>
  <c r="BK113" i="3"/>
  <c r="BK119" i="3"/>
  <c r="BK125" i="3"/>
  <c r="BK131" i="3"/>
  <c r="BK137" i="3"/>
  <c r="BK143" i="3"/>
  <c r="BK150" i="3"/>
  <c r="BK156" i="3"/>
  <c r="AW63" i="3"/>
  <c r="BD75" i="3"/>
  <c r="BD105" i="3"/>
  <c r="BK87" i="3"/>
  <c r="AW86" i="3"/>
  <c r="AW110" i="3"/>
  <c r="AW148" i="3"/>
  <c r="AW160" i="3"/>
  <c r="BD163" i="3"/>
  <c r="BD91" i="3"/>
  <c r="BD73" i="3"/>
  <c r="BD169" i="3"/>
  <c r="BD145" i="3"/>
  <c r="BD109" i="3"/>
  <c r="BD103" i="3"/>
  <c r="BD97" i="3"/>
  <c r="BD85" i="3"/>
  <c r="BD79" i="3"/>
  <c r="BD67" i="3"/>
  <c r="BD160" i="3"/>
  <c r="BD148" i="3"/>
  <c r="BD100" i="3"/>
  <c r="BD82" i="3"/>
  <c r="BD70" i="3"/>
  <c r="BD65" i="3"/>
  <c r="BD166" i="3"/>
  <c r="BD154" i="3"/>
  <c r="BD106" i="3"/>
  <c r="BD88" i="3"/>
  <c r="BD76" i="3"/>
  <c r="BD64" i="3"/>
  <c r="BD95" i="3"/>
  <c r="BD114" i="3"/>
  <c r="BD132" i="3"/>
  <c r="BD170" i="3"/>
  <c r="BK86" i="3"/>
  <c r="AW65" i="3"/>
  <c r="AW71" i="3"/>
  <c r="AW77" i="3"/>
  <c r="AW83" i="3"/>
  <c r="AW89" i="3"/>
  <c r="AW95" i="3"/>
  <c r="AW101" i="3"/>
  <c r="AW107" i="3"/>
  <c r="AW114" i="3"/>
  <c r="AW120" i="3"/>
  <c r="AW126" i="3"/>
  <c r="AW132" i="3"/>
  <c r="AW138" i="3"/>
  <c r="AW164" i="3"/>
  <c r="AW170" i="3"/>
  <c r="BD68" i="3"/>
  <c r="BD74" i="3"/>
  <c r="BD80" i="3"/>
  <c r="BD86" i="3"/>
  <c r="BD98" i="3"/>
  <c r="BD104" i="3"/>
  <c r="BD110" i="3"/>
  <c r="BD167" i="3"/>
  <c r="BK65" i="3"/>
  <c r="BK71" i="3"/>
  <c r="BK77" i="3"/>
  <c r="BK83" i="3"/>
  <c r="BK89" i="3"/>
  <c r="BK95" i="3"/>
  <c r="BK101" i="3"/>
  <c r="BK107" i="3"/>
  <c r="BK114" i="3"/>
  <c r="BK120" i="3"/>
  <c r="BK126" i="3"/>
  <c r="BK132" i="3"/>
  <c r="BK138" i="3"/>
  <c r="BK164" i="3"/>
  <c r="BK170" i="3"/>
  <c r="AW69" i="3"/>
  <c r="AW99" i="3"/>
  <c r="AW159" i="3"/>
  <c r="BD81" i="3"/>
  <c r="BD111" i="3"/>
  <c r="BD141" i="3"/>
  <c r="BD165" i="3"/>
  <c r="AW70" i="3"/>
  <c r="AW82" i="3"/>
  <c r="AW100" i="3"/>
  <c r="BK76" i="3"/>
  <c r="BK88" i="3"/>
  <c r="BK100" i="3"/>
  <c r="BK166" i="3"/>
  <c r="AW64" i="3"/>
  <c r="AW76" i="3"/>
  <c r="AW88" i="3"/>
  <c r="AW106" i="3"/>
  <c r="AW166" i="3"/>
  <c r="BK64" i="3"/>
  <c r="BK70" i="3"/>
  <c r="BK82" i="3"/>
  <c r="BK106" i="3"/>
  <c r="AI137" i="3"/>
  <c r="AW66" i="3"/>
  <c r="BK66" i="3"/>
  <c r="AW67" i="3"/>
  <c r="AW79" i="3"/>
  <c r="AW97" i="3"/>
  <c r="AW163" i="3"/>
  <c r="BK67" i="3"/>
  <c r="BK73" i="3"/>
  <c r="BK79" i="3"/>
  <c r="BK85" i="3"/>
  <c r="BK91" i="3"/>
  <c r="BK97" i="3"/>
  <c r="BK103" i="3"/>
  <c r="BK109" i="3"/>
  <c r="BK145" i="3"/>
  <c r="BK151" i="3"/>
  <c r="BK157" i="3"/>
  <c r="BK163" i="3"/>
  <c r="AP71" i="3"/>
  <c r="AW73" i="3"/>
  <c r="AW85" i="3"/>
  <c r="AW91" i="3"/>
  <c r="AW103" i="3"/>
  <c r="AW109" i="3"/>
  <c r="AW145" i="3"/>
  <c r="AW151" i="3"/>
  <c r="AW157" i="3"/>
  <c r="AP115" i="3"/>
  <c r="AP83" i="3"/>
  <c r="AP89" i="3"/>
  <c r="AP127" i="3"/>
  <c r="AP65" i="3"/>
  <c r="AP107" i="3"/>
  <c r="AP139" i="3"/>
  <c r="AP77" i="3"/>
  <c r="AP95" i="3"/>
  <c r="AP151" i="3"/>
  <c r="AP78" i="3"/>
  <c r="AP90" i="3"/>
  <c r="AP96" i="3"/>
  <c r="AP108" i="3"/>
  <c r="AP119" i="3"/>
  <c r="AP131" i="3"/>
  <c r="AP143" i="3"/>
  <c r="AP66" i="3"/>
  <c r="AP67" i="3"/>
  <c r="AP79" i="3"/>
  <c r="AP91" i="3"/>
  <c r="AP97" i="3"/>
  <c r="AP109" i="3"/>
  <c r="AP120" i="3"/>
  <c r="AP132" i="3"/>
  <c r="AP155" i="3"/>
  <c r="AP101" i="3"/>
  <c r="AP121" i="3"/>
  <c r="AP133" i="3"/>
  <c r="AP145" i="3"/>
  <c r="AP161" i="3"/>
  <c r="AP84" i="3"/>
  <c r="AP102" i="3"/>
  <c r="AP113" i="3"/>
  <c r="AP125" i="3"/>
  <c r="AP137" i="3"/>
  <c r="AP149" i="3"/>
  <c r="AP72" i="3"/>
  <c r="AP170" i="3"/>
  <c r="AP73" i="3"/>
  <c r="AP85" i="3"/>
  <c r="AP103" i="3"/>
  <c r="AP114" i="3"/>
  <c r="AP126" i="3"/>
  <c r="AP138" i="3"/>
  <c r="AP150" i="3"/>
  <c r="AP68" i="3"/>
  <c r="AP63" i="3"/>
  <c r="AP69" i="3"/>
  <c r="AP75" i="3"/>
  <c r="AP81" i="3"/>
  <c r="AP87" i="3"/>
  <c r="AP99" i="3"/>
  <c r="AP105" i="3"/>
  <c r="AP111" i="3"/>
  <c r="AP117" i="3"/>
  <c r="AP123" i="3"/>
  <c r="AP129" i="3"/>
  <c r="AP135" i="3"/>
  <c r="AP141" i="3"/>
  <c r="AP147" i="3"/>
  <c r="AP159" i="3"/>
  <c r="AP165" i="3"/>
  <c r="AP64" i="3"/>
  <c r="AP70" i="3"/>
  <c r="AP76" i="3"/>
  <c r="AP82" i="3"/>
  <c r="AP88" i="3"/>
  <c r="AP100" i="3"/>
  <c r="AP106" i="3"/>
  <c r="AP118" i="3"/>
  <c r="AP124" i="3"/>
  <c r="AP130" i="3"/>
  <c r="AP136" i="3"/>
  <c r="AP142" i="3"/>
  <c r="AP148" i="3"/>
  <c r="AP154" i="3"/>
  <c r="AP160" i="3"/>
  <c r="AP166" i="3"/>
  <c r="AP156" i="3"/>
  <c r="AP168" i="3"/>
  <c r="AP157" i="3"/>
  <c r="AP163" i="3"/>
  <c r="AP169" i="3"/>
  <c r="AP74" i="3"/>
  <c r="AP80" i="3"/>
  <c r="AP86" i="3"/>
  <c r="AP98" i="3"/>
  <c r="AP104" i="3"/>
  <c r="AP110" i="3"/>
  <c r="AP116" i="3"/>
  <c r="AP122" i="3"/>
  <c r="AP128" i="3"/>
  <c r="AP134" i="3"/>
  <c r="AP140" i="3"/>
  <c r="AP146" i="3"/>
  <c r="AP152" i="3"/>
  <c r="AP158" i="3"/>
  <c r="AP164" i="3"/>
  <c r="AI87" i="3"/>
  <c r="AI135" i="3"/>
  <c r="AI69" i="3"/>
  <c r="AI111" i="3"/>
  <c r="AI167" i="3"/>
  <c r="AI165" i="3"/>
  <c r="AI149" i="3"/>
  <c r="AI64" i="3"/>
  <c r="AI147" i="3"/>
  <c r="AI159" i="3"/>
  <c r="AI143" i="3"/>
  <c r="AI123" i="3"/>
  <c r="AI63" i="3"/>
  <c r="AI155" i="3"/>
  <c r="AI141" i="3"/>
  <c r="AI117" i="3"/>
  <c r="AI131" i="3"/>
  <c r="AI105" i="3"/>
  <c r="AI81" i="3"/>
  <c r="AI161" i="3"/>
  <c r="AI129" i="3"/>
  <c r="AI99" i="3"/>
  <c r="AI75" i="3"/>
  <c r="AI170" i="3"/>
  <c r="AI164" i="3"/>
  <c r="AI158" i="3"/>
  <c r="AI152" i="3"/>
  <c r="AI146" i="3"/>
  <c r="AI140" i="3"/>
  <c r="AI134" i="3"/>
  <c r="AI128" i="3"/>
  <c r="AI122" i="3"/>
  <c r="AI116" i="3"/>
  <c r="AI110" i="3"/>
  <c r="AI104" i="3"/>
  <c r="AI98" i="3"/>
  <c r="AI86" i="3"/>
  <c r="AI80" i="3"/>
  <c r="AI74" i="3"/>
  <c r="AI68" i="3"/>
  <c r="AI169" i="3"/>
  <c r="AI163" i="3"/>
  <c r="AI157" i="3"/>
  <c r="AI151" i="3"/>
  <c r="AI145" i="3"/>
  <c r="AI139" i="3"/>
  <c r="AI133" i="3"/>
  <c r="AI127" i="3"/>
  <c r="AI121" i="3"/>
  <c r="AI115" i="3"/>
  <c r="AI109" i="3"/>
  <c r="AI103" i="3"/>
  <c r="AI97" i="3"/>
  <c r="AI91" i="3"/>
  <c r="AI85" i="3"/>
  <c r="AI79" i="3"/>
  <c r="AI73" i="3"/>
  <c r="AI67" i="3"/>
  <c r="AI168" i="3"/>
  <c r="AI156" i="3"/>
  <c r="AI150" i="3"/>
  <c r="AI138" i="3"/>
  <c r="AI132" i="3"/>
  <c r="AI126" i="3"/>
  <c r="AI120" i="3"/>
  <c r="AI114" i="3"/>
  <c r="AI108" i="3"/>
  <c r="AI102" i="3"/>
  <c r="AI96" i="3"/>
  <c r="AI90" i="3"/>
  <c r="AI84" i="3"/>
  <c r="AI78" i="3"/>
  <c r="AI72" i="3"/>
  <c r="AI66" i="3"/>
  <c r="AI125" i="3"/>
  <c r="AI119" i="3"/>
  <c r="AI113" i="3"/>
  <c r="AI107" i="3"/>
  <c r="AI101" i="3"/>
  <c r="AI95" i="3"/>
  <c r="AI89" i="3"/>
  <c r="AI83" i="3"/>
  <c r="AI77" i="3"/>
  <c r="AI71" i="3"/>
  <c r="AI65" i="3"/>
  <c r="AI166" i="3"/>
  <c r="AI160" i="3"/>
  <c r="AI154" i="3"/>
  <c r="AI148" i="3"/>
  <c r="AI142" i="3"/>
  <c r="AI136" i="3"/>
  <c r="AI130" i="3"/>
  <c r="AI124" i="3"/>
  <c r="AI118" i="3"/>
  <c r="AI106" i="3"/>
  <c r="AI100" i="3"/>
  <c r="AI88" i="3"/>
  <c r="AI82" i="3"/>
  <c r="AI76" i="3"/>
  <c r="AI70" i="3"/>
  <c r="AC30" i="3"/>
  <c r="AC29" i="3"/>
  <c r="R103" i="4"/>
  <c r="AC28" i="3"/>
  <c r="R102" i="4"/>
  <c r="AC27" i="3"/>
  <c r="R101" i="4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V30" i="3"/>
  <c r="V29" i="3"/>
  <c r="V28" i="3"/>
  <c r="V27" i="3"/>
  <c r="R75" i="4"/>
  <c r="V26" i="3"/>
  <c r="R74" i="4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O30" i="3"/>
  <c r="O29" i="3"/>
  <c r="R51" i="4"/>
  <c r="O28" i="3"/>
  <c r="R50" i="4"/>
  <c r="O27" i="3"/>
  <c r="R49" i="4"/>
  <c r="O26" i="3"/>
  <c r="R48" i="4"/>
  <c r="O25" i="3"/>
  <c r="O24" i="3"/>
  <c r="O23" i="3"/>
  <c r="O22" i="3"/>
  <c r="O21" i="3"/>
  <c r="R43" i="4"/>
  <c r="O20" i="3"/>
  <c r="O19" i="3"/>
  <c r="O18" i="3"/>
  <c r="O17" i="3"/>
  <c r="O16" i="3"/>
  <c r="O15" i="3"/>
  <c r="O14" i="3"/>
  <c r="O13" i="3"/>
  <c r="O12" i="3"/>
  <c r="O11" i="3"/>
  <c r="O10" i="3"/>
  <c r="H11" i="3"/>
  <c r="H12" i="3"/>
  <c r="H13" i="3"/>
  <c r="H14" i="3"/>
  <c r="H15" i="3"/>
  <c r="H16" i="3"/>
  <c r="H17" i="3"/>
  <c r="H18" i="3"/>
  <c r="H19" i="3"/>
  <c r="H20" i="3"/>
  <c r="H21" i="3"/>
  <c r="R17" i="4"/>
  <c r="H22" i="3"/>
  <c r="H23" i="3"/>
  <c r="H24" i="3"/>
  <c r="H25" i="3"/>
  <c r="H26" i="3"/>
  <c r="H27" i="3"/>
  <c r="H28" i="3"/>
  <c r="H29" i="3"/>
  <c r="H30" i="3"/>
  <c r="H10" i="3"/>
  <c r="BK60" i="3"/>
  <c r="AP60" i="3"/>
  <c r="AI60" i="3"/>
  <c r="BD60" i="3"/>
  <c r="AW60" i="3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4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3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4" i="2"/>
  <c r="BI4" i="6"/>
  <c r="BG4" i="6"/>
  <c r="BE4" i="6"/>
  <c r="BH4" i="6"/>
  <c r="BF4" i="6"/>
  <c r="BH46" i="4"/>
  <c r="BH42" i="4"/>
  <c r="BH45" i="4"/>
  <c r="BH41" i="4"/>
  <c r="BH37" i="4"/>
  <c r="AR60" i="4"/>
  <c r="DH18" i="6"/>
  <c r="DH13" i="6"/>
  <c r="DH11" i="6"/>
  <c r="DH119" i="6"/>
  <c r="DH173" i="6"/>
  <c r="DI12" i="6"/>
  <c r="DI66" i="6"/>
  <c r="DG121" i="6"/>
  <c r="DI62" i="6"/>
  <c r="DG176" i="6"/>
  <c r="DI9" i="6"/>
  <c r="DG177" i="6"/>
  <c r="DI10" i="6"/>
  <c r="DG11" i="6"/>
  <c r="DG119" i="6"/>
  <c r="DG173" i="6"/>
  <c r="DH12" i="6"/>
  <c r="DI24" i="6"/>
  <c r="DH66" i="6"/>
  <c r="DH62" i="6"/>
  <c r="DH9" i="6"/>
  <c r="DH10" i="6"/>
  <c r="DG12" i="6"/>
  <c r="DH24" i="6"/>
  <c r="DG66" i="6"/>
  <c r="DG62" i="6"/>
  <c r="DG134" i="6"/>
  <c r="DG9" i="6"/>
  <c r="DI183" i="6"/>
  <c r="DG10" i="6"/>
  <c r="DI6" i="6"/>
  <c r="DJ12" i="6"/>
  <c r="DG24" i="6"/>
  <c r="DJ24" i="6" s="1"/>
  <c r="DJ66" i="6"/>
  <c r="DJ62" i="6"/>
  <c r="DJ9" i="6"/>
  <c r="DH6" i="6"/>
  <c r="DI18" i="6"/>
  <c r="DI13" i="6"/>
  <c r="DI121" i="6"/>
  <c r="DI176" i="6"/>
  <c r="DI177" i="6"/>
  <c r="DG183" i="6"/>
  <c r="DH121" i="6"/>
  <c r="DJ121" i="6" s="1"/>
  <c r="DH183" i="6"/>
  <c r="DG13" i="6"/>
  <c r="DJ13" i="6" s="1"/>
  <c r="DJ183" i="6"/>
  <c r="DI173" i="6"/>
  <c r="DJ173" i="6" s="1"/>
  <c r="DH176" i="6"/>
  <c r="DJ176" i="6" s="1"/>
  <c r="DJ10" i="6"/>
  <c r="DI119" i="6"/>
  <c r="DJ119" i="6" s="1"/>
  <c r="DG6" i="6"/>
  <c r="DJ6" i="6" s="1"/>
  <c r="DI11" i="6"/>
  <c r="DJ11" i="6" s="1"/>
  <c r="DG18" i="6"/>
  <c r="DJ18" i="6" s="1"/>
  <c r="DH177" i="6"/>
  <c r="DJ177" i="6" s="1"/>
  <c r="BQ18" i="4"/>
  <c r="BQ14" i="4"/>
  <c r="BQ19" i="4"/>
  <c r="BQ8" i="4"/>
  <c r="BQ27" i="4"/>
  <c r="BQ10" i="4"/>
  <c r="BQ11" i="4"/>
  <c r="BQ34" i="4"/>
  <c r="AC41" i="4"/>
  <c r="AC10" i="4"/>
  <c r="AC16" i="4"/>
  <c r="AC22" i="4"/>
  <c r="AW38" i="4"/>
  <c r="AW74" i="4"/>
  <c r="AW16" i="4"/>
  <c r="AW82" i="4"/>
  <c r="AW53" i="4"/>
  <c r="AW18" i="4"/>
  <c r="AW96" i="4"/>
  <c r="AW67" i="4"/>
  <c r="AW21" i="4"/>
  <c r="AW57" i="4"/>
  <c r="AW93" i="4"/>
  <c r="AW52" i="4"/>
  <c r="AW23" i="4"/>
  <c r="AW95" i="4"/>
  <c r="AW54" i="4"/>
  <c r="AW19" i="4"/>
  <c r="AW85" i="4"/>
  <c r="BQ24" i="4"/>
  <c r="BQ26" i="4"/>
  <c r="BQ25" i="4"/>
  <c r="BQ20" i="4"/>
  <c r="BQ39" i="4"/>
  <c r="BQ16" i="4"/>
  <c r="BQ23" i="4"/>
  <c r="BQ33" i="4"/>
  <c r="AC23" i="4"/>
  <c r="AC26" i="4"/>
  <c r="AC47" i="4"/>
  <c r="AC40" i="4"/>
  <c r="AC11" i="4"/>
  <c r="AC17" i="4"/>
  <c r="AW8" i="4"/>
  <c r="AW44" i="4"/>
  <c r="AW80" i="4"/>
  <c r="AW22" i="4"/>
  <c r="AW94" i="4"/>
  <c r="AW65" i="4"/>
  <c r="AW30" i="4"/>
  <c r="AW108" i="4"/>
  <c r="AW79" i="4"/>
  <c r="AW27" i="4"/>
  <c r="AW63" i="4"/>
  <c r="AW99" i="4"/>
  <c r="AW64" i="4"/>
  <c r="AW35" i="4"/>
  <c r="AW107" i="4"/>
  <c r="AW66" i="4"/>
  <c r="AW25" i="4"/>
  <c r="AW97" i="4"/>
  <c r="BQ30" i="4"/>
  <c r="BQ38" i="4"/>
  <c r="BQ31" i="4"/>
  <c r="BQ44" i="4"/>
  <c r="BQ45" i="4"/>
  <c r="BQ22" i="4"/>
  <c r="BQ35" i="4"/>
  <c r="AC44" i="4"/>
  <c r="AC46" i="4"/>
  <c r="AC39" i="4"/>
  <c r="AC12" i="4"/>
  <c r="AC18" i="4"/>
  <c r="AW14" i="4"/>
  <c r="AW50" i="4"/>
  <c r="AW86" i="4"/>
  <c r="AW34" i="4"/>
  <c r="AW106" i="4"/>
  <c r="AW77" i="4"/>
  <c r="AW42" i="4"/>
  <c r="AW13" i="4"/>
  <c r="AW91" i="4"/>
  <c r="AW33" i="4"/>
  <c r="AW69" i="4"/>
  <c r="AW105" i="4"/>
  <c r="AW76" i="4"/>
  <c r="AW47" i="4"/>
  <c r="AW12" i="4"/>
  <c r="AW78" i="4"/>
  <c r="AW37" i="4"/>
  <c r="AW109" i="4"/>
  <c r="BQ6" i="4"/>
  <c r="BQ42" i="4"/>
  <c r="BQ7" i="4"/>
  <c r="BQ43" i="4"/>
  <c r="BQ15" i="4"/>
  <c r="BQ29" i="4"/>
  <c r="BQ40" i="4"/>
  <c r="BQ5" i="4"/>
  <c r="AC72" i="4"/>
  <c r="AC43" i="4"/>
  <c r="AC8" i="4"/>
  <c r="AC14" i="4"/>
  <c r="AC20" i="4"/>
  <c r="AW26" i="4"/>
  <c r="AW62" i="4"/>
  <c r="AW98" i="4"/>
  <c r="AW58" i="4"/>
  <c r="AW29" i="4"/>
  <c r="AW101" i="4"/>
  <c r="AW72" i="4"/>
  <c r="AW43" i="4"/>
  <c r="AW9" i="4"/>
  <c r="AW45" i="4"/>
  <c r="AW81" i="4"/>
  <c r="AW28" i="4"/>
  <c r="AW100" i="4"/>
  <c r="AW71" i="4"/>
  <c r="AW36" i="4"/>
  <c r="AW102" i="4"/>
  <c r="AW61" i="4"/>
  <c r="BQ12" i="4"/>
  <c r="BQ48" i="4"/>
  <c r="BQ13" i="4"/>
  <c r="BQ49" i="4"/>
  <c r="BQ21" i="4"/>
  <c r="BQ41" i="4"/>
  <c r="BQ46" i="4"/>
  <c r="BQ32" i="4"/>
  <c r="AC7" i="4"/>
  <c r="AC25" i="4"/>
  <c r="AC71" i="4"/>
  <c r="AC42" i="4"/>
  <c r="AC9" i="4"/>
  <c r="AC15" i="4"/>
  <c r="AC21" i="4"/>
  <c r="AW32" i="4"/>
  <c r="AW68" i="4"/>
  <c r="AW104" i="4"/>
  <c r="AW70" i="4"/>
  <c r="AW41" i="4"/>
  <c r="AW6" i="4"/>
  <c r="AW84" i="4"/>
  <c r="AW55" i="4"/>
  <c r="AW15" i="4"/>
  <c r="AW51" i="4"/>
  <c r="AW87" i="4"/>
  <c r="AW40" i="4"/>
  <c r="AW11" i="4"/>
  <c r="AW83" i="4"/>
  <c r="AW48" i="4"/>
  <c r="AW7" i="4"/>
  <c r="AW73" i="4"/>
  <c r="BQ37" i="4"/>
  <c r="AC13" i="4"/>
  <c r="AW89" i="4"/>
  <c r="AW10" i="4"/>
  <c r="AW5" i="4"/>
  <c r="AC75" i="4"/>
  <c r="AC103" i="4"/>
  <c r="BQ9" i="4"/>
  <c r="AC24" i="4"/>
  <c r="AC19" i="4"/>
  <c r="AW20" i="4"/>
  <c r="AW60" i="4"/>
  <c r="AW88" i="4"/>
  <c r="AC74" i="4"/>
  <c r="AC102" i="4"/>
  <c r="BQ17" i="4"/>
  <c r="AC73" i="4"/>
  <c r="AW56" i="4"/>
  <c r="AW31" i="4"/>
  <c r="AW59" i="4"/>
  <c r="BQ28" i="4"/>
  <c r="AW92" i="4"/>
  <c r="AW103" i="4"/>
  <c r="AW24" i="4"/>
  <c r="BQ36" i="4"/>
  <c r="BQ47" i="4"/>
  <c r="AC45" i="4"/>
  <c r="AW46" i="4"/>
  <c r="AW39" i="4"/>
  <c r="AW90" i="4"/>
  <c r="BQ50" i="4"/>
  <c r="AW49" i="4"/>
  <c r="AC77" i="4"/>
  <c r="AC101" i="4"/>
  <c r="AC52" i="4"/>
  <c r="AC48" i="4"/>
  <c r="AC51" i="4"/>
  <c r="AW17" i="4"/>
  <c r="AC50" i="4"/>
  <c r="AC49" i="4"/>
  <c r="AW75" i="4"/>
  <c r="AC78" i="4"/>
  <c r="AC104" i="4"/>
  <c r="AC76" i="4"/>
  <c r="AY62" i="4" l="1"/>
  <c r="AY67" i="4"/>
  <c r="AY10" i="4"/>
  <c r="AY36" i="4"/>
  <c r="AY108" i="4"/>
  <c r="AY23" i="4"/>
  <c r="AY95" i="4"/>
  <c r="AY80" i="4"/>
  <c r="AY85" i="4"/>
  <c r="AY38" i="4"/>
  <c r="AY49" i="4"/>
  <c r="AY71" i="4"/>
  <c r="AR109" i="4"/>
  <c r="AR102" i="4"/>
  <c r="AS102" i="4" s="1"/>
  <c r="AR92" i="4"/>
  <c r="AR91" i="4"/>
  <c r="AR85" i="4"/>
  <c r="AR83" i="4"/>
  <c r="AS83" i="4" s="1"/>
  <c r="AR81" i="4"/>
  <c r="AR59" i="4"/>
  <c r="AR6" i="4"/>
  <c r="AY48" i="4"/>
  <c r="AY14" i="4"/>
  <c r="AR5" i="4"/>
  <c r="AR108" i="4"/>
  <c r="AR107" i="4"/>
  <c r="AR106" i="4"/>
  <c r="AR105" i="4"/>
  <c r="AR104" i="4"/>
  <c r="AR103" i="4"/>
  <c r="AS103" i="4" s="1"/>
  <c r="AR100" i="4"/>
  <c r="AS101" i="4" s="1"/>
  <c r="AR99" i="4"/>
  <c r="AR98" i="4"/>
  <c r="AR97" i="4"/>
  <c r="AR96" i="4"/>
  <c r="AS96" i="4" s="1"/>
  <c r="AR95" i="4"/>
  <c r="AR94" i="4"/>
  <c r="AR93" i="4"/>
  <c r="AR90" i="4"/>
  <c r="AR89" i="4"/>
  <c r="AR88" i="4"/>
  <c r="AS88" i="4" s="1"/>
  <c r="AR87" i="4"/>
  <c r="AR86" i="4"/>
  <c r="AR84" i="4"/>
  <c r="AR82" i="4"/>
  <c r="AR80" i="4"/>
  <c r="AR79" i="4"/>
  <c r="AR78" i="4"/>
  <c r="AR77" i="4"/>
  <c r="AR76" i="4"/>
  <c r="AR75" i="4"/>
  <c r="AR74" i="4"/>
  <c r="AR73" i="4"/>
  <c r="AR72" i="4"/>
  <c r="AR71" i="4"/>
  <c r="AR70" i="4"/>
  <c r="AR69" i="4"/>
  <c r="AR68" i="4"/>
  <c r="AR67" i="4"/>
  <c r="AR66" i="4"/>
  <c r="AY106" i="4"/>
  <c r="AY8" i="4"/>
  <c r="AY28" i="4"/>
  <c r="AY92" i="4"/>
  <c r="AS7" i="4"/>
  <c r="AY27" i="4"/>
  <c r="AY32" i="4"/>
  <c r="AY65" i="4"/>
  <c r="AY50" i="4"/>
  <c r="AY30" i="4"/>
  <c r="BI42" i="4"/>
  <c r="BI48" i="4"/>
  <c r="BI50" i="4"/>
  <c r="BI37" i="4"/>
  <c r="BI41" i="4"/>
  <c r="BI45" i="4"/>
  <c r="BI33" i="4"/>
  <c r="BI49" i="4"/>
  <c r="BI36" i="4"/>
  <c r="BI46" i="4"/>
  <c r="BI24" i="4"/>
  <c r="BI31" i="4"/>
  <c r="BI40" i="4"/>
  <c r="BI34" i="4"/>
  <c r="BI23" i="4"/>
  <c r="BI39" i="4"/>
  <c r="BI44" i="4"/>
  <c r="BI38" i="4"/>
  <c r="BI11" i="4"/>
  <c r="BI29" i="4"/>
  <c r="BI15" i="4"/>
  <c r="BI7" i="4"/>
  <c r="BI18" i="4"/>
  <c r="BI25" i="4"/>
  <c r="BI43" i="4"/>
  <c r="BI5" i="4"/>
  <c r="BI26" i="4"/>
  <c r="BI13" i="4"/>
  <c r="BI6" i="4"/>
  <c r="BI20" i="4"/>
  <c r="BI28" i="4"/>
  <c r="BI21" i="4"/>
  <c r="BI12" i="4"/>
  <c r="BI27" i="4"/>
  <c r="BI19" i="4"/>
  <c r="BI9" i="4"/>
  <c r="BI14" i="4"/>
  <c r="BI30" i="4"/>
  <c r="BI47" i="4"/>
  <c r="BI35" i="4"/>
  <c r="BI17" i="4"/>
  <c r="BI8" i="4"/>
  <c r="BI16" i="4"/>
  <c r="AS98" i="4"/>
  <c r="AY88" i="4"/>
  <c r="AY76" i="4"/>
  <c r="AY87" i="4"/>
  <c r="AY9" i="4"/>
  <c r="AY89" i="4"/>
  <c r="AY11" i="4"/>
  <c r="AY94" i="4"/>
  <c r="AY6" i="4"/>
  <c r="AY66" i="4"/>
  <c r="AY17" i="4"/>
  <c r="AX17" i="4" s="1"/>
  <c r="AS81" i="4"/>
  <c r="AY56" i="4"/>
  <c r="AY43" i="4"/>
  <c r="AY63" i="4"/>
  <c r="AY35" i="4"/>
  <c r="AY86" i="4"/>
  <c r="AY91" i="4"/>
  <c r="AY26" i="4"/>
  <c r="AY58" i="4"/>
  <c r="AY109" i="4"/>
  <c r="AY37" i="4"/>
  <c r="AY84" i="4"/>
  <c r="AY70" i="4"/>
  <c r="AY105" i="4"/>
  <c r="AY68" i="4"/>
  <c r="AY75" i="4"/>
  <c r="AY40" i="4"/>
  <c r="AY99" i="4"/>
  <c r="AY74" i="4"/>
  <c r="AY101" i="4"/>
  <c r="AY39" i="4"/>
  <c r="AY103" i="4"/>
  <c r="AY45" i="4"/>
  <c r="AY47" i="4"/>
  <c r="AY81" i="4"/>
  <c r="AY16" i="4"/>
  <c r="AX16" i="4" s="1"/>
  <c r="AY60" i="4"/>
  <c r="AY33" i="4"/>
  <c r="AY100" i="4"/>
  <c r="AY53" i="4"/>
  <c r="AY5" i="4"/>
  <c r="AY55" i="4"/>
  <c r="AY72" i="4"/>
  <c r="AY57" i="4"/>
  <c r="AY34" i="4"/>
  <c r="AY90" i="4"/>
  <c r="AY42" i="4"/>
  <c r="AS91" i="4"/>
  <c r="AS109" i="4"/>
  <c r="AS99" i="4"/>
  <c r="AS93" i="4"/>
  <c r="AS89" i="4"/>
  <c r="AS87" i="4"/>
  <c r="AS79" i="4"/>
  <c r="AJ12" i="4"/>
  <c r="AY29" i="4"/>
  <c r="AY25" i="4"/>
  <c r="AY69" i="4"/>
  <c r="AY78" i="4"/>
  <c r="AY54" i="4"/>
  <c r="AY15" i="4"/>
  <c r="AY104" i="4"/>
  <c r="AY107" i="4"/>
  <c r="AY83" i="4"/>
  <c r="AY61" i="4"/>
  <c r="AY21" i="4"/>
  <c r="AY19" i="4"/>
  <c r="AX19" i="4" s="1"/>
  <c r="AY73" i="4"/>
  <c r="AY31" i="4"/>
  <c r="AY64" i="4"/>
  <c r="AY52" i="4"/>
  <c r="AY12" i="4"/>
  <c r="AY24" i="4"/>
  <c r="AY59" i="4"/>
  <c r="AY18" i="4"/>
  <c r="AX18" i="4" s="1"/>
  <c r="AY93" i="4"/>
  <c r="AS86" i="4"/>
  <c r="AY51" i="4"/>
  <c r="AY97" i="4"/>
  <c r="AY7" i="4"/>
  <c r="AY98" i="4"/>
  <c r="AY77" i="4"/>
  <c r="AY96" i="4"/>
  <c r="AY79" i="4"/>
  <c r="AY22" i="4"/>
  <c r="AY102" i="4"/>
  <c r="AY20" i="4"/>
  <c r="AX20" i="4" s="1"/>
  <c r="AY44" i="4"/>
  <c r="AY46" i="4"/>
  <c r="AY82" i="4"/>
  <c r="AY41" i="4"/>
  <c r="AS82" i="4"/>
  <c r="AY13" i="4"/>
  <c r="AR65" i="4"/>
  <c r="AR64" i="4"/>
  <c r="AS64" i="4" s="1"/>
  <c r="AR63" i="4"/>
  <c r="AR62" i="4"/>
  <c r="AR61" i="4"/>
  <c r="AS61" i="4" s="1"/>
  <c r="AR58" i="4"/>
  <c r="AS58" i="4" s="1"/>
  <c r="AR57" i="4"/>
  <c r="AR56" i="4"/>
  <c r="AS56" i="4" s="1"/>
  <c r="AR55" i="4"/>
  <c r="AR54" i="4"/>
  <c r="AS54" i="4" s="1"/>
  <c r="AR53" i="4"/>
  <c r="AR52" i="4"/>
  <c r="AS52" i="4" s="1"/>
  <c r="AR51" i="4"/>
  <c r="AR50" i="4"/>
  <c r="AS50" i="4" s="1"/>
  <c r="AR49" i="4"/>
  <c r="AR48" i="4"/>
  <c r="AR47" i="4"/>
  <c r="AR46" i="4"/>
  <c r="AS46" i="4" s="1"/>
  <c r="AR45" i="4"/>
  <c r="AR44" i="4"/>
  <c r="AS44" i="4" s="1"/>
  <c r="AR43" i="4"/>
  <c r="AR42" i="4"/>
  <c r="AR39" i="4"/>
  <c r="AR38" i="4"/>
  <c r="AS38" i="4" s="1"/>
  <c r="AR37" i="4"/>
  <c r="AR36" i="4"/>
  <c r="AS36" i="4" s="1"/>
  <c r="AR35" i="4"/>
  <c r="AR34" i="4"/>
  <c r="AS35" i="4" s="1"/>
  <c r="AR33" i="4"/>
  <c r="AR32" i="4"/>
  <c r="AS32" i="4" s="1"/>
  <c r="AR31" i="4"/>
  <c r="AR30" i="4"/>
  <c r="AS30" i="4" s="1"/>
  <c r="AR29" i="4"/>
  <c r="AR28" i="4"/>
  <c r="AR27" i="4"/>
  <c r="AR26" i="4"/>
  <c r="AS26" i="4" s="1"/>
  <c r="AR25" i="4"/>
  <c r="AR24" i="4"/>
  <c r="AS24" i="4" s="1"/>
  <c r="AR23" i="4"/>
  <c r="AR22" i="4"/>
  <c r="AR21" i="4"/>
  <c r="AR20" i="4"/>
  <c r="AS20" i="4" s="1"/>
  <c r="AR19" i="4"/>
  <c r="AR18" i="4"/>
  <c r="AS18" i="4" s="1"/>
  <c r="AR17" i="4"/>
  <c r="AR16" i="4"/>
  <c r="AR15" i="4"/>
  <c r="AR14" i="4"/>
  <c r="AS14" i="4" s="1"/>
  <c r="AR13" i="4"/>
  <c r="AS13" i="4" s="1"/>
  <c r="AR11" i="4"/>
  <c r="AS11" i="4" s="1"/>
  <c r="AR9" i="4"/>
  <c r="AR8" i="4"/>
  <c r="AS8" i="4" s="1"/>
  <c r="AS67" i="4"/>
  <c r="AS66" i="4"/>
  <c r="AS10" i="4"/>
  <c r="AS97" i="4"/>
  <c r="AS41" i="4"/>
  <c r="AS78" i="4"/>
  <c r="AS73" i="4"/>
  <c r="AS85" i="4"/>
  <c r="AS60" i="4"/>
  <c r="AS42" i="4"/>
  <c r="AS104" i="4"/>
  <c r="DF155" i="6"/>
  <c r="DF168" i="6"/>
  <c r="DF137" i="6"/>
  <c r="DF149" i="6"/>
  <c r="DF138" i="6"/>
  <c r="DF123" i="6"/>
  <c r="DF90" i="6"/>
  <c r="DF169" i="6"/>
  <c r="DF118" i="6"/>
  <c r="DF109" i="6"/>
  <c r="DF95" i="6"/>
  <c r="DF86" i="6"/>
  <c r="DF23" i="6"/>
  <c r="DF54" i="6"/>
  <c r="DF61" i="6"/>
  <c r="DF45" i="6"/>
  <c r="DF21" i="6"/>
  <c r="DG179" i="6"/>
  <c r="DG149" i="6"/>
  <c r="DG163" i="6"/>
  <c r="DG182" i="6"/>
  <c r="DG166" i="6"/>
  <c r="DG161" i="6"/>
  <c r="DG153" i="6"/>
  <c r="DG132" i="6"/>
  <c r="DG127" i="6"/>
  <c r="DG122" i="6"/>
  <c r="DG169" i="6"/>
  <c r="DG172" i="6"/>
  <c r="DG167" i="6"/>
  <c r="DG162" i="6"/>
  <c r="DG150" i="6"/>
  <c r="DG131" i="6"/>
  <c r="DG113" i="6"/>
  <c r="DG178" i="6"/>
  <c r="DG170" i="6"/>
  <c r="DG157" i="6"/>
  <c r="DG140" i="6"/>
  <c r="DG137" i="6"/>
  <c r="DG111" i="6"/>
  <c r="DG86" i="6"/>
  <c r="DG147" i="6"/>
  <c r="DG142" i="6"/>
  <c r="DG128" i="6"/>
  <c r="DG123" i="6"/>
  <c r="DG133" i="6"/>
  <c r="DG99" i="6"/>
  <c r="DG126" i="6"/>
  <c r="DG107" i="6"/>
  <c r="DG91" i="6"/>
  <c r="DG70" i="6"/>
  <c r="DG59" i="6"/>
  <c r="DG29" i="6"/>
  <c r="DG5" i="6"/>
  <c r="DG112" i="6"/>
  <c r="DG90" i="6"/>
  <c r="DG87" i="6"/>
  <c r="DG50" i="6"/>
  <c r="DG85" i="6"/>
  <c r="DG75" i="6"/>
  <c r="DG73" i="6"/>
  <c r="DG71" i="6"/>
  <c r="DG38" i="6"/>
  <c r="DG31" i="6"/>
  <c r="DG14" i="6"/>
  <c r="DG129" i="6"/>
  <c r="DG106" i="6"/>
  <c r="DG103" i="6"/>
  <c r="DG98" i="6"/>
  <c r="DG92" i="6"/>
  <c r="DG88" i="6"/>
  <c r="DG33" i="6"/>
  <c r="DG27" i="6"/>
  <c r="DG175" i="6"/>
  <c r="DG67" i="6"/>
  <c r="DG16" i="6"/>
  <c r="DG105" i="6"/>
  <c r="DG101" i="6"/>
  <c r="DG89" i="6"/>
  <c r="DG79" i="6"/>
  <c r="DG69" i="6"/>
  <c r="DG94" i="6"/>
  <c r="DG8" i="6"/>
  <c r="DG58" i="6"/>
  <c r="DG55" i="6"/>
  <c r="DG52" i="6"/>
  <c r="DG30" i="6"/>
  <c r="DI81" i="6"/>
  <c r="DI53" i="6"/>
  <c r="DI45" i="6"/>
  <c r="DI64" i="6"/>
  <c r="DI60" i="6"/>
  <c r="DH164" i="6"/>
  <c r="DG65" i="6"/>
  <c r="DG49" i="6"/>
  <c r="DG41" i="6"/>
  <c r="DG25" i="6"/>
  <c r="DG44" i="6"/>
  <c r="DH37" i="6"/>
  <c r="DI151" i="6"/>
  <c r="DI158" i="6"/>
  <c r="DI152" i="6"/>
  <c r="DI4" i="6"/>
  <c r="DI155" i="6"/>
  <c r="DI148" i="6"/>
  <c r="DI171" i="6"/>
  <c r="DI165" i="6"/>
  <c r="DI143" i="6"/>
  <c r="DI180" i="6"/>
  <c r="DI168" i="6"/>
  <c r="DI156" i="6"/>
  <c r="DI146" i="6"/>
  <c r="DI130" i="6"/>
  <c r="DI118" i="6"/>
  <c r="DI145" i="6"/>
  <c r="DI141" i="6"/>
  <c r="DI139" i="6"/>
  <c r="DI136" i="6"/>
  <c r="DI120" i="6"/>
  <c r="DI109" i="6"/>
  <c r="DI138" i="6"/>
  <c r="DI135" i="6"/>
  <c r="DI114" i="6"/>
  <c r="DI108" i="6"/>
  <c r="DI181" i="6"/>
  <c r="DI160" i="6"/>
  <c r="DI115" i="6"/>
  <c r="DI100" i="6"/>
  <c r="DI93" i="6"/>
  <c r="DI83" i="6"/>
  <c r="DI77" i="6"/>
  <c r="DI72" i="6"/>
  <c r="DI63" i="6"/>
  <c r="DI23" i="6"/>
  <c r="DI15" i="6"/>
  <c r="DI84" i="6"/>
  <c r="DI68" i="6"/>
  <c r="DI56" i="6"/>
  <c r="DI20" i="6"/>
  <c r="DI97" i="6"/>
  <c r="DI95" i="6"/>
  <c r="DI78" i="6"/>
  <c r="DI26" i="6"/>
  <c r="DI124" i="6"/>
  <c r="DI102" i="6"/>
  <c r="DI96" i="6"/>
  <c r="DI82" i="6"/>
  <c r="DI174" i="6"/>
  <c r="DI19" i="6"/>
  <c r="DI159" i="6"/>
  <c r="DI116" i="6"/>
  <c r="DI47" i="6"/>
  <c r="DI104" i="6"/>
  <c r="DI125" i="6"/>
  <c r="DI117" i="6"/>
  <c r="DI110" i="6"/>
  <c r="DI80" i="6"/>
  <c r="DI42" i="6"/>
  <c r="DI39" i="6"/>
  <c r="DI35" i="6"/>
  <c r="DI17" i="6"/>
  <c r="DI46" i="6"/>
  <c r="DI32" i="6"/>
  <c r="DI28" i="6"/>
  <c r="DI22" i="6"/>
  <c r="DI154" i="6"/>
  <c r="DH81" i="6"/>
  <c r="DH53" i="6"/>
  <c r="DH45" i="6"/>
  <c r="DH64" i="6"/>
  <c r="DH60" i="6"/>
  <c r="DH40" i="6"/>
  <c r="DI34" i="6"/>
  <c r="DH151" i="6"/>
  <c r="DH158" i="6"/>
  <c r="DH152" i="6"/>
  <c r="DH4" i="6"/>
  <c r="DH155" i="6"/>
  <c r="DH148" i="6"/>
  <c r="DH171" i="6"/>
  <c r="DH165" i="6"/>
  <c r="DH143" i="6"/>
  <c r="DH180" i="6"/>
  <c r="DH168" i="6"/>
  <c r="DH156" i="6"/>
  <c r="DH146" i="6"/>
  <c r="DH130" i="6"/>
  <c r="DH118" i="6"/>
  <c r="DH145" i="6"/>
  <c r="DH141" i="6"/>
  <c r="DH139" i="6"/>
  <c r="DH136" i="6"/>
  <c r="DH120" i="6"/>
  <c r="DH109" i="6"/>
  <c r="DH138" i="6"/>
  <c r="DH135" i="6"/>
  <c r="DH114" i="6"/>
  <c r="DH108" i="6"/>
  <c r="DH181" i="6"/>
  <c r="DH160" i="6"/>
  <c r="DH115" i="6"/>
  <c r="DH100" i="6"/>
  <c r="DH93" i="6"/>
  <c r="DH83" i="6"/>
  <c r="DH77" i="6"/>
  <c r="DH72" i="6"/>
  <c r="DH63" i="6"/>
  <c r="DH23" i="6"/>
  <c r="DH15" i="6"/>
  <c r="DH84" i="6"/>
  <c r="DH68" i="6"/>
  <c r="DH56" i="6"/>
  <c r="DH20" i="6"/>
  <c r="DH97" i="6"/>
  <c r="DH95" i="6"/>
  <c r="DH78" i="6"/>
  <c r="DH26" i="6"/>
  <c r="DH124" i="6"/>
  <c r="DH102" i="6"/>
  <c r="DH96" i="6"/>
  <c r="DH82" i="6"/>
  <c r="DH174" i="6"/>
  <c r="DH19" i="6"/>
  <c r="DH159" i="6"/>
  <c r="DH116" i="6"/>
  <c r="DH47" i="6"/>
  <c r="DH104" i="6"/>
  <c r="DH125" i="6"/>
  <c r="DH117" i="6"/>
  <c r="DH110" i="6"/>
  <c r="DH80" i="6"/>
  <c r="DH42" i="6"/>
  <c r="DH39" i="6"/>
  <c r="DH35" i="6"/>
  <c r="DH17" i="6"/>
  <c r="DH46" i="6"/>
  <c r="DH32" i="6"/>
  <c r="DH28" i="6"/>
  <c r="DH22" i="6"/>
  <c r="DH154" i="6"/>
  <c r="DG81" i="6"/>
  <c r="DG53" i="6"/>
  <c r="DG45" i="6"/>
  <c r="DJ45" i="6" s="1"/>
  <c r="DG64" i="6"/>
  <c r="DG60" i="6"/>
  <c r="DH144" i="6"/>
  <c r="DG151" i="6"/>
  <c r="DG158" i="6"/>
  <c r="DG152" i="6"/>
  <c r="DG4" i="6"/>
  <c r="DG155" i="6"/>
  <c r="DJ155" i="6" s="1"/>
  <c r="DG148" i="6"/>
  <c r="DG171" i="6"/>
  <c r="DG165" i="6"/>
  <c r="DG143" i="6"/>
  <c r="DG180" i="6"/>
  <c r="DG168" i="6"/>
  <c r="DJ168" i="6" s="1"/>
  <c r="DG156" i="6"/>
  <c r="DG146" i="6"/>
  <c r="DG130" i="6"/>
  <c r="DG118" i="6"/>
  <c r="DJ118" i="6" s="1"/>
  <c r="DG145" i="6"/>
  <c r="DG141" i="6"/>
  <c r="DG139" i="6"/>
  <c r="DG136" i="6"/>
  <c r="DG120" i="6"/>
  <c r="DG109" i="6"/>
  <c r="DJ109" i="6" s="1"/>
  <c r="DG138" i="6"/>
  <c r="DJ138" i="6" s="1"/>
  <c r="DG135" i="6"/>
  <c r="DG114" i="6"/>
  <c r="DG108" i="6"/>
  <c r="DG181" i="6"/>
  <c r="DG160" i="6"/>
  <c r="DG115" i="6"/>
  <c r="DG100" i="6"/>
  <c r="DG93" i="6"/>
  <c r="DG83" i="6"/>
  <c r="DG77" i="6"/>
  <c r="DG72" i="6"/>
  <c r="DG63" i="6"/>
  <c r="DG23" i="6"/>
  <c r="DJ23" i="6" s="1"/>
  <c r="DG15" i="6"/>
  <c r="DG84" i="6"/>
  <c r="DG68" i="6"/>
  <c r="DG56" i="6"/>
  <c r="DG20" i="6"/>
  <c r="DG97" i="6"/>
  <c r="DG95" i="6"/>
  <c r="DJ95" i="6" s="1"/>
  <c r="DG78" i="6"/>
  <c r="DG26" i="6"/>
  <c r="DG124" i="6"/>
  <c r="DG102" i="6"/>
  <c r="DG96" i="6"/>
  <c r="DG82" i="6"/>
  <c r="DG174" i="6"/>
  <c r="DG19" i="6"/>
  <c r="DG159" i="6"/>
  <c r="DG116" i="6"/>
  <c r="DG47" i="6"/>
  <c r="DG104" i="6"/>
  <c r="DG125" i="6"/>
  <c r="DG117" i="6"/>
  <c r="DG110" i="6"/>
  <c r="DG80" i="6"/>
  <c r="DG42" i="6"/>
  <c r="DG39" i="6"/>
  <c r="DG35" i="6"/>
  <c r="DG17" i="6"/>
  <c r="DG46" i="6"/>
  <c r="DG32" i="6"/>
  <c r="DG28" i="6"/>
  <c r="DG22" i="6"/>
  <c r="DI76" i="6"/>
  <c r="DI51" i="6"/>
  <c r="DI36" i="6"/>
  <c r="DI21" i="6"/>
  <c r="DI7" i="6"/>
  <c r="DI54" i="6"/>
  <c r="DG164" i="6"/>
  <c r="DG43" i="6"/>
  <c r="DG37" i="6"/>
  <c r="DI61" i="6"/>
  <c r="DI57" i="6"/>
  <c r="DI48" i="6"/>
  <c r="DH34" i="6"/>
  <c r="DH74" i="6"/>
  <c r="DI37" i="6"/>
  <c r="DH43" i="6"/>
  <c r="DI179" i="6"/>
  <c r="DI149" i="6"/>
  <c r="DI163" i="6"/>
  <c r="DI182" i="6"/>
  <c r="DI166" i="6"/>
  <c r="DI161" i="6"/>
  <c r="DI153" i="6"/>
  <c r="DI132" i="6"/>
  <c r="DI127" i="6"/>
  <c r="DI122" i="6"/>
  <c r="DI169" i="6"/>
  <c r="DI172" i="6"/>
  <c r="DI167" i="6"/>
  <c r="DI162" i="6"/>
  <c r="DI150" i="6"/>
  <c r="DI131" i="6"/>
  <c r="DI113" i="6"/>
  <c r="DI178" i="6"/>
  <c r="DI170" i="6"/>
  <c r="DI157" i="6"/>
  <c r="DI140" i="6"/>
  <c r="DI137" i="6"/>
  <c r="DI111" i="6"/>
  <c r="DI86" i="6"/>
  <c r="DI147" i="6"/>
  <c r="DI142" i="6"/>
  <c r="DI128" i="6"/>
  <c r="DI123" i="6"/>
  <c r="DI133" i="6"/>
  <c r="DI99" i="6"/>
  <c r="DI126" i="6"/>
  <c r="DI107" i="6"/>
  <c r="DI91" i="6"/>
  <c r="DI70" i="6"/>
  <c r="DI59" i="6"/>
  <c r="DI29" i="6"/>
  <c r="DI5" i="6"/>
  <c r="DI112" i="6"/>
  <c r="DI90" i="6"/>
  <c r="DI87" i="6"/>
  <c r="DI50" i="6"/>
  <c r="DI85" i="6"/>
  <c r="DI75" i="6"/>
  <c r="DI73" i="6"/>
  <c r="DI71" i="6"/>
  <c r="DI38" i="6"/>
  <c r="DI31" i="6"/>
  <c r="DI14" i="6"/>
  <c r="DI129" i="6"/>
  <c r="DI106" i="6"/>
  <c r="DI103" i="6"/>
  <c r="DI98" i="6"/>
  <c r="DI92" i="6"/>
  <c r="DI88" i="6"/>
  <c r="DI33" i="6"/>
  <c r="DI27" i="6"/>
  <c r="DI175" i="6"/>
  <c r="DI67" i="6"/>
  <c r="DI16" i="6"/>
  <c r="DI105" i="6"/>
  <c r="DI101" i="6"/>
  <c r="DI89" i="6"/>
  <c r="DI79" i="6"/>
  <c r="DI69" i="6"/>
  <c r="DI94" i="6"/>
  <c r="DI8" i="6"/>
  <c r="DI58" i="6"/>
  <c r="DI55" i="6"/>
  <c r="DI52" i="6"/>
  <c r="DI30" i="6"/>
  <c r="DH76" i="6"/>
  <c r="DH51" i="6"/>
  <c r="DH36" i="6"/>
  <c r="DH21" i="6"/>
  <c r="DH7" i="6"/>
  <c r="DH54" i="6"/>
  <c r="DI65" i="6"/>
  <c r="DI49" i="6"/>
  <c r="DI41" i="6"/>
  <c r="DI25" i="6"/>
  <c r="DI134" i="6"/>
  <c r="DH61" i="6"/>
  <c r="DH57" i="6"/>
  <c r="DH48" i="6"/>
  <c r="DG34" i="6"/>
  <c r="DH44" i="6"/>
  <c r="DG154" i="6"/>
  <c r="DG144" i="6"/>
  <c r="DH179" i="6"/>
  <c r="DH149" i="6"/>
  <c r="DJ149" i="6" s="1"/>
  <c r="DH163" i="6"/>
  <c r="DH182" i="6"/>
  <c r="DH166" i="6"/>
  <c r="DH161" i="6"/>
  <c r="DH153" i="6"/>
  <c r="DH132" i="6"/>
  <c r="DH127" i="6"/>
  <c r="DH122" i="6"/>
  <c r="DH169" i="6"/>
  <c r="DJ169" i="6" s="1"/>
  <c r="DH172" i="6"/>
  <c r="DH167" i="6"/>
  <c r="DH162" i="6"/>
  <c r="DH150" i="6"/>
  <c r="DH131" i="6"/>
  <c r="DH113" i="6"/>
  <c r="DH178" i="6"/>
  <c r="DH170" i="6"/>
  <c r="DH157" i="6"/>
  <c r="DH140" i="6"/>
  <c r="DH137" i="6"/>
  <c r="DJ137" i="6" s="1"/>
  <c r="DH111" i="6"/>
  <c r="DH86" i="6"/>
  <c r="DJ86" i="6" s="1"/>
  <c r="DH147" i="6"/>
  <c r="DH142" i="6"/>
  <c r="DH128" i="6"/>
  <c r="DH123" i="6"/>
  <c r="DJ123" i="6" s="1"/>
  <c r="DH133" i="6"/>
  <c r="DH99" i="6"/>
  <c r="DH126" i="6"/>
  <c r="DH107" i="6"/>
  <c r="DH91" i="6"/>
  <c r="DH70" i="6"/>
  <c r="DH59" i="6"/>
  <c r="DH29" i="6"/>
  <c r="DH5" i="6"/>
  <c r="DH112" i="6"/>
  <c r="DH90" i="6"/>
  <c r="DJ90" i="6" s="1"/>
  <c r="DH87" i="6"/>
  <c r="DH50" i="6"/>
  <c r="DH85" i="6"/>
  <c r="DH75" i="6"/>
  <c r="DH73" i="6"/>
  <c r="DH71" i="6"/>
  <c r="DH38" i="6"/>
  <c r="DH31" i="6"/>
  <c r="DH14" i="6"/>
  <c r="DH129" i="6"/>
  <c r="DH106" i="6"/>
  <c r="DH103" i="6"/>
  <c r="DH98" i="6"/>
  <c r="DH92" i="6"/>
  <c r="DH88" i="6"/>
  <c r="DH33" i="6"/>
  <c r="DH27" i="6"/>
  <c r="DH175" i="6"/>
  <c r="DH67" i="6"/>
  <c r="DH16" i="6"/>
  <c r="DH105" i="6"/>
  <c r="DH101" i="6"/>
  <c r="DH89" i="6"/>
  <c r="DH79" i="6"/>
  <c r="DH69" i="6"/>
  <c r="DH94" i="6"/>
  <c r="DH8" i="6"/>
  <c r="DH58" i="6"/>
  <c r="DH55" i="6"/>
  <c r="DH52" i="6"/>
  <c r="DH30" i="6"/>
  <c r="DG76" i="6"/>
  <c r="DG51" i="6"/>
  <c r="DG36" i="6"/>
  <c r="DG21" i="6"/>
  <c r="DJ21" i="6" s="1"/>
  <c r="DG7" i="6"/>
  <c r="DI164" i="6"/>
  <c r="DG54" i="6"/>
  <c r="DJ54" i="6" s="1"/>
  <c r="DH65" i="6"/>
  <c r="DH49" i="6"/>
  <c r="DH41" i="6"/>
  <c r="DH25" i="6"/>
  <c r="DH134" i="6"/>
  <c r="DG61" i="6"/>
  <c r="DJ61" i="6" s="1"/>
  <c r="DG57" i="6"/>
  <c r="DG48" i="6"/>
  <c r="DI74" i="6"/>
  <c r="DI44" i="6"/>
  <c r="DI40" i="6"/>
  <c r="DI144" i="6"/>
  <c r="DI43" i="6"/>
  <c r="DG74" i="6"/>
  <c r="DG40" i="6"/>
  <c r="AT102" i="4"/>
  <c r="AT6" i="4"/>
  <c r="AT96" i="4"/>
  <c r="AT88" i="4"/>
  <c r="AT5" i="4"/>
  <c r="AT103" i="4"/>
  <c r="AT83" i="4"/>
  <c r="AT7" i="4"/>
  <c r="AT101" i="4"/>
  <c r="AT109" i="4"/>
  <c r="BB21" i="4"/>
  <c r="AT98" i="4"/>
  <c r="AT64" i="4"/>
  <c r="AT50" i="4"/>
  <c r="AT30" i="4"/>
  <c r="AT18" i="4"/>
  <c r="AT93" i="4"/>
  <c r="AT82" i="4"/>
  <c r="AT61" i="4"/>
  <c r="AT89" i="4"/>
  <c r="AT8" i="4"/>
  <c r="AT87" i="4"/>
  <c r="AT91" i="4"/>
  <c r="AT79" i="4"/>
  <c r="AT86" i="4"/>
  <c r="AT58" i="4"/>
  <c r="AT52" i="4"/>
  <c r="AT46" i="4"/>
  <c r="AT38" i="4"/>
  <c r="AT32" i="4"/>
  <c r="AT26" i="4"/>
  <c r="AT14" i="4"/>
  <c r="AT81" i="4"/>
  <c r="AT99" i="4"/>
  <c r="AT56" i="4"/>
  <c r="AT44" i="4"/>
  <c r="AT24" i="4"/>
  <c r="AT11" i="4"/>
  <c r="AT41" i="4"/>
  <c r="AT85" i="4"/>
  <c r="AT20" i="4"/>
  <c r="AT104" i="4"/>
  <c r="AT67" i="4"/>
  <c r="AT78" i="4"/>
  <c r="AT60" i="4"/>
  <c r="AT54" i="4"/>
  <c r="AT10" i="4"/>
  <c r="AT13" i="4"/>
  <c r="AT66" i="4"/>
  <c r="AT73" i="4"/>
  <c r="AT42" i="4"/>
  <c r="AT35" i="4"/>
  <c r="AT36" i="4"/>
  <c r="AT97" i="4"/>
  <c r="AX49" i="4" l="1"/>
  <c r="AX108" i="4"/>
  <c r="AX38" i="4"/>
  <c r="AX36" i="4"/>
  <c r="AS9" i="4"/>
  <c r="AS17" i="4"/>
  <c r="AS23" i="4"/>
  <c r="AS29" i="4"/>
  <c r="AS43" i="4"/>
  <c r="AS49" i="4"/>
  <c r="AS55" i="4"/>
  <c r="AS63" i="4"/>
  <c r="AS92" i="4"/>
  <c r="AX85" i="4"/>
  <c r="AX10" i="4"/>
  <c r="AS69" i="4"/>
  <c r="AS75" i="4"/>
  <c r="AS90" i="4"/>
  <c r="AS106" i="4"/>
  <c r="AX80" i="4"/>
  <c r="AX67" i="4"/>
  <c r="AS70" i="4"/>
  <c r="AS76" i="4"/>
  <c r="AS84" i="4"/>
  <c r="AS107" i="4"/>
  <c r="AX95" i="4"/>
  <c r="AX62" i="4"/>
  <c r="AX71" i="4"/>
  <c r="AX23" i="4"/>
  <c r="AX65" i="4"/>
  <c r="AX8" i="4"/>
  <c r="AS68" i="4"/>
  <c r="AS74" i="4"/>
  <c r="AS80" i="4"/>
  <c r="AS105" i="4"/>
  <c r="AX14" i="4"/>
  <c r="AX27" i="4"/>
  <c r="AX106" i="4"/>
  <c r="AX48" i="4"/>
  <c r="AS71" i="4"/>
  <c r="AS77" i="4"/>
  <c r="AS94" i="4"/>
  <c r="AS100" i="4"/>
  <c r="AS108" i="4"/>
  <c r="AX92" i="4"/>
  <c r="AS47" i="4"/>
  <c r="AS15" i="4"/>
  <c r="AS21" i="4"/>
  <c r="AS27" i="4"/>
  <c r="AS33" i="4"/>
  <c r="AS39" i="4"/>
  <c r="AS53" i="4"/>
  <c r="AX32" i="4"/>
  <c r="AX28" i="4"/>
  <c r="AS72" i="4"/>
  <c r="AS95" i="4"/>
  <c r="AX22" i="4"/>
  <c r="AX97" i="4"/>
  <c r="AX33" i="4"/>
  <c r="AX75" i="4"/>
  <c r="AX63" i="4"/>
  <c r="AX13" i="4"/>
  <c r="AX46" i="4"/>
  <c r="AX96" i="4"/>
  <c r="AX52" i="4"/>
  <c r="AX61" i="4"/>
  <c r="AX78" i="4"/>
  <c r="AX55" i="4"/>
  <c r="AX101" i="4"/>
  <c r="AX105" i="4"/>
  <c r="AX26" i="4"/>
  <c r="AS12" i="4"/>
  <c r="AX66" i="4"/>
  <c r="AX87" i="4"/>
  <c r="AX44" i="4"/>
  <c r="AX93" i="4"/>
  <c r="AX64" i="4"/>
  <c r="AX69" i="4"/>
  <c r="AX81" i="4"/>
  <c r="AX70" i="4"/>
  <c r="AX76" i="4"/>
  <c r="AS22" i="4"/>
  <c r="AS28" i="4"/>
  <c r="AS34" i="4"/>
  <c r="AS48" i="4"/>
  <c r="AS62" i="4"/>
  <c r="AS40" i="4"/>
  <c r="AX98" i="4"/>
  <c r="AX31" i="4"/>
  <c r="AX107" i="4"/>
  <c r="AX25" i="4"/>
  <c r="AX90" i="4"/>
  <c r="AX53" i="4"/>
  <c r="AX47" i="4"/>
  <c r="AX99" i="4"/>
  <c r="AX84" i="4"/>
  <c r="AX86" i="4"/>
  <c r="AX43" i="4"/>
  <c r="AX94" i="4"/>
  <c r="AX88" i="4"/>
  <c r="AX77" i="4"/>
  <c r="AX83" i="4"/>
  <c r="AX42" i="4"/>
  <c r="AX5" i="4"/>
  <c r="AX74" i="4"/>
  <c r="AX91" i="4"/>
  <c r="AX6" i="4"/>
  <c r="AS16" i="4"/>
  <c r="AX102" i="4"/>
  <c r="AX7" i="4"/>
  <c r="AX73" i="4"/>
  <c r="AX104" i="4"/>
  <c r="AX29" i="4"/>
  <c r="AX34" i="4"/>
  <c r="AX100" i="4"/>
  <c r="AX45" i="4"/>
  <c r="AX40" i="4"/>
  <c r="AX37" i="4"/>
  <c r="AX35" i="4"/>
  <c r="AX56" i="4"/>
  <c r="AX11" i="4"/>
  <c r="AX41" i="4"/>
  <c r="AX24" i="4"/>
  <c r="AX15" i="4"/>
  <c r="AX57" i="4"/>
  <c r="AX103" i="4"/>
  <c r="AX109" i="4"/>
  <c r="AX89" i="4"/>
  <c r="AS19" i="4"/>
  <c r="AS25" i="4"/>
  <c r="AS31" i="4"/>
  <c r="AS37" i="4"/>
  <c r="AS45" i="4"/>
  <c r="AS51" i="4"/>
  <c r="AS57" i="4"/>
  <c r="AS65" i="4"/>
  <c r="AX82" i="4"/>
  <c r="AX79" i="4"/>
  <c r="AX51" i="4"/>
  <c r="AX12" i="4"/>
  <c r="AX54" i="4"/>
  <c r="AJ13" i="4"/>
  <c r="AX72" i="4"/>
  <c r="AX60" i="4"/>
  <c r="AX68" i="4"/>
  <c r="AX58" i="4"/>
  <c r="AS59" i="4"/>
  <c r="AX9" i="4"/>
  <c r="DF37" i="6"/>
  <c r="DF43" i="6"/>
  <c r="DF134" i="6"/>
  <c r="DF31" i="6"/>
  <c r="DF53" i="6"/>
  <c r="DF59" i="6"/>
  <c r="DF5" i="6"/>
  <c r="DF74" i="6"/>
  <c r="DF16" i="6"/>
  <c r="DF36" i="6"/>
  <c r="DF48" i="6"/>
  <c r="DF57" i="6"/>
  <c r="DF82" i="6"/>
  <c r="DF112" i="6"/>
  <c r="DF64" i="6"/>
  <c r="DF22" i="6"/>
  <c r="DF28" i="6"/>
  <c r="DF52" i="6"/>
  <c r="DF41" i="6"/>
  <c r="DF55" i="6"/>
  <c r="DF58" i="6"/>
  <c r="DF60" i="6"/>
  <c r="DF35" i="6"/>
  <c r="DF39" i="6"/>
  <c r="DF70" i="6"/>
  <c r="DF80" i="6"/>
  <c r="DF91" i="6"/>
  <c r="DF103" i="6"/>
  <c r="DF107" i="6"/>
  <c r="DF110" i="6"/>
  <c r="DF84" i="6"/>
  <c r="DF79" i="6"/>
  <c r="DF92" i="6"/>
  <c r="DF98" i="6"/>
  <c r="DF122" i="6"/>
  <c r="DF150" i="6"/>
  <c r="DF166" i="6"/>
  <c r="DF178" i="6"/>
  <c r="DF32" i="6"/>
  <c r="DF105" i="6"/>
  <c r="DF126" i="6"/>
  <c r="DF34" i="6"/>
  <c r="DF124" i="6"/>
  <c r="DF154" i="6"/>
  <c r="DF30" i="6"/>
  <c r="DF38" i="6"/>
  <c r="DF40" i="6"/>
  <c r="DF67" i="6"/>
  <c r="DF71" i="6"/>
  <c r="DF72" i="6"/>
  <c r="DF75" i="6"/>
  <c r="DF78" i="6"/>
  <c r="DF83" i="6"/>
  <c r="DF101" i="6"/>
  <c r="DF20" i="6"/>
  <c r="DF77" i="6"/>
  <c r="DF89" i="6"/>
  <c r="DF111" i="6"/>
  <c r="DF115" i="6"/>
  <c r="DF139" i="6"/>
  <c r="DF146" i="6"/>
  <c r="DF147" i="6"/>
  <c r="DF181" i="6"/>
  <c r="DF125" i="6"/>
  <c r="DF160" i="6"/>
  <c r="DF170" i="6"/>
  <c r="DF175" i="6"/>
  <c r="DF120" i="6"/>
  <c r="DF157" i="6"/>
  <c r="DF162" i="6"/>
  <c r="DF167" i="6"/>
  <c r="DF172" i="6"/>
  <c r="DF99" i="6"/>
  <c r="DF106" i="6"/>
  <c r="DF127" i="6"/>
  <c r="DF180" i="6"/>
  <c r="DF129" i="6"/>
  <c r="DF135" i="6"/>
  <c r="DF136" i="6"/>
  <c r="DF161" i="6"/>
  <c r="DF165" i="6"/>
  <c r="DF182" i="6"/>
  <c r="DF163" i="6"/>
  <c r="DF171" i="6"/>
  <c r="DF153" i="6"/>
  <c r="DF151" i="6"/>
  <c r="DF152" i="6"/>
  <c r="DF29" i="6"/>
  <c r="DF33" i="6"/>
  <c r="DF47" i="6"/>
  <c r="DF56" i="6"/>
  <c r="DF97" i="6"/>
  <c r="DF15" i="6"/>
  <c r="DF27" i="6"/>
  <c r="DF51" i="6"/>
  <c r="DF116" i="6"/>
  <c r="DF128" i="6"/>
  <c r="DF108" i="6"/>
  <c r="DF44" i="6"/>
  <c r="DF46" i="6"/>
  <c r="DF19" i="6"/>
  <c r="DF25" i="6"/>
  <c r="DF49" i="6"/>
  <c r="DF65" i="6"/>
  <c r="DF8" i="6"/>
  <c r="DF17" i="6"/>
  <c r="DF164" i="6"/>
  <c r="DF42" i="6"/>
  <c r="DF7" i="6"/>
  <c r="DF104" i="6"/>
  <c r="DF117" i="6"/>
  <c r="DF133" i="6"/>
  <c r="DF159" i="6"/>
  <c r="DF114" i="6"/>
  <c r="DF174" i="6"/>
  <c r="DF76" i="6"/>
  <c r="DF96" i="6"/>
  <c r="DF94" i="6"/>
  <c r="DF144" i="6"/>
  <c r="DF26" i="6"/>
  <c r="DF69" i="6"/>
  <c r="DF81" i="6"/>
  <c r="DF88" i="6"/>
  <c r="DF50" i="6"/>
  <c r="DF68" i="6"/>
  <c r="DF14" i="6"/>
  <c r="DF63" i="6"/>
  <c r="DF73" i="6"/>
  <c r="DF85" i="6"/>
  <c r="DF148" i="6"/>
  <c r="DF140" i="6"/>
  <c r="DF142" i="6"/>
  <c r="DF131" i="6"/>
  <c r="DF87" i="6"/>
  <c r="DF100" i="6"/>
  <c r="DF141" i="6"/>
  <c r="DF145" i="6"/>
  <c r="DF102" i="6"/>
  <c r="DF113" i="6"/>
  <c r="DF132" i="6"/>
  <c r="DF156" i="6"/>
  <c r="DF93" i="6"/>
  <c r="DF130" i="6"/>
  <c r="DF143" i="6"/>
  <c r="DF158" i="6"/>
  <c r="DF179" i="6"/>
  <c r="DF4" i="6"/>
  <c r="DJ43" i="6"/>
  <c r="DJ74" i="6"/>
  <c r="DJ112" i="6"/>
  <c r="DJ55" i="6"/>
  <c r="DJ80" i="6"/>
  <c r="DJ79" i="6"/>
  <c r="DJ178" i="6"/>
  <c r="DJ154" i="6"/>
  <c r="DJ72" i="6"/>
  <c r="DJ77" i="6"/>
  <c r="DJ147" i="6"/>
  <c r="DJ120" i="6"/>
  <c r="DJ106" i="6"/>
  <c r="DJ161" i="6"/>
  <c r="DJ151" i="6"/>
  <c r="DJ97" i="6"/>
  <c r="DJ108" i="6"/>
  <c r="DJ65" i="6"/>
  <c r="DJ104" i="6"/>
  <c r="DJ76" i="6"/>
  <c r="DJ81" i="6"/>
  <c r="DJ73" i="6"/>
  <c r="DJ87" i="6"/>
  <c r="DJ132" i="6"/>
  <c r="DJ179" i="6"/>
  <c r="DJ39" i="6"/>
  <c r="DJ150" i="6"/>
  <c r="DJ101" i="6"/>
  <c r="DJ135" i="6"/>
  <c r="DJ25" i="6"/>
  <c r="DJ14" i="6"/>
  <c r="DJ131" i="6"/>
  <c r="DJ134" i="6"/>
  <c r="DJ16" i="6"/>
  <c r="DJ64" i="6"/>
  <c r="DJ58" i="6"/>
  <c r="DJ91" i="6"/>
  <c r="DJ92" i="6"/>
  <c r="DJ32" i="6"/>
  <c r="DJ30" i="6"/>
  <c r="DJ75" i="6"/>
  <c r="DJ89" i="6"/>
  <c r="DJ181" i="6"/>
  <c r="DJ157" i="6"/>
  <c r="DJ127" i="6"/>
  <c r="DJ165" i="6"/>
  <c r="DJ152" i="6"/>
  <c r="DJ15" i="6"/>
  <c r="DJ44" i="6"/>
  <c r="DJ8" i="6"/>
  <c r="DJ117" i="6"/>
  <c r="DJ96" i="6"/>
  <c r="DJ88" i="6"/>
  <c r="DJ85" i="6"/>
  <c r="DJ100" i="6"/>
  <c r="DJ156" i="6"/>
  <c r="DJ4" i="6"/>
  <c r="DJ110" i="6"/>
  <c r="DJ172" i="6"/>
  <c r="DJ116" i="6"/>
  <c r="DJ26" i="6"/>
  <c r="DJ143" i="6"/>
  <c r="DJ31" i="6"/>
  <c r="DJ36" i="6"/>
  <c r="DJ22" i="6"/>
  <c r="DJ60" i="6"/>
  <c r="DJ103" i="6"/>
  <c r="DJ98" i="6"/>
  <c r="DJ105" i="6"/>
  <c r="DJ38" i="6"/>
  <c r="DJ78" i="6"/>
  <c r="DJ111" i="6"/>
  <c r="DJ125" i="6"/>
  <c r="DJ162" i="6"/>
  <c r="DJ180" i="6"/>
  <c r="DJ182" i="6"/>
  <c r="DJ29" i="6"/>
  <c r="DJ27" i="6"/>
  <c r="DJ46" i="6"/>
  <c r="DJ17" i="6"/>
  <c r="DJ133" i="6"/>
  <c r="DJ94" i="6"/>
  <c r="DJ50" i="6"/>
  <c r="DJ148" i="6"/>
  <c r="DJ141" i="6"/>
  <c r="DJ93" i="6"/>
  <c r="DJ52" i="6"/>
  <c r="DJ67" i="6"/>
  <c r="DJ170" i="6"/>
  <c r="DJ47" i="6"/>
  <c r="DJ114" i="6"/>
  <c r="DJ102" i="6"/>
  <c r="DJ158" i="6"/>
  <c r="DJ53" i="6"/>
  <c r="DJ48" i="6"/>
  <c r="DJ28" i="6"/>
  <c r="DJ35" i="6"/>
  <c r="DJ107" i="6"/>
  <c r="DJ122" i="6"/>
  <c r="DJ126" i="6"/>
  <c r="DJ40" i="6"/>
  <c r="DJ83" i="6"/>
  <c r="DJ115" i="6"/>
  <c r="DJ160" i="6"/>
  <c r="DJ167" i="6"/>
  <c r="DJ129" i="6"/>
  <c r="DJ163" i="6"/>
  <c r="DJ33" i="6"/>
  <c r="DJ51" i="6"/>
  <c r="DJ19" i="6"/>
  <c r="DJ164" i="6"/>
  <c r="DJ159" i="6"/>
  <c r="DJ144" i="6"/>
  <c r="DJ68" i="6"/>
  <c r="DJ140" i="6"/>
  <c r="DJ145" i="6"/>
  <c r="DJ130" i="6"/>
  <c r="DJ57" i="6"/>
  <c r="DJ34" i="6"/>
  <c r="DJ139" i="6"/>
  <c r="DJ171" i="6"/>
  <c r="DJ42" i="6"/>
  <c r="DJ142" i="6"/>
  <c r="DJ63" i="6"/>
  <c r="DJ59" i="6"/>
  <c r="DJ37" i="6"/>
  <c r="DJ5" i="6"/>
  <c r="DJ82" i="6"/>
  <c r="DJ41" i="6"/>
  <c r="DJ70" i="6"/>
  <c r="DJ84" i="6"/>
  <c r="DJ166" i="6"/>
  <c r="DJ124" i="6"/>
  <c r="DJ71" i="6"/>
  <c r="DJ20" i="6"/>
  <c r="DJ146" i="6"/>
  <c r="DJ175" i="6"/>
  <c r="DJ99" i="6"/>
  <c r="DJ136" i="6"/>
  <c r="DJ153" i="6"/>
  <c r="DJ56" i="6"/>
  <c r="DJ128" i="6"/>
  <c r="DJ49" i="6"/>
  <c r="DJ7" i="6"/>
  <c r="DJ174" i="6"/>
  <c r="DJ69" i="6"/>
  <c r="DJ113" i="6"/>
  <c r="AT9" i="4"/>
  <c r="AT55" i="4"/>
  <c r="AT75" i="4"/>
  <c r="AT76" i="4"/>
  <c r="BB23" i="4"/>
  <c r="BB80" i="4"/>
  <c r="AT43" i="4"/>
  <c r="BB62" i="4"/>
  <c r="AT17" i="4"/>
  <c r="AT63" i="4"/>
  <c r="AT90" i="4"/>
  <c r="AT84" i="4"/>
  <c r="BB38" i="4"/>
  <c r="BB49" i="4"/>
  <c r="AT23" i="4"/>
  <c r="AT92" i="4"/>
  <c r="AT106" i="4"/>
  <c r="AT107" i="4"/>
  <c r="BB108" i="4"/>
  <c r="AT29" i="4"/>
  <c r="BB85" i="4"/>
  <c r="BB67" i="4"/>
  <c r="BB36" i="4"/>
  <c r="AT49" i="4"/>
  <c r="AT69" i="4"/>
  <c r="AT70" i="4"/>
  <c r="BB71" i="4"/>
  <c r="BB95" i="4"/>
  <c r="BB10" i="4"/>
  <c r="AT80" i="4"/>
  <c r="AT71" i="4"/>
  <c r="BB92" i="4"/>
  <c r="AT39" i="4"/>
  <c r="AT95" i="4"/>
  <c r="BB65" i="4"/>
  <c r="AT105" i="4"/>
  <c r="AT77" i="4"/>
  <c r="AT47" i="4"/>
  <c r="AT53" i="4"/>
  <c r="BB8" i="4"/>
  <c r="BB27" i="4"/>
  <c r="AT21" i="4"/>
  <c r="BB32" i="4"/>
  <c r="AT74" i="4"/>
  <c r="AT33" i="4"/>
  <c r="AT72" i="4"/>
  <c r="BB14" i="4"/>
  <c r="AT94" i="4"/>
  <c r="AT15" i="4"/>
  <c r="BB30" i="4"/>
  <c r="BB50" i="4"/>
  <c r="AT100" i="4"/>
  <c r="AT68" i="4"/>
  <c r="BB106" i="4"/>
  <c r="AT108" i="4"/>
  <c r="AT27" i="4"/>
  <c r="BB28" i="4"/>
  <c r="BB48" i="4"/>
  <c r="BB22" i="4"/>
  <c r="BB13" i="4"/>
  <c r="BB55" i="4"/>
  <c r="BB66" i="4"/>
  <c r="BB81" i="4"/>
  <c r="AT48" i="4"/>
  <c r="BB31" i="4"/>
  <c r="BB99" i="4"/>
  <c r="BB77" i="4"/>
  <c r="BB6" i="4"/>
  <c r="BB104" i="4"/>
  <c r="BB37" i="4"/>
  <c r="BB15" i="4"/>
  <c r="AT25" i="4"/>
  <c r="AT65" i="4"/>
  <c r="BB58" i="4"/>
  <c r="BB26" i="4"/>
  <c r="BB98" i="4"/>
  <c r="BB59" i="4"/>
  <c r="AT51" i="4"/>
  <c r="BB63" i="4"/>
  <c r="AT34" i="4"/>
  <c r="BB73" i="4"/>
  <c r="AT57" i="4"/>
  <c r="BB97" i="4"/>
  <c r="BB46" i="4"/>
  <c r="BB16" i="4"/>
  <c r="BB87" i="4"/>
  <c r="BB70" i="4"/>
  <c r="AT62" i="4"/>
  <c r="BB107" i="4"/>
  <c r="BB84" i="4"/>
  <c r="BB83" i="4"/>
  <c r="AT16" i="4"/>
  <c r="BB29" i="4"/>
  <c r="BB35" i="4"/>
  <c r="BB57" i="4"/>
  <c r="AT31" i="4"/>
  <c r="BB82" i="4"/>
  <c r="AT59" i="4"/>
  <c r="BB64" i="4"/>
  <c r="BB53" i="4"/>
  <c r="BB45" i="4"/>
  <c r="BB12" i="4"/>
  <c r="BB40" i="4"/>
  <c r="BB54" i="4"/>
  <c r="BB19" i="4"/>
  <c r="BB96" i="4"/>
  <c r="BB101" i="4"/>
  <c r="BB44" i="4"/>
  <c r="BB76" i="4"/>
  <c r="AT40" i="4"/>
  <c r="BB25" i="4"/>
  <c r="BB86" i="4"/>
  <c r="BB42" i="4"/>
  <c r="BB102" i="4"/>
  <c r="BB34" i="4"/>
  <c r="BB56" i="4"/>
  <c r="BB103" i="4"/>
  <c r="AT37" i="4"/>
  <c r="BB79" i="4"/>
  <c r="BB72" i="4"/>
  <c r="BB17" i="4"/>
  <c r="BB61" i="4"/>
  <c r="BB94" i="4"/>
  <c r="BB41" i="4"/>
  <c r="BB39" i="4"/>
  <c r="AT12" i="4"/>
  <c r="BB18" i="4"/>
  <c r="BB47" i="4"/>
  <c r="BB91" i="4"/>
  <c r="BB33" i="4"/>
  <c r="BB52" i="4"/>
  <c r="BB105" i="4"/>
  <c r="BB93" i="4"/>
  <c r="AT22" i="4"/>
  <c r="BB20" i="4"/>
  <c r="BB90" i="4"/>
  <c r="BB43" i="4"/>
  <c r="BB5" i="4"/>
  <c r="BB7" i="4"/>
  <c r="BB100" i="4"/>
  <c r="BB11" i="4"/>
  <c r="BB109" i="4"/>
  <c r="AT45" i="4"/>
  <c r="BB51" i="4"/>
  <c r="BB60" i="4"/>
  <c r="BB9" i="4"/>
  <c r="BB75" i="4"/>
  <c r="AT28" i="4"/>
  <c r="BB74" i="4"/>
  <c r="BB89" i="4"/>
  <c r="BB78" i="4"/>
  <c r="BB69" i="4"/>
  <c r="BB88" i="4"/>
  <c r="BB24" i="4"/>
  <c r="AT19" i="4"/>
  <c r="BB68" i="4"/>
  <c r="AJ14" i="4" l="1"/>
  <c r="AJ15" i="4" l="1"/>
  <c r="AJ16" i="4" l="1"/>
  <c r="AJ17" i="4" l="1"/>
  <c r="AJ18" i="4" l="1"/>
  <c r="AJ19" i="4" s="1"/>
  <c r="AJ20" i="4" l="1"/>
  <c r="AJ21" i="4" l="1"/>
  <c r="AJ22" i="4" s="1"/>
  <c r="AJ23" i="4" s="1"/>
  <c r="AJ24" i="4" s="1"/>
  <c r="AJ25" i="4" s="1"/>
  <c r="AJ26" i="4" s="1"/>
  <c r="AJ27" i="4" s="1"/>
  <c r="AJ28" i="4" s="1"/>
  <c r="AJ29" i="4" s="1"/>
  <c r="AJ30" i="4" s="1"/>
  <c r="AJ31" i="4" s="1"/>
  <c r="AJ32" i="4" s="1"/>
  <c r="AJ33" i="4" s="1"/>
  <c r="AJ34" i="4" s="1"/>
  <c r="AJ35" i="4" s="1"/>
  <c r="AJ36" i="4" s="1"/>
  <c r="AJ37" i="4" s="1"/>
  <c r="AJ38" i="4" s="1"/>
  <c r="AJ39" i="4" s="1"/>
  <c r="AJ40" i="4" s="1"/>
  <c r="AJ41" i="4" s="1"/>
  <c r="AJ42" i="4" s="1"/>
  <c r="AJ43" i="4" s="1"/>
  <c r="AJ44" i="4" s="1"/>
  <c r="AJ45" i="4" s="1"/>
  <c r="AJ46" i="4" s="1"/>
  <c r="AJ47" i="4" s="1"/>
  <c r="AJ48" i="4" s="1"/>
  <c r="AJ49" i="4" s="1"/>
  <c r="AJ50" i="4" s="1"/>
  <c r="AJ51" i="4" s="1"/>
  <c r="AJ52" i="4" s="1"/>
  <c r="AJ53" i="4" s="1"/>
  <c r="AJ54" i="4" s="1"/>
  <c r="AJ55" i="4" s="1"/>
  <c r="AJ56" i="4" s="1"/>
  <c r="AJ57" i="4" s="1"/>
  <c r="AJ58" i="4" s="1"/>
  <c r="AJ59" i="4" s="1"/>
  <c r="AJ60" i="4" s="1"/>
  <c r="AJ61" i="4" s="1"/>
  <c r="AJ62" i="4" s="1"/>
  <c r="AJ63" i="4" s="1"/>
  <c r="AJ64" i="4" s="1"/>
  <c r="AJ65" i="4" s="1"/>
  <c r="AJ66" i="4" s="1"/>
  <c r="AJ67" i="4" s="1"/>
  <c r="AJ68" i="4" s="1"/>
  <c r="AJ69" i="4" s="1"/>
  <c r="AJ70" i="4" s="1"/>
  <c r="AJ71" i="4" s="1"/>
  <c r="AJ72" i="4" s="1"/>
  <c r="AJ73" i="4" s="1"/>
  <c r="AJ74" i="4" s="1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 s="1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AJ103" i="4" s="1"/>
  <c r="AJ104" i="4" s="1"/>
  <c r="AJ105" i="4" s="1"/>
  <c r="AJ106" i="4" s="1"/>
  <c r="AJ107" i="4" s="1"/>
  <c r="AJ108" i="4" s="1"/>
  <c r="AJ109" i="4" s="1"/>
</calcChain>
</file>

<file path=xl/sharedStrings.xml><?xml version="1.0" encoding="utf-8"?>
<sst xmlns="http://schemas.openxmlformats.org/spreadsheetml/2006/main" count="4281" uniqueCount="1021">
  <si>
    <t>901+401</t>
  </si>
  <si>
    <t>904+328</t>
  </si>
  <si>
    <t>928+308</t>
  </si>
  <si>
    <t>836+499</t>
  </si>
  <si>
    <t>847+452</t>
  </si>
  <si>
    <t>841+579</t>
  </si>
  <si>
    <t>828+555</t>
  </si>
  <si>
    <t>800+574</t>
  </si>
  <si>
    <t>803+541</t>
  </si>
  <si>
    <t>805+484</t>
  </si>
  <si>
    <t>815+437</t>
  </si>
  <si>
    <t>914+170</t>
  </si>
  <si>
    <t>882+167</t>
  </si>
  <si>
    <t>922+214</t>
  </si>
  <si>
    <t>853+271</t>
  </si>
  <si>
    <t>863+300</t>
  </si>
  <si>
    <t>894+276</t>
  </si>
  <si>
    <t>815+192</t>
  </si>
  <si>
    <t>846+183</t>
  </si>
  <si>
    <t>834+153</t>
  </si>
  <si>
    <t>800+125</t>
  </si>
  <si>
    <t>780+166</t>
  </si>
  <si>
    <t>750+119</t>
  </si>
  <si>
    <t>754+239</t>
  </si>
  <si>
    <t>789+241</t>
  </si>
  <si>
    <t>772+281</t>
  </si>
  <si>
    <t>808+332</t>
  </si>
  <si>
    <t>775+347</t>
  </si>
  <si>
    <t>839+347</t>
  </si>
  <si>
    <t>813+404</t>
  </si>
  <si>
    <t>842+398</t>
  </si>
  <si>
    <t>786+392</t>
  </si>
  <si>
    <t>759+537</t>
  </si>
  <si>
    <t>788+530</t>
  </si>
  <si>
    <t>724+509</t>
  </si>
  <si>
    <t>761+496</t>
  </si>
  <si>
    <t>787+442</t>
  </si>
  <si>
    <t>766+452</t>
  </si>
  <si>
    <t>702+426</t>
  </si>
  <si>
    <t>750+414</t>
  </si>
  <si>
    <t>740+359</t>
  </si>
  <si>
    <t>724+334</t>
  </si>
  <si>
    <t>708+273</t>
  </si>
  <si>
    <t>696+308</t>
  </si>
  <si>
    <t>671+231</t>
  </si>
  <si>
    <t>698+189</t>
  </si>
  <si>
    <t>616+150</t>
  </si>
  <si>
    <t>631+198</t>
  </si>
  <si>
    <t>642+156</t>
  </si>
  <si>
    <t>668+91</t>
  </si>
  <si>
    <t>621+72</t>
  </si>
  <si>
    <t>653+94</t>
  </si>
  <si>
    <t>559+191</t>
  </si>
  <si>
    <t>584+181</t>
  </si>
  <si>
    <t>537+297</t>
  </si>
  <si>
    <t>572+248</t>
  </si>
  <si>
    <t>604+318</t>
  </si>
  <si>
    <t>574+329</t>
  </si>
  <si>
    <t>599+395</t>
  </si>
  <si>
    <t>616+379</t>
  </si>
  <si>
    <t>592+452</t>
  </si>
  <si>
    <t>613+448</t>
  </si>
  <si>
    <t>568+462</t>
  </si>
  <si>
    <t>572+498</t>
  </si>
  <si>
    <t>621+476</t>
  </si>
  <si>
    <t>636+451</t>
  </si>
  <si>
    <t>637+512</t>
  </si>
  <si>
    <t>618+512</t>
  </si>
  <si>
    <t>658+304</t>
  </si>
  <si>
    <t>676+275</t>
  </si>
  <si>
    <t>675+353</t>
  </si>
  <si>
    <t>665+379</t>
  </si>
  <si>
    <t>652+421</t>
  </si>
  <si>
    <t>677+434</t>
  </si>
  <si>
    <t>675+481</t>
  </si>
  <si>
    <t>648+473</t>
  </si>
  <si>
    <t>654+516</t>
  </si>
  <si>
    <t>669+515</t>
  </si>
  <si>
    <t>682+530</t>
  </si>
  <si>
    <t>702+532</t>
  </si>
  <si>
    <t>695+491</t>
  </si>
  <si>
    <t>709+469</t>
  </si>
  <si>
    <t>547+507</t>
  </si>
  <si>
    <t>520+501</t>
  </si>
  <si>
    <t>524+462</t>
  </si>
  <si>
    <t>541+473</t>
  </si>
  <si>
    <t>574+417</t>
  </si>
  <si>
    <t>559+428</t>
  </si>
  <si>
    <t>496+504</t>
  </si>
  <si>
    <t>479+498</t>
  </si>
  <si>
    <t>508+457</t>
  </si>
  <si>
    <t>560+382</t>
  </si>
  <si>
    <t>542+385</t>
  </si>
  <si>
    <t>429+491</t>
  </si>
  <si>
    <t>442+487</t>
  </si>
  <si>
    <t>468+470</t>
  </si>
  <si>
    <t>458+446</t>
  </si>
  <si>
    <t>521+404</t>
  </si>
  <si>
    <t>492+405</t>
  </si>
  <si>
    <t>402+487</t>
  </si>
  <si>
    <t>415+471</t>
  </si>
  <si>
    <t>435+410</t>
  </si>
  <si>
    <t>450+390</t>
  </si>
  <si>
    <t>393+421</t>
  </si>
  <si>
    <t>405+432</t>
  </si>
  <si>
    <t>355+457</t>
  </si>
  <si>
    <t>375+445</t>
  </si>
  <si>
    <t>372+361</t>
  </si>
  <si>
    <t>392+378</t>
  </si>
  <si>
    <t>468+329</t>
  </si>
  <si>
    <t>451+348</t>
  </si>
  <si>
    <t>503+348</t>
  </si>
  <si>
    <t>527+336</t>
  </si>
  <si>
    <t>328+395</t>
  </si>
  <si>
    <t>346+378</t>
  </si>
  <si>
    <t>295+364</t>
  </si>
  <si>
    <t>274+385</t>
  </si>
  <si>
    <t>224+396</t>
  </si>
  <si>
    <t>352+300</t>
  </si>
  <si>
    <t>335+328</t>
  </si>
  <si>
    <t>389+326</t>
  </si>
  <si>
    <t>410+311</t>
  </si>
  <si>
    <t>464+287</t>
  </si>
  <si>
    <t>441+296</t>
  </si>
  <si>
    <t>515+264</t>
  </si>
  <si>
    <t>495+295</t>
  </si>
  <si>
    <t>408+216</t>
  </si>
  <si>
    <t>376+211</t>
  </si>
  <si>
    <t>336+225</t>
  </si>
  <si>
    <t>479+237</t>
  </si>
  <si>
    <t>450+256</t>
  </si>
  <si>
    <t>494+192</t>
  </si>
  <si>
    <t>437+186</t>
  </si>
  <si>
    <t>460+145</t>
  </si>
  <si>
    <t>508+135</t>
  </si>
  <si>
    <t>536+58</t>
  </si>
  <si>
    <t>489+80</t>
  </si>
  <si>
    <t>937+968</t>
  </si>
  <si>
    <t>953+937</t>
  </si>
  <si>
    <t>892+915</t>
  </si>
  <si>
    <t>858+943</t>
  </si>
  <si>
    <t>850+887</t>
  </si>
  <si>
    <t>867+884</t>
  </si>
  <si>
    <t>788+929</t>
  </si>
  <si>
    <t>814+942</t>
  </si>
  <si>
    <t>797+881</t>
  </si>
  <si>
    <t>826+895</t>
  </si>
  <si>
    <t>808+847</t>
  </si>
  <si>
    <t>770+850</t>
  </si>
  <si>
    <t>783+813</t>
  </si>
  <si>
    <t>816+822</t>
  </si>
  <si>
    <t>746+827</t>
  </si>
  <si>
    <t>729+817</t>
  </si>
  <si>
    <t>696+834</t>
  </si>
  <si>
    <t>712+845</t>
  </si>
  <si>
    <t>691+880</t>
  </si>
  <si>
    <t>718+887</t>
  </si>
  <si>
    <t>701+925</t>
  </si>
  <si>
    <t>716+945</t>
  </si>
  <si>
    <t>773+894</t>
  </si>
  <si>
    <t>749+878</t>
  </si>
  <si>
    <t>735+914</t>
  </si>
  <si>
    <t>749+945</t>
  </si>
  <si>
    <t>661+922</t>
  </si>
  <si>
    <t>634+943</t>
  </si>
  <si>
    <t>643+880</t>
  </si>
  <si>
    <t>664+867</t>
  </si>
  <si>
    <t>682+808</t>
  </si>
  <si>
    <t>654+811</t>
  </si>
  <si>
    <t>569+839</t>
  </si>
  <si>
    <t>580+897</t>
  </si>
  <si>
    <t>621+908</t>
  </si>
  <si>
    <t>600+923</t>
  </si>
  <si>
    <t>602+861</t>
  </si>
  <si>
    <t>626+858</t>
  </si>
  <si>
    <t>597+814</t>
  </si>
  <si>
    <t>579+791</t>
  </si>
  <si>
    <t>613+795</t>
  </si>
  <si>
    <t>634+783</t>
  </si>
  <si>
    <t>647+749</t>
  </si>
  <si>
    <t>628+731</t>
  </si>
  <si>
    <t>595+735</t>
  </si>
  <si>
    <t>607+749</t>
  </si>
  <si>
    <t>636+699</t>
  </si>
  <si>
    <t>606+700</t>
  </si>
  <si>
    <t>596+677</t>
  </si>
  <si>
    <t>579+685</t>
  </si>
  <si>
    <t>656+708</t>
  </si>
  <si>
    <t>682+710</t>
  </si>
  <si>
    <t>709+689</t>
  </si>
  <si>
    <t>688+672</t>
  </si>
  <si>
    <t>621+660</t>
  </si>
  <si>
    <t>648+668</t>
  </si>
  <si>
    <t>610+632</t>
  </si>
  <si>
    <t>602+608</t>
  </si>
  <si>
    <t>581+630</t>
  </si>
  <si>
    <t>569+613</t>
  </si>
  <si>
    <t>580+582</t>
  </si>
  <si>
    <t>596+566</t>
  </si>
  <si>
    <t>592+532</t>
  </si>
  <si>
    <t>607+534</t>
  </si>
  <si>
    <t>648+580</t>
  </si>
  <si>
    <t>637+563</t>
  </si>
  <si>
    <t>686+566</t>
  </si>
  <si>
    <t>700+571</t>
  </si>
  <si>
    <t>718+580</t>
  </si>
  <si>
    <t>741+599</t>
  </si>
  <si>
    <t>749+563</t>
  </si>
  <si>
    <t>771+573</t>
  </si>
  <si>
    <t>780+615</t>
  </si>
  <si>
    <t>808+625</t>
  </si>
  <si>
    <t>640+615</t>
  </si>
  <si>
    <t>654+610</t>
  </si>
  <si>
    <t>668+660</t>
  </si>
  <si>
    <t>656+641</t>
  </si>
  <si>
    <t>686+633</t>
  </si>
  <si>
    <t>672+596</t>
  </si>
  <si>
    <t>692+602</t>
  </si>
  <si>
    <t>709+630</t>
  </si>
  <si>
    <t>747+642</t>
  </si>
  <si>
    <t>725+622</t>
  </si>
  <si>
    <t>764+663</t>
  </si>
  <si>
    <t>782+658</t>
  </si>
  <si>
    <t>814+663</t>
  </si>
  <si>
    <t>805+699</t>
  </si>
  <si>
    <t>774+685</t>
  </si>
  <si>
    <t>745+696</t>
  </si>
  <si>
    <t>732+716</t>
  </si>
  <si>
    <t>791+731</t>
  </si>
  <si>
    <t>711+744</t>
  </si>
  <si>
    <t>754+739</t>
  </si>
  <si>
    <t>695+775</t>
  </si>
  <si>
    <t>670+753</t>
  </si>
  <si>
    <t>716+786</t>
  </si>
  <si>
    <t>738+788</t>
  </si>
  <si>
    <t>858+616</t>
  </si>
  <si>
    <t>877+610</t>
  </si>
  <si>
    <t>842+664</t>
  </si>
  <si>
    <t>866+650</t>
  </si>
  <si>
    <t>924+650</t>
  </si>
  <si>
    <t>920+700</t>
  </si>
  <si>
    <t>953+693</t>
  </si>
  <si>
    <t>284+937</t>
  </si>
  <si>
    <t>319+912</t>
  </si>
  <si>
    <t>359+917</t>
  </si>
  <si>
    <t>264+851</t>
  </si>
  <si>
    <t>282+805</t>
  </si>
  <si>
    <t>291+862</t>
  </si>
  <si>
    <t>352+845</t>
  </si>
  <si>
    <t>339+805</t>
  </si>
  <si>
    <t>329+770</t>
  </si>
  <si>
    <t>439+881</t>
  </si>
  <si>
    <t>415+900</t>
  </si>
  <si>
    <t>461+919</t>
  </si>
  <si>
    <t>430+940</t>
  </si>
  <si>
    <t>487+926</t>
  </si>
  <si>
    <t>522+936</t>
  </si>
  <si>
    <t>581+957</t>
  </si>
  <si>
    <t>564+964</t>
  </si>
  <si>
    <t>482+869</t>
  </si>
  <si>
    <t>519+886</t>
  </si>
  <si>
    <t>500+833</t>
  </si>
  <si>
    <t>538+872</t>
  </si>
  <si>
    <t>533+797</t>
  </si>
  <si>
    <t>551+817</t>
  </si>
  <si>
    <t>515+770</t>
  </si>
  <si>
    <t>499+749</t>
  </si>
  <si>
    <t>447+769</t>
  </si>
  <si>
    <t>467+797</t>
  </si>
  <si>
    <t>436+802</t>
  </si>
  <si>
    <t>410+822</t>
  </si>
  <si>
    <t>402+735</t>
  </si>
  <si>
    <t>392+783</t>
  </si>
  <si>
    <t>233+733</t>
  </si>
  <si>
    <t>288+689</t>
  </si>
  <si>
    <t>255+756</t>
  </si>
  <si>
    <t>352+714</t>
  </si>
  <si>
    <t>372+728</t>
  </si>
  <si>
    <t>435+716</t>
  </si>
  <si>
    <t>453+731</t>
  </si>
  <si>
    <t>556+761</t>
  </si>
  <si>
    <t>578+727</t>
  </si>
  <si>
    <t>546+710</t>
  </si>
  <si>
    <t>530+696</t>
  </si>
  <si>
    <t>473+703</t>
  </si>
  <si>
    <t>499+710</t>
  </si>
  <si>
    <t>423+678</t>
  </si>
  <si>
    <t>463+672</t>
  </si>
  <si>
    <t>341+675</t>
  </si>
  <si>
    <t>378+669</t>
  </si>
  <si>
    <t>297+643</t>
  </si>
  <si>
    <t>263+649</t>
  </si>
  <si>
    <t>206+604</t>
  </si>
  <si>
    <t>216+649</t>
  </si>
  <si>
    <t>186+675</t>
  </si>
  <si>
    <t>151+613</t>
  </si>
  <si>
    <t>122+602</t>
  </si>
  <si>
    <t>173+593</t>
  </si>
  <si>
    <t>265+593</t>
  </si>
  <si>
    <t>303+591</t>
  </si>
  <si>
    <t>318+640</t>
  </si>
  <si>
    <t>336+616</t>
  </si>
  <si>
    <t>362+608</t>
  </si>
  <si>
    <t>371+630</t>
  </si>
  <si>
    <t>450+641</t>
  </si>
  <si>
    <t>424+636</t>
  </si>
  <si>
    <t>466+619</t>
  </si>
  <si>
    <t>478+646</t>
  </si>
  <si>
    <t>499+650</t>
  </si>
  <si>
    <t>511+616</t>
  </si>
  <si>
    <t>525+639</t>
  </si>
  <si>
    <t>514+674</t>
  </si>
  <si>
    <t>564+668</t>
  </si>
  <si>
    <t>543+663</t>
  </si>
  <si>
    <t>549+615</t>
  </si>
  <si>
    <t>525+602</t>
  </si>
  <si>
    <t>482+593</t>
  </si>
  <si>
    <t>505+583</t>
  </si>
  <si>
    <t>473+565</t>
  </si>
  <si>
    <t>412+608</t>
  </si>
  <si>
    <t>429+596</t>
  </si>
  <si>
    <t>399+585</t>
  </si>
  <si>
    <t>383+590</t>
  </si>
  <si>
    <t>572+551</t>
  </si>
  <si>
    <t>549+574</t>
  </si>
  <si>
    <t>542+535</t>
  </si>
  <si>
    <t>525+557</t>
  </si>
  <si>
    <t>495+551</t>
  </si>
  <si>
    <t>510+516</t>
  </si>
  <si>
    <t>444+551</t>
  </si>
  <si>
    <t>468+532</t>
  </si>
  <si>
    <t>434+523</t>
  </si>
  <si>
    <t>418+554</t>
  </si>
  <si>
    <t>370+552</t>
  </si>
  <si>
    <t>394+537</t>
  </si>
  <si>
    <t>356+546</t>
  </si>
  <si>
    <t>334+566</t>
  </si>
  <si>
    <t>367+496</t>
  </si>
  <si>
    <t>333+501</t>
  </si>
  <si>
    <t>325+524</t>
  </si>
  <si>
    <t>316+554</t>
  </si>
  <si>
    <t>318+463</t>
  </si>
  <si>
    <t>302+421</t>
  </si>
  <si>
    <t>282+424</t>
  </si>
  <si>
    <t>288+465</t>
  </si>
  <si>
    <t>277+562</t>
  </si>
  <si>
    <t>268+537</t>
  </si>
  <si>
    <t>256+451</t>
  </si>
  <si>
    <t>237+471</t>
  </si>
  <si>
    <t>212+535</t>
  </si>
  <si>
    <t>242+524</t>
  </si>
  <si>
    <t>201+488</t>
  </si>
  <si>
    <t>173+537</t>
  </si>
  <si>
    <t>218+459</t>
  </si>
  <si>
    <t>186+463</t>
  </si>
  <si>
    <t>221+222</t>
  </si>
  <si>
    <t>202+251</t>
  </si>
  <si>
    <t>173+259</t>
  </si>
  <si>
    <t>110+306</t>
  </si>
  <si>
    <t>142+301</t>
  </si>
  <si>
    <t>45+236</t>
  </si>
  <si>
    <t>67+259</t>
  </si>
  <si>
    <t>94+262</t>
  </si>
  <si>
    <t>115+184</t>
  </si>
  <si>
    <t>87+177</t>
  </si>
  <si>
    <t>128+131</t>
  </si>
  <si>
    <t>180+155</t>
  </si>
  <si>
    <t>228+130</t>
  </si>
  <si>
    <t>269+131</t>
  </si>
  <si>
    <t>399+75</t>
  </si>
  <si>
    <t>440+57</t>
  </si>
  <si>
    <t>378+128</t>
  </si>
  <si>
    <t>348+163</t>
  </si>
  <si>
    <t>324+63</t>
  </si>
  <si>
    <t>340+99</t>
  </si>
  <si>
    <t>308+308</t>
  </si>
  <si>
    <t>295+250</t>
  </si>
  <si>
    <t>280+214</t>
  </si>
  <si>
    <t>227+311</t>
  </si>
  <si>
    <t>255+333</t>
  </si>
  <si>
    <t>238+263</t>
  </si>
  <si>
    <t>213+350</t>
  </si>
  <si>
    <t>186+380</t>
  </si>
  <si>
    <t>168+356</t>
  </si>
  <si>
    <t>524+86</t>
  </si>
  <si>
    <t>580+103</t>
  </si>
  <si>
    <t>743+178</t>
  </si>
  <si>
    <t>889+212</t>
  </si>
  <si>
    <t>130+222</t>
  </si>
  <si>
    <t>210+702</t>
  </si>
  <si>
    <t>282+738</t>
  </si>
  <si>
    <t>319+851</t>
  </si>
  <si>
    <t>910+965</t>
  </si>
  <si>
    <t>900+689</t>
  </si>
  <si>
    <t>873+379</t>
  </si>
  <si>
    <t>862+488</t>
  </si>
  <si>
    <t>799+354</t>
  </si>
  <si>
    <t>730+431</t>
  </si>
  <si>
    <t>696+348</t>
  </si>
  <si>
    <t>537+149</t>
  </si>
  <si>
    <t>414+99</t>
  </si>
  <si>
    <t>133+258</t>
  </si>
  <si>
    <t>167+194</t>
  </si>
  <si>
    <t>250+400</t>
  </si>
  <si>
    <t>168+468</t>
  </si>
  <si>
    <t>154+563</t>
  </si>
  <si>
    <t>242+677</t>
  </si>
  <si>
    <t>334+956</t>
  </si>
  <si>
    <t>386+370</t>
  </si>
  <si>
    <t>398+920</t>
  </si>
  <si>
    <t>503+933</t>
  </si>
  <si>
    <t>624+275</t>
  </si>
  <si>
    <t>748+290</t>
  </si>
  <si>
    <t>748+462</t>
  </si>
  <si>
    <t>781+484</t>
  </si>
  <si>
    <t>826+604</t>
  </si>
  <si>
    <t>611+488</t>
  </si>
  <si>
    <t>636+389</t>
  </si>
  <si>
    <t>517+848</t>
  </si>
  <si>
    <t>519+782</t>
  </si>
  <si>
    <t>671+714</t>
  </si>
  <si>
    <t>686+919</t>
  </si>
  <si>
    <t>615+571</t>
  </si>
  <si>
    <t>361+664</t>
  </si>
  <si>
    <t>383+276</t>
  </si>
  <si>
    <t>466+401</t>
  </si>
  <si>
    <t>484+361</t>
  </si>
  <si>
    <t>562+289</t>
  </si>
  <si>
    <t>633+325</t>
  </si>
  <si>
    <t>714+387</t>
  </si>
  <si>
    <t>621+602</t>
  </si>
  <si>
    <t>567+728</t>
  </si>
  <si>
    <t>760+904</t>
  </si>
  <si>
    <t>813+890</t>
  </si>
  <si>
    <t>707+813</t>
  </si>
  <si>
    <t>467+764</t>
  </si>
  <si>
    <t>949+202</t>
  </si>
  <si>
    <t>708+100</t>
  </si>
  <si>
    <t>786+96</t>
  </si>
  <si>
    <t>574+85</t>
  </si>
  <si>
    <t>479+50</t>
  </si>
  <si>
    <t>103+127</t>
  </si>
  <si>
    <t>153+683</t>
  </si>
  <si>
    <t>238+607</t>
  </si>
  <si>
    <t>272+708</t>
  </si>
  <si>
    <t>322+845</t>
  </si>
  <si>
    <t>975+953</t>
  </si>
  <si>
    <t>910+970</t>
  </si>
  <si>
    <t>648+226</t>
  </si>
  <si>
    <t>724+423</t>
  </si>
  <si>
    <t>302+733</t>
  </si>
  <si>
    <t>556+901</t>
  </si>
  <si>
    <t>741+465</t>
  </si>
  <si>
    <t>483+823</t>
  </si>
  <si>
    <t>514+848</t>
  </si>
  <si>
    <t>522+728</t>
  </si>
  <si>
    <t>线路2</t>
  </si>
  <si>
    <t>线路3</t>
  </si>
  <si>
    <t>线路4</t>
  </si>
  <si>
    <t>村庄</t>
  </si>
  <si>
    <t>县城</t>
  </si>
  <si>
    <t>营寨</t>
  </si>
  <si>
    <t>精英营寨</t>
  </si>
  <si>
    <t>总计</t>
    <phoneticPr fontId="1" type="noConversion"/>
  </si>
  <si>
    <t>累计点数</t>
    <phoneticPr fontId="1" type="noConversion"/>
  </si>
  <si>
    <t>为了计算和公式方便，每个郡县只取2个点</t>
    <phoneticPr fontId="1" type="noConversion"/>
  </si>
  <si>
    <t>开启线路</t>
  </si>
  <si>
    <t>开启线路</t>
    <phoneticPr fontId="1" type="noConversion"/>
  </si>
  <si>
    <t>食邑数量</t>
    <phoneticPr fontId="1" type="noConversion"/>
  </si>
  <si>
    <t>线路1</t>
    <phoneticPr fontId="1" type="noConversion"/>
  </si>
  <si>
    <t>线路2</t>
    <phoneticPr fontId="1" type="noConversion"/>
  </si>
  <si>
    <t>线路3</t>
    <phoneticPr fontId="1" type="noConversion"/>
  </si>
  <si>
    <t>线路4</t>
    <phoneticPr fontId="1" type="noConversion"/>
  </si>
  <si>
    <t>食邑数量</t>
    <phoneticPr fontId="1" type="noConversion"/>
  </si>
  <si>
    <t>线路数量</t>
    <phoneticPr fontId="1" type="noConversion"/>
  </si>
  <si>
    <t>序号</t>
    <phoneticPr fontId="1" type="noConversion"/>
  </si>
  <si>
    <t>秦国线路</t>
    <phoneticPr fontId="1" type="noConversion"/>
  </si>
  <si>
    <t>楚国线路</t>
    <phoneticPr fontId="1" type="noConversion"/>
  </si>
  <si>
    <t>表示解锁本列下一个和右边一列下一个</t>
    <phoneticPr fontId="1" type="noConversion"/>
  </si>
  <si>
    <t>表示无</t>
    <phoneticPr fontId="1" type="noConversion"/>
  </si>
  <si>
    <t>表示例：</t>
    <phoneticPr fontId="1" type="noConversion"/>
  </si>
  <si>
    <t>颜色</t>
    <phoneticPr fontId="1" type="noConversion"/>
  </si>
  <si>
    <t>释义</t>
    <phoneticPr fontId="1" type="noConversion"/>
  </si>
  <si>
    <t>赵国线路</t>
    <phoneticPr fontId="1" type="noConversion"/>
  </si>
  <si>
    <t>齐国线路</t>
    <phoneticPr fontId="1" type="noConversion"/>
  </si>
  <si>
    <t>魏国线路</t>
    <phoneticPr fontId="1" type="noConversion"/>
  </si>
  <si>
    <t>食邑等级</t>
  </si>
  <si>
    <t>食邑数量</t>
  </si>
  <si>
    <t>村0+1</t>
  </si>
  <si>
    <t>县2</t>
  </si>
  <si>
    <t>营寨0+1</t>
  </si>
  <si>
    <t>县4</t>
  </si>
  <si>
    <t>营寨2</t>
  </si>
  <si>
    <t>县6</t>
  </si>
  <si>
    <t>营寨3</t>
  </si>
  <si>
    <t>县8</t>
  </si>
  <si>
    <t>营寨4</t>
  </si>
  <si>
    <t>村2</t>
  </si>
  <si>
    <t>县10</t>
  </si>
  <si>
    <t>营寨5</t>
  </si>
  <si>
    <t>县12</t>
  </si>
  <si>
    <t>营寨6</t>
  </si>
  <si>
    <t>村3</t>
  </si>
  <si>
    <t>县14</t>
  </si>
  <si>
    <t>营寨7</t>
  </si>
  <si>
    <t>县16</t>
  </si>
  <si>
    <t>县18</t>
  </si>
  <si>
    <t>营寨8</t>
  </si>
  <si>
    <t>村4</t>
  </si>
  <si>
    <t>县20</t>
  </si>
  <si>
    <t>营寨9</t>
  </si>
  <si>
    <t>村5</t>
  </si>
  <si>
    <t>营寨10</t>
  </si>
  <si>
    <t>营寨11</t>
  </si>
  <si>
    <t>村6</t>
  </si>
  <si>
    <t>营寨12</t>
  </si>
  <si>
    <t>营寨13</t>
  </si>
  <si>
    <t>村7</t>
  </si>
  <si>
    <t>营寨14</t>
  </si>
  <si>
    <t>村8</t>
  </si>
  <si>
    <t>营寨15</t>
  </si>
  <si>
    <t>村9</t>
  </si>
  <si>
    <t>营寨16</t>
  </si>
  <si>
    <t>营寨17</t>
  </si>
  <si>
    <t>村10</t>
  </si>
  <si>
    <t>营寨18</t>
  </si>
  <si>
    <t>村11</t>
  </si>
  <si>
    <t>营寨19</t>
  </si>
  <si>
    <t>村12</t>
  </si>
  <si>
    <t>营寨20</t>
  </si>
  <si>
    <t>村13</t>
  </si>
  <si>
    <t>村14</t>
  </si>
  <si>
    <t>村15</t>
  </si>
  <si>
    <t>村16</t>
  </si>
  <si>
    <t>村17</t>
  </si>
  <si>
    <t>村18</t>
  </si>
  <si>
    <t>村19</t>
  </si>
  <si>
    <t>村20</t>
  </si>
  <si>
    <t>精英3</t>
  </si>
  <si>
    <t>精英5</t>
  </si>
  <si>
    <t>精英7</t>
  </si>
  <si>
    <t>精英9</t>
  </si>
  <si>
    <t>精英11</t>
  </si>
  <si>
    <t>精英13</t>
  </si>
  <si>
    <t>精英15</t>
  </si>
  <si>
    <t>精英17</t>
  </si>
  <si>
    <t>精英19</t>
  </si>
  <si>
    <t/>
  </si>
  <si>
    <t>1+2</t>
  </si>
  <si>
    <t>3+4</t>
  </si>
  <si>
    <t>5+6</t>
  </si>
  <si>
    <t>7+8+9</t>
  </si>
  <si>
    <t>10+11+12</t>
  </si>
  <si>
    <t>13+14+15</t>
  </si>
  <si>
    <t>16+17+18+19</t>
  </si>
  <si>
    <t>20+21</t>
  </si>
  <si>
    <t>24+25</t>
  </si>
  <si>
    <t>28+29</t>
  </si>
  <si>
    <t>33+34</t>
  </si>
  <si>
    <t>43+44+45</t>
  </si>
  <si>
    <t>49+50</t>
  </si>
  <si>
    <t>55+56</t>
  </si>
  <si>
    <t>61+62+63</t>
  </si>
  <si>
    <t>68+69</t>
  </si>
  <si>
    <t>75+76</t>
  </si>
  <si>
    <t>82+83</t>
  </si>
  <si>
    <t>90+91</t>
  </si>
  <si>
    <t>98+99</t>
  </si>
  <si>
    <t>22+23</t>
  </si>
  <si>
    <t>26+27</t>
  </si>
  <si>
    <t>30+31+32</t>
  </si>
  <si>
    <t>35+36+37</t>
  </si>
  <si>
    <t>46+47+48</t>
  </si>
  <si>
    <t>57+58</t>
  </si>
  <si>
    <t>64+65</t>
  </si>
  <si>
    <t>100+101</t>
    <phoneticPr fontId="1" type="noConversion"/>
  </si>
  <si>
    <t>102+103</t>
    <phoneticPr fontId="1" type="noConversion"/>
  </si>
  <si>
    <t>53+54</t>
  </si>
  <si>
    <t>59+60</t>
  </si>
  <si>
    <t>66+67</t>
  </si>
  <si>
    <t>104+105</t>
    <phoneticPr fontId="1" type="noConversion"/>
  </si>
  <si>
    <t>食邑类型</t>
    <phoneticPr fontId="1" type="noConversion"/>
  </si>
  <si>
    <t>id</t>
    <phoneticPr fontId="1" type="noConversion"/>
  </si>
  <si>
    <t>规划了每个食邑所在设计位置，如果食邑数量有增减变化，则本页签的设计需要相应修改</t>
    <phoneticPr fontId="1" type="noConversion"/>
  </si>
  <si>
    <t>线路对应食邑id</t>
    <phoneticPr fontId="1" type="noConversion"/>
  </si>
  <si>
    <t>食邑等级</t>
    <phoneticPr fontId="1" type="noConversion"/>
  </si>
  <si>
    <t>832+590</t>
  </si>
  <si>
    <t>836+275</t>
  </si>
  <si>
    <t>835+198</t>
  </si>
  <si>
    <t>775+532</t>
  </si>
  <si>
    <t>740+515</t>
  </si>
  <si>
    <t>711+361</t>
  </si>
  <si>
    <t>591+295</t>
  </si>
  <si>
    <t>633+412</t>
  </si>
  <si>
    <t>644+381</t>
  </si>
  <si>
    <t>665+443</t>
  </si>
  <si>
    <t>716+543</t>
  </si>
  <si>
    <t>468+501</t>
  </si>
  <si>
    <t>576+368</t>
  </si>
  <si>
    <t>436+467</t>
  </si>
  <si>
    <t>460+507</t>
  </si>
  <si>
    <t>424+438</t>
  </si>
  <si>
    <t>383+471</t>
  </si>
  <si>
    <t>516+318</t>
  </si>
  <si>
    <t>400+309</t>
  </si>
  <si>
    <t>424+336</t>
  </si>
  <si>
    <t>499+255</t>
  </si>
  <si>
    <t>528+244</t>
  </si>
  <si>
    <t>413+247</t>
  </si>
  <si>
    <t>466+194</t>
  </si>
  <si>
    <t>484+125</t>
  </si>
  <si>
    <t>883+959</t>
  </si>
  <si>
    <t>804+950</t>
  </si>
  <si>
    <t>797+822</t>
  </si>
  <si>
    <t>734+880</t>
  </si>
  <si>
    <t>707+897</t>
  </si>
  <si>
    <t>767+950</t>
  </si>
  <si>
    <t>739+967</t>
  </si>
  <si>
    <t>642+917</t>
  </si>
  <si>
    <t>674+912</t>
  </si>
  <si>
    <t>644+848</t>
  </si>
  <si>
    <t>640+819</t>
  </si>
  <si>
    <t>584+848</t>
  </si>
  <si>
    <t>620+770</t>
  </si>
  <si>
    <t>628+814</t>
  </si>
  <si>
    <t>639+752</t>
  </si>
  <si>
    <t>597+766</t>
  </si>
  <si>
    <t>620+688</t>
  </si>
  <si>
    <t>573+703</t>
  </si>
  <si>
    <t>703+663</t>
  </si>
  <si>
    <t>636+668</t>
  </si>
  <si>
    <t>595+635</t>
  </si>
  <si>
    <t>592+610</t>
  </si>
  <si>
    <t>574+643</t>
  </si>
  <si>
    <t>650+558</t>
  </si>
  <si>
    <t>762+562</t>
  </si>
  <si>
    <t>793+604</t>
  </si>
  <si>
    <t>636+640</t>
  </si>
  <si>
    <t>670+638</t>
  </si>
  <si>
    <t>682+588</t>
  </si>
  <si>
    <t>701+635</t>
  </si>
  <si>
    <t>711+605</t>
  </si>
  <si>
    <t>736+644</t>
  </si>
  <si>
    <t>741+664</t>
  </si>
  <si>
    <t>792+700</t>
  </si>
  <si>
    <t>762+711</t>
  </si>
  <si>
    <t>729+683</t>
  </si>
  <si>
    <t>732+756</t>
  </si>
  <si>
    <t>695+731</t>
  </si>
  <si>
    <t>741+767</t>
  </si>
  <si>
    <t>847+605</t>
  </si>
  <si>
    <t>857+660</t>
  </si>
  <si>
    <t>387+848</t>
  </si>
  <si>
    <t>613+962</t>
  </si>
  <si>
    <t>562+791</t>
  </si>
  <si>
    <t>365+774</t>
  </si>
  <si>
    <t>336+730</t>
  </si>
  <si>
    <t>460+705</t>
  </si>
  <si>
    <t>535+728</t>
  </si>
  <si>
    <t>450+683</t>
  </si>
  <si>
    <t>362+682</t>
  </si>
  <si>
    <t>291+608</t>
  </si>
  <si>
    <t>320+602</t>
  </si>
  <si>
    <t>351+621</t>
  </si>
  <si>
    <t>405+624</t>
  </si>
  <si>
    <t>543+640</t>
  </si>
  <si>
    <t>557+675</t>
  </si>
  <si>
    <t>543+597</t>
  </si>
  <si>
    <t>444+611</t>
  </si>
  <si>
    <t>419+583</t>
  </si>
  <si>
    <t>564+569</t>
  </si>
  <si>
    <t>532+532</t>
  </si>
  <si>
    <t>515+546</t>
  </si>
  <si>
    <t>423+520</t>
  </si>
  <si>
    <t>386+557</t>
  </si>
  <si>
    <t>296+554</t>
  </si>
  <si>
    <t>335+470</t>
  </si>
  <si>
    <t>313+437</t>
  </si>
  <si>
    <t>286+534</t>
  </si>
  <si>
    <t>250+549</t>
  </si>
  <si>
    <t>258+523</t>
  </si>
  <si>
    <t>237+431</t>
  </si>
  <si>
    <t>207+512</t>
  </si>
  <si>
    <t>224+510</t>
  </si>
  <si>
    <t>195+211</t>
  </si>
  <si>
    <t>964+668</t>
    <phoneticPr fontId="1" type="noConversion"/>
  </si>
  <si>
    <t>424+350</t>
  </si>
  <si>
    <t>424+350</t>
    <phoneticPr fontId="1" type="noConversion"/>
  </si>
  <si>
    <t>885+449</t>
  </si>
  <si>
    <t>777+510</t>
  </si>
  <si>
    <t>764+410</t>
  </si>
  <si>
    <t>574+289</t>
  </si>
  <si>
    <t>723+546</t>
  </si>
  <si>
    <t>414+510</t>
  </si>
  <si>
    <t>429+451</t>
  </si>
  <si>
    <t>495+370</t>
  </si>
  <si>
    <t>478+309</t>
  </si>
  <si>
    <t>316+373</t>
  </si>
  <si>
    <t>487+272</t>
  </si>
  <si>
    <t>434+340</t>
  </si>
  <si>
    <t>845+850</t>
  </si>
  <si>
    <t>697+806</t>
  </si>
  <si>
    <t>677+928</t>
  </si>
  <si>
    <t>679+883</t>
  </si>
  <si>
    <t>616+942</t>
  </si>
  <si>
    <t>600+780</t>
  </si>
  <si>
    <t>623+756</t>
  </si>
  <si>
    <t>663+738</t>
  </si>
  <si>
    <t>589+758</t>
  </si>
  <si>
    <t>732+562</t>
  </si>
  <si>
    <t>734+661</t>
  </si>
  <si>
    <t>733+756</t>
  </si>
  <si>
    <t>754+800</t>
  </si>
  <si>
    <t>826+621</t>
  </si>
  <si>
    <t>892+654</t>
  </si>
  <si>
    <t>537+839</t>
  </si>
  <si>
    <t>564+786</t>
  </si>
  <si>
    <t>318+708</t>
  </si>
  <si>
    <t>419+714</t>
  </si>
  <si>
    <t>317+680</t>
  </si>
  <si>
    <t>234+568</t>
  </si>
  <si>
    <t>541+632</t>
  </si>
  <si>
    <t>532+664</t>
  </si>
  <si>
    <t>536+622</t>
  </si>
  <si>
    <t>424+583</t>
  </si>
  <si>
    <t>558+518</t>
  </si>
  <si>
    <t>293+552</t>
  </si>
  <si>
    <t>260+502</t>
  </si>
  <si>
    <t>132+563</t>
  </si>
  <si>
    <t>269+290</t>
  </si>
  <si>
    <t>396+668</t>
  </si>
  <si>
    <t>396+668</t>
    <phoneticPr fontId="1" type="noConversion"/>
  </si>
  <si>
    <t>447+599</t>
  </si>
  <si>
    <t>655+544</t>
  </si>
  <si>
    <t>517+435</t>
  </si>
  <si>
    <t>538+420</t>
  </si>
  <si>
    <t>732+647</t>
  </si>
  <si>
    <t>591+350</t>
    <phoneticPr fontId="1" type="noConversion"/>
  </si>
  <si>
    <t>38+39</t>
    <phoneticPr fontId="1" type="noConversion"/>
  </si>
  <si>
    <t>40+41+42</t>
    <phoneticPr fontId="1" type="noConversion"/>
  </si>
  <si>
    <t>70+71</t>
    <phoneticPr fontId="1" type="noConversion"/>
  </si>
  <si>
    <t>72+73+74</t>
    <phoneticPr fontId="1" type="noConversion"/>
  </si>
  <si>
    <t>77+78</t>
    <phoneticPr fontId="1" type="noConversion"/>
  </si>
  <si>
    <t>县城id</t>
    <phoneticPr fontId="1" type="noConversion"/>
  </si>
  <si>
    <t>前置村庄id</t>
    <phoneticPr fontId="1" type="noConversion"/>
  </si>
  <si>
    <t>精英营寨id</t>
    <phoneticPr fontId="1" type="noConversion"/>
  </si>
  <si>
    <t>解锁村庄</t>
    <phoneticPr fontId="1" type="noConversion"/>
  </si>
  <si>
    <t>解锁村庄2</t>
  </si>
  <si>
    <t>解锁村庄3</t>
  </si>
  <si>
    <t>解锁村庄4</t>
  </si>
  <si>
    <t>解锁村庄5</t>
  </si>
  <si>
    <t>手动分列</t>
    <phoneticPr fontId="1" type="noConversion"/>
  </si>
  <si>
    <t>前置营寨id</t>
    <phoneticPr fontId="1" type="noConversion"/>
  </si>
  <si>
    <t>营寨id1</t>
    <phoneticPr fontId="1" type="noConversion"/>
  </si>
  <si>
    <t>营寨id2</t>
  </si>
  <si>
    <t>营寨id3</t>
  </si>
  <si>
    <t>营寨id4</t>
  </si>
  <si>
    <t>营寨id5</t>
  </si>
  <si>
    <t>营寨id6</t>
  </si>
  <si>
    <t>营寨id</t>
    <phoneticPr fontId="1" type="noConversion"/>
  </si>
  <si>
    <t>村庄id</t>
    <phoneticPr fontId="1" type="noConversion"/>
  </si>
  <si>
    <t>营寨的前置村庄id</t>
    <phoneticPr fontId="1" type="noConversion"/>
  </si>
  <si>
    <t>营寨解锁的村庄</t>
    <phoneticPr fontId="1" type="noConversion"/>
  </si>
  <si>
    <t>前置食邑id</t>
    <phoneticPr fontId="1" type="noConversion"/>
  </si>
  <si>
    <t>县城和精英营寨前置条件按照线路设计手动填写</t>
    <phoneticPr fontId="1" type="noConversion"/>
  </si>
  <si>
    <t>食邑类型</t>
    <phoneticPr fontId="1" type="noConversion"/>
  </si>
  <si>
    <t>食邑id</t>
    <phoneticPr fontId="1" type="noConversion"/>
  </si>
  <si>
    <t>点位所属郡id</t>
    <phoneticPr fontId="1" type="noConversion"/>
  </si>
  <si>
    <t>村0+1</t>
    <phoneticPr fontId="1" type="noConversion"/>
  </si>
  <si>
    <t>秦国</t>
    <phoneticPr fontId="1" type="noConversion"/>
  </si>
  <si>
    <t>点位</t>
    <phoneticPr fontId="1" type="noConversion"/>
  </si>
  <si>
    <t>点位坐标</t>
    <phoneticPr fontId="1" type="noConversion"/>
  </si>
  <si>
    <t>所属郡id</t>
    <phoneticPr fontId="1" type="noConversion"/>
  </si>
  <si>
    <t>魏国</t>
    <phoneticPr fontId="1" type="noConversion"/>
  </si>
  <si>
    <t>楚国</t>
    <phoneticPr fontId="1" type="noConversion"/>
  </si>
  <si>
    <t>点位坐标</t>
    <phoneticPr fontId="1" type="noConversion"/>
  </si>
  <si>
    <t>大地图食邑位置定位</t>
    <phoneticPr fontId="1" type="noConversion"/>
  </si>
  <si>
    <t>郡id</t>
    <phoneticPr fontId="1" type="noConversion"/>
  </si>
  <si>
    <t>秦国类型</t>
    <phoneticPr fontId="1" type="noConversion"/>
  </si>
  <si>
    <t>魏国类型</t>
    <phoneticPr fontId="1" type="noConversion"/>
  </si>
  <si>
    <t>楚国类型</t>
    <phoneticPr fontId="1" type="noConversion"/>
  </si>
  <si>
    <t>点位类型</t>
    <phoneticPr fontId="1" type="noConversion"/>
  </si>
  <si>
    <t>所属郡id</t>
  </si>
  <si>
    <t>县</t>
    <phoneticPr fontId="1" type="noConversion"/>
  </si>
  <si>
    <t>营</t>
    <phoneticPr fontId="1" type="noConversion"/>
  </si>
  <si>
    <t>村</t>
    <phoneticPr fontId="1" type="noConversion"/>
  </si>
  <si>
    <t>排序处理</t>
    <phoneticPr fontId="1" type="noConversion"/>
  </si>
  <si>
    <t>数组</t>
    <phoneticPr fontId="1" type="noConversion"/>
  </si>
  <si>
    <t>村点位</t>
    <phoneticPr fontId="1" type="noConversion"/>
  </si>
  <si>
    <t>县点位</t>
    <phoneticPr fontId="1" type="noConversion"/>
  </si>
  <si>
    <t>营点位</t>
    <phoneticPr fontId="1" type="noConversion"/>
  </si>
  <si>
    <t>食邑数量</t>
    <phoneticPr fontId="1" type="noConversion"/>
  </si>
  <si>
    <t>3+4</t>
    <phoneticPr fontId="1" type="noConversion"/>
  </si>
  <si>
    <t>解锁营寨</t>
    <phoneticPr fontId="1" type="noConversion"/>
  </si>
  <si>
    <t>解锁食邑id</t>
    <phoneticPr fontId="1" type="noConversion"/>
  </si>
  <si>
    <t>营寨解锁的食邑</t>
    <phoneticPr fontId="1" type="noConversion"/>
  </si>
  <si>
    <t>解锁食邑</t>
    <phoneticPr fontId="1" type="noConversion"/>
  </si>
  <si>
    <t>后台</t>
    <phoneticPr fontId="1" type="noConversion"/>
  </si>
  <si>
    <t>连线村庄</t>
    <phoneticPr fontId="1" type="noConversion"/>
  </si>
  <si>
    <t>连线营寨</t>
    <phoneticPr fontId="1" type="noConversion"/>
  </si>
  <si>
    <t>连线县城</t>
    <phoneticPr fontId="1" type="noConversion"/>
  </si>
  <si>
    <t>连线精英营寨</t>
    <phoneticPr fontId="1" type="noConversion"/>
  </si>
  <si>
    <t>连线食邑</t>
    <phoneticPr fontId="1" type="noConversion"/>
  </si>
  <si>
    <t>前台</t>
    <phoneticPr fontId="1" type="noConversion"/>
  </si>
  <si>
    <t>51+52</t>
    <phoneticPr fontId="1" type="noConversion"/>
  </si>
  <si>
    <t>20+21+22+23+122+123+164</t>
    <phoneticPr fontId="1" type="noConversion"/>
  </si>
  <si>
    <t>51+52+53+54+135+136</t>
    <phoneticPr fontId="1" type="noConversion"/>
  </si>
  <si>
    <t>解锁村庄1</t>
  </si>
  <si>
    <t>连接村庄1</t>
    <phoneticPr fontId="1" type="noConversion"/>
  </si>
  <si>
    <t>连接村庄2</t>
  </si>
  <si>
    <t>前台连线情况</t>
    <phoneticPr fontId="1" type="noConversion"/>
  </si>
  <si>
    <t>84+85</t>
    <phoneticPr fontId="1" type="noConversion"/>
  </si>
  <si>
    <t>92+93</t>
    <phoneticPr fontId="1" type="noConversion"/>
  </si>
  <si>
    <t>79+80</t>
    <phoneticPr fontId="1" type="noConversion"/>
  </si>
  <si>
    <t>80+87</t>
    <phoneticPr fontId="1" type="noConversion"/>
  </si>
  <si>
    <t>94+95</t>
    <phoneticPr fontId="1" type="noConversion"/>
  </si>
  <si>
    <t>88+89</t>
    <phoneticPr fontId="1" type="noConversion"/>
  </si>
  <si>
    <t>96+97</t>
    <phoneticPr fontId="1" type="noConversion"/>
  </si>
  <si>
    <t>75+76+77+78+146+147</t>
    <phoneticPr fontId="1" type="noConversion"/>
  </si>
  <si>
    <t>齐国</t>
    <phoneticPr fontId="1" type="noConversion"/>
  </si>
  <si>
    <t>燕国</t>
    <phoneticPr fontId="1" type="noConversion"/>
  </si>
  <si>
    <t>赵国</t>
    <phoneticPr fontId="1" type="noConversion"/>
  </si>
  <si>
    <t>韩国</t>
    <phoneticPr fontId="1" type="noConversion"/>
  </si>
  <si>
    <t>664+825</t>
  </si>
  <si>
    <t>623+802</t>
  </si>
  <si>
    <t>936+661</t>
  </si>
  <si>
    <t>909+643</t>
  </si>
  <si>
    <t>863+649</t>
  </si>
  <si>
    <t>851+643</t>
  </si>
  <si>
    <t>863+611</t>
  </si>
  <si>
    <t>844+610</t>
  </si>
  <si>
    <t>808+672</t>
  </si>
  <si>
    <t>751+721</t>
  </si>
  <si>
    <t>780+730</t>
  </si>
  <si>
    <t>739+735</t>
  </si>
  <si>
    <t>722+758</t>
  </si>
  <si>
    <t>729+772</t>
  </si>
  <si>
    <t>727+799</t>
  </si>
  <si>
    <t>740+822</t>
  </si>
  <si>
    <t>720+819</t>
  </si>
  <si>
    <t>706+842</t>
  </si>
  <si>
    <t>692+851</t>
  </si>
  <si>
    <t>700+890</t>
  </si>
  <si>
    <t>726+897</t>
  </si>
  <si>
    <t>681+836</t>
  </si>
  <si>
    <t>650+792</t>
  </si>
  <si>
    <t>730+688</t>
  </si>
  <si>
    <t>771+579</t>
  </si>
  <si>
    <t>749+568</t>
  </si>
  <si>
    <t>832+509</t>
  </si>
  <si>
    <t>846+467</t>
  </si>
  <si>
    <t>836+401</t>
  </si>
  <si>
    <t>802+395</t>
  </si>
  <si>
    <t>877+390</t>
  </si>
  <si>
    <t>853+375</t>
  </si>
  <si>
    <t>714+574</t>
  </si>
  <si>
    <t>586+493</t>
  </si>
  <si>
    <t>568+484</t>
  </si>
  <si>
    <t>634+513</t>
  </si>
  <si>
    <t>624+541</t>
  </si>
  <si>
    <t>536+499</t>
  </si>
  <si>
    <t>528+492</t>
  </si>
  <si>
    <t>750+923</t>
  </si>
  <si>
    <t>736+939</t>
  </si>
  <si>
    <t>711+926</t>
  </si>
  <si>
    <t>775+889</t>
  </si>
  <si>
    <t>750+878</t>
  </si>
  <si>
    <t>671+875</t>
  </si>
  <si>
    <t>690+875</t>
  </si>
  <si>
    <t>649+899</t>
  </si>
  <si>
    <t>640+952</t>
  </si>
  <si>
    <t>615+964</t>
  </si>
  <si>
    <t>595+932</t>
  </si>
  <si>
    <t>592+961</t>
  </si>
  <si>
    <t>623+909</t>
  </si>
  <si>
    <t>613+892</t>
  </si>
  <si>
    <t>608+867</t>
  </si>
  <si>
    <t>677+812</t>
  </si>
  <si>
    <t>736+839</t>
  </si>
  <si>
    <t>741+862</t>
  </si>
  <si>
    <t>700+805</t>
  </si>
  <si>
    <t>764+845</t>
  </si>
  <si>
    <t>778+866</t>
  </si>
  <si>
    <t>786+844</t>
  </si>
  <si>
    <t>800+859</t>
  </si>
  <si>
    <t>794+890</t>
  </si>
  <si>
    <t>814+897</t>
  </si>
  <si>
    <t>797+926</t>
  </si>
  <si>
    <t>846+936</t>
  </si>
  <si>
    <t>876+942</t>
  </si>
  <si>
    <t>911+964</t>
  </si>
  <si>
    <t>928+931</t>
  </si>
  <si>
    <t>904+903</t>
  </si>
  <si>
    <t>871+914</t>
  </si>
  <si>
    <t>847+883</t>
  </si>
  <si>
    <t>839+850</t>
  </si>
  <si>
    <t>821+820</t>
  </si>
  <si>
    <t>798+825</t>
  </si>
  <si>
    <t>771+817</t>
  </si>
  <si>
    <t>749+792</t>
  </si>
  <si>
    <t>717+784</t>
  </si>
  <si>
    <t>692+777</t>
  </si>
  <si>
    <t>677+781</t>
  </si>
  <si>
    <t>656+770</t>
  </si>
  <si>
    <t>633+792</t>
  </si>
  <si>
    <t>615+836</t>
  </si>
  <si>
    <t>612+781</t>
  </si>
  <si>
    <t>591+799</t>
  </si>
  <si>
    <t>574+827</t>
  </si>
  <si>
    <t>569+866</t>
  </si>
  <si>
    <t>548+892</t>
  </si>
  <si>
    <t>555+860</t>
  </si>
  <si>
    <t>538+876</t>
  </si>
  <si>
    <t>516+883</t>
  </si>
  <si>
    <t>478+869</t>
  </si>
  <si>
    <t>471+842</t>
  </si>
  <si>
    <t>544+784</t>
  </si>
  <si>
    <t>569+758</t>
  </si>
  <si>
    <t>493+823</t>
  </si>
  <si>
    <t>544+767</t>
  </si>
  <si>
    <t>285+716</t>
  </si>
  <si>
    <t>738+792</t>
  </si>
  <si>
    <t>660+861</t>
  </si>
  <si>
    <t>701+794</t>
  </si>
  <si>
    <t>672+802</t>
  </si>
  <si>
    <t>659+856</t>
  </si>
  <si>
    <t>618+861</t>
  </si>
  <si>
    <t>594+866</t>
  </si>
  <si>
    <t>583+890</t>
  </si>
  <si>
    <t>596+915</t>
  </si>
  <si>
    <t>575+945</t>
  </si>
  <si>
    <t>557+939</t>
  </si>
  <si>
    <t>530+940</t>
  </si>
  <si>
    <t>484+939</t>
  </si>
  <si>
    <t>514+922</t>
  </si>
  <si>
    <t>472+919</t>
  </si>
  <si>
    <t>460+870</t>
  </si>
  <si>
    <t>441+848</t>
  </si>
  <si>
    <t>428+817</t>
  </si>
  <si>
    <t>418+839</t>
  </si>
  <si>
    <t>489+733</t>
  </si>
  <si>
    <t>500+708</t>
  </si>
  <si>
    <t>586+668</t>
  </si>
  <si>
    <t>605+657</t>
  </si>
  <si>
    <t>687+767</t>
  </si>
  <si>
    <t>707+755</t>
  </si>
  <si>
    <t>740+758</t>
  </si>
  <si>
    <t>767+744</t>
  </si>
  <si>
    <t>729+724</t>
  </si>
  <si>
    <t>692+735</t>
  </si>
  <si>
    <t>717+728</t>
  </si>
  <si>
    <t>706+711</t>
  </si>
  <si>
    <t>568+657</t>
  </si>
  <si>
    <t>569+596</t>
  </si>
  <si>
    <t>633+638</t>
  </si>
  <si>
    <t>508+813</t>
  </si>
  <si>
    <t>505+872</t>
  </si>
  <si>
    <t>484+814</t>
  </si>
  <si>
    <t>581+805</t>
  </si>
  <si>
    <t>592+844</t>
  </si>
  <si>
    <t>580+920</t>
  </si>
  <si>
    <t>642+886</t>
  </si>
  <si>
    <t>493+917</t>
  </si>
  <si>
    <t>464+900</t>
  </si>
  <si>
    <t>428+887</t>
  </si>
  <si>
    <t>436+794</t>
  </si>
  <si>
    <t>521+739</t>
  </si>
  <si>
    <t>716+867</t>
  </si>
  <si>
    <t>735+878</t>
  </si>
  <si>
    <t>748+906</t>
  </si>
  <si>
    <t>631+772</t>
  </si>
  <si>
    <t>725+848</t>
  </si>
  <si>
    <t>772+949</t>
  </si>
  <si>
    <t>808+912</t>
  </si>
  <si>
    <t>760+823</t>
  </si>
  <si>
    <t>642+697</t>
  </si>
  <si>
    <t>517+724</t>
  </si>
  <si>
    <t>407+694</t>
  </si>
  <si>
    <t>380+809</t>
  </si>
  <si>
    <t>355+843</t>
  </si>
  <si>
    <t>382+861</t>
  </si>
  <si>
    <t>368+892</t>
  </si>
  <si>
    <t>506+636</t>
  </si>
  <si>
    <t>428+665</t>
  </si>
  <si>
    <t>414+661</t>
  </si>
  <si>
    <t>489+625</t>
  </si>
  <si>
    <t>544+658</t>
  </si>
  <si>
    <t>535+666</t>
  </si>
  <si>
    <t>488+678</t>
  </si>
  <si>
    <t>455+580</t>
  </si>
  <si>
    <t>509+603</t>
  </si>
  <si>
    <t>494+789</t>
  </si>
  <si>
    <t>450+780</t>
  </si>
  <si>
    <t>455+823</t>
  </si>
  <si>
    <t>420+784</t>
  </si>
  <si>
    <t>394+674</t>
  </si>
  <si>
    <t>455+538</t>
  </si>
  <si>
    <t>381+702</t>
  </si>
  <si>
    <t>359+644</t>
  </si>
  <si>
    <t>352+593</t>
  </si>
  <si>
    <t>381+530</t>
  </si>
  <si>
    <t>480+516</t>
  </si>
  <si>
    <t>419+505</t>
  </si>
  <si>
    <t>610+537</t>
  </si>
  <si>
    <t>605+730</t>
  </si>
  <si>
    <t>556+746</t>
  </si>
  <si>
    <t>392+831</t>
  </si>
  <si>
    <t xml:space="preserve"> </t>
    <phoneticPr fontId="1" type="noConversion"/>
  </si>
  <si>
    <t>点位顺序</t>
    <phoneticPr fontId="1" type="noConversion"/>
  </si>
  <si>
    <t>齐国类型</t>
    <phoneticPr fontId="1" type="noConversion"/>
  </si>
  <si>
    <t>赵国类型</t>
    <phoneticPr fontId="1" type="noConversion"/>
  </si>
  <si>
    <t>韩国类型</t>
    <phoneticPr fontId="1" type="noConversion"/>
  </si>
  <si>
    <t>燕国类型</t>
    <phoneticPr fontId="1" type="noConversion"/>
  </si>
  <si>
    <t>655+739</t>
  </si>
  <si>
    <t>629+850</t>
  </si>
  <si>
    <t>653+851</t>
  </si>
  <si>
    <t>535+859</t>
  </si>
  <si>
    <t>➡</t>
    <phoneticPr fontId="1" type="noConversion"/>
  </si>
  <si>
    <t>⬆</t>
    <phoneticPr fontId="1" type="noConversion"/>
  </si>
  <si>
    <t>↗</t>
    <phoneticPr fontId="1" type="noConversion"/>
  </si>
  <si>
    <t>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</si>
</sst>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2"/>
    </font>
    <font>
      <sz val="9"/>
      <color theme="1"/>
      <name val="宋体"/>
      <family val="2"/>
      <scheme val="minor"/>
    </font>
    <font>
      <sz val="9"/>
      <color rgb="FFFF0000"/>
      <name val="宋体"/>
      <family val="3"/>
      <charset val="134"/>
      <scheme val="major"/>
    </font>
    <font>
      <sz val="9"/>
      <color theme="1"/>
      <name val="宋体"/>
      <family val="3"/>
      <charset val="134"/>
      <scheme val="major"/>
    </font>
    <font>
      <sz val="9"/>
      <color theme="1"/>
      <name val="宋体"/>
      <family val="2"/>
      <scheme val="major"/>
    </font>
    <font>
      <sz val="9"/>
      <color theme="1"/>
      <name val="Segoe UI Symbol"/>
      <family val="3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/>
    <xf numFmtId="0" fontId="2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0</xdr:row>
      <xdr:rowOff>0</xdr:rowOff>
    </xdr:from>
    <xdr:to>
      <xdr:col>32</xdr:col>
      <xdr:colOff>419100</xdr:colOff>
      <xdr:row>49</xdr:row>
      <xdr:rowOff>83423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9A290F5-8C76-48F2-ABB0-F84AA9037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9975" y="0"/>
          <a:ext cx="9153525" cy="7084298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3</xdr:row>
      <xdr:rowOff>47625</xdr:rowOff>
    </xdr:from>
    <xdr:to>
      <xdr:col>18</xdr:col>
      <xdr:colOff>438150</xdr:colOff>
      <xdr:row>8</xdr:row>
      <xdr:rowOff>85725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86D5B30D-8DD2-40B5-B340-0921EC445C60}"/>
            </a:ext>
          </a:extLst>
        </xdr:cNvPr>
        <xdr:cNvSpPr/>
      </xdr:nvSpPr>
      <xdr:spPr>
        <a:xfrm>
          <a:off x="7981950" y="476250"/>
          <a:ext cx="1543050" cy="7524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各国初始郡县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485775</xdr:colOff>
      <xdr:row>0</xdr:row>
      <xdr:rowOff>0</xdr:rowOff>
    </xdr:from>
    <xdr:to>
      <xdr:col>84</xdr:col>
      <xdr:colOff>47625</xdr:colOff>
      <xdr:row>49</xdr:row>
      <xdr:rowOff>83423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974ECCE-6A26-42F3-9D05-BCBC30610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69125" y="0"/>
          <a:ext cx="9153525" cy="7084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56"/>
  <sheetViews>
    <sheetView topLeftCell="A25" zoomScaleNormal="100" workbookViewId="0">
      <selection activeCell="T62" sqref="T62"/>
    </sheetView>
  </sheetViews>
  <sheetFormatPr defaultColWidth="6.625" defaultRowHeight="11.25" x14ac:dyDescent="0.15"/>
  <cols>
    <col min="1" max="16384" width="6.625" style="1"/>
  </cols>
  <sheetData>
    <row r="1" spans="1:9" x14ac:dyDescent="0.15">
      <c r="A1" s="5" t="s">
        <v>465</v>
      </c>
    </row>
    <row r="3" spans="1:9" x14ac:dyDescent="0.15">
      <c r="B3" s="1" t="s">
        <v>486</v>
      </c>
      <c r="C3" s="1" t="s">
        <v>459</v>
      </c>
      <c r="D3" s="1" t="s">
        <v>460</v>
      </c>
      <c r="E3" s="1" t="s">
        <v>461</v>
      </c>
      <c r="F3" s="1" t="s">
        <v>462</v>
      </c>
      <c r="G3" s="1" t="s">
        <v>463</v>
      </c>
      <c r="H3" s="1" t="s">
        <v>467</v>
      </c>
      <c r="I3" s="1" t="s">
        <v>468</v>
      </c>
    </row>
    <row r="4" spans="1:9" x14ac:dyDescent="0.15">
      <c r="B4" s="1">
        <v>0</v>
      </c>
      <c r="C4" s="1">
        <v>2</v>
      </c>
      <c r="D4" s="1">
        <v>0</v>
      </c>
      <c r="E4" s="1">
        <v>0</v>
      </c>
      <c r="F4" s="1">
        <v>0</v>
      </c>
      <c r="G4" s="1">
        <f>SUM(C4:F4)</f>
        <v>2</v>
      </c>
      <c r="H4" s="1">
        <v>1</v>
      </c>
      <c r="I4" s="1">
        <f>ROUNDUP(G4/2,0)</f>
        <v>1</v>
      </c>
    </row>
    <row r="5" spans="1:9" x14ac:dyDescent="0.15">
      <c r="B5" s="1">
        <v>1</v>
      </c>
      <c r="C5" s="1">
        <v>2</v>
      </c>
      <c r="D5" s="1">
        <v>0</v>
      </c>
      <c r="E5" s="1">
        <v>1</v>
      </c>
      <c r="F5" s="1">
        <v>0</v>
      </c>
      <c r="G5" s="1">
        <f t="shared" ref="G5:G24" si="0">SUM(C5:F5)</f>
        <v>3</v>
      </c>
      <c r="H5" s="1">
        <v>1</v>
      </c>
      <c r="I5" s="1">
        <f t="shared" ref="I5:I24" si="1">ROUNDUP(G5/2,0)</f>
        <v>2</v>
      </c>
    </row>
    <row r="6" spans="1:9" x14ac:dyDescent="0.15">
      <c r="B6" s="1">
        <v>2</v>
      </c>
      <c r="C6" s="1">
        <v>2</v>
      </c>
      <c r="D6" s="1">
        <v>1</v>
      </c>
      <c r="E6" s="1">
        <v>1</v>
      </c>
      <c r="F6" s="1">
        <v>0</v>
      </c>
      <c r="G6" s="1">
        <f t="shared" si="0"/>
        <v>4</v>
      </c>
      <c r="H6" s="1">
        <v>1</v>
      </c>
      <c r="I6" s="1">
        <f t="shared" si="1"/>
        <v>2</v>
      </c>
    </row>
    <row r="7" spans="1:9" x14ac:dyDescent="0.15">
      <c r="B7" s="1">
        <v>3</v>
      </c>
      <c r="C7" s="1">
        <v>3</v>
      </c>
      <c r="D7" s="1">
        <v>0</v>
      </c>
      <c r="E7" s="1">
        <v>1</v>
      </c>
      <c r="F7" s="1">
        <v>1</v>
      </c>
      <c r="G7" s="1">
        <f t="shared" si="0"/>
        <v>5</v>
      </c>
      <c r="H7" s="1">
        <v>1</v>
      </c>
      <c r="I7" s="1">
        <f t="shared" si="1"/>
        <v>3</v>
      </c>
    </row>
    <row r="8" spans="1:9" x14ac:dyDescent="0.15">
      <c r="B8" s="1">
        <v>4</v>
      </c>
      <c r="C8" s="1">
        <v>3</v>
      </c>
      <c r="D8" s="1">
        <v>1</v>
      </c>
      <c r="E8" s="1">
        <v>1</v>
      </c>
      <c r="F8" s="1">
        <v>0</v>
      </c>
      <c r="G8" s="1">
        <f t="shared" si="0"/>
        <v>5</v>
      </c>
      <c r="H8" s="1">
        <v>1</v>
      </c>
      <c r="I8" s="1">
        <f t="shared" si="1"/>
        <v>3</v>
      </c>
    </row>
    <row r="9" spans="1:9" x14ac:dyDescent="0.15">
      <c r="B9" s="1">
        <v>5</v>
      </c>
      <c r="C9" s="1">
        <v>3</v>
      </c>
      <c r="D9" s="1">
        <v>0</v>
      </c>
      <c r="E9" s="1">
        <v>1</v>
      </c>
      <c r="F9" s="1">
        <v>1</v>
      </c>
      <c r="G9" s="1">
        <f t="shared" si="0"/>
        <v>5</v>
      </c>
      <c r="H9" s="1">
        <v>1</v>
      </c>
      <c r="I9" s="1">
        <f t="shared" si="1"/>
        <v>3</v>
      </c>
    </row>
    <row r="10" spans="1:9" x14ac:dyDescent="0.15">
      <c r="B10" s="1">
        <v>6</v>
      </c>
      <c r="C10" s="1">
        <v>4</v>
      </c>
      <c r="D10" s="1">
        <v>1</v>
      </c>
      <c r="E10" s="1">
        <v>1</v>
      </c>
      <c r="F10" s="1">
        <v>0</v>
      </c>
      <c r="G10" s="1">
        <f t="shared" si="0"/>
        <v>6</v>
      </c>
      <c r="H10" s="1">
        <v>1</v>
      </c>
      <c r="I10" s="1">
        <f t="shared" si="1"/>
        <v>3</v>
      </c>
    </row>
    <row r="11" spans="1:9" x14ac:dyDescent="0.15">
      <c r="B11" s="1">
        <v>7</v>
      </c>
      <c r="C11" s="1">
        <v>4</v>
      </c>
      <c r="D11" s="1">
        <v>0</v>
      </c>
      <c r="E11" s="1">
        <v>2</v>
      </c>
      <c r="F11" s="1">
        <v>1</v>
      </c>
      <c r="G11" s="1">
        <f t="shared" si="0"/>
        <v>7</v>
      </c>
      <c r="H11" s="1">
        <v>2</v>
      </c>
      <c r="I11" s="1">
        <f t="shared" si="1"/>
        <v>4</v>
      </c>
    </row>
    <row r="12" spans="1:9" x14ac:dyDescent="0.15">
      <c r="B12" s="1">
        <v>8</v>
      </c>
      <c r="C12" s="1">
        <v>4</v>
      </c>
      <c r="D12" s="1">
        <v>1</v>
      </c>
      <c r="E12" s="1">
        <v>2</v>
      </c>
      <c r="F12" s="1">
        <v>0</v>
      </c>
      <c r="G12" s="1">
        <f t="shared" si="0"/>
        <v>7</v>
      </c>
      <c r="H12" s="1">
        <v>2</v>
      </c>
      <c r="I12" s="1">
        <f t="shared" si="1"/>
        <v>4</v>
      </c>
    </row>
    <row r="13" spans="1:9" x14ac:dyDescent="0.15">
      <c r="B13" s="1">
        <v>9</v>
      </c>
      <c r="C13" s="1">
        <v>5</v>
      </c>
      <c r="D13" s="1">
        <v>0</v>
      </c>
      <c r="E13" s="1">
        <v>2</v>
      </c>
      <c r="F13" s="1">
        <v>1</v>
      </c>
      <c r="G13" s="1">
        <f t="shared" si="0"/>
        <v>8</v>
      </c>
      <c r="H13" s="1">
        <v>2</v>
      </c>
      <c r="I13" s="1">
        <f t="shared" si="1"/>
        <v>4</v>
      </c>
    </row>
    <row r="14" spans="1:9" x14ac:dyDescent="0.15">
      <c r="B14" s="1">
        <v>10</v>
      </c>
      <c r="C14" s="1">
        <v>5</v>
      </c>
      <c r="D14" s="1">
        <v>1</v>
      </c>
      <c r="E14" s="1">
        <v>2</v>
      </c>
      <c r="F14" s="1">
        <v>0</v>
      </c>
      <c r="G14" s="1">
        <f t="shared" si="0"/>
        <v>8</v>
      </c>
      <c r="H14" s="1">
        <v>2</v>
      </c>
      <c r="I14" s="1">
        <f t="shared" si="1"/>
        <v>4</v>
      </c>
    </row>
    <row r="15" spans="1:9" x14ac:dyDescent="0.15">
      <c r="B15" s="1">
        <v>11</v>
      </c>
      <c r="C15" s="1">
        <v>5</v>
      </c>
      <c r="D15" s="1">
        <v>0</v>
      </c>
      <c r="E15" s="1">
        <v>2</v>
      </c>
      <c r="F15" s="1">
        <v>1</v>
      </c>
      <c r="G15" s="1">
        <f t="shared" si="0"/>
        <v>8</v>
      </c>
      <c r="H15" s="1">
        <v>2</v>
      </c>
      <c r="I15" s="1">
        <f t="shared" si="1"/>
        <v>4</v>
      </c>
    </row>
    <row r="16" spans="1:9" x14ac:dyDescent="0.15">
      <c r="B16" s="1">
        <v>12</v>
      </c>
      <c r="C16" s="1">
        <v>6</v>
      </c>
      <c r="D16" s="1">
        <v>1</v>
      </c>
      <c r="E16" s="1">
        <v>2</v>
      </c>
      <c r="F16" s="1">
        <v>0</v>
      </c>
      <c r="G16" s="1">
        <f t="shared" si="0"/>
        <v>9</v>
      </c>
      <c r="H16" s="1">
        <v>2</v>
      </c>
      <c r="I16" s="1">
        <f t="shared" si="1"/>
        <v>5</v>
      </c>
    </row>
    <row r="17" spans="2:11" x14ac:dyDescent="0.15">
      <c r="B17" s="1">
        <v>13</v>
      </c>
      <c r="C17" s="1">
        <v>6</v>
      </c>
      <c r="D17" s="1">
        <v>0</v>
      </c>
      <c r="E17" s="1">
        <v>3</v>
      </c>
      <c r="F17" s="1">
        <v>1</v>
      </c>
      <c r="G17" s="1">
        <f t="shared" si="0"/>
        <v>10</v>
      </c>
      <c r="H17" s="1">
        <v>3</v>
      </c>
      <c r="I17" s="1">
        <f t="shared" si="1"/>
        <v>5</v>
      </c>
    </row>
    <row r="18" spans="2:11" x14ac:dyDescent="0.15">
      <c r="B18" s="1">
        <v>14</v>
      </c>
      <c r="C18" s="1">
        <v>6</v>
      </c>
      <c r="D18" s="1">
        <v>1</v>
      </c>
      <c r="E18" s="1">
        <v>3</v>
      </c>
      <c r="F18" s="1">
        <v>0</v>
      </c>
      <c r="G18" s="1">
        <f t="shared" si="0"/>
        <v>10</v>
      </c>
      <c r="H18" s="1">
        <v>3</v>
      </c>
      <c r="I18" s="1">
        <f t="shared" si="1"/>
        <v>5</v>
      </c>
    </row>
    <row r="19" spans="2:11" x14ac:dyDescent="0.15">
      <c r="B19" s="1">
        <v>15</v>
      </c>
      <c r="C19" s="1">
        <v>7</v>
      </c>
      <c r="D19" s="1">
        <v>0</v>
      </c>
      <c r="E19" s="1">
        <v>3</v>
      </c>
      <c r="F19" s="1">
        <v>1</v>
      </c>
      <c r="G19" s="1">
        <f t="shared" si="0"/>
        <v>11</v>
      </c>
      <c r="H19" s="1">
        <v>3</v>
      </c>
      <c r="I19" s="1">
        <f t="shared" si="1"/>
        <v>6</v>
      </c>
    </row>
    <row r="20" spans="2:11" x14ac:dyDescent="0.15">
      <c r="B20" s="1">
        <v>16</v>
      </c>
      <c r="C20" s="1">
        <v>7</v>
      </c>
      <c r="D20" s="1">
        <v>1</v>
      </c>
      <c r="E20" s="1">
        <v>3</v>
      </c>
      <c r="F20" s="1">
        <v>0</v>
      </c>
      <c r="G20" s="1">
        <f t="shared" si="0"/>
        <v>11</v>
      </c>
      <c r="H20" s="1">
        <v>3</v>
      </c>
      <c r="I20" s="1">
        <f t="shared" si="1"/>
        <v>6</v>
      </c>
    </row>
    <row r="21" spans="2:11" x14ac:dyDescent="0.15">
      <c r="B21" s="1">
        <v>17</v>
      </c>
      <c r="C21" s="1">
        <v>7</v>
      </c>
      <c r="D21" s="1">
        <v>0</v>
      </c>
      <c r="E21" s="1">
        <v>4</v>
      </c>
      <c r="F21" s="1">
        <v>1</v>
      </c>
      <c r="G21" s="1">
        <f t="shared" si="0"/>
        <v>12</v>
      </c>
      <c r="H21" s="1">
        <v>4</v>
      </c>
      <c r="I21" s="1">
        <f t="shared" si="1"/>
        <v>6</v>
      </c>
    </row>
    <row r="22" spans="2:11" x14ac:dyDescent="0.15">
      <c r="B22" s="1">
        <v>18</v>
      </c>
      <c r="C22" s="1">
        <v>8</v>
      </c>
      <c r="D22" s="1">
        <v>1</v>
      </c>
      <c r="E22" s="1">
        <v>4</v>
      </c>
      <c r="F22" s="1">
        <v>0</v>
      </c>
      <c r="G22" s="1">
        <f t="shared" si="0"/>
        <v>13</v>
      </c>
      <c r="H22" s="1">
        <v>4</v>
      </c>
      <c r="I22" s="1">
        <f t="shared" si="1"/>
        <v>7</v>
      </c>
    </row>
    <row r="23" spans="2:11" x14ac:dyDescent="0.15">
      <c r="B23" s="1">
        <v>19</v>
      </c>
      <c r="C23" s="1">
        <v>8</v>
      </c>
      <c r="D23" s="1">
        <v>0</v>
      </c>
      <c r="E23" s="1">
        <v>4</v>
      </c>
      <c r="F23" s="1">
        <v>1</v>
      </c>
      <c r="G23" s="1">
        <f t="shared" si="0"/>
        <v>13</v>
      </c>
      <c r="H23" s="1">
        <v>4</v>
      </c>
      <c r="I23" s="1">
        <f t="shared" si="1"/>
        <v>7</v>
      </c>
      <c r="K23" s="2"/>
    </row>
    <row r="24" spans="2:11" x14ac:dyDescent="0.15">
      <c r="B24" s="1">
        <v>20</v>
      </c>
      <c r="C24" s="1">
        <v>8</v>
      </c>
      <c r="D24" s="1">
        <v>1</v>
      </c>
      <c r="E24" s="1">
        <v>4</v>
      </c>
      <c r="F24" s="1">
        <v>0</v>
      </c>
      <c r="G24" s="1">
        <f t="shared" si="0"/>
        <v>13</v>
      </c>
      <c r="H24" s="1">
        <v>4</v>
      </c>
      <c r="I24" s="1">
        <f t="shared" si="1"/>
        <v>7</v>
      </c>
    </row>
    <row r="32" spans="2:11" x14ac:dyDescent="0.15">
      <c r="C32" s="1">
        <v>1</v>
      </c>
      <c r="D32" s="1">
        <v>2</v>
      </c>
      <c r="E32" s="1">
        <v>3</v>
      </c>
      <c r="F32" s="1">
        <v>4</v>
      </c>
      <c r="G32" s="1">
        <v>5</v>
      </c>
      <c r="H32" s="1">
        <v>6</v>
      </c>
      <c r="I32" s="1" t="s">
        <v>464</v>
      </c>
    </row>
    <row r="33" spans="2:9" x14ac:dyDescent="0.15">
      <c r="B33" s="1">
        <v>1</v>
      </c>
      <c r="C33" s="1" t="s">
        <v>0</v>
      </c>
      <c r="D33" s="1" t="s">
        <v>1</v>
      </c>
      <c r="E33" s="1" t="s">
        <v>2</v>
      </c>
      <c r="F33" s="1" t="s">
        <v>394</v>
      </c>
      <c r="G33" s="2"/>
      <c r="I33" s="1">
        <f>COUNTIF(C33:H33,"&lt;&gt;")</f>
        <v>4</v>
      </c>
    </row>
    <row r="34" spans="2:9" x14ac:dyDescent="0.15">
      <c r="B34" s="1">
        <v>2</v>
      </c>
      <c r="C34" s="1" t="s">
        <v>3</v>
      </c>
      <c r="D34" s="1" t="s">
        <v>4</v>
      </c>
      <c r="E34" s="1" t="s">
        <v>395</v>
      </c>
      <c r="F34" s="1" t="s">
        <v>688</v>
      </c>
      <c r="G34" s="2"/>
      <c r="I34" s="1">
        <f t="shared" ref="I34:I97" si="2">COUNTIF(C34:H34,"&lt;&gt;")</f>
        <v>4</v>
      </c>
    </row>
    <row r="35" spans="2:9" x14ac:dyDescent="0.15">
      <c r="B35" s="1">
        <v>3</v>
      </c>
      <c r="C35" s="1" t="s">
        <v>5</v>
      </c>
      <c r="D35" s="1" t="s">
        <v>6</v>
      </c>
      <c r="E35" s="1" t="s">
        <v>586</v>
      </c>
      <c r="G35" s="2"/>
      <c r="I35" s="1">
        <f t="shared" si="2"/>
        <v>3</v>
      </c>
    </row>
    <row r="36" spans="2:9" x14ac:dyDescent="0.15">
      <c r="B36" s="1">
        <v>4</v>
      </c>
      <c r="C36" s="1" t="s">
        <v>7</v>
      </c>
      <c r="D36" s="1" t="s">
        <v>8</v>
      </c>
      <c r="E36" s="1" t="s">
        <v>415</v>
      </c>
      <c r="G36" s="2"/>
      <c r="I36" s="1">
        <f t="shared" si="2"/>
        <v>3</v>
      </c>
    </row>
    <row r="37" spans="2:9" x14ac:dyDescent="0.15">
      <c r="B37" s="1">
        <v>5</v>
      </c>
      <c r="C37" s="1" t="s">
        <v>9</v>
      </c>
      <c r="D37" s="1" t="s">
        <v>10</v>
      </c>
      <c r="E37" s="1" t="s">
        <v>414</v>
      </c>
      <c r="F37" s="1" t="s">
        <v>689</v>
      </c>
      <c r="G37" s="2"/>
      <c r="I37" s="1">
        <f t="shared" si="2"/>
        <v>4</v>
      </c>
    </row>
    <row r="38" spans="2:9" x14ac:dyDescent="0.15">
      <c r="B38" s="1">
        <v>6</v>
      </c>
      <c r="C38" s="1" t="s">
        <v>11</v>
      </c>
      <c r="D38" s="1" t="s">
        <v>12</v>
      </c>
      <c r="E38" s="1" t="s">
        <v>13</v>
      </c>
      <c r="F38" s="1" t="s">
        <v>387</v>
      </c>
      <c r="G38" s="2" t="s">
        <v>436</v>
      </c>
      <c r="I38" s="1">
        <f t="shared" si="2"/>
        <v>5</v>
      </c>
    </row>
    <row r="39" spans="2:9" x14ac:dyDescent="0.15">
      <c r="B39" s="1">
        <v>7</v>
      </c>
      <c r="C39" s="1" t="s">
        <v>14</v>
      </c>
      <c r="D39" s="1" t="s">
        <v>15</v>
      </c>
      <c r="E39" s="1" t="s">
        <v>16</v>
      </c>
      <c r="F39" s="1" t="s">
        <v>587</v>
      </c>
      <c r="G39" s="2"/>
      <c r="I39" s="1">
        <f t="shared" si="2"/>
        <v>4</v>
      </c>
    </row>
    <row r="40" spans="2:9" x14ac:dyDescent="0.15">
      <c r="B40" s="1">
        <v>8</v>
      </c>
      <c r="C40" s="1" t="s">
        <v>17</v>
      </c>
      <c r="D40" s="1" t="s">
        <v>18</v>
      </c>
      <c r="E40" s="1" t="s">
        <v>19</v>
      </c>
      <c r="F40" s="1" t="s">
        <v>588</v>
      </c>
      <c r="G40" s="2"/>
      <c r="I40" s="1">
        <f t="shared" si="2"/>
        <v>4</v>
      </c>
    </row>
    <row r="41" spans="2:9" x14ac:dyDescent="0.15">
      <c r="B41" s="1">
        <v>9</v>
      </c>
      <c r="C41" s="1" t="s">
        <v>20</v>
      </c>
      <c r="D41" s="1" t="s">
        <v>21</v>
      </c>
      <c r="E41" s="1" t="s">
        <v>22</v>
      </c>
      <c r="F41" s="1" t="s">
        <v>386</v>
      </c>
      <c r="G41" s="2" t="s">
        <v>438</v>
      </c>
      <c r="I41" s="1">
        <f t="shared" si="2"/>
        <v>5</v>
      </c>
    </row>
    <row r="42" spans="2:9" x14ac:dyDescent="0.15">
      <c r="B42" s="1">
        <v>10</v>
      </c>
      <c r="C42" s="1" t="s">
        <v>23</v>
      </c>
      <c r="D42" s="1" t="s">
        <v>24</v>
      </c>
      <c r="E42" s="1" t="s">
        <v>25</v>
      </c>
      <c r="F42" s="1" t="s">
        <v>412</v>
      </c>
      <c r="G42" s="2"/>
      <c r="I42" s="1">
        <f t="shared" si="2"/>
        <v>4</v>
      </c>
    </row>
    <row r="43" spans="2:9" x14ac:dyDescent="0.15">
      <c r="B43" s="1">
        <v>11</v>
      </c>
      <c r="C43" s="1" t="s">
        <v>26</v>
      </c>
      <c r="D43" s="1" t="s">
        <v>27</v>
      </c>
      <c r="E43" s="1" t="s">
        <v>28</v>
      </c>
      <c r="F43" s="1" t="s">
        <v>396</v>
      </c>
      <c r="G43" s="2"/>
      <c r="I43" s="1">
        <f t="shared" si="2"/>
        <v>4</v>
      </c>
    </row>
    <row r="44" spans="2:9" x14ac:dyDescent="0.15">
      <c r="B44" s="1">
        <v>12</v>
      </c>
      <c r="C44" s="1" t="s">
        <v>29</v>
      </c>
      <c r="D44" s="1" t="s">
        <v>30</v>
      </c>
      <c r="E44" s="1" t="s">
        <v>31</v>
      </c>
      <c r="F44" s="1" t="s">
        <v>690</v>
      </c>
      <c r="G44" s="2"/>
      <c r="I44" s="1">
        <f t="shared" si="2"/>
        <v>4</v>
      </c>
    </row>
    <row r="45" spans="2:9" x14ac:dyDescent="0.15">
      <c r="B45" s="1">
        <v>13</v>
      </c>
      <c r="C45" s="1" t="s">
        <v>32</v>
      </c>
      <c r="D45" s="1" t="s">
        <v>33</v>
      </c>
      <c r="E45" s="1" t="s">
        <v>589</v>
      </c>
      <c r="G45" s="2"/>
      <c r="I45" s="1">
        <f t="shared" si="2"/>
        <v>3</v>
      </c>
    </row>
    <row r="46" spans="2:9" x14ac:dyDescent="0.15">
      <c r="B46" s="1">
        <v>14</v>
      </c>
      <c r="C46" s="1" t="s">
        <v>34</v>
      </c>
      <c r="D46" s="1" t="s">
        <v>35</v>
      </c>
      <c r="E46" s="1" t="s">
        <v>590</v>
      </c>
      <c r="G46" s="2"/>
      <c r="I46" s="1">
        <f t="shared" si="2"/>
        <v>3</v>
      </c>
    </row>
    <row r="47" spans="2:9" x14ac:dyDescent="0.15">
      <c r="B47" s="1">
        <v>15</v>
      </c>
      <c r="C47" s="1" t="s">
        <v>36</v>
      </c>
      <c r="D47" s="1" t="s">
        <v>37</v>
      </c>
      <c r="E47" s="1" t="s">
        <v>413</v>
      </c>
      <c r="F47" s="1" t="s">
        <v>452</v>
      </c>
      <c r="G47" s="2"/>
      <c r="I47" s="1">
        <f t="shared" si="2"/>
        <v>4</v>
      </c>
    </row>
    <row r="48" spans="2:9" x14ac:dyDescent="0.15">
      <c r="B48" s="1">
        <v>16</v>
      </c>
      <c r="C48" s="1" t="s">
        <v>38</v>
      </c>
      <c r="D48" s="1" t="s">
        <v>39</v>
      </c>
      <c r="E48" s="1" t="s">
        <v>397</v>
      </c>
      <c r="F48" s="1" t="s">
        <v>449</v>
      </c>
      <c r="G48" s="2"/>
      <c r="I48" s="1">
        <f t="shared" si="2"/>
        <v>4</v>
      </c>
    </row>
    <row r="49" spans="2:21" x14ac:dyDescent="0.15">
      <c r="B49" s="1">
        <v>17</v>
      </c>
      <c r="C49" s="1" t="s">
        <v>40</v>
      </c>
      <c r="D49" s="1" t="s">
        <v>41</v>
      </c>
      <c r="E49" s="1" t="s">
        <v>429</v>
      </c>
      <c r="G49" s="2"/>
      <c r="I49" s="1">
        <f t="shared" si="2"/>
        <v>3</v>
      </c>
    </row>
    <row r="50" spans="2:21" x14ac:dyDescent="0.15">
      <c r="B50" s="1">
        <v>18</v>
      </c>
      <c r="C50" s="1" t="s">
        <v>42</v>
      </c>
      <c r="D50" s="1" t="s">
        <v>43</v>
      </c>
      <c r="E50" s="1" t="s">
        <v>398</v>
      </c>
      <c r="F50" s="1" t="s">
        <v>591</v>
      </c>
      <c r="G50" s="2"/>
      <c r="I50" s="1">
        <f t="shared" si="2"/>
        <v>4</v>
      </c>
    </row>
    <row r="51" spans="2:21" x14ac:dyDescent="0.15">
      <c r="B51" s="1">
        <v>19</v>
      </c>
      <c r="C51" s="1" t="s">
        <v>44</v>
      </c>
      <c r="D51" s="1" t="s">
        <v>45</v>
      </c>
      <c r="E51" s="1" t="s">
        <v>411</v>
      </c>
      <c r="G51" s="2"/>
      <c r="I51" s="1">
        <f t="shared" si="2"/>
        <v>3</v>
      </c>
    </row>
    <row r="52" spans="2:21" x14ac:dyDescent="0.15">
      <c r="B52" s="1">
        <v>20</v>
      </c>
      <c r="C52" s="1" t="s">
        <v>46</v>
      </c>
      <c r="D52" s="1" t="s">
        <v>47</v>
      </c>
      <c r="E52" s="1" t="s">
        <v>48</v>
      </c>
      <c r="F52" s="1" t="s">
        <v>399</v>
      </c>
      <c r="G52" s="2" t="s">
        <v>448</v>
      </c>
      <c r="I52" s="1">
        <f t="shared" si="2"/>
        <v>5</v>
      </c>
    </row>
    <row r="53" spans="2:21" x14ac:dyDescent="0.15">
      <c r="B53" s="1">
        <v>21</v>
      </c>
      <c r="C53" s="1" t="s">
        <v>49</v>
      </c>
      <c r="D53" s="1" t="s">
        <v>50</v>
      </c>
      <c r="E53" s="1" t="s">
        <v>51</v>
      </c>
      <c r="F53" s="1" t="s">
        <v>385</v>
      </c>
      <c r="G53" s="2" t="s">
        <v>437</v>
      </c>
      <c r="H53" s="1" t="s">
        <v>439</v>
      </c>
      <c r="I53" s="1">
        <f t="shared" si="2"/>
        <v>6</v>
      </c>
    </row>
    <row r="54" spans="2:21" x14ac:dyDescent="0.15">
      <c r="B54" s="1">
        <v>22</v>
      </c>
      <c r="C54" s="1" t="s">
        <v>52</v>
      </c>
      <c r="D54" s="1" t="s">
        <v>53</v>
      </c>
      <c r="G54" s="2"/>
      <c r="I54" s="1">
        <f t="shared" si="2"/>
        <v>2</v>
      </c>
    </row>
    <row r="55" spans="2:21" x14ac:dyDescent="0.15">
      <c r="B55" s="1">
        <v>23</v>
      </c>
      <c r="C55" s="1" t="s">
        <v>54</v>
      </c>
      <c r="D55" s="1" t="s">
        <v>55</v>
      </c>
      <c r="E55" s="1" t="s">
        <v>427</v>
      </c>
      <c r="F55" s="1" t="s">
        <v>691</v>
      </c>
      <c r="G55" s="2"/>
      <c r="I55" s="1">
        <f t="shared" si="2"/>
        <v>4</v>
      </c>
    </row>
    <row r="56" spans="2:21" x14ac:dyDescent="0.15">
      <c r="B56" s="1">
        <v>24</v>
      </c>
      <c r="C56" s="1" t="s">
        <v>56</v>
      </c>
      <c r="D56" s="1" t="s">
        <v>57</v>
      </c>
      <c r="E56" s="1" t="s">
        <v>592</v>
      </c>
      <c r="F56" s="1" t="s">
        <v>737</v>
      </c>
      <c r="G56" s="2"/>
      <c r="I56" s="1">
        <f t="shared" si="2"/>
        <v>4</v>
      </c>
    </row>
    <row r="57" spans="2:21" x14ac:dyDescent="0.15">
      <c r="B57" s="1">
        <v>25</v>
      </c>
      <c r="C57" s="1" t="s">
        <v>58</v>
      </c>
      <c r="D57" s="1" t="s">
        <v>59</v>
      </c>
      <c r="E57" s="1" t="s">
        <v>593</v>
      </c>
      <c r="G57" s="2"/>
      <c r="I57" s="1">
        <f t="shared" si="2"/>
        <v>3</v>
      </c>
    </row>
    <row r="58" spans="2:21" x14ac:dyDescent="0.15">
      <c r="B58" s="1">
        <v>26</v>
      </c>
      <c r="C58" s="1" t="s">
        <v>60</v>
      </c>
      <c r="D58" s="1" t="s">
        <v>61</v>
      </c>
      <c r="G58" s="2"/>
      <c r="I58" s="1">
        <f t="shared" si="2"/>
        <v>2</v>
      </c>
      <c r="T58" s="3"/>
    </row>
    <row r="59" spans="2:21" x14ac:dyDescent="0.15">
      <c r="B59" s="1">
        <v>27</v>
      </c>
      <c r="C59" s="1" t="s">
        <v>62</v>
      </c>
      <c r="D59" s="1" t="s">
        <v>63</v>
      </c>
      <c r="G59" s="2"/>
      <c r="I59" s="1">
        <f t="shared" si="2"/>
        <v>2</v>
      </c>
      <c r="T59" s="3"/>
    </row>
    <row r="60" spans="2:21" x14ac:dyDescent="0.15">
      <c r="B60" s="1">
        <v>28</v>
      </c>
      <c r="C60" s="1" t="s">
        <v>64</v>
      </c>
      <c r="D60" s="1" t="s">
        <v>65</v>
      </c>
      <c r="E60" s="1" t="s">
        <v>416</v>
      </c>
      <c r="G60" s="2"/>
      <c r="I60" s="1">
        <f t="shared" si="2"/>
        <v>3</v>
      </c>
      <c r="T60" s="3"/>
    </row>
    <row r="61" spans="2:21" x14ac:dyDescent="0.15">
      <c r="B61" s="1">
        <v>29</v>
      </c>
      <c r="C61" s="1" t="s">
        <v>66</v>
      </c>
      <c r="D61" s="1" t="s">
        <v>67</v>
      </c>
      <c r="G61" s="2"/>
      <c r="I61" s="1">
        <f t="shared" si="2"/>
        <v>2</v>
      </c>
      <c r="O61" s="1" t="s">
        <v>1007</v>
      </c>
      <c r="U61" s="3"/>
    </row>
    <row r="62" spans="2:21" x14ac:dyDescent="0.15">
      <c r="B62" s="1">
        <v>30</v>
      </c>
      <c r="C62" s="1" t="s">
        <v>68</v>
      </c>
      <c r="D62" s="1" t="s">
        <v>69</v>
      </c>
      <c r="E62" s="1" t="s">
        <v>428</v>
      </c>
      <c r="G62" s="2"/>
      <c r="I62" s="1">
        <f t="shared" si="2"/>
        <v>3</v>
      </c>
      <c r="T62" s="3"/>
    </row>
    <row r="63" spans="2:21" x14ac:dyDescent="0.15">
      <c r="B63" s="1">
        <v>31</v>
      </c>
      <c r="C63" s="1" t="s">
        <v>70</v>
      </c>
      <c r="D63" s="1" t="s">
        <v>71</v>
      </c>
      <c r="E63" s="1" t="s">
        <v>417</v>
      </c>
      <c r="F63" s="1" t="s">
        <v>594</v>
      </c>
      <c r="G63" s="2"/>
      <c r="I63" s="1">
        <f t="shared" si="2"/>
        <v>4</v>
      </c>
      <c r="T63" s="3"/>
    </row>
    <row r="64" spans="2:21" x14ac:dyDescent="0.15">
      <c r="B64" s="1">
        <v>32</v>
      </c>
      <c r="C64" s="1" t="s">
        <v>72</v>
      </c>
      <c r="D64" s="1" t="s">
        <v>73</v>
      </c>
      <c r="E64" s="1" t="s">
        <v>595</v>
      </c>
      <c r="G64" s="2"/>
      <c r="I64" s="1">
        <f t="shared" si="2"/>
        <v>3</v>
      </c>
      <c r="T64" s="3"/>
    </row>
    <row r="65" spans="2:23" x14ac:dyDescent="0.15">
      <c r="B65" s="1">
        <v>33</v>
      </c>
      <c r="C65" s="1" t="s">
        <v>74</v>
      </c>
      <c r="D65" s="1" t="s">
        <v>75</v>
      </c>
      <c r="G65" s="2"/>
      <c r="I65" s="1">
        <f t="shared" si="2"/>
        <v>2</v>
      </c>
      <c r="V65" s="3"/>
    </row>
    <row r="66" spans="2:23" x14ac:dyDescent="0.15">
      <c r="B66" s="1">
        <v>34</v>
      </c>
      <c r="C66" s="1" t="s">
        <v>76</v>
      </c>
      <c r="D66" s="1" t="s">
        <v>77</v>
      </c>
      <c r="E66" s="1" t="s">
        <v>733</v>
      </c>
      <c r="G66" s="2"/>
      <c r="I66" s="1">
        <f t="shared" si="2"/>
        <v>3</v>
      </c>
      <c r="W66" s="3"/>
    </row>
    <row r="67" spans="2:23" x14ac:dyDescent="0.15">
      <c r="B67" s="1">
        <v>35</v>
      </c>
      <c r="C67" s="1" t="s">
        <v>78</v>
      </c>
      <c r="D67" s="1" t="s">
        <v>79</v>
      </c>
      <c r="E67" s="1" t="s">
        <v>596</v>
      </c>
      <c r="F67" s="1" t="s">
        <v>692</v>
      </c>
      <c r="G67" s="2"/>
      <c r="I67" s="1">
        <f t="shared" si="2"/>
        <v>4</v>
      </c>
      <c r="T67" s="3"/>
    </row>
    <row r="68" spans="2:23" x14ac:dyDescent="0.15">
      <c r="B68" s="1">
        <v>36</v>
      </c>
      <c r="C68" s="1" t="s">
        <v>80</v>
      </c>
      <c r="D68" s="1" t="s">
        <v>81</v>
      </c>
      <c r="G68" s="2"/>
      <c r="I68" s="1">
        <f t="shared" si="2"/>
        <v>2</v>
      </c>
      <c r="T68" s="3"/>
    </row>
    <row r="69" spans="2:23" x14ac:dyDescent="0.15">
      <c r="B69" s="1">
        <v>37</v>
      </c>
      <c r="C69" s="1" t="s">
        <v>82</v>
      </c>
      <c r="D69" s="1" t="s">
        <v>83</v>
      </c>
      <c r="G69" s="2"/>
      <c r="I69" s="1">
        <f t="shared" si="2"/>
        <v>2</v>
      </c>
      <c r="T69" s="3"/>
    </row>
    <row r="70" spans="2:23" x14ac:dyDescent="0.15">
      <c r="B70" s="1">
        <v>38</v>
      </c>
      <c r="C70" s="1" t="s">
        <v>84</v>
      </c>
      <c r="D70" s="1" t="s">
        <v>85</v>
      </c>
      <c r="G70" s="2"/>
      <c r="I70" s="1">
        <f t="shared" si="2"/>
        <v>2</v>
      </c>
      <c r="T70" s="3"/>
      <c r="U70" s="3"/>
    </row>
    <row r="71" spans="2:23" x14ac:dyDescent="0.15">
      <c r="B71" s="1">
        <v>39</v>
      </c>
      <c r="C71" s="1" t="s">
        <v>86</v>
      </c>
      <c r="D71" s="1" t="s">
        <v>87</v>
      </c>
      <c r="E71" s="1" t="s">
        <v>735</v>
      </c>
      <c r="G71" s="2"/>
      <c r="I71" s="1">
        <f t="shared" si="2"/>
        <v>3</v>
      </c>
      <c r="T71" s="3"/>
    </row>
    <row r="72" spans="2:23" x14ac:dyDescent="0.15">
      <c r="B72" s="1">
        <v>40</v>
      </c>
      <c r="C72" s="1" t="s">
        <v>88</v>
      </c>
      <c r="D72" s="1" t="s">
        <v>89</v>
      </c>
      <c r="E72" s="1" t="s">
        <v>597</v>
      </c>
      <c r="G72" s="2"/>
      <c r="I72" s="1">
        <f t="shared" si="2"/>
        <v>3</v>
      </c>
      <c r="T72" s="3"/>
    </row>
    <row r="73" spans="2:23" x14ac:dyDescent="0.15">
      <c r="B73" s="1">
        <v>41</v>
      </c>
      <c r="C73" s="1" t="s">
        <v>734</v>
      </c>
      <c r="D73" s="1" t="s">
        <v>90</v>
      </c>
      <c r="G73" s="2"/>
      <c r="I73" s="1">
        <f t="shared" si="2"/>
        <v>2</v>
      </c>
      <c r="T73" s="3"/>
      <c r="U73" s="3"/>
    </row>
    <row r="74" spans="2:23" x14ac:dyDescent="0.15">
      <c r="B74" s="1">
        <v>42</v>
      </c>
      <c r="C74" s="1" t="s">
        <v>91</v>
      </c>
      <c r="D74" s="1" t="s">
        <v>92</v>
      </c>
      <c r="E74" s="1" t="s">
        <v>598</v>
      </c>
      <c r="G74" s="2"/>
      <c r="I74" s="1">
        <f t="shared" si="2"/>
        <v>3</v>
      </c>
      <c r="T74" s="3"/>
    </row>
    <row r="75" spans="2:23" x14ac:dyDescent="0.15">
      <c r="B75" s="1">
        <v>43</v>
      </c>
      <c r="C75" s="1" t="s">
        <v>93</v>
      </c>
      <c r="D75" s="1" t="s">
        <v>94</v>
      </c>
      <c r="E75" s="1" t="s">
        <v>599</v>
      </c>
      <c r="F75" s="1" t="s">
        <v>600</v>
      </c>
      <c r="G75" s="2"/>
      <c r="I75" s="1">
        <f t="shared" si="2"/>
        <v>4</v>
      </c>
      <c r="T75" s="3"/>
    </row>
    <row r="76" spans="2:23" x14ac:dyDescent="0.15">
      <c r="B76" s="1">
        <v>44</v>
      </c>
      <c r="C76" s="1" t="s">
        <v>95</v>
      </c>
      <c r="D76" s="1" t="s">
        <v>96</v>
      </c>
      <c r="G76" s="2"/>
      <c r="I76" s="1">
        <f t="shared" si="2"/>
        <v>2</v>
      </c>
      <c r="T76" s="3"/>
      <c r="U76" s="3"/>
    </row>
    <row r="77" spans="2:23" x14ac:dyDescent="0.15">
      <c r="B77" s="1">
        <v>45</v>
      </c>
      <c r="C77" s="1" t="s">
        <v>97</v>
      </c>
      <c r="D77" s="1" t="s">
        <v>98</v>
      </c>
      <c r="G77" s="2"/>
      <c r="I77" s="1">
        <f t="shared" si="2"/>
        <v>2</v>
      </c>
      <c r="T77" s="3"/>
      <c r="U77" s="3"/>
    </row>
    <row r="78" spans="2:23" x14ac:dyDescent="0.15">
      <c r="B78" s="1">
        <v>46</v>
      </c>
      <c r="C78" s="1" t="s">
        <v>99</v>
      </c>
      <c r="D78" s="1" t="s">
        <v>100</v>
      </c>
      <c r="E78" s="1" t="s">
        <v>693</v>
      </c>
      <c r="G78" s="2"/>
      <c r="I78" s="1">
        <f t="shared" si="2"/>
        <v>3</v>
      </c>
      <c r="T78" s="3"/>
    </row>
    <row r="79" spans="2:23" x14ac:dyDescent="0.15">
      <c r="B79" s="1">
        <v>47</v>
      </c>
      <c r="C79" s="1" t="s">
        <v>101</v>
      </c>
      <c r="D79" s="1" t="s">
        <v>102</v>
      </c>
      <c r="E79" s="1" t="s">
        <v>425</v>
      </c>
      <c r="G79" s="2"/>
      <c r="I79" s="1">
        <f t="shared" si="2"/>
        <v>3</v>
      </c>
      <c r="T79" s="3"/>
    </row>
    <row r="80" spans="2:23" x14ac:dyDescent="0.15">
      <c r="B80" s="1">
        <v>48</v>
      </c>
      <c r="C80" s="1" t="s">
        <v>103</v>
      </c>
      <c r="D80" s="1" t="s">
        <v>104</v>
      </c>
      <c r="E80" s="1" t="s">
        <v>601</v>
      </c>
      <c r="F80" s="1" t="s">
        <v>694</v>
      </c>
      <c r="G80" s="2"/>
      <c r="I80" s="1">
        <f t="shared" si="2"/>
        <v>4</v>
      </c>
      <c r="T80" s="3"/>
    </row>
    <row r="81" spans="2:21" x14ac:dyDescent="0.15">
      <c r="B81" s="1">
        <v>49</v>
      </c>
      <c r="C81" s="1" t="s">
        <v>105</v>
      </c>
      <c r="D81" s="1" t="s">
        <v>106</v>
      </c>
      <c r="E81" s="1" t="s">
        <v>602</v>
      </c>
      <c r="G81" s="2"/>
      <c r="I81" s="1">
        <f t="shared" si="2"/>
        <v>3</v>
      </c>
      <c r="T81" s="3"/>
    </row>
    <row r="82" spans="2:21" x14ac:dyDescent="0.15">
      <c r="B82" s="1">
        <v>50</v>
      </c>
      <c r="C82" s="1" t="s">
        <v>107</v>
      </c>
      <c r="D82" s="1" t="s">
        <v>108</v>
      </c>
      <c r="E82" s="1" t="s">
        <v>408</v>
      </c>
      <c r="G82" s="2"/>
      <c r="I82" s="1">
        <f t="shared" si="2"/>
        <v>3</v>
      </c>
      <c r="T82" s="3"/>
    </row>
    <row r="83" spans="2:21" x14ac:dyDescent="0.15">
      <c r="B83" s="1">
        <v>51</v>
      </c>
      <c r="C83" s="1" t="s">
        <v>109</v>
      </c>
      <c r="D83" s="1" t="s">
        <v>110</v>
      </c>
      <c r="E83" s="1" t="s">
        <v>426</v>
      </c>
      <c r="F83" s="1" t="s">
        <v>695</v>
      </c>
      <c r="G83" s="2"/>
      <c r="I83" s="1">
        <f t="shared" si="2"/>
        <v>4</v>
      </c>
      <c r="T83" s="3"/>
    </row>
    <row r="84" spans="2:21" x14ac:dyDescent="0.15">
      <c r="B84" s="1">
        <v>52</v>
      </c>
      <c r="C84" s="1" t="s">
        <v>111</v>
      </c>
      <c r="D84" s="1" t="s">
        <v>112</v>
      </c>
      <c r="E84" s="1" t="s">
        <v>603</v>
      </c>
      <c r="F84" s="1" t="s">
        <v>696</v>
      </c>
      <c r="G84" s="2"/>
      <c r="I84" s="1">
        <f t="shared" si="2"/>
        <v>4</v>
      </c>
      <c r="T84" s="3"/>
    </row>
    <row r="85" spans="2:21" x14ac:dyDescent="0.15">
      <c r="B85" s="1">
        <v>53</v>
      </c>
      <c r="C85" s="1" t="s">
        <v>113</v>
      </c>
      <c r="D85" s="1" t="s">
        <v>114</v>
      </c>
      <c r="E85" s="1" t="s">
        <v>697</v>
      </c>
      <c r="G85" s="2"/>
      <c r="I85" s="1">
        <f t="shared" si="2"/>
        <v>3</v>
      </c>
      <c r="T85" s="3"/>
    </row>
    <row r="86" spans="2:21" x14ac:dyDescent="0.15">
      <c r="B86" s="1">
        <v>54</v>
      </c>
      <c r="C86" s="1" t="s">
        <v>115</v>
      </c>
      <c r="D86" s="1" t="s">
        <v>116</v>
      </c>
      <c r="E86" s="1" t="s">
        <v>117</v>
      </c>
      <c r="F86" s="1" t="s">
        <v>403</v>
      </c>
      <c r="G86" s="2"/>
      <c r="I86" s="1">
        <f t="shared" si="2"/>
        <v>4</v>
      </c>
      <c r="T86" s="3"/>
    </row>
    <row r="87" spans="2:21" x14ac:dyDescent="0.15">
      <c r="B87" s="1">
        <v>55</v>
      </c>
      <c r="C87" s="1" t="s">
        <v>118</v>
      </c>
      <c r="D87" s="1" t="s">
        <v>119</v>
      </c>
      <c r="E87" s="1" t="s">
        <v>424</v>
      </c>
      <c r="G87" s="2"/>
      <c r="I87" s="1">
        <f t="shared" si="2"/>
        <v>3</v>
      </c>
      <c r="T87" s="3"/>
    </row>
    <row r="88" spans="2:21" x14ac:dyDescent="0.15">
      <c r="B88" s="1">
        <v>56</v>
      </c>
      <c r="C88" s="1" t="s">
        <v>120</v>
      </c>
      <c r="D88" s="1" t="s">
        <v>121</v>
      </c>
      <c r="E88" s="1" t="s">
        <v>604</v>
      </c>
      <c r="F88" s="1" t="s">
        <v>605</v>
      </c>
      <c r="G88" s="2" t="s">
        <v>687</v>
      </c>
      <c r="I88" s="1">
        <f t="shared" si="2"/>
        <v>5</v>
      </c>
      <c r="T88" s="3"/>
    </row>
    <row r="89" spans="2:21" x14ac:dyDescent="0.15">
      <c r="B89" s="1">
        <v>57</v>
      </c>
      <c r="C89" s="1" t="s">
        <v>122</v>
      </c>
      <c r="D89" s="1" t="s">
        <v>123</v>
      </c>
      <c r="E89" s="1" t="s">
        <v>698</v>
      </c>
      <c r="F89" s="1" t="s">
        <v>699</v>
      </c>
      <c r="G89" s="2"/>
      <c r="I89" s="1">
        <f t="shared" si="2"/>
        <v>4</v>
      </c>
      <c r="T89" s="3"/>
    </row>
    <row r="90" spans="2:21" x14ac:dyDescent="0.15">
      <c r="B90" s="1">
        <v>58</v>
      </c>
      <c r="C90" s="1" t="s">
        <v>124</v>
      </c>
      <c r="D90" s="1" t="s">
        <v>125</v>
      </c>
      <c r="E90" s="1" t="s">
        <v>606</v>
      </c>
      <c r="F90" s="1" t="s">
        <v>607</v>
      </c>
      <c r="G90" s="2"/>
      <c r="I90" s="1">
        <f t="shared" si="2"/>
        <v>4</v>
      </c>
      <c r="T90" s="3"/>
    </row>
    <row r="91" spans="2:21" x14ac:dyDescent="0.15">
      <c r="B91" s="1">
        <v>59</v>
      </c>
      <c r="C91" s="1" t="s">
        <v>126</v>
      </c>
      <c r="D91" s="1" t="s">
        <v>127</v>
      </c>
      <c r="E91" s="1" t="s">
        <v>128</v>
      </c>
      <c r="G91" s="2"/>
      <c r="I91" s="1">
        <f t="shared" si="2"/>
        <v>3</v>
      </c>
      <c r="U91" s="3"/>
    </row>
    <row r="92" spans="2:21" x14ac:dyDescent="0.15">
      <c r="B92" s="1">
        <v>60</v>
      </c>
      <c r="C92" s="1" t="s">
        <v>129</v>
      </c>
      <c r="D92" s="1" t="s">
        <v>130</v>
      </c>
      <c r="E92" s="1" t="s">
        <v>608</v>
      </c>
      <c r="G92" s="2"/>
      <c r="I92" s="1">
        <f t="shared" si="2"/>
        <v>3</v>
      </c>
      <c r="T92" s="3"/>
    </row>
    <row r="93" spans="2:21" x14ac:dyDescent="0.15">
      <c r="B93" s="1">
        <v>61</v>
      </c>
      <c r="C93" s="1" t="s">
        <v>131</v>
      </c>
      <c r="D93" s="1" t="s">
        <v>132</v>
      </c>
      <c r="E93" s="1" t="s">
        <v>609</v>
      </c>
      <c r="G93" s="2"/>
      <c r="I93" s="1">
        <f t="shared" si="2"/>
        <v>3</v>
      </c>
      <c r="T93" s="3"/>
    </row>
    <row r="94" spans="2:21" x14ac:dyDescent="0.15">
      <c r="B94" s="1">
        <v>62</v>
      </c>
      <c r="C94" s="1" t="s">
        <v>133</v>
      </c>
      <c r="D94" s="1" t="s">
        <v>134</v>
      </c>
      <c r="E94" s="1" t="s">
        <v>610</v>
      </c>
      <c r="G94" s="2"/>
      <c r="I94" s="1">
        <f t="shared" si="2"/>
        <v>3</v>
      </c>
      <c r="T94" s="3"/>
    </row>
    <row r="95" spans="2:21" x14ac:dyDescent="0.15">
      <c r="B95" s="1">
        <v>63</v>
      </c>
      <c r="C95" s="1" t="s">
        <v>135</v>
      </c>
      <c r="D95" s="1" t="s">
        <v>136</v>
      </c>
      <c r="E95" s="1" t="s">
        <v>384</v>
      </c>
      <c r="F95" s="1" t="s">
        <v>440</v>
      </c>
      <c r="G95" s="2"/>
      <c r="I95" s="1">
        <f t="shared" si="2"/>
        <v>4</v>
      </c>
      <c r="T95" s="3"/>
    </row>
    <row r="96" spans="2:21" x14ac:dyDescent="0.15">
      <c r="B96" s="1">
        <v>64</v>
      </c>
      <c r="C96" s="1" t="s">
        <v>137</v>
      </c>
      <c r="D96" s="1" t="s">
        <v>138</v>
      </c>
      <c r="E96" s="1" t="s">
        <v>392</v>
      </c>
      <c r="F96" s="1" t="s">
        <v>446</v>
      </c>
      <c r="G96" s="2" t="s">
        <v>447</v>
      </c>
      <c r="I96" s="1">
        <f t="shared" si="2"/>
        <v>5</v>
      </c>
      <c r="T96" s="3"/>
    </row>
    <row r="97" spans="2:21" x14ac:dyDescent="0.15">
      <c r="B97" s="1">
        <v>65</v>
      </c>
      <c r="C97" s="1" t="s">
        <v>139</v>
      </c>
      <c r="D97" s="1" t="s">
        <v>140</v>
      </c>
      <c r="E97" s="1" t="s">
        <v>611</v>
      </c>
      <c r="G97" s="2"/>
      <c r="I97" s="1">
        <f t="shared" si="2"/>
        <v>3</v>
      </c>
      <c r="U97" s="3"/>
    </row>
    <row r="98" spans="2:21" x14ac:dyDescent="0.15">
      <c r="B98" s="1">
        <v>66</v>
      </c>
      <c r="C98" s="1" t="s">
        <v>141</v>
      </c>
      <c r="D98" s="1" t="s">
        <v>142</v>
      </c>
      <c r="E98" s="1" t="s">
        <v>700</v>
      </c>
      <c r="G98" s="2"/>
      <c r="I98" s="1">
        <f t="shared" ref="I98:I161" si="3">COUNTIF(C98:H98,"&lt;&gt;")</f>
        <v>3</v>
      </c>
      <c r="T98" s="3"/>
    </row>
    <row r="99" spans="2:21" x14ac:dyDescent="0.15">
      <c r="B99" s="1">
        <v>67</v>
      </c>
      <c r="C99" s="1" t="s">
        <v>143</v>
      </c>
      <c r="D99" s="1" t="s">
        <v>144</v>
      </c>
      <c r="E99" s="1" t="s">
        <v>612</v>
      </c>
      <c r="G99" s="2"/>
      <c r="I99" s="1">
        <f t="shared" si="3"/>
        <v>3</v>
      </c>
      <c r="T99" s="3"/>
    </row>
    <row r="100" spans="2:21" x14ac:dyDescent="0.15">
      <c r="B100" s="1">
        <v>68</v>
      </c>
      <c r="C100" s="1" t="s">
        <v>145</v>
      </c>
      <c r="D100" s="1" t="s">
        <v>146</v>
      </c>
      <c r="E100" s="1" t="s">
        <v>433</v>
      </c>
      <c r="G100" s="2"/>
      <c r="I100" s="1">
        <f t="shared" si="3"/>
        <v>3</v>
      </c>
      <c r="T100" s="3"/>
    </row>
    <row r="101" spans="2:21" x14ac:dyDescent="0.15">
      <c r="B101" s="1">
        <v>69</v>
      </c>
      <c r="C101" s="1" t="s">
        <v>147</v>
      </c>
      <c r="D101" s="1" t="s">
        <v>148</v>
      </c>
      <c r="G101" s="2"/>
      <c r="I101" s="1">
        <f t="shared" si="3"/>
        <v>2</v>
      </c>
      <c r="T101" s="3"/>
    </row>
    <row r="102" spans="2:21" x14ac:dyDescent="0.15">
      <c r="B102" s="1">
        <v>70</v>
      </c>
      <c r="C102" s="1" t="s">
        <v>149</v>
      </c>
      <c r="D102" s="1" t="s">
        <v>150</v>
      </c>
      <c r="E102" s="1" t="s">
        <v>613</v>
      </c>
      <c r="G102" s="2"/>
      <c r="I102" s="1">
        <f t="shared" si="3"/>
        <v>3</v>
      </c>
      <c r="T102" s="3"/>
    </row>
    <row r="103" spans="2:21" x14ac:dyDescent="0.15">
      <c r="B103" s="1">
        <v>71</v>
      </c>
      <c r="C103" s="1" t="s">
        <v>151</v>
      </c>
      <c r="D103" s="1" t="s">
        <v>152</v>
      </c>
      <c r="E103" s="1" t="s">
        <v>434</v>
      </c>
      <c r="F103" s="1" t="s">
        <v>701</v>
      </c>
      <c r="G103" s="2"/>
      <c r="I103" s="1">
        <f t="shared" si="3"/>
        <v>4</v>
      </c>
      <c r="U103" s="3"/>
    </row>
    <row r="104" spans="2:21" x14ac:dyDescent="0.15">
      <c r="B104" s="1">
        <v>72</v>
      </c>
      <c r="C104" s="1" t="s">
        <v>153</v>
      </c>
      <c r="D104" s="1" t="s">
        <v>154</v>
      </c>
      <c r="G104" s="2"/>
      <c r="I104" s="1">
        <f t="shared" si="3"/>
        <v>2</v>
      </c>
      <c r="T104" s="3"/>
    </row>
    <row r="105" spans="2:21" x14ac:dyDescent="0.15">
      <c r="B105" s="1">
        <v>73</v>
      </c>
      <c r="C105" s="1" t="s">
        <v>155</v>
      </c>
      <c r="D105" s="1" t="s">
        <v>156</v>
      </c>
      <c r="E105" s="1" t="s">
        <v>614</v>
      </c>
      <c r="F105" s="1" t="s">
        <v>615</v>
      </c>
      <c r="G105" s="2"/>
      <c r="I105" s="1">
        <f t="shared" si="3"/>
        <v>4</v>
      </c>
      <c r="T105" s="3"/>
    </row>
    <row r="106" spans="2:21" x14ac:dyDescent="0.15">
      <c r="B106" s="1">
        <v>74</v>
      </c>
      <c r="C106" s="1" t="s">
        <v>157</v>
      </c>
      <c r="D106" s="1" t="s">
        <v>158</v>
      </c>
      <c r="E106" s="1" t="s">
        <v>421</v>
      </c>
      <c r="G106" s="2"/>
      <c r="I106" s="1">
        <f t="shared" si="3"/>
        <v>3</v>
      </c>
      <c r="T106" s="3"/>
    </row>
    <row r="107" spans="2:21" x14ac:dyDescent="0.15">
      <c r="B107" s="1">
        <v>75</v>
      </c>
      <c r="C107" s="1" t="s">
        <v>159</v>
      </c>
      <c r="D107" s="1" t="s">
        <v>160</v>
      </c>
      <c r="E107" s="1" t="s">
        <v>432</v>
      </c>
      <c r="G107" s="2"/>
      <c r="I107" s="1">
        <f t="shared" si="3"/>
        <v>3</v>
      </c>
      <c r="T107" s="3"/>
    </row>
    <row r="108" spans="2:21" x14ac:dyDescent="0.15">
      <c r="B108" s="1">
        <v>76</v>
      </c>
      <c r="C108" s="1" t="s">
        <v>161</v>
      </c>
      <c r="D108" s="1" t="s">
        <v>162</v>
      </c>
      <c r="E108" s="1" t="s">
        <v>616</v>
      </c>
      <c r="F108" s="1" t="s">
        <v>617</v>
      </c>
      <c r="G108" s="2"/>
      <c r="I108" s="1">
        <f t="shared" si="3"/>
        <v>4</v>
      </c>
      <c r="T108" s="3"/>
    </row>
    <row r="109" spans="2:21" x14ac:dyDescent="0.15">
      <c r="B109" s="1">
        <v>77</v>
      </c>
      <c r="C109" s="1" t="s">
        <v>163</v>
      </c>
      <c r="D109" s="1" t="s">
        <v>164</v>
      </c>
      <c r="E109" s="1" t="s">
        <v>618</v>
      </c>
      <c r="F109" s="1" t="s">
        <v>619</v>
      </c>
      <c r="G109" s="2" t="s">
        <v>702</v>
      </c>
      <c r="I109" s="1">
        <f t="shared" si="3"/>
        <v>5</v>
      </c>
      <c r="T109" s="3"/>
    </row>
    <row r="110" spans="2:21" x14ac:dyDescent="0.15">
      <c r="B110" s="1">
        <v>78</v>
      </c>
      <c r="C110" s="1" t="s">
        <v>165</v>
      </c>
      <c r="D110" s="1" t="s">
        <v>166</v>
      </c>
      <c r="E110" s="1" t="s">
        <v>620</v>
      </c>
      <c r="F110" s="1" t="s">
        <v>703</v>
      </c>
      <c r="G110" s="2"/>
      <c r="I110" s="1">
        <f t="shared" si="3"/>
        <v>4</v>
      </c>
      <c r="T110" s="3"/>
    </row>
    <row r="111" spans="2:21" x14ac:dyDescent="0.15">
      <c r="B111" s="1">
        <v>79</v>
      </c>
      <c r="C111" s="1" t="s">
        <v>167</v>
      </c>
      <c r="D111" s="1" t="s">
        <v>168</v>
      </c>
      <c r="E111" s="1" t="s">
        <v>621</v>
      </c>
      <c r="G111" s="2"/>
      <c r="I111" s="1">
        <f t="shared" si="3"/>
        <v>3</v>
      </c>
      <c r="T111" s="3"/>
    </row>
    <row r="112" spans="2:21" x14ac:dyDescent="0.15">
      <c r="B112" s="1">
        <v>80</v>
      </c>
      <c r="C112" s="1" t="s">
        <v>169</v>
      </c>
      <c r="D112" s="1" t="s">
        <v>170</v>
      </c>
      <c r="E112" s="1" t="s">
        <v>622</v>
      </c>
      <c r="G112" s="2"/>
      <c r="I112" s="1">
        <f t="shared" si="3"/>
        <v>3</v>
      </c>
      <c r="T112" s="3"/>
    </row>
    <row r="113" spans="2:24" x14ac:dyDescent="0.15">
      <c r="B113" s="1">
        <v>81</v>
      </c>
      <c r="C113" s="1" t="s">
        <v>171</v>
      </c>
      <c r="D113" s="1" t="s">
        <v>172</v>
      </c>
      <c r="E113" s="1" t="s">
        <v>704</v>
      </c>
      <c r="G113" s="2"/>
      <c r="I113" s="1">
        <f t="shared" si="3"/>
        <v>3</v>
      </c>
      <c r="T113" s="3"/>
    </row>
    <row r="114" spans="2:24" x14ac:dyDescent="0.15">
      <c r="B114" s="1">
        <v>82</v>
      </c>
      <c r="C114" s="1" t="s">
        <v>173</v>
      </c>
      <c r="D114" s="1" t="s">
        <v>174</v>
      </c>
      <c r="G114" s="2"/>
      <c r="I114" s="1">
        <f t="shared" si="3"/>
        <v>2</v>
      </c>
      <c r="T114" s="3"/>
    </row>
    <row r="115" spans="2:24" x14ac:dyDescent="0.15">
      <c r="B115" s="1">
        <v>83</v>
      </c>
      <c r="C115" s="1" t="s">
        <v>175</v>
      </c>
      <c r="D115" s="1" t="s">
        <v>176</v>
      </c>
      <c r="E115" s="1" t="s">
        <v>705</v>
      </c>
      <c r="G115" s="2"/>
      <c r="I115" s="1">
        <f t="shared" si="3"/>
        <v>3</v>
      </c>
      <c r="T115" s="3"/>
    </row>
    <row r="116" spans="2:24" x14ac:dyDescent="0.15">
      <c r="B116" s="1">
        <v>84</v>
      </c>
      <c r="C116" s="1" t="s">
        <v>177</v>
      </c>
      <c r="D116" s="1" t="s">
        <v>178</v>
      </c>
      <c r="E116" s="1" t="s">
        <v>623</v>
      </c>
      <c r="F116" s="1" t="s">
        <v>624</v>
      </c>
      <c r="G116" s="2"/>
      <c r="I116" s="1">
        <f t="shared" si="3"/>
        <v>4</v>
      </c>
      <c r="T116" s="3"/>
    </row>
    <row r="117" spans="2:24" x14ac:dyDescent="0.15">
      <c r="B117" s="1">
        <v>85</v>
      </c>
      <c r="C117" s="1" t="s">
        <v>179</v>
      </c>
      <c r="D117" s="1" t="s">
        <v>180</v>
      </c>
      <c r="E117" s="1" t="s">
        <v>625</v>
      </c>
      <c r="F117" s="1" t="s">
        <v>706</v>
      </c>
      <c r="G117" s="2" t="s">
        <v>707</v>
      </c>
      <c r="I117" s="1">
        <f t="shared" si="3"/>
        <v>5</v>
      </c>
      <c r="T117" s="3"/>
    </row>
    <row r="118" spans="2:24" x14ac:dyDescent="0.15">
      <c r="B118" s="1">
        <v>86</v>
      </c>
      <c r="C118" s="1" t="s">
        <v>181</v>
      </c>
      <c r="D118" s="1" t="s">
        <v>182</v>
      </c>
      <c r="E118" s="1" t="s">
        <v>626</v>
      </c>
      <c r="F118" s="1" t="s">
        <v>708</v>
      </c>
      <c r="G118" s="2"/>
      <c r="I118" s="1">
        <f t="shared" si="3"/>
        <v>4</v>
      </c>
      <c r="U118" s="3"/>
    </row>
    <row r="119" spans="2:24" x14ac:dyDescent="0.15">
      <c r="B119" s="1">
        <v>87</v>
      </c>
      <c r="C119" s="1" t="s">
        <v>183</v>
      </c>
      <c r="D119" s="1" t="s">
        <v>184</v>
      </c>
      <c r="E119" s="1" t="s">
        <v>627</v>
      </c>
      <c r="G119" s="2"/>
      <c r="I119" s="1">
        <f t="shared" si="3"/>
        <v>3</v>
      </c>
      <c r="V119" s="3"/>
    </row>
    <row r="120" spans="2:24" x14ac:dyDescent="0.15">
      <c r="B120" s="1">
        <v>88</v>
      </c>
      <c r="C120" s="1" t="s">
        <v>185</v>
      </c>
      <c r="D120" s="1" t="s">
        <v>186</v>
      </c>
      <c r="E120" s="1" t="s">
        <v>628</v>
      </c>
      <c r="G120" s="2"/>
      <c r="I120" s="1">
        <f t="shared" si="3"/>
        <v>3</v>
      </c>
      <c r="J120" s="2"/>
      <c r="K120" s="2"/>
      <c r="W120" s="3"/>
    </row>
    <row r="121" spans="2:24" x14ac:dyDescent="0.15">
      <c r="B121" s="1">
        <v>89</v>
      </c>
      <c r="C121" s="1" t="s">
        <v>187</v>
      </c>
      <c r="D121" s="1" t="s">
        <v>188</v>
      </c>
      <c r="E121" s="1" t="s">
        <v>420</v>
      </c>
      <c r="G121" s="2"/>
      <c r="I121" s="1">
        <f t="shared" si="3"/>
        <v>3</v>
      </c>
      <c r="U121" s="3"/>
    </row>
    <row r="122" spans="2:24" x14ac:dyDescent="0.15">
      <c r="B122" s="1">
        <v>90</v>
      </c>
      <c r="C122" s="1" t="s">
        <v>189</v>
      </c>
      <c r="D122" s="1" t="s">
        <v>190</v>
      </c>
      <c r="E122" s="1" t="s">
        <v>629</v>
      </c>
      <c r="G122" s="2"/>
      <c r="I122" s="1">
        <f t="shared" si="3"/>
        <v>3</v>
      </c>
      <c r="U122" s="3"/>
    </row>
    <row r="123" spans="2:24" x14ac:dyDescent="0.15">
      <c r="B123" s="1">
        <v>91</v>
      </c>
      <c r="C123" s="1" t="s">
        <v>191</v>
      </c>
      <c r="D123" s="1" t="s">
        <v>192</v>
      </c>
      <c r="E123" s="1" t="s">
        <v>630</v>
      </c>
      <c r="G123" s="2"/>
      <c r="I123" s="1">
        <f t="shared" si="3"/>
        <v>3</v>
      </c>
      <c r="T123" s="3"/>
    </row>
    <row r="124" spans="2:24" x14ac:dyDescent="0.15">
      <c r="B124" s="1">
        <v>92</v>
      </c>
      <c r="C124" s="1" t="s">
        <v>193</v>
      </c>
      <c r="D124" s="1" t="s">
        <v>194</v>
      </c>
      <c r="E124" s="1" t="s">
        <v>631</v>
      </c>
      <c r="G124" s="2"/>
      <c r="I124" s="1">
        <f t="shared" si="3"/>
        <v>3</v>
      </c>
      <c r="U124" s="3"/>
    </row>
    <row r="125" spans="2:24" x14ac:dyDescent="0.15">
      <c r="B125" s="1">
        <v>93</v>
      </c>
      <c r="C125" s="1" t="s">
        <v>195</v>
      </c>
      <c r="D125" s="1" t="s">
        <v>196</v>
      </c>
      <c r="E125" s="1" t="s">
        <v>632</v>
      </c>
      <c r="F125" s="1" t="s">
        <v>633</v>
      </c>
      <c r="G125" s="2"/>
      <c r="I125" s="1">
        <f t="shared" si="3"/>
        <v>4</v>
      </c>
      <c r="T125" s="3"/>
    </row>
    <row r="126" spans="2:24" x14ac:dyDescent="0.15">
      <c r="B126" s="1">
        <v>94</v>
      </c>
      <c r="C126" s="1" t="s">
        <v>197</v>
      </c>
      <c r="D126" s="1" t="s">
        <v>198</v>
      </c>
      <c r="G126" s="2"/>
      <c r="I126" s="1">
        <f t="shared" si="3"/>
        <v>2</v>
      </c>
      <c r="J126" s="2"/>
      <c r="K126" s="2"/>
      <c r="T126" s="3"/>
    </row>
    <row r="127" spans="2:24" x14ac:dyDescent="0.15">
      <c r="B127" s="1">
        <v>95</v>
      </c>
      <c r="C127" s="1" t="s">
        <v>199</v>
      </c>
      <c r="D127" s="1" t="s">
        <v>200</v>
      </c>
      <c r="E127" s="1" t="s">
        <v>422</v>
      </c>
      <c r="G127" s="2"/>
      <c r="I127" s="1">
        <f t="shared" si="3"/>
        <v>3</v>
      </c>
      <c r="X127" s="3"/>
    </row>
    <row r="128" spans="2:24" x14ac:dyDescent="0.15">
      <c r="B128" s="1">
        <v>96</v>
      </c>
      <c r="C128" s="1" t="s">
        <v>201</v>
      </c>
      <c r="D128" s="1" t="s">
        <v>202</v>
      </c>
      <c r="E128" s="1" t="s">
        <v>634</v>
      </c>
      <c r="G128" s="2"/>
      <c r="I128" s="1">
        <f t="shared" si="3"/>
        <v>3</v>
      </c>
      <c r="T128" s="3"/>
    </row>
    <row r="129" spans="2:24" x14ac:dyDescent="0.15">
      <c r="B129" s="1">
        <v>97</v>
      </c>
      <c r="C129" s="1" t="s">
        <v>203</v>
      </c>
      <c r="D129" s="1" t="s">
        <v>204</v>
      </c>
      <c r="G129" s="2"/>
      <c r="I129" s="1">
        <f t="shared" si="3"/>
        <v>2</v>
      </c>
      <c r="V129" s="3"/>
    </row>
    <row r="130" spans="2:24" x14ac:dyDescent="0.15">
      <c r="B130" s="1">
        <v>98</v>
      </c>
      <c r="C130" s="1" t="s">
        <v>205</v>
      </c>
      <c r="D130" s="1" t="s">
        <v>206</v>
      </c>
      <c r="G130" s="2"/>
      <c r="I130" s="1">
        <f t="shared" si="3"/>
        <v>2</v>
      </c>
      <c r="U130" s="3"/>
    </row>
    <row r="131" spans="2:24" x14ac:dyDescent="0.15">
      <c r="B131" s="1">
        <v>99</v>
      </c>
      <c r="C131" s="1" t="s">
        <v>207</v>
      </c>
      <c r="D131" s="1" t="s">
        <v>208</v>
      </c>
      <c r="E131" s="1" t="s">
        <v>635</v>
      </c>
      <c r="F131" s="1" t="s">
        <v>709</v>
      </c>
      <c r="G131" s="2"/>
      <c r="I131" s="1">
        <f t="shared" si="3"/>
        <v>4</v>
      </c>
      <c r="T131" s="3"/>
    </row>
    <row r="132" spans="2:24" x14ac:dyDescent="0.15">
      <c r="B132" s="1">
        <v>100</v>
      </c>
      <c r="C132" s="1" t="s">
        <v>209</v>
      </c>
      <c r="D132" s="1" t="s">
        <v>210</v>
      </c>
      <c r="E132" s="1" t="s">
        <v>636</v>
      </c>
      <c r="G132" s="2"/>
      <c r="I132" s="1">
        <f t="shared" si="3"/>
        <v>3</v>
      </c>
      <c r="T132" s="3"/>
    </row>
    <row r="133" spans="2:24" x14ac:dyDescent="0.15">
      <c r="B133" s="1">
        <v>101</v>
      </c>
      <c r="C133" s="1" t="s">
        <v>211</v>
      </c>
      <c r="D133" s="1" t="s">
        <v>212</v>
      </c>
      <c r="E133" s="1" t="s">
        <v>430</v>
      </c>
      <c r="G133" s="2"/>
      <c r="I133" s="1">
        <f t="shared" si="3"/>
        <v>3</v>
      </c>
      <c r="X133" s="3"/>
    </row>
    <row r="134" spans="2:24" x14ac:dyDescent="0.15">
      <c r="B134" s="1">
        <v>102</v>
      </c>
      <c r="C134" s="1" t="s">
        <v>213</v>
      </c>
      <c r="D134" s="1" t="s">
        <v>214</v>
      </c>
      <c r="E134" s="1" t="s">
        <v>637</v>
      </c>
      <c r="F134" s="1" t="s">
        <v>638</v>
      </c>
      <c r="G134" s="2"/>
      <c r="I134" s="1">
        <f t="shared" si="3"/>
        <v>4</v>
      </c>
      <c r="T134" s="3"/>
    </row>
    <row r="135" spans="2:24" x14ac:dyDescent="0.15">
      <c r="B135" s="1">
        <v>103</v>
      </c>
      <c r="C135" s="1" t="s">
        <v>215</v>
      </c>
      <c r="D135" s="1" t="s">
        <v>216</v>
      </c>
      <c r="E135" s="1" t="s">
        <v>639</v>
      </c>
      <c r="G135" s="2"/>
      <c r="I135" s="1">
        <f t="shared" si="3"/>
        <v>3</v>
      </c>
      <c r="J135" s="2"/>
      <c r="K135" s="2"/>
      <c r="T135" s="3"/>
    </row>
    <row r="136" spans="2:24" x14ac:dyDescent="0.15">
      <c r="B136" s="1">
        <v>104</v>
      </c>
      <c r="C136" s="1" t="s">
        <v>217</v>
      </c>
      <c r="D136" s="1" t="s">
        <v>218</v>
      </c>
      <c r="E136" s="1" t="s">
        <v>640</v>
      </c>
      <c r="F136" s="1" t="s">
        <v>641</v>
      </c>
      <c r="G136" s="2"/>
      <c r="I136" s="1">
        <f t="shared" si="3"/>
        <v>4</v>
      </c>
      <c r="U136" s="3"/>
    </row>
    <row r="137" spans="2:24" x14ac:dyDescent="0.15">
      <c r="B137" s="1">
        <v>105</v>
      </c>
      <c r="C137" s="1" t="s">
        <v>219</v>
      </c>
      <c r="D137" s="1" t="s">
        <v>220</v>
      </c>
      <c r="E137" s="1" t="s">
        <v>642</v>
      </c>
      <c r="F137" s="1" t="s">
        <v>736</v>
      </c>
      <c r="G137" s="2"/>
      <c r="I137" s="1">
        <f t="shared" si="3"/>
        <v>4</v>
      </c>
      <c r="T137" s="3"/>
    </row>
    <row r="138" spans="2:24" x14ac:dyDescent="0.15">
      <c r="B138" s="1">
        <v>106</v>
      </c>
      <c r="C138" s="1" t="s">
        <v>221</v>
      </c>
      <c r="D138" s="1" t="s">
        <v>222</v>
      </c>
      <c r="E138" s="1" t="s">
        <v>643</v>
      </c>
      <c r="F138" s="1" t="s">
        <v>710</v>
      </c>
      <c r="G138" s="2"/>
      <c r="I138" s="1">
        <f t="shared" si="3"/>
        <v>4</v>
      </c>
      <c r="T138" s="3"/>
    </row>
    <row r="139" spans="2:24" x14ac:dyDescent="0.15">
      <c r="B139" s="1">
        <v>107</v>
      </c>
      <c r="C139" s="1" t="s">
        <v>223</v>
      </c>
      <c r="D139" s="1" t="s">
        <v>224</v>
      </c>
      <c r="E139" s="1" t="s">
        <v>644</v>
      </c>
      <c r="G139" s="2"/>
      <c r="I139" s="1">
        <f t="shared" si="3"/>
        <v>3</v>
      </c>
      <c r="T139" s="3"/>
    </row>
    <row r="140" spans="2:24" x14ac:dyDescent="0.15">
      <c r="B140" s="1">
        <v>108</v>
      </c>
      <c r="C140" s="1" t="s">
        <v>225</v>
      </c>
      <c r="D140" s="1" t="s">
        <v>226</v>
      </c>
      <c r="E140" s="1" t="s">
        <v>645</v>
      </c>
      <c r="F140" s="1" t="s">
        <v>646</v>
      </c>
      <c r="G140" s="2"/>
      <c r="I140" s="1">
        <f t="shared" si="3"/>
        <v>4</v>
      </c>
      <c r="U140" s="3"/>
    </row>
    <row r="141" spans="2:24" x14ac:dyDescent="0.15">
      <c r="B141" s="1">
        <v>109</v>
      </c>
      <c r="C141" s="1" t="s">
        <v>227</v>
      </c>
      <c r="D141" s="1" t="s">
        <v>228</v>
      </c>
      <c r="G141" s="2"/>
      <c r="I141" s="1">
        <f t="shared" si="3"/>
        <v>2</v>
      </c>
      <c r="U141" s="3"/>
    </row>
    <row r="142" spans="2:24" x14ac:dyDescent="0.15">
      <c r="B142" s="1">
        <v>110</v>
      </c>
      <c r="C142" s="1" t="s">
        <v>229</v>
      </c>
      <c r="D142" s="1" t="s">
        <v>230</v>
      </c>
      <c r="E142" s="1" t="s">
        <v>647</v>
      </c>
      <c r="F142" s="1" t="s">
        <v>711</v>
      </c>
      <c r="G142" s="2"/>
      <c r="I142" s="1">
        <f t="shared" si="3"/>
        <v>4</v>
      </c>
      <c r="X142" s="3"/>
    </row>
    <row r="143" spans="2:24" x14ac:dyDescent="0.15">
      <c r="B143" s="1">
        <v>111</v>
      </c>
      <c r="C143" s="1" t="s">
        <v>231</v>
      </c>
      <c r="D143" s="1" t="s">
        <v>232</v>
      </c>
      <c r="E143" s="1" t="s">
        <v>648</v>
      </c>
      <c r="G143" s="2"/>
      <c r="I143" s="1">
        <f t="shared" si="3"/>
        <v>3</v>
      </c>
      <c r="U143" s="3"/>
    </row>
    <row r="144" spans="2:24" x14ac:dyDescent="0.15">
      <c r="B144" s="1">
        <v>112</v>
      </c>
      <c r="C144" s="1" t="s">
        <v>233</v>
      </c>
      <c r="D144" s="1" t="s">
        <v>234</v>
      </c>
      <c r="E144" s="1" t="s">
        <v>649</v>
      </c>
      <c r="F144" s="1" t="s">
        <v>712</v>
      </c>
      <c r="G144" s="2"/>
      <c r="I144" s="1">
        <f t="shared" si="3"/>
        <v>4</v>
      </c>
      <c r="T144" s="3"/>
    </row>
    <row r="145" spans="2:20" x14ac:dyDescent="0.15">
      <c r="B145" s="1">
        <v>113</v>
      </c>
      <c r="C145" s="1" t="s">
        <v>235</v>
      </c>
      <c r="D145" s="1" t="s">
        <v>236</v>
      </c>
      <c r="E145" s="1" t="s">
        <v>650</v>
      </c>
      <c r="F145" s="1" t="s">
        <v>713</v>
      </c>
      <c r="G145" s="2"/>
      <c r="I145" s="1">
        <f t="shared" si="3"/>
        <v>4</v>
      </c>
      <c r="T145" s="3"/>
    </row>
    <row r="146" spans="2:20" x14ac:dyDescent="0.15">
      <c r="B146" s="1">
        <v>114</v>
      </c>
      <c r="C146" s="1" t="s">
        <v>237</v>
      </c>
      <c r="D146" s="1" t="s">
        <v>238</v>
      </c>
      <c r="E146" s="1" t="s">
        <v>651</v>
      </c>
      <c r="G146" s="2"/>
      <c r="I146" s="1">
        <f t="shared" si="3"/>
        <v>3</v>
      </c>
      <c r="T146" s="3"/>
    </row>
    <row r="147" spans="2:20" x14ac:dyDescent="0.15">
      <c r="B147" s="1">
        <v>115</v>
      </c>
      <c r="C147" s="1" t="s">
        <v>239</v>
      </c>
      <c r="D147" s="1" t="s">
        <v>685</v>
      </c>
      <c r="E147" s="1" t="s">
        <v>714</v>
      </c>
      <c r="G147" s="2"/>
      <c r="I147" s="1">
        <f t="shared" si="3"/>
        <v>3</v>
      </c>
      <c r="T147" s="3"/>
    </row>
    <row r="148" spans="2:20" x14ac:dyDescent="0.15">
      <c r="B148" s="1">
        <v>116</v>
      </c>
      <c r="C148" s="1" t="s">
        <v>240</v>
      </c>
      <c r="D148" s="1" t="s">
        <v>241</v>
      </c>
      <c r="E148" s="1" t="s">
        <v>393</v>
      </c>
      <c r="G148" s="2"/>
      <c r="I148" s="1">
        <f t="shared" si="3"/>
        <v>3</v>
      </c>
      <c r="T148" s="3"/>
    </row>
    <row r="149" spans="2:20" x14ac:dyDescent="0.15">
      <c r="B149" s="1">
        <v>117</v>
      </c>
      <c r="C149" s="1" t="s">
        <v>242</v>
      </c>
      <c r="D149" s="1" t="s">
        <v>243</v>
      </c>
      <c r="E149" s="1" t="s">
        <v>244</v>
      </c>
      <c r="F149" s="1" t="s">
        <v>407</v>
      </c>
      <c r="G149" s="2"/>
      <c r="I149" s="1">
        <f t="shared" si="3"/>
        <v>4</v>
      </c>
      <c r="T149" s="3"/>
    </row>
    <row r="150" spans="2:20" x14ac:dyDescent="0.15">
      <c r="B150" s="1">
        <v>118</v>
      </c>
      <c r="C150" s="1" t="s">
        <v>245</v>
      </c>
      <c r="D150" s="1" t="s">
        <v>246</v>
      </c>
      <c r="E150" s="1" t="s">
        <v>247</v>
      </c>
      <c r="F150" s="1" t="s">
        <v>391</v>
      </c>
      <c r="G150" s="2" t="s">
        <v>445</v>
      </c>
      <c r="I150" s="1">
        <f t="shared" si="3"/>
        <v>5</v>
      </c>
      <c r="T150" s="3"/>
    </row>
    <row r="151" spans="2:20" x14ac:dyDescent="0.15">
      <c r="B151" s="1">
        <v>119</v>
      </c>
      <c r="C151" s="1" t="s">
        <v>248</v>
      </c>
      <c r="D151" s="1" t="s">
        <v>249</v>
      </c>
      <c r="E151" s="1" t="s">
        <v>250</v>
      </c>
      <c r="G151" s="2"/>
      <c r="I151" s="1">
        <f t="shared" si="3"/>
        <v>3</v>
      </c>
      <c r="T151" s="3"/>
    </row>
    <row r="152" spans="2:20" x14ac:dyDescent="0.15">
      <c r="B152" s="1">
        <v>120</v>
      </c>
      <c r="C152" s="1" t="s">
        <v>251</v>
      </c>
      <c r="D152" s="1" t="s">
        <v>252</v>
      </c>
      <c r="E152" s="1" t="s">
        <v>409</v>
      </c>
      <c r="F152" s="1" t="s">
        <v>652</v>
      </c>
      <c r="G152" s="2"/>
      <c r="I152" s="1">
        <f t="shared" si="3"/>
        <v>4</v>
      </c>
      <c r="T152" s="3"/>
    </row>
    <row r="153" spans="2:20" x14ac:dyDescent="0.15">
      <c r="B153" s="1">
        <v>121</v>
      </c>
      <c r="C153" s="1" t="s">
        <v>253</v>
      </c>
      <c r="D153" s="1" t="s">
        <v>254</v>
      </c>
      <c r="G153" s="2"/>
      <c r="I153" s="1">
        <f t="shared" si="3"/>
        <v>2</v>
      </c>
      <c r="T153" s="3"/>
    </row>
    <row r="154" spans="2:20" x14ac:dyDescent="0.15">
      <c r="B154" s="1">
        <v>122</v>
      </c>
      <c r="C154" s="1" t="s">
        <v>255</v>
      </c>
      <c r="D154" s="1" t="s">
        <v>256</v>
      </c>
      <c r="E154" s="1" t="s">
        <v>410</v>
      </c>
      <c r="G154" s="2"/>
      <c r="I154" s="1">
        <f t="shared" si="3"/>
        <v>3</v>
      </c>
      <c r="T154" s="3"/>
    </row>
    <row r="155" spans="2:20" x14ac:dyDescent="0.15">
      <c r="B155" s="1">
        <v>123</v>
      </c>
      <c r="C155" s="1" t="s">
        <v>257</v>
      </c>
      <c r="D155" s="1" t="s">
        <v>258</v>
      </c>
      <c r="E155" s="1" t="s">
        <v>653</v>
      </c>
      <c r="G155" s="2"/>
      <c r="I155" s="1">
        <f t="shared" si="3"/>
        <v>3</v>
      </c>
      <c r="T155" s="3"/>
    </row>
    <row r="156" spans="2:20" x14ac:dyDescent="0.15">
      <c r="B156" s="1">
        <v>124</v>
      </c>
      <c r="C156" s="1" t="s">
        <v>259</v>
      </c>
      <c r="D156" s="1" t="s">
        <v>260</v>
      </c>
      <c r="G156" s="2"/>
      <c r="I156" s="1">
        <f t="shared" si="3"/>
        <v>2</v>
      </c>
      <c r="T156" s="3"/>
    </row>
    <row r="157" spans="2:20" x14ac:dyDescent="0.15">
      <c r="B157" s="1">
        <v>125</v>
      </c>
      <c r="C157" s="1" t="s">
        <v>261</v>
      </c>
      <c r="D157" s="1" t="s">
        <v>262</v>
      </c>
      <c r="E157" s="1" t="s">
        <v>418</v>
      </c>
      <c r="F157" s="1" t="s">
        <v>451</v>
      </c>
      <c r="G157" s="2" t="s">
        <v>453</v>
      </c>
      <c r="H157" s="1" t="s">
        <v>454</v>
      </c>
      <c r="I157" s="1">
        <f t="shared" si="3"/>
        <v>6</v>
      </c>
      <c r="T157" s="3"/>
    </row>
    <row r="158" spans="2:20" x14ac:dyDescent="0.15">
      <c r="B158" s="1">
        <v>126</v>
      </c>
      <c r="C158" s="1" t="s">
        <v>263</v>
      </c>
      <c r="D158" s="1" t="s">
        <v>264</v>
      </c>
      <c r="E158" s="1" t="s">
        <v>654</v>
      </c>
      <c r="F158" s="1" t="s">
        <v>715</v>
      </c>
      <c r="G158" s="2" t="s">
        <v>716</v>
      </c>
      <c r="I158" s="1">
        <f t="shared" si="3"/>
        <v>5</v>
      </c>
      <c r="T158" s="3"/>
    </row>
    <row r="159" spans="2:20" x14ac:dyDescent="0.15">
      <c r="B159" s="1">
        <v>127</v>
      </c>
      <c r="C159" s="1" t="s">
        <v>265</v>
      </c>
      <c r="D159" s="1" t="s">
        <v>266</v>
      </c>
      <c r="E159" s="1" t="s">
        <v>419</v>
      </c>
      <c r="F159" s="1" t="s">
        <v>455</v>
      </c>
      <c r="G159" s="2"/>
      <c r="I159" s="1">
        <f t="shared" si="3"/>
        <v>4</v>
      </c>
      <c r="T159" s="3"/>
    </row>
    <row r="160" spans="2:20" x14ac:dyDescent="0.15">
      <c r="B160" s="1">
        <v>128</v>
      </c>
      <c r="C160" s="1" t="s">
        <v>267</v>
      </c>
      <c r="D160" s="1" t="s">
        <v>268</v>
      </c>
      <c r="E160" s="1" t="s">
        <v>435</v>
      </c>
      <c r="G160" s="2"/>
      <c r="I160" s="1">
        <f t="shared" si="3"/>
        <v>3</v>
      </c>
      <c r="T160" s="3"/>
    </row>
    <row r="161" spans="2:23" x14ac:dyDescent="0.15">
      <c r="B161" s="1">
        <v>129</v>
      </c>
      <c r="C161" s="1" t="s">
        <v>269</v>
      </c>
      <c r="D161" s="1" t="s">
        <v>270</v>
      </c>
      <c r="G161" s="2"/>
      <c r="I161" s="1">
        <f t="shared" si="3"/>
        <v>2</v>
      </c>
      <c r="T161" s="3"/>
    </row>
    <row r="162" spans="2:23" x14ac:dyDescent="0.15">
      <c r="B162" s="1">
        <v>130</v>
      </c>
      <c r="C162" s="1" t="s">
        <v>271</v>
      </c>
      <c r="D162" s="1" t="s">
        <v>272</v>
      </c>
      <c r="E162" s="1" t="s">
        <v>655</v>
      </c>
      <c r="G162" s="2"/>
      <c r="I162" s="1">
        <f t="shared" ref="I162:I212" si="4">COUNTIF(C162:H162,"&lt;&gt;")</f>
        <v>3</v>
      </c>
      <c r="T162" s="3"/>
    </row>
    <row r="163" spans="2:23" x14ac:dyDescent="0.15">
      <c r="B163" s="1">
        <v>131</v>
      </c>
      <c r="C163" s="1" t="s">
        <v>273</v>
      </c>
      <c r="D163" s="1" t="s">
        <v>274</v>
      </c>
      <c r="E163" s="1" t="s">
        <v>275</v>
      </c>
      <c r="F163" s="1" t="s">
        <v>390</v>
      </c>
      <c r="G163" s="2" t="s">
        <v>444</v>
      </c>
      <c r="H163" s="1" t="s">
        <v>450</v>
      </c>
      <c r="I163" s="1">
        <f t="shared" si="4"/>
        <v>6</v>
      </c>
      <c r="T163" s="3"/>
    </row>
    <row r="164" spans="2:23" x14ac:dyDescent="0.15">
      <c r="B164" s="1">
        <v>132</v>
      </c>
      <c r="C164" s="1" t="s">
        <v>276</v>
      </c>
      <c r="D164" s="1" t="s">
        <v>277</v>
      </c>
      <c r="E164" s="1" t="s">
        <v>656</v>
      </c>
      <c r="F164" s="1" t="s">
        <v>717</v>
      </c>
      <c r="G164" s="2"/>
      <c r="I164" s="1">
        <f t="shared" si="4"/>
        <v>4</v>
      </c>
      <c r="T164" s="3"/>
    </row>
    <row r="165" spans="2:23" x14ac:dyDescent="0.15">
      <c r="B165" s="1">
        <v>133</v>
      </c>
      <c r="C165" s="1" t="s">
        <v>278</v>
      </c>
      <c r="D165" s="1" t="s">
        <v>279</v>
      </c>
      <c r="E165" s="1" t="s">
        <v>657</v>
      </c>
      <c r="F165" s="1" t="s">
        <v>718</v>
      </c>
      <c r="G165" s="2"/>
      <c r="I165" s="1">
        <f t="shared" si="4"/>
        <v>4</v>
      </c>
      <c r="T165" s="3"/>
    </row>
    <row r="166" spans="2:23" x14ac:dyDescent="0.15">
      <c r="B166" s="1">
        <v>134</v>
      </c>
      <c r="C166" s="1" t="s">
        <v>280</v>
      </c>
      <c r="D166" s="1" t="s">
        <v>281</v>
      </c>
      <c r="E166" s="1" t="s">
        <v>431</v>
      </c>
      <c r="G166" s="2"/>
      <c r="I166" s="1">
        <f t="shared" si="4"/>
        <v>3</v>
      </c>
      <c r="T166" s="3"/>
    </row>
    <row r="167" spans="2:23" x14ac:dyDescent="0.15">
      <c r="B167" s="1">
        <v>135</v>
      </c>
      <c r="C167" s="1" t="s">
        <v>282</v>
      </c>
      <c r="D167" s="1" t="s">
        <v>283</v>
      </c>
      <c r="E167" s="1" t="s">
        <v>658</v>
      </c>
      <c r="G167" s="2"/>
      <c r="I167" s="1">
        <f t="shared" si="4"/>
        <v>3</v>
      </c>
      <c r="T167" s="3"/>
    </row>
    <row r="168" spans="2:23" x14ac:dyDescent="0.15">
      <c r="B168" s="1">
        <v>136</v>
      </c>
      <c r="C168" s="1" t="s">
        <v>284</v>
      </c>
      <c r="D168" s="1" t="s">
        <v>285</v>
      </c>
      <c r="G168" s="2"/>
      <c r="I168" s="1">
        <f t="shared" si="4"/>
        <v>2</v>
      </c>
      <c r="T168" s="3"/>
    </row>
    <row r="169" spans="2:23" x14ac:dyDescent="0.15">
      <c r="B169" s="1">
        <v>137</v>
      </c>
      <c r="C169" s="1" t="s">
        <v>286</v>
      </c>
      <c r="D169" s="1" t="s">
        <v>287</v>
      </c>
      <c r="E169" s="1" t="s">
        <v>659</v>
      </c>
      <c r="G169" s="2"/>
      <c r="I169" s="1">
        <f t="shared" si="4"/>
        <v>3</v>
      </c>
      <c r="T169" s="3"/>
    </row>
    <row r="170" spans="2:23" x14ac:dyDescent="0.15">
      <c r="B170" s="1">
        <v>138</v>
      </c>
      <c r="C170" s="1" t="s">
        <v>288</v>
      </c>
      <c r="D170" s="1" t="s">
        <v>289</v>
      </c>
      <c r="E170" s="1" t="s">
        <v>423</v>
      </c>
      <c r="F170" s="1" t="s">
        <v>660</v>
      </c>
      <c r="G170" s="2" t="s">
        <v>731</v>
      </c>
      <c r="I170" s="1">
        <f t="shared" si="4"/>
        <v>5</v>
      </c>
      <c r="T170" s="3"/>
    </row>
    <row r="171" spans="2:23" x14ac:dyDescent="0.15">
      <c r="B171" s="1">
        <v>139</v>
      </c>
      <c r="C171" s="1" t="s">
        <v>290</v>
      </c>
      <c r="D171" s="1" t="s">
        <v>291</v>
      </c>
      <c r="E171" s="1" t="s">
        <v>406</v>
      </c>
      <c r="G171" s="2" t="s">
        <v>719</v>
      </c>
      <c r="I171" s="1">
        <f t="shared" si="4"/>
        <v>4</v>
      </c>
      <c r="U171" s="3"/>
    </row>
    <row r="172" spans="2:23" x14ac:dyDescent="0.15">
      <c r="B172" s="1">
        <v>140</v>
      </c>
      <c r="C172" s="1" t="s">
        <v>292</v>
      </c>
      <c r="D172" s="1" t="s">
        <v>293</v>
      </c>
      <c r="E172" s="1" t="s">
        <v>294</v>
      </c>
      <c r="F172" s="1" t="s">
        <v>389</v>
      </c>
      <c r="G172" s="2" t="s">
        <v>442</v>
      </c>
      <c r="H172" s="1" t="s">
        <v>443</v>
      </c>
      <c r="I172" s="1">
        <f t="shared" si="4"/>
        <v>6</v>
      </c>
      <c r="U172" s="3"/>
    </row>
    <row r="173" spans="2:23" x14ac:dyDescent="0.15">
      <c r="B173" s="1">
        <v>141</v>
      </c>
      <c r="C173" s="1" t="s">
        <v>295</v>
      </c>
      <c r="D173" s="1" t="s">
        <v>296</v>
      </c>
      <c r="E173" s="1" t="s">
        <v>297</v>
      </c>
      <c r="G173" s="2"/>
      <c r="I173" s="1">
        <f t="shared" si="4"/>
        <v>3</v>
      </c>
      <c r="T173" s="3"/>
    </row>
    <row r="174" spans="2:23" x14ac:dyDescent="0.15">
      <c r="B174" s="1">
        <v>142</v>
      </c>
      <c r="C174" s="1" t="s">
        <v>298</v>
      </c>
      <c r="D174" s="1" t="s">
        <v>299</v>
      </c>
      <c r="E174" s="1" t="s">
        <v>661</v>
      </c>
      <c r="F174" s="1" t="s">
        <v>720</v>
      </c>
      <c r="G174" s="2"/>
      <c r="I174" s="1">
        <f t="shared" si="4"/>
        <v>4</v>
      </c>
      <c r="U174" s="3"/>
    </row>
    <row r="175" spans="2:23" x14ac:dyDescent="0.15">
      <c r="B175" s="1">
        <v>143</v>
      </c>
      <c r="C175" s="1" t="s">
        <v>300</v>
      </c>
      <c r="D175" s="1" t="s">
        <v>301</v>
      </c>
      <c r="E175" s="1" t="s">
        <v>662</v>
      </c>
      <c r="G175" s="2"/>
      <c r="I175" s="1">
        <f t="shared" si="4"/>
        <v>3</v>
      </c>
      <c r="V175" s="3"/>
    </row>
    <row r="176" spans="2:23" x14ac:dyDescent="0.15">
      <c r="B176" s="1">
        <v>144</v>
      </c>
      <c r="C176" s="1" t="s">
        <v>302</v>
      </c>
      <c r="D176" s="1" t="s">
        <v>303</v>
      </c>
      <c r="E176" s="1" t="s">
        <v>663</v>
      </c>
      <c r="G176" s="2"/>
      <c r="I176" s="1">
        <f t="shared" si="4"/>
        <v>3</v>
      </c>
      <c r="W176" s="3"/>
    </row>
    <row r="177" spans="2:25" x14ac:dyDescent="0.15">
      <c r="B177" s="1">
        <v>145</v>
      </c>
      <c r="C177" s="1" t="s">
        <v>304</v>
      </c>
      <c r="D177" s="1" t="s">
        <v>305</v>
      </c>
      <c r="E177" s="1" t="s">
        <v>664</v>
      </c>
      <c r="G177" s="2"/>
      <c r="I177" s="1">
        <f t="shared" si="4"/>
        <v>3</v>
      </c>
      <c r="V177" s="3"/>
    </row>
    <row r="178" spans="2:25" x14ac:dyDescent="0.15">
      <c r="B178" s="1">
        <v>146</v>
      </c>
      <c r="C178" s="1" t="s">
        <v>306</v>
      </c>
      <c r="D178" s="1" t="s">
        <v>307</v>
      </c>
      <c r="G178" s="2"/>
      <c r="I178" s="1">
        <f t="shared" si="4"/>
        <v>2</v>
      </c>
      <c r="V178" s="3"/>
    </row>
    <row r="179" spans="2:25" x14ac:dyDescent="0.15">
      <c r="B179" s="1">
        <v>147</v>
      </c>
      <c r="C179" s="1" t="s">
        <v>308</v>
      </c>
      <c r="D179" s="1" t="s">
        <v>309</v>
      </c>
      <c r="G179" s="2"/>
      <c r="I179" s="1">
        <f t="shared" si="4"/>
        <v>2</v>
      </c>
      <c r="U179" s="3"/>
    </row>
    <row r="180" spans="2:25" x14ac:dyDescent="0.15">
      <c r="B180" s="1">
        <v>148</v>
      </c>
      <c r="C180" s="1" t="s">
        <v>310</v>
      </c>
      <c r="D180" s="1" t="s">
        <v>311</v>
      </c>
      <c r="E180" s="1" t="s">
        <v>665</v>
      </c>
      <c r="F180" s="1" t="s">
        <v>721</v>
      </c>
      <c r="G180" s="2"/>
      <c r="I180" s="1">
        <f t="shared" si="4"/>
        <v>4</v>
      </c>
      <c r="U180" s="3"/>
    </row>
    <row r="181" spans="2:25" x14ac:dyDescent="0.15">
      <c r="B181" s="1">
        <v>149</v>
      </c>
      <c r="C181" s="1" t="s">
        <v>312</v>
      </c>
      <c r="D181" s="1" t="s">
        <v>313</v>
      </c>
      <c r="E181" s="1" t="s">
        <v>666</v>
      </c>
      <c r="F181" s="1" t="s">
        <v>722</v>
      </c>
      <c r="G181" s="2"/>
      <c r="I181" s="1">
        <f t="shared" si="4"/>
        <v>4</v>
      </c>
      <c r="U181" s="3"/>
    </row>
    <row r="182" spans="2:25" x14ac:dyDescent="0.15">
      <c r="B182" s="1">
        <v>150</v>
      </c>
      <c r="C182" s="1" t="s">
        <v>314</v>
      </c>
      <c r="D182" s="1" t="s">
        <v>315</v>
      </c>
      <c r="E182" s="1" t="s">
        <v>667</v>
      </c>
      <c r="F182" s="1" t="s">
        <v>723</v>
      </c>
      <c r="G182" s="2"/>
      <c r="I182" s="1">
        <f t="shared" si="4"/>
        <v>4</v>
      </c>
      <c r="U182" s="3"/>
    </row>
    <row r="183" spans="2:25" x14ac:dyDescent="0.15">
      <c r="B183" s="1">
        <v>151</v>
      </c>
      <c r="C183" s="1" t="s">
        <v>316</v>
      </c>
      <c r="D183" s="1" t="s">
        <v>317</v>
      </c>
      <c r="G183" s="2"/>
      <c r="I183" s="1">
        <f t="shared" si="4"/>
        <v>2</v>
      </c>
      <c r="Y183" s="3"/>
    </row>
    <row r="184" spans="2:25" x14ac:dyDescent="0.15">
      <c r="B184" s="1">
        <v>152</v>
      </c>
      <c r="C184" s="1" t="s">
        <v>732</v>
      </c>
      <c r="D184" s="1" t="s">
        <v>318</v>
      </c>
      <c r="G184" s="2"/>
      <c r="I184" s="1">
        <f t="shared" si="4"/>
        <v>2</v>
      </c>
      <c r="Y184" s="3"/>
    </row>
    <row r="185" spans="2:25" x14ac:dyDescent="0.15">
      <c r="B185" s="1">
        <v>153</v>
      </c>
      <c r="C185" s="1" t="s">
        <v>319</v>
      </c>
      <c r="D185" s="1" t="s">
        <v>320</v>
      </c>
      <c r="E185" s="1" t="s">
        <v>668</v>
      </c>
      <c r="G185" s="2"/>
      <c r="I185" s="1">
        <f t="shared" si="4"/>
        <v>3</v>
      </c>
      <c r="Y185" s="3"/>
    </row>
    <row r="186" spans="2:25" x14ac:dyDescent="0.15">
      <c r="B186" s="1">
        <v>154</v>
      </c>
      <c r="C186" s="1" t="s">
        <v>321</v>
      </c>
      <c r="D186" s="1" t="s">
        <v>322</v>
      </c>
      <c r="E186" s="1" t="s">
        <v>669</v>
      </c>
      <c r="F186" s="1" t="s">
        <v>724</v>
      </c>
      <c r="G186" s="2"/>
      <c r="I186" s="1">
        <f t="shared" si="4"/>
        <v>4</v>
      </c>
      <c r="Y186" s="3"/>
    </row>
    <row r="187" spans="2:25" x14ac:dyDescent="0.15">
      <c r="B187" s="1">
        <v>155</v>
      </c>
      <c r="C187" s="1" t="s">
        <v>323</v>
      </c>
      <c r="D187" s="1" t="s">
        <v>324</v>
      </c>
      <c r="E187" s="1" t="s">
        <v>670</v>
      </c>
      <c r="G187" s="2"/>
      <c r="I187" s="1">
        <f t="shared" si="4"/>
        <v>3</v>
      </c>
      <c r="Y187" s="3"/>
    </row>
    <row r="188" spans="2:25" x14ac:dyDescent="0.15">
      <c r="B188" s="1">
        <v>156</v>
      </c>
      <c r="C188" s="1" t="s">
        <v>325</v>
      </c>
      <c r="D188" s="1" t="s">
        <v>326</v>
      </c>
      <c r="E188" s="1" t="s">
        <v>671</v>
      </c>
      <c r="F188" s="1" t="s">
        <v>725</v>
      </c>
      <c r="G188" s="2"/>
      <c r="I188" s="1">
        <f t="shared" si="4"/>
        <v>4</v>
      </c>
      <c r="Y188" s="3"/>
    </row>
    <row r="189" spans="2:25" x14ac:dyDescent="0.15">
      <c r="B189" s="1">
        <v>157</v>
      </c>
      <c r="C189" s="1" t="s">
        <v>327</v>
      </c>
      <c r="D189" s="1" t="s">
        <v>328</v>
      </c>
      <c r="E189" s="1" t="s">
        <v>672</v>
      </c>
      <c r="G189" s="2"/>
      <c r="I189" s="1">
        <f t="shared" si="4"/>
        <v>3</v>
      </c>
      <c r="Y189" s="3"/>
    </row>
    <row r="190" spans="2:25" x14ac:dyDescent="0.15">
      <c r="B190" s="1">
        <v>158</v>
      </c>
      <c r="C190" s="1" t="s">
        <v>329</v>
      </c>
      <c r="D190" s="1" t="s">
        <v>330</v>
      </c>
      <c r="G190" s="2"/>
      <c r="I190" s="1">
        <f t="shared" si="4"/>
        <v>2</v>
      </c>
      <c r="Y190" s="3"/>
    </row>
    <row r="191" spans="2:25" x14ac:dyDescent="0.15">
      <c r="B191" s="1">
        <v>159</v>
      </c>
      <c r="C191" s="1" t="s">
        <v>331</v>
      </c>
      <c r="D191" s="1" t="s">
        <v>332</v>
      </c>
      <c r="E191" s="1" t="s">
        <v>673</v>
      </c>
      <c r="G191" s="2"/>
      <c r="I191" s="1">
        <f t="shared" si="4"/>
        <v>3</v>
      </c>
      <c r="Y191" s="3"/>
    </row>
    <row r="192" spans="2:25" x14ac:dyDescent="0.15">
      <c r="B192" s="1">
        <v>160</v>
      </c>
      <c r="C192" s="1" t="s">
        <v>333</v>
      </c>
      <c r="D192" s="1" t="s">
        <v>334</v>
      </c>
      <c r="E192" s="1" t="s">
        <v>674</v>
      </c>
      <c r="G192" s="2"/>
      <c r="I192" s="1">
        <f t="shared" si="4"/>
        <v>3</v>
      </c>
      <c r="Y192" s="3"/>
    </row>
    <row r="193" spans="2:25" x14ac:dyDescent="0.15">
      <c r="B193" s="1">
        <v>161</v>
      </c>
      <c r="C193" s="1" t="s">
        <v>335</v>
      </c>
      <c r="D193" s="1" t="s">
        <v>336</v>
      </c>
      <c r="G193" s="2"/>
      <c r="I193" s="1">
        <f t="shared" si="4"/>
        <v>2</v>
      </c>
      <c r="Y193" s="3"/>
    </row>
    <row r="194" spans="2:25" x14ac:dyDescent="0.15">
      <c r="B194" s="1">
        <v>162</v>
      </c>
      <c r="C194" s="1" t="s">
        <v>337</v>
      </c>
      <c r="D194" s="1" t="s">
        <v>338</v>
      </c>
      <c r="G194" s="2"/>
      <c r="I194" s="1">
        <f t="shared" si="4"/>
        <v>2</v>
      </c>
      <c r="Y194" s="3"/>
    </row>
    <row r="195" spans="2:25" x14ac:dyDescent="0.15">
      <c r="B195" s="1">
        <v>163</v>
      </c>
      <c r="C195" s="1" t="s">
        <v>339</v>
      </c>
      <c r="D195" s="1" t="s">
        <v>340</v>
      </c>
      <c r="E195" s="1" t="s">
        <v>675</v>
      </c>
      <c r="F195" s="1" t="s">
        <v>726</v>
      </c>
      <c r="G195" s="2"/>
      <c r="I195" s="1">
        <f t="shared" si="4"/>
        <v>4</v>
      </c>
      <c r="Y195" s="3"/>
    </row>
    <row r="196" spans="2:25" x14ac:dyDescent="0.15">
      <c r="B196" s="1">
        <v>164</v>
      </c>
      <c r="C196" s="1" t="s">
        <v>341</v>
      </c>
      <c r="D196" s="1" t="s">
        <v>342</v>
      </c>
      <c r="E196" s="1" t="s">
        <v>676</v>
      </c>
      <c r="F196" s="1" t="s">
        <v>677</v>
      </c>
      <c r="G196" s="2"/>
      <c r="I196" s="1">
        <f t="shared" si="4"/>
        <v>4</v>
      </c>
      <c r="Y196" s="3"/>
    </row>
    <row r="197" spans="2:25" x14ac:dyDescent="0.15">
      <c r="B197" s="1">
        <v>165</v>
      </c>
      <c r="C197" s="1" t="s">
        <v>343</v>
      </c>
      <c r="D197" s="1" t="s">
        <v>344</v>
      </c>
      <c r="E197" s="1" t="s">
        <v>727</v>
      </c>
      <c r="G197" s="2"/>
      <c r="I197" s="1">
        <f t="shared" si="4"/>
        <v>3</v>
      </c>
      <c r="Y197" s="3"/>
    </row>
    <row r="198" spans="2:25" x14ac:dyDescent="0.15">
      <c r="B198" s="1">
        <v>166</v>
      </c>
      <c r="C198" s="1" t="s">
        <v>345</v>
      </c>
      <c r="D198" s="1" t="s">
        <v>346</v>
      </c>
      <c r="E198" s="1" t="s">
        <v>678</v>
      </c>
      <c r="F198" s="1" t="s">
        <v>679</v>
      </c>
      <c r="G198" s="2" t="s">
        <v>680</v>
      </c>
      <c r="I198" s="1">
        <f t="shared" si="4"/>
        <v>5</v>
      </c>
      <c r="Y198" s="3"/>
    </row>
    <row r="199" spans="2:25" x14ac:dyDescent="0.15">
      <c r="B199" s="1">
        <v>167</v>
      </c>
      <c r="C199" s="1" t="s">
        <v>347</v>
      </c>
      <c r="D199" s="1" t="s">
        <v>348</v>
      </c>
      <c r="E199" s="1" t="s">
        <v>681</v>
      </c>
      <c r="G199" s="2"/>
      <c r="I199" s="1">
        <f t="shared" si="4"/>
        <v>3</v>
      </c>
      <c r="Y199" s="3"/>
    </row>
    <row r="200" spans="2:25" x14ac:dyDescent="0.15">
      <c r="B200" s="1">
        <v>168</v>
      </c>
      <c r="C200" s="1" t="s">
        <v>349</v>
      </c>
      <c r="D200" s="1" t="s">
        <v>350</v>
      </c>
      <c r="E200" s="1" t="s">
        <v>682</v>
      </c>
      <c r="F200" s="1" t="s">
        <v>683</v>
      </c>
      <c r="G200" s="2"/>
      <c r="I200" s="1">
        <f t="shared" si="4"/>
        <v>4</v>
      </c>
      <c r="Y200" s="3"/>
    </row>
    <row r="201" spans="2:25" x14ac:dyDescent="0.15">
      <c r="B201" s="1">
        <v>169</v>
      </c>
      <c r="C201" s="1" t="s">
        <v>351</v>
      </c>
      <c r="D201" s="1" t="s">
        <v>352</v>
      </c>
      <c r="E201" s="1" t="s">
        <v>405</v>
      </c>
      <c r="F201" s="1" t="s">
        <v>728</v>
      </c>
      <c r="G201" s="2"/>
      <c r="I201" s="1">
        <f t="shared" si="4"/>
        <v>4</v>
      </c>
      <c r="Y201" s="3"/>
    </row>
    <row r="202" spans="2:25" x14ac:dyDescent="0.15">
      <c r="B202" s="1">
        <v>170</v>
      </c>
      <c r="C202" s="1" t="s">
        <v>353</v>
      </c>
      <c r="D202" s="1" t="s">
        <v>354</v>
      </c>
      <c r="E202" s="1" t="s">
        <v>404</v>
      </c>
      <c r="G202" s="2"/>
      <c r="I202" s="1">
        <f t="shared" si="4"/>
        <v>3</v>
      </c>
      <c r="Y202" s="3"/>
    </row>
    <row r="203" spans="2:25" x14ac:dyDescent="0.15">
      <c r="B203" s="1">
        <v>171</v>
      </c>
      <c r="C203" s="1" t="s">
        <v>355</v>
      </c>
      <c r="D203" s="1" t="s">
        <v>356</v>
      </c>
      <c r="E203" s="1" t="s">
        <v>684</v>
      </c>
      <c r="G203" s="2"/>
      <c r="I203" s="1">
        <f t="shared" si="4"/>
        <v>3</v>
      </c>
      <c r="Y203" s="3"/>
    </row>
    <row r="204" spans="2:25" x14ac:dyDescent="0.15">
      <c r="B204" s="1">
        <v>172</v>
      </c>
      <c r="C204" s="1" t="s">
        <v>357</v>
      </c>
      <c r="D204" s="1" t="s">
        <v>358</v>
      </c>
      <c r="E204" s="1" t="s">
        <v>359</v>
      </c>
      <c r="G204" s="2"/>
      <c r="I204" s="1">
        <f t="shared" si="4"/>
        <v>3</v>
      </c>
      <c r="Y204" s="3"/>
    </row>
    <row r="205" spans="2:25" x14ac:dyDescent="0.15">
      <c r="B205" s="1">
        <v>173</v>
      </c>
      <c r="C205" s="1" t="s">
        <v>360</v>
      </c>
      <c r="D205" s="1" t="s">
        <v>361</v>
      </c>
      <c r="E205" s="1" t="s">
        <v>362</v>
      </c>
      <c r="F205" s="1" t="s">
        <v>401</v>
      </c>
      <c r="G205" s="2"/>
      <c r="I205" s="1">
        <f t="shared" si="4"/>
        <v>4</v>
      </c>
      <c r="Y205" s="3"/>
    </row>
    <row r="206" spans="2:25" x14ac:dyDescent="0.15">
      <c r="B206" s="1">
        <v>174</v>
      </c>
      <c r="C206" s="1" t="s">
        <v>363</v>
      </c>
      <c r="D206" s="1" t="s">
        <v>364</v>
      </c>
      <c r="E206" s="1" t="s">
        <v>365</v>
      </c>
      <c r="F206" s="1" t="s">
        <v>388</v>
      </c>
      <c r="G206" s="2" t="s">
        <v>441</v>
      </c>
      <c r="I206" s="1">
        <f t="shared" si="4"/>
        <v>5</v>
      </c>
      <c r="Y206" s="3"/>
    </row>
    <row r="207" spans="2:25" x14ac:dyDescent="0.15">
      <c r="B207" s="1">
        <v>175</v>
      </c>
      <c r="C207" s="1" t="s">
        <v>366</v>
      </c>
      <c r="D207" s="1" t="s">
        <v>367</v>
      </c>
      <c r="E207" s="1" t="s">
        <v>368</v>
      </c>
      <c r="F207" s="1" t="s">
        <v>402</v>
      </c>
      <c r="G207" s="2"/>
      <c r="I207" s="1">
        <f t="shared" si="4"/>
        <v>4</v>
      </c>
      <c r="Y207" s="3"/>
    </row>
    <row r="208" spans="2:25" x14ac:dyDescent="0.15">
      <c r="B208" s="1">
        <v>176</v>
      </c>
      <c r="C208" s="1" t="s">
        <v>369</v>
      </c>
      <c r="D208" s="1" t="s">
        <v>370</v>
      </c>
      <c r="E208" s="1" t="s">
        <v>371</v>
      </c>
      <c r="F208" s="1" t="s">
        <v>400</v>
      </c>
      <c r="G208" s="2"/>
      <c r="I208" s="1">
        <f t="shared" si="4"/>
        <v>4</v>
      </c>
      <c r="Y208" s="3"/>
    </row>
    <row r="209" spans="2:25" x14ac:dyDescent="0.15">
      <c r="B209" s="1">
        <v>177</v>
      </c>
      <c r="C209" s="1" t="s">
        <v>372</v>
      </c>
      <c r="D209" s="1" t="s">
        <v>373</v>
      </c>
      <c r="E209" s="1" t="s">
        <v>374</v>
      </c>
      <c r="G209" s="2"/>
      <c r="I209" s="1">
        <f t="shared" si="4"/>
        <v>3</v>
      </c>
      <c r="Y209" s="3"/>
    </row>
    <row r="210" spans="2:25" x14ac:dyDescent="0.15">
      <c r="B210" s="1">
        <v>178</v>
      </c>
      <c r="C210" s="1" t="s">
        <v>375</v>
      </c>
      <c r="D210" s="1" t="s">
        <v>376</v>
      </c>
      <c r="E210" s="1" t="s">
        <v>377</v>
      </c>
      <c r="G210" s="2"/>
      <c r="I210" s="1">
        <f t="shared" si="4"/>
        <v>3</v>
      </c>
      <c r="Y210" s="3"/>
    </row>
    <row r="211" spans="2:25" x14ac:dyDescent="0.15">
      <c r="B211" s="1">
        <v>179</v>
      </c>
      <c r="C211" s="1" t="s">
        <v>378</v>
      </c>
      <c r="D211" s="1" t="s">
        <v>379</v>
      </c>
      <c r="E211" s="1" t="s">
        <v>380</v>
      </c>
      <c r="F211" s="1" t="s">
        <v>729</v>
      </c>
      <c r="G211" s="2"/>
      <c r="I211" s="1">
        <f t="shared" si="4"/>
        <v>4</v>
      </c>
      <c r="Y211" s="3"/>
    </row>
    <row r="212" spans="2:25" x14ac:dyDescent="0.15">
      <c r="B212" s="1">
        <v>180</v>
      </c>
      <c r="C212" s="1" t="s">
        <v>381</v>
      </c>
      <c r="D212" s="1" t="s">
        <v>382</v>
      </c>
      <c r="E212" s="1" t="s">
        <v>383</v>
      </c>
      <c r="G212" s="2"/>
      <c r="I212" s="1">
        <f t="shared" si="4"/>
        <v>3</v>
      </c>
      <c r="Y212" s="3"/>
    </row>
    <row r="213" spans="2:25" x14ac:dyDescent="0.15">
      <c r="B213" s="4"/>
      <c r="Y213" s="3"/>
    </row>
    <row r="214" spans="2:25" x14ac:dyDescent="0.15">
      <c r="Y214" s="3"/>
    </row>
    <row r="215" spans="2:25" x14ac:dyDescent="0.15">
      <c r="Y215" s="3"/>
    </row>
    <row r="216" spans="2:25" x14ac:dyDescent="0.15">
      <c r="Y216" s="3"/>
    </row>
    <row r="217" spans="2:25" x14ac:dyDescent="0.15">
      <c r="Y217" s="3"/>
    </row>
    <row r="218" spans="2:25" x14ac:dyDescent="0.15">
      <c r="Y218" s="3"/>
    </row>
    <row r="219" spans="2:25" x14ac:dyDescent="0.15">
      <c r="Y219" s="3"/>
    </row>
    <row r="220" spans="2:25" x14ac:dyDescent="0.15">
      <c r="Y220" s="3"/>
    </row>
    <row r="221" spans="2:25" x14ac:dyDescent="0.15">
      <c r="Y221" s="3"/>
    </row>
    <row r="222" spans="2:25" x14ac:dyDescent="0.15">
      <c r="Y222" s="3"/>
    </row>
    <row r="223" spans="2:25" x14ac:dyDescent="0.15">
      <c r="Y223" s="3"/>
    </row>
    <row r="224" spans="2:25" x14ac:dyDescent="0.15">
      <c r="Y224" s="3"/>
    </row>
    <row r="225" spans="25:25" x14ac:dyDescent="0.15">
      <c r="Y225" s="3"/>
    </row>
    <row r="226" spans="25:25" x14ac:dyDescent="0.15">
      <c r="Y226" s="3"/>
    </row>
    <row r="227" spans="25:25" x14ac:dyDescent="0.15">
      <c r="Y227" s="3"/>
    </row>
    <row r="228" spans="25:25" x14ac:dyDescent="0.15">
      <c r="Y228" s="3"/>
    </row>
    <row r="229" spans="25:25" x14ac:dyDescent="0.15">
      <c r="Y229" s="3"/>
    </row>
    <row r="230" spans="25:25" x14ac:dyDescent="0.15">
      <c r="Y230" s="3"/>
    </row>
    <row r="231" spans="25:25" x14ac:dyDescent="0.15">
      <c r="Y231" s="3"/>
    </row>
    <row r="232" spans="25:25" x14ac:dyDescent="0.15">
      <c r="Y232" s="3"/>
    </row>
    <row r="233" spans="25:25" x14ac:dyDescent="0.15">
      <c r="Y233" s="3"/>
    </row>
    <row r="234" spans="25:25" x14ac:dyDescent="0.15">
      <c r="Y234" s="3"/>
    </row>
    <row r="235" spans="25:25" x14ac:dyDescent="0.15">
      <c r="Y235" s="3"/>
    </row>
    <row r="236" spans="25:25" x14ac:dyDescent="0.15">
      <c r="Y236" s="3"/>
    </row>
    <row r="237" spans="25:25" x14ac:dyDescent="0.15">
      <c r="Y237" s="3"/>
    </row>
    <row r="238" spans="25:25" x14ac:dyDescent="0.15">
      <c r="Y238" s="3"/>
    </row>
    <row r="239" spans="25:25" x14ac:dyDescent="0.15">
      <c r="Y239" s="3"/>
    </row>
    <row r="240" spans="25:25" x14ac:dyDescent="0.15">
      <c r="Y240" s="3"/>
    </row>
    <row r="241" spans="25:25" x14ac:dyDescent="0.15">
      <c r="Y241" s="3"/>
    </row>
    <row r="242" spans="25:25" x14ac:dyDescent="0.15">
      <c r="Y242" s="3"/>
    </row>
    <row r="243" spans="25:25" x14ac:dyDescent="0.15">
      <c r="Y243" s="3"/>
    </row>
    <row r="244" spans="25:25" x14ac:dyDescent="0.15">
      <c r="Y244" s="3"/>
    </row>
    <row r="245" spans="25:25" x14ac:dyDescent="0.15">
      <c r="Y245" s="3"/>
    </row>
    <row r="246" spans="25:25" x14ac:dyDescent="0.15">
      <c r="Y246" s="3"/>
    </row>
    <row r="247" spans="25:25" x14ac:dyDescent="0.15">
      <c r="Y247" s="3"/>
    </row>
    <row r="248" spans="25:25" x14ac:dyDescent="0.15">
      <c r="Y248" s="3"/>
    </row>
    <row r="249" spans="25:25" x14ac:dyDescent="0.15">
      <c r="Y249" s="3"/>
    </row>
    <row r="250" spans="25:25" x14ac:dyDescent="0.15">
      <c r="Y250" s="3"/>
    </row>
    <row r="251" spans="25:25" x14ac:dyDescent="0.15">
      <c r="Y251" s="3"/>
    </row>
    <row r="252" spans="25:25" x14ac:dyDescent="0.15">
      <c r="Y252" s="3"/>
    </row>
    <row r="253" spans="25:25" x14ac:dyDescent="0.15">
      <c r="Y253" s="3"/>
    </row>
    <row r="254" spans="25:25" x14ac:dyDescent="0.15">
      <c r="Y254" s="3"/>
    </row>
    <row r="255" spans="25:25" x14ac:dyDescent="0.15">
      <c r="Y255" s="3"/>
    </row>
    <row r="256" spans="25:25" x14ac:dyDescent="0.15">
      <c r="Y256" s="3"/>
    </row>
  </sheetData>
  <sortState xmlns:xlrd2="http://schemas.microsoft.com/office/spreadsheetml/2017/richdata2" ref="R78:S96">
    <sortCondition ref="R78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18A6-3346-429A-A74A-8154D1E0BD1A}">
  <sheetPr codeName="Sheet1"/>
  <dimension ref="B1:BM170"/>
  <sheetViews>
    <sheetView topLeftCell="V1" workbookViewId="0">
      <selection activeCell="AI68" sqref="AI68"/>
    </sheetView>
  </sheetViews>
  <sheetFormatPr defaultColWidth="6.625" defaultRowHeight="11.25" x14ac:dyDescent="0.15"/>
  <cols>
    <col min="1" max="2" width="6.625" style="6"/>
    <col min="3" max="8" width="6.625" style="6" customWidth="1"/>
    <col min="9" max="9" width="6.625" style="6"/>
    <col min="10" max="30" width="6.625" style="6" customWidth="1"/>
    <col min="31" max="37" width="6.625" style="6"/>
    <col min="38" max="66" width="6.625" style="6" customWidth="1"/>
    <col min="67" max="16384" width="6.625" style="6"/>
  </cols>
  <sheetData>
    <row r="1" spans="2:65" x14ac:dyDescent="0.15">
      <c r="C1" s="6" t="s">
        <v>469</v>
      </c>
      <c r="J1" s="6" t="s">
        <v>470</v>
      </c>
      <c r="Q1" s="6" t="s">
        <v>471</v>
      </c>
      <c r="X1" s="6" t="s">
        <v>472</v>
      </c>
      <c r="AF1" s="6" t="s">
        <v>480</v>
      </c>
    </row>
    <row r="2" spans="2:65" x14ac:dyDescent="0.15">
      <c r="AG2" s="6" t="s">
        <v>481</v>
      </c>
      <c r="AH2" s="6" t="s">
        <v>482</v>
      </c>
    </row>
    <row r="3" spans="2:65" x14ac:dyDescent="0.15">
      <c r="AG3" s="8"/>
      <c r="AH3" s="11" t="s">
        <v>478</v>
      </c>
    </row>
    <row r="4" spans="2:65" x14ac:dyDescent="0.15"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G4" s="10"/>
      <c r="AH4" s="11" t="s">
        <v>479</v>
      </c>
    </row>
    <row r="5" spans="2:65" x14ac:dyDescent="0.15"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</row>
    <row r="6" spans="2:65" x14ac:dyDescent="0.15">
      <c r="AF6" s="6" t="s">
        <v>476</v>
      </c>
      <c r="AM6" s="6" t="s">
        <v>477</v>
      </c>
      <c r="AT6" s="6" t="s">
        <v>483</v>
      </c>
      <c r="BA6" s="6" t="s">
        <v>484</v>
      </c>
      <c r="BH6" s="6" t="s">
        <v>485</v>
      </c>
    </row>
    <row r="7" spans="2:65" x14ac:dyDescent="0.15">
      <c r="AF7" s="6" t="s">
        <v>475</v>
      </c>
      <c r="AG7" s="6" t="s">
        <v>474</v>
      </c>
      <c r="AH7" s="6" t="s">
        <v>469</v>
      </c>
      <c r="AI7" s="6" t="s">
        <v>456</v>
      </c>
      <c r="AJ7" s="6" t="s">
        <v>457</v>
      </c>
      <c r="AK7" s="6" t="s">
        <v>458</v>
      </c>
      <c r="AM7" s="6" t="s">
        <v>475</v>
      </c>
      <c r="AN7" s="6" t="s">
        <v>474</v>
      </c>
      <c r="AO7" s="6" t="s">
        <v>469</v>
      </c>
      <c r="AP7" s="6" t="s">
        <v>456</v>
      </c>
      <c r="AQ7" s="6" t="s">
        <v>457</v>
      </c>
      <c r="AR7" s="6" t="s">
        <v>458</v>
      </c>
      <c r="AT7" s="6" t="s">
        <v>475</v>
      </c>
      <c r="AU7" s="6" t="s">
        <v>474</v>
      </c>
      <c r="AV7" s="6" t="s">
        <v>469</v>
      </c>
      <c r="AW7" s="6" t="s">
        <v>456</v>
      </c>
      <c r="AX7" s="6" t="s">
        <v>457</v>
      </c>
      <c r="AY7" s="6" t="s">
        <v>458</v>
      </c>
      <c r="BA7" s="6" t="s">
        <v>475</v>
      </c>
      <c r="BB7" s="6" t="s">
        <v>474</v>
      </c>
      <c r="BC7" s="6" t="s">
        <v>469</v>
      </c>
      <c r="BD7" s="6" t="s">
        <v>456</v>
      </c>
      <c r="BE7" s="6" t="s">
        <v>457</v>
      </c>
      <c r="BF7" s="6" t="s">
        <v>458</v>
      </c>
      <c r="BH7" s="6" t="s">
        <v>475</v>
      </c>
      <c r="BI7" s="6" t="s">
        <v>474</v>
      </c>
      <c r="BJ7" s="6" t="s">
        <v>469</v>
      </c>
      <c r="BK7" s="6" t="s">
        <v>456</v>
      </c>
      <c r="BL7" s="6" t="s">
        <v>457</v>
      </c>
      <c r="BM7" s="6" t="s">
        <v>458</v>
      </c>
    </row>
    <row r="8" spans="2:65" x14ac:dyDescent="0.15">
      <c r="AF8" s="6">
        <v>1</v>
      </c>
      <c r="AG8" s="6">
        <v>1</v>
      </c>
      <c r="AH8" s="6">
        <v>169</v>
      </c>
      <c r="AM8" s="6">
        <v>1</v>
      </c>
      <c r="AN8" s="6">
        <v>1</v>
      </c>
      <c r="AO8" s="6">
        <v>61</v>
      </c>
      <c r="AT8" s="6">
        <v>1</v>
      </c>
      <c r="AU8" s="6">
        <v>1</v>
      </c>
      <c r="AV8" s="6">
        <v>133</v>
      </c>
      <c r="BA8" s="6">
        <v>1</v>
      </c>
      <c r="BB8" s="6">
        <v>1</v>
      </c>
      <c r="BC8" s="6">
        <v>110</v>
      </c>
      <c r="BH8" s="6">
        <v>1</v>
      </c>
      <c r="BI8" s="6">
        <v>1</v>
      </c>
      <c r="BJ8" s="6">
        <v>155</v>
      </c>
    </row>
    <row r="9" spans="2:65" x14ac:dyDescent="0.15">
      <c r="B9" s="6" t="s">
        <v>466</v>
      </c>
      <c r="C9" s="6" t="s">
        <v>486</v>
      </c>
      <c r="D9" s="6" t="s">
        <v>459</v>
      </c>
      <c r="E9" s="6" t="s">
        <v>460</v>
      </c>
      <c r="F9" s="6" t="s">
        <v>461</v>
      </c>
      <c r="G9" s="6" t="s">
        <v>462</v>
      </c>
      <c r="H9" s="6" t="s">
        <v>473</v>
      </c>
      <c r="J9" s="6" t="s">
        <v>486</v>
      </c>
      <c r="K9" s="6" t="s">
        <v>459</v>
      </c>
      <c r="L9" s="6" t="s">
        <v>460</v>
      </c>
      <c r="M9" s="6" t="s">
        <v>461</v>
      </c>
      <c r="N9" s="6" t="s">
        <v>462</v>
      </c>
      <c r="O9" s="6" t="s">
        <v>473</v>
      </c>
      <c r="Q9" s="6" t="s">
        <v>486</v>
      </c>
      <c r="R9" s="6" t="s">
        <v>459</v>
      </c>
      <c r="S9" s="6" t="s">
        <v>460</v>
      </c>
      <c r="T9" s="6" t="s">
        <v>461</v>
      </c>
      <c r="U9" s="6" t="s">
        <v>462</v>
      </c>
      <c r="V9" s="6" t="s">
        <v>473</v>
      </c>
      <c r="X9" s="6" t="s">
        <v>486</v>
      </c>
      <c r="Y9" s="6" t="s">
        <v>459</v>
      </c>
      <c r="Z9" s="6" t="s">
        <v>460</v>
      </c>
      <c r="AA9" s="6" t="s">
        <v>461</v>
      </c>
      <c r="AB9" s="6" t="s">
        <v>462</v>
      </c>
      <c r="AC9" s="6" t="s">
        <v>473</v>
      </c>
      <c r="AF9" s="6">
        <v>2</v>
      </c>
      <c r="AG9" s="6">
        <v>1</v>
      </c>
      <c r="AH9" s="6">
        <v>168</v>
      </c>
      <c r="AM9" s="6">
        <v>2</v>
      </c>
      <c r="AN9" s="6">
        <v>1</v>
      </c>
      <c r="AO9" s="6">
        <v>60</v>
      </c>
      <c r="AT9" s="6">
        <v>2</v>
      </c>
      <c r="AU9" s="6">
        <v>1</v>
      </c>
      <c r="AV9" s="6">
        <v>128</v>
      </c>
      <c r="BA9" s="6">
        <v>2</v>
      </c>
      <c r="BB9" s="6">
        <v>1</v>
      </c>
      <c r="BC9" s="6">
        <v>109</v>
      </c>
      <c r="BH9" s="6">
        <v>2</v>
      </c>
      <c r="BI9" s="6">
        <v>1</v>
      </c>
      <c r="BJ9" s="6">
        <v>94</v>
      </c>
    </row>
    <row r="10" spans="2:65" x14ac:dyDescent="0.15">
      <c r="B10" s="6">
        <v>1</v>
      </c>
      <c r="C10" s="6">
        <v>0</v>
      </c>
      <c r="D10" s="6">
        <v>2</v>
      </c>
      <c r="H10" s="6">
        <f>ROUNDUP(SUM(D10:G10)/2,0)</f>
        <v>1</v>
      </c>
      <c r="J10" s="6">
        <v>0</v>
      </c>
      <c r="O10" s="6">
        <f>ROUNDUP(SUM(K10:N10)/2,0)</f>
        <v>0</v>
      </c>
      <c r="Q10" s="6">
        <v>0</v>
      </c>
      <c r="V10" s="6">
        <f>ROUNDUP(SUM(R10:U10)/2,0)</f>
        <v>0</v>
      </c>
      <c r="X10" s="6">
        <v>0</v>
      </c>
      <c r="AC10" s="6">
        <f>ROUNDUP(SUM(Y10:AB10)/2,0)</f>
        <v>0</v>
      </c>
      <c r="AF10" s="6">
        <v>3</v>
      </c>
      <c r="AG10" s="6">
        <v>1</v>
      </c>
      <c r="AH10" s="6">
        <v>167</v>
      </c>
      <c r="AM10" s="6">
        <v>3</v>
      </c>
      <c r="AN10" s="6">
        <v>1</v>
      </c>
      <c r="AO10" s="6">
        <v>58</v>
      </c>
      <c r="AT10" s="6">
        <v>3</v>
      </c>
      <c r="AU10" s="6">
        <v>1</v>
      </c>
      <c r="AV10" s="6">
        <v>127</v>
      </c>
      <c r="BA10" s="6">
        <v>3</v>
      </c>
      <c r="BB10" s="6">
        <v>1</v>
      </c>
      <c r="BC10" s="6">
        <v>108</v>
      </c>
      <c r="BH10" s="6">
        <v>3</v>
      </c>
      <c r="BI10" s="6">
        <v>1</v>
      </c>
      <c r="BJ10" s="6">
        <v>92</v>
      </c>
    </row>
    <row r="11" spans="2:65" x14ac:dyDescent="0.15">
      <c r="B11" s="6">
        <v>1</v>
      </c>
      <c r="C11" s="6">
        <v>1</v>
      </c>
      <c r="D11" s="6">
        <v>2</v>
      </c>
      <c r="F11" s="6">
        <v>1</v>
      </c>
      <c r="H11" s="6">
        <f t="shared" ref="H11:H30" si="0">ROUNDUP(SUM(D11:G11)/2,0)</f>
        <v>2</v>
      </c>
      <c r="J11" s="6">
        <v>1</v>
      </c>
      <c r="O11" s="6">
        <f t="shared" ref="O11:O30" si="1">ROUNDUP(SUM(K11:N11)/2,0)</f>
        <v>0</v>
      </c>
      <c r="Q11" s="6">
        <v>1</v>
      </c>
      <c r="V11" s="6">
        <f t="shared" ref="V11:V30" si="2">ROUNDUP(SUM(R11:U11)/2,0)</f>
        <v>0</v>
      </c>
      <c r="X11" s="6">
        <v>1</v>
      </c>
      <c r="AC11" s="6">
        <f t="shared" ref="AC11:AC30" si="3">ROUNDUP(SUM(Y11:AB11)/2,0)</f>
        <v>0</v>
      </c>
      <c r="AF11" s="6">
        <v>4</v>
      </c>
      <c r="AG11" s="6">
        <v>1</v>
      </c>
      <c r="AH11" s="6">
        <v>165</v>
      </c>
      <c r="AM11" s="6">
        <v>4</v>
      </c>
      <c r="AN11" s="6">
        <v>1</v>
      </c>
      <c r="AO11" s="6">
        <v>23</v>
      </c>
      <c r="AT11" s="6">
        <v>4</v>
      </c>
      <c r="AU11" s="6">
        <v>1</v>
      </c>
      <c r="AV11" s="6">
        <v>126</v>
      </c>
      <c r="BA11" s="6">
        <v>4</v>
      </c>
      <c r="BB11" s="6">
        <v>1</v>
      </c>
      <c r="BC11" s="6">
        <v>107</v>
      </c>
      <c r="BH11" s="6">
        <v>4</v>
      </c>
      <c r="BI11" s="6">
        <v>1</v>
      </c>
      <c r="BJ11" s="6">
        <v>101</v>
      </c>
    </row>
    <row r="12" spans="2:65" x14ac:dyDescent="0.15">
      <c r="B12" s="6">
        <v>1</v>
      </c>
      <c r="C12" s="6">
        <v>2</v>
      </c>
      <c r="D12" s="6">
        <v>2</v>
      </c>
      <c r="E12" s="6">
        <v>1</v>
      </c>
      <c r="F12" s="6">
        <v>1</v>
      </c>
      <c r="H12" s="6">
        <f t="shared" si="0"/>
        <v>2</v>
      </c>
      <c r="J12" s="6">
        <v>2</v>
      </c>
      <c r="O12" s="6">
        <f t="shared" si="1"/>
        <v>0</v>
      </c>
      <c r="Q12" s="6">
        <v>2</v>
      </c>
      <c r="V12" s="6">
        <f t="shared" si="2"/>
        <v>0</v>
      </c>
      <c r="X12" s="6">
        <v>2</v>
      </c>
      <c r="AC12" s="6">
        <f t="shared" si="3"/>
        <v>0</v>
      </c>
      <c r="AF12" s="6">
        <v>5</v>
      </c>
      <c r="AG12" s="6">
        <v>1</v>
      </c>
      <c r="AH12" s="6">
        <v>166</v>
      </c>
      <c r="AM12" s="6">
        <v>5</v>
      </c>
      <c r="AN12" s="6">
        <v>1</v>
      </c>
      <c r="AO12" s="6">
        <v>52</v>
      </c>
      <c r="AT12" s="6">
        <v>5</v>
      </c>
      <c r="AU12" s="6">
        <v>1</v>
      </c>
      <c r="AV12" s="6">
        <v>125</v>
      </c>
      <c r="BA12" s="6">
        <v>5</v>
      </c>
      <c r="BB12" s="6">
        <v>1</v>
      </c>
      <c r="BC12" s="6">
        <v>114</v>
      </c>
      <c r="BH12" s="6">
        <v>5</v>
      </c>
      <c r="BI12" s="6">
        <v>1</v>
      </c>
      <c r="BJ12" s="6">
        <v>95</v>
      </c>
    </row>
    <row r="13" spans="2:65" x14ac:dyDescent="0.15">
      <c r="B13" s="6">
        <v>1</v>
      </c>
      <c r="C13" s="6">
        <v>3</v>
      </c>
      <c r="D13" s="6">
        <v>3</v>
      </c>
      <c r="F13" s="6">
        <v>1</v>
      </c>
      <c r="G13" s="6">
        <v>1</v>
      </c>
      <c r="H13" s="6">
        <f t="shared" si="0"/>
        <v>3</v>
      </c>
      <c r="J13" s="6">
        <v>3</v>
      </c>
      <c r="O13" s="6">
        <f t="shared" si="1"/>
        <v>0</v>
      </c>
      <c r="Q13" s="6">
        <v>3</v>
      </c>
      <c r="V13" s="6">
        <f t="shared" si="2"/>
        <v>0</v>
      </c>
      <c r="X13" s="6">
        <v>3</v>
      </c>
      <c r="AC13" s="6">
        <f t="shared" si="3"/>
        <v>0</v>
      </c>
      <c r="AF13" s="6">
        <v>6</v>
      </c>
      <c r="AG13" s="6">
        <v>1</v>
      </c>
      <c r="AH13" s="6">
        <v>164</v>
      </c>
      <c r="AM13" s="6">
        <v>6</v>
      </c>
      <c r="AN13" s="6">
        <v>1</v>
      </c>
      <c r="AO13" s="6">
        <v>51</v>
      </c>
      <c r="AT13" s="6">
        <v>6</v>
      </c>
      <c r="AU13" s="6">
        <v>1</v>
      </c>
      <c r="AV13" s="6">
        <v>80</v>
      </c>
      <c r="BA13" s="6">
        <v>6</v>
      </c>
      <c r="BB13" s="6">
        <v>1</v>
      </c>
      <c r="BC13" s="6">
        <v>116</v>
      </c>
      <c r="BH13" s="6">
        <v>6</v>
      </c>
      <c r="BI13" s="6">
        <v>1</v>
      </c>
      <c r="BJ13" s="6">
        <v>28</v>
      </c>
    </row>
    <row r="14" spans="2:65" x14ac:dyDescent="0.15">
      <c r="B14" s="6">
        <v>1</v>
      </c>
      <c r="C14" s="6">
        <v>4</v>
      </c>
      <c r="D14" s="6">
        <v>3</v>
      </c>
      <c r="E14" s="6">
        <v>1</v>
      </c>
      <c r="F14" s="6">
        <v>1</v>
      </c>
      <c r="H14" s="6">
        <f t="shared" si="0"/>
        <v>3</v>
      </c>
      <c r="J14" s="6">
        <v>4</v>
      </c>
      <c r="O14" s="6">
        <f t="shared" si="1"/>
        <v>0</v>
      </c>
      <c r="Q14" s="6">
        <v>4</v>
      </c>
      <c r="V14" s="6">
        <f t="shared" si="2"/>
        <v>0</v>
      </c>
      <c r="X14" s="6">
        <v>4</v>
      </c>
      <c r="AC14" s="6">
        <f t="shared" si="3"/>
        <v>0</v>
      </c>
      <c r="AF14" s="6">
        <v>7</v>
      </c>
      <c r="AG14" s="6">
        <v>1</v>
      </c>
      <c r="AH14" s="6">
        <v>163</v>
      </c>
      <c r="AM14" s="6">
        <v>7</v>
      </c>
      <c r="AN14" s="6">
        <v>1</v>
      </c>
      <c r="AO14" s="6">
        <v>57</v>
      </c>
      <c r="AT14" s="6">
        <v>7</v>
      </c>
      <c r="AU14" s="6">
        <v>1</v>
      </c>
      <c r="AV14" s="6">
        <v>81</v>
      </c>
      <c r="BA14" s="6">
        <v>7</v>
      </c>
      <c r="BB14" s="6">
        <v>1</v>
      </c>
      <c r="BC14" s="6">
        <v>115</v>
      </c>
      <c r="BH14" s="6">
        <v>7</v>
      </c>
      <c r="BI14" s="6">
        <v>1</v>
      </c>
      <c r="BJ14" s="6">
        <v>32</v>
      </c>
    </row>
    <row r="15" spans="2:65" x14ac:dyDescent="0.15">
      <c r="B15" s="6">
        <v>1</v>
      </c>
      <c r="C15" s="6">
        <v>5</v>
      </c>
      <c r="D15" s="6">
        <v>3</v>
      </c>
      <c r="F15" s="6">
        <v>1</v>
      </c>
      <c r="G15" s="6">
        <v>1</v>
      </c>
      <c r="H15" s="6">
        <f t="shared" si="0"/>
        <v>3</v>
      </c>
      <c r="J15" s="6">
        <v>5</v>
      </c>
      <c r="O15" s="6">
        <f t="shared" si="1"/>
        <v>0</v>
      </c>
      <c r="Q15" s="6">
        <v>5</v>
      </c>
      <c r="V15" s="6">
        <f t="shared" si="2"/>
        <v>0</v>
      </c>
      <c r="X15" s="6">
        <v>5</v>
      </c>
      <c r="AC15" s="6">
        <f t="shared" si="3"/>
        <v>0</v>
      </c>
      <c r="AF15" s="6">
        <v>8</v>
      </c>
      <c r="AG15" s="6">
        <v>1</v>
      </c>
      <c r="AH15" s="6">
        <v>162</v>
      </c>
      <c r="AM15" s="6">
        <v>8</v>
      </c>
      <c r="AN15" s="6">
        <v>1</v>
      </c>
      <c r="AO15" s="6">
        <v>56</v>
      </c>
      <c r="AT15" s="6">
        <v>8</v>
      </c>
      <c r="AU15" s="6">
        <v>1</v>
      </c>
      <c r="AV15" s="6">
        <v>77</v>
      </c>
      <c r="BA15" s="6">
        <v>8</v>
      </c>
      <c r="BB15" s="6">
        <v>1</v>
      </c>
      <c r="BC15" s="6">
        <v>113</v>
      </c>
      <c r="BH15" s="6">
        <v>8</v>
      </c>
      <c r="BI15" s="6">
        <v>1</v>
      </c>
      <c r="BJ15" s="6">
        <v>16</v>
      </c>
    </row>
    <row r="16" spans="2:65" x14ac:dyDescent="0.15">
      <c r="B16" s="6">
        <v>1</v>
      </c>
      <c r="C16" s="6">
        <v>6</v>
      </c>
      <c r="D16" s="6">
        <v>4</v>
      </c>
      <c r="E16" s="6">
        <v>1</v>
      </c>
      <c r="F16" s="6">
        <v>1</v>
      </c>
      <c r="H16" s="6">
        <f t="shared" si="0"/>
        <v>3</v>
      </c>
      <c r="J16" s="6">
        <v>6</v>
      </c>
      <c r="O16" s="6">
        <f t="shared" si="1"/>
        <v>0</v>
      </c>
      <c r="Q16" s="6">
        <v>6</v>
      </c>
      <c r="V16" s="6">
        <f t="shared" si="2"/>
        <v>0</v>
      </c>
      <c r="X16" s="6">
        <v>6</v>
      </c>
      <c r="AC16" s="6">
        <f t="shared" si="3"/>
        <v>0</v>
      </c>
      <c r="AF16" s="6">
        <v>9</v>
      </c>
      <c r="AG16" s="6">
        <v>1</v>
      </c>
      <c r="AH16" s="6">
        <v>161</v>
      </c>
      <c r="AM16" s="6">
        <v>9</v>
      </c>
      <c r="AN16" s="6">
        <v>1</v>
      </c>
      <c r="AO16" s="6">
        <v>55</v>
      </c>
      <c r="AT16" s="6">
        <v>9</v>
      </c>
      <c r="AU16" s="6">
        <v>1</v>
      </c>
      <c r="AV16" s="6">
        <v>74</v>
      </c>
      <c r="BA16" s="6">
        <v>9</v>
      </c>
      <c r="BB16" s="6">
        <v>1</v>
      </c>
      <c r="BC16" s="6">
        <v>100</v>
      </c>
      <c r="BH16" s="6">
        <v>9</v>
      </c>
      <c r="BI16" s="6">
        <v>1</v>
      </c>
      <c r="BJ16" s="6">
        <v>5</v>
      </c>
    </row>
    <row r="17" spans="2:63" x14ac:dyDescent="0.15">
      <c r="B17" s="6">
        <v>2</v>
      </c>
      <c r="C17" s="6">
        <v>7</v>
      </c>
      <c r="D17" s="6">
        <v>2</v>
      </c>
      <c r="F17" s="6">
        <v>1</v>
      </c>
      <c r="G17" s="6">
        <v>1</v>
      </c>
      <c r="H17" s="6">
        <f t="shared" si="0"/>
        <v>2</v>
      </c>
      <c r="J17" s="6">
        <v>7</v>
      </c>
      <c r="K17" s="6">
        <v>2</v>
      </c>
      <c r="M17" s="6">
        <v>1</v>
      </c>
      <c r="O17" s="6">
        <f t="shared" si="1"/>
        <v>2</v>
      </c>
      <c r="Q17" s="6">
        <v>7</v>
      </c>
      <c r="V17" s="6">
        <f t="shared" si="2"/>
        <v>0</v>
      </c>
      <c r="X17" s="6">
        <v>7</v>
      </c>
      <c r="AC17" s="6">
        <f t="shared" si="3"/>
        <v>0</v>
      </c>
      <c r="AF17" s="6">
        <v>10</v>
      </c>
      <c r="AG17" s="6">
        <v>1</v>
      </c>
      <c r="AH17" s="6">
        <v>160</v>
      </c>
      <c r="AM17" s="6">
        <v>10</v>
      </c>
      <c r="AN17" s="6">
        <v>1</v>
      </c>
      <c r="AO17" s="6">
        <v>53</v>
      </c>
      <c r="AT17" s="6">
        <v>10</v>
      </c>
      <c r="AU17" s="6">
        <v>1</v>
      </c>
      <c r="AV17" s="6">
        <v>76</v>
      </c>
      <c r="BA17" s="6">
        <v>10</v>
      </c>
      <c r="BB17" s="6">
        <v>1</v>
      </c>
      <c r="BC17" s="6">
        <v>106</v>
      </c>
      <c r="BH17" s="6">
        <v>10</v>
      </c>
      <c r="BI17" s="6">
        <v>1</v>
      </c>
      <c r="BJ17" s="6">
        <v>2</v>
      </c>
    </row>
    <row r="18" spans="2:63" x14ac:dyDescent="0.15">
      <c r="B18" s="6">
        <v>2</v>
      </c>
      <c r="C18" s="6">
        <v>8</v>
      </c>
      <c r="D18" s="6">
        <v>2</v>
      </c>
      <c r="F18" s="6">
        <v>1</v>
      </c>
      <c r="H18" s="6">
        <f t="shared" si="0"/>
        <v>2</v>
      </c>
      <c r="J18" s="6">
        <v>8</v>
      </c>
      <c r="K18" s="6">
        <v>2</v>
      </c>
      <c r="L18" s="6">
        <v>1</v>
      </c>
      <c r="M18" s="6">
        <v>1</v>
      </c>
      <c r="O18" s="6">
        <f t="shared" si="1"/>
        <v>2</v>
      </c>
      <c r="Q18" s="6">
        <v>8</v>
      </c>
      <c r="V18" s="6">
        <f t="shared" si="2"/>
        <v>0</v>
      </c>
      <c r="X18" s="6">
        <v>8</v>
      </c>
      <c r="AC18" s="6">
        <f t="shared" si="3"/>
        <v>0</v>
      </c>
      <c r="AF18" s="6">
        <v>11</v>
      </c>
      <c r="AG18" s="6">
        <v>1</v>
      </c>
      <c r="AH18" s="6">
        <v>49</v>
      </c>
      <c r="AM18" s="6">
        <v>11</v>
      </c>
      <c r="AN18" s="6">
        <v>1</v>
      </c>
      <c r="AO18" s="6">
        <v>164</v>
      </c>
      <c r="AT18" s="6">
        <v>11</v>
      </c>
      <c r="AU18" s="6">
        <v>1</v>
      </c>
      <c r="AV18" s="6">
        <v>67</v>
      </c>
      <c r="BA18" s="6">
        <v>11</v>
      </c>
      <c r="BB18" s="6">
        <v>1</v>
      </c>
      <c r="BC18" s="6">
        <v>90</v>
      </c>
      <c r="BH18" s="6">
        <v>11</v>
      </c>
      <c r="BI18" s="6">
        <v>1</v>
      </c>
      <c r="BJ18" s="6">
        <v>1</v>
      </c>
    </row>
    <row r="19" spans="2:63" x14ac:dyDescent="0.15">
      <c r="B19" s="6">
        <v>2</v>
      </c>
      <c r="C19" s="6">
        <v>9</v>
      </c>
      <c r="D19" s="6">
        <v>2</v>
      </c>
      <c r="F19" s="6">
        <v>1</v>
      </c>
      <c r="H19" s="6">
        <f t="shared" si="0"/>
        <v>2</v>
      </c>
      <c r="J19" s="6">
        <v>9</v>
      </c>
      <c r="K19" s="6">
        <v>3</v>
      </c>
      <c r="M19" s="6">
        <v>1</v>
      </c>
      <c r="N19" s="6">
        <v>1</v>
      </c>
      <c r="O19" s="6">
        <f t="shared" si="1"/>
        <v>3</v>
      </c>
      <c r="Q19" s="6">
        <v>9</v>
      </c>
      <c r="V19" s="6">
        <f t="shared" si="2"/>
        <v>0</v>
      </c>
      <c r="X19" s="6">
        <v>9</v>
      </c>
      <c r="AC19" s="6">
        <f t="shared" si="3"/>
        <v>0</v>
      </c>
      <c r="AF19" s="6">
        <v>12</v>
      </c>
      <c r="AG19" s="6">
        <v>1</v>
      </c>
      <c r="AH19" s="6">
        <v>48</v>
      </c>
      <c r="AM19" s="6">
        <v>12</v>
      </c>
      <c r="AN19" s="6">
        <v>1</v>
      </c>
      <c r="AO19" s="6">
        <v>165</v>
      </c>
      <c r="AT19" s="6">
        <v>12</v>
      </c>
      <c r="AU19" s="6">
        <v>1</v>
      </c>
      <c r="AV19" s="6">
        <v>65</v>
      </c>
      <c r="BA19" s="6">
        <v>12</v>
      </c>
      <c r="BB19" s="6">
        <v>1</v>
      </c>
      <c r="BC19" s="6">
        <v>89</v>
      </c>
      <c r="BH19" s="6">
        <v>12</v>
      </c>
      <c r="BI19" s="6">
        <v>1</v>
      </c>
      <c r="BJ19" s="6">
        <v>7</v>
      </c>
    </row>
    <row r="20" spans="2:63" x14ac:dyDescent="0.15">
      <c r="B20" s="6">
        <v>2</v>
      </c>
      <c r="C20" s="6">
        <v>10</v>
      </c>
      <c r="D20" s="6">
        <v>2</v>
      </c>
      <c r="F20" s="6">
        <v>1</v>
      </c>
      <c r="H20" s="6">
        <f t="shared" si="0"/>
        <v>2</v>
      </c>
      <c r="J20" s="6">
        <v>10</v>
      </c>
      <c r="K20" s="6">
        <v>3</v>
      </c>
      <c r="L20" s="6">
        <v>1</v>
      </c>
      <c r="M20" s="6">
        <v>1</v>
      </c>
      <c r="O20" s="6">
        <f t="shared" si="1"/>
        <v>3</v>
      </c>
      <c r="Q20" s="6">
        <v>10</v>
      </c>
      <c r="V20" s="6">
        <f t="shared" si="2"/>
        <v>0</v>
      </c>
      <c r="X20" s="6">
        <v>10</v>
      </c>
      <c r="AC20" s="6">
        <f t="shared" si="3"/>
        <v>0</v>
      </c>
      <c r="AF20" s="6">
        <v>13</v>
      </c>
      <c r="AG20" s="6">
        <v>1</v>
      </c>
      <c r="AH20" s="6">
        <v>46</v>
      </c>
      <c r="AM20" s="6">
        <v>13</v>
      </c>
      <c r="AN20" s="6">
        <v>1</v>
      </c>
      <c r="AO20" s="6">
        <v>168</v>
      </c>
      <c r="AT20" s="6">
        <v>13</v>
      </c>
      <c r="AU20" s="6">
        <v>1</v>
      </c>
      <c r="AV20" s="6">
        <v>66</v>
      </c>
      <c r="BA20" s="6">
        <v>13</v>
      </c>
      <c r="BB20" s="6">
        <v>1</v>
      </c>
      <c r="BC20" s="6">
        <v>91</v>
      </c>
      <c r="BH20" s="6">
        <v>13</v>
      </c>
      <c r="BI20" s="6">
        <v>1</v>
      </c>
      <c r="BJ20" s="6">
        <v>6</v>
      </c>
    </row>
    <row r="21" spans="2:63" x14ac:dyDescent="0.15">
      <c r="B21" s="6">
        <v>2</v>
      </c>
      <c r="C21" s="6">
        <v>11</v>
      </c>
      <c r="D21" s="6">
        <v>2</v>
      </c>
      <c r="F21" s="6">
        <v>1</v>
      </c>
      <c r="H21" s="6">
        <f t="shared" si="0"/>
        <v>2</v>
      </c>
      <c r="J21" s="6">
        <v>11</v>
      </c>
      <c r="K21" s="6">
        <v>3</v>
      </c>
      <c r="M21" s="6">
        <v>1</v>
      </c>
      <c r="N21" s="6">
        <v>1</v>
      </c>
      <c r="O21" s="6">
        <f t="shared" si="1"/>
        <v>3</v>
      </c>
      <c r="Q21" s="6">
        <v>11</v>
      </c>
      <c r="V21" s="6">
        <f t="shared" si="2"/>
        <v>0</v>
      </c>
      <c r="X21" s="6">
        <v>11</v>
      </c>
      <c r="AC21" s="6">
        <f t="shared" si="3"/>
        <v>0</v>
      </c>
      <c r="AF21" s="6">
        <v>14</v>
      </c>
      <c r="AG21" s="6">
        <v>1</v>
      </c>
      <c r="AH21" s="6">
        <v>43</v>
      </c>
      <c r="AM21" s="6">
        <v>14</v>
      </c>
      <c r="AN21" s="6">
        <v>1</v>
      </c>
      <c r="AO21" s="6">
        <v>166</v>
      </c>
      <c r="AT21" s="6">
        <v>14</v>
      </c>
      <c r="AU21" s="6">
        <v>1</v>
      </c>
      <c r="AV21" s="6">
        <v>70</v>
      </c>
      <c r="BA21" s="6">
        <v>14</v>
      </c>
      <c r="BB21" s="6">
        <v>1</v>
      </c>
      <c r="BC21" s="6">
        <v>102</v>
      </c>
      <c r="BH21" s="6">
        <v>14</v>
      </c>
      <c r="BI21" s="6">
        <v>1</v>
      </c>
      <c r="BJ21" s="6">
        <v>8</v>
      </c>
    </row>
    <row r="22" spans="2:63" x14ac:dyDescent="0.15">
      <c r="B22" s="6">
        <v>2</v>
      </c>
      <c r="C22" s="6">
        <v>12</v>
      </c>
      <c r="D22" s="6">
        <v>3</v>
      </c>
      <c r="F22" s="6">
        <v>1</v>
      </c>
      <c r="H22" s="6">
        <f t="shared" si="0"/>
        <v>2</v>
      </c>
      <c r="J22" s="6">
        <v>12</v>
      </c>
      <c r="K22" s="6">
        <v>3</v>
      </c>
      <c r="L22" s="6">
        <v>1</v>
      </c>
      <c r="M22" s="6">
        <v>1</v>
      </c>
      <c r="O22" s="6">
        <f t="shared" si="1"/>
        <v>3</v>
      </c>
      <c r="Q22" s="6">
        <v>12</v>
      </c>
      <c r="V22" s="6">
        <f t="shared" si="2"/>
        <v>0</v>
      </c>
      <c r="X22" s="6">
        <v>12</v>
      </c>
      <c r="AC22" s="6">
        <f t="shared" si="3"/>
        <v>0</v>
      </c>
      <c r="AF22" s="6">
        <v>15</v>
      </c>
      <c r="AG22" s="6">
        <v>1</v>
      </c>
      <c r="AH22" s="6">
        <v>154</v>
      </c>
      <c r="AM22" s="6">
        <v>15</v>
      </c>
      <c r="AN22" s="6">
        <v>1</v>
      </c>
      <c r="AO22" s="6">
        <v>163</v>
      </c>
      <c r="AT22" s="6">
        <v>15</v>
      </c>
      <c r="AU22" s="6">
        <v>1</v>
      </c>
      <c r="AV22" s="6">
        <v>75</v>
      </c>
      <c r="BA22" s="6">
        <v>15</v>
      </c>
      <c r="BB22" s="6">
        <v>1</v>
      </c>
      <c r="BC22" s="6">
        <v>101</v>
      </c>
      <c r="BH22" s="6">
        <v>15</v>
      </c>
      <c r="BI22" s="6">
        <v>1</v>
      </c>
      <c r="BJ22" s="6">
        <v>9</v>
      </c>
    </row>
    <row r="23" spans="2:63" x14ac:dyDescent="0.15">
      <c r="B23" s="6">
        <v>3</v>
      </c>
      <c r="C23" s="6">
        <v>13</v>
      </c>
      <c r="D23" s="6">
        <v>2</v>
      </c>
      <c r="F23" s="6">
        <v>1</v>
      </c>
      <c r="G23" s="6">
        <v>1</v>
      </c>
      <c r="H23" s="6">
        <f t="shared" si="0"/>
        <v>2</v>
      </c>
      <c r="J23" s="6">
        <v>13</v>
      </c>
      <c r="K23" s="6">
        <v>2</v>
      </c>
      <c r="M23" s="6">
        <v>1</v>
      </c>
      <c r="O23" s="6">
        <f t="shared" si="1"/>
        <v>2</v>
      </c>
      <c r="Q23" s="6">
        <v>13</v>
      </c>
      <c r="R23" s="6">
        <v>2</v>
      </c>
      <c r="T23" s="6">
        <v>1</v>
      </c>
      <c r="V23" s="6">
        <f t="shared" si="2"/>
        <v>2</v>
      </c>
      <c r="X23" s="6">
        <v>13</v>
      </c>
      <c r="AC23" s="6">
        <f t="shared" si="3"/>
        <v>0</v>
      </c>
      <c r="AF23" s="6">
        <v>16</v>
      </c>
      <c r="AG23" s="6">
        <v>1</v>
      </c>
      <c r="AH23" s="6">
        <v>144</v>
      </c>
      <c r="AM23" s="6">
        <v>16</v>
      </c>
      <c r="AN23" s="6">
        <v>1</v>
      </c>
      <c r="AO23" s="6">
        <v>161</v>
      </c>
      <c r="AT23" s="6">
        <v>16</v>
      </c>
      <c r="AU23" s="6">
        <v>1</v>
      </c>
      <c r="AV23" s="6">
        <v>72</v>
      </c>
      <c r="BA23" s="6">
        <v>16</v>
      </c>
      <c r="BB23" s="6">
        <v>1</v>
      </c>
      <c r="BC23" s="6">
        <v>103</v>
      </c>
      <c r="BH23" s="6">
        <v>16</v>
      </c>
      <c r="BI23" s="6">
        <v>1</v>
      </c>
      <c r="BJ23" s="6">
        <v>10</v>
      </c>
    </row>
    <row r="24" spans="2:63" x14ac:dyDescent="0.15">
      <c r="B24" s="6">
        <v>3</v>
      </c>
      <c r="C24" s="6">
        <v>14</v>
      </c>
      <c r="D24" s="6">
        <v>2</v>
      </c>
      <c r="E24" s="6">
        <v>1</v>
      </c>
      <c r="F24" s="6">
        <v>1</v>
      </c>
      <c r="H24" s="6">
        <f t="shared" si="0"/>
        <v>2</v>
      </c>
      <c r="J24" s="6">
        <v>14</v>
      </c>
      <c r="K24" s="6">
        <v>2</v>
      </c>
      <c r="M24" s="6">
        <v>1</v>
      </c>
      <c r="O24" s="6">
        <f t="shared" si="1"/>
        <v>2</v>
      </c>
      <c r="Q24" s="6">
        <v>14</v>
      </c>
      <c r="R24" s="6">
        <v>2</v>
      </c>
      <c r="T24" s="6">
        <v>1</v>
      </c>
      <c r="V24" s="6">
        <f t="shared" si="2"/>
        <v>2</v>
      </c>
      <c r="X24" s="6">
        <v>14</v>
      </c>
      <c r="AC24" s="6">
        <f t="shared" si="3"/>
        <v>0</v>
      </c>
      <c r="AF24" s="6">
        <v>17</v>
      </c>
      <c r="AG24" s="6">
        <v>1</v>
      </c>
      <c r="AH24" s="7">
        <v>138</v>
      </c>
      <c r="AM24" s="6">
        <v>17</v>
      </c>
      <c r="AN24" s="6">
        <v>1</v>
      </c>
      <c r="AO24" s="7">
        <v>154</v>
      </c>
      <c r="AT24" s="6">
        <v>17</v>
      </c>
      <c r="AU24" s="6">
        <v>1</v>
      </c>
      <c r="AV24" s="7">
        <v>71</v>
      </c>
      <c r="BA24" s="6">
        <v>17</v>
      </c>
      <c r="BB24" s="6">
        <v>1</v>
      </c>
      <c r="BC24" s="7">
        <v>104</v>
      </c>
      <c r="BH24" s="6">
        <v>17</v>
      </c>
      <c r="BI24" s="6">
        <v>1</v>
      </c>
      <c r="BJ24" s="7">
        <v>18</v>
      </c>
    </row>
    <row r="25" spans="2:63" x14ac:dyDescent="0.15">
      <c r="B25" s="6">
        <v>3</v>
      </c>
      <c r="C25" s="6">
        <v>15</v>
      </c>
      <c r="D25" s="6">
        <v>3</v>
      </c>
      <c r="F25" s="6">
        <v>1</v>
      </c>
      <c r="G25" s="6">
        <v>1</v>
      </c>
      <c r="H25" s="6">
        <f t="shared" si="0"/>
        <v>3</v>
      </c>
      <c r="J25" s="6">
        <v>15</v>
      </c>
      <c r="K25" s="6">
        <v>2</v>
      </c>
      <c r="M25" s="6">
        <v>1</v>
      </c>
      <c r="O25" s="6">
        <f t="shared" si="1"/>
        <v>2</v>
      </c>
      <c r="Q25" s="6">
        <v>15</v>
      </c>
      <c r="R25" s="6">
        <v>2</v>
      </c>
      <c r="T25" s="6">
        <v>1</v>
      </c>
      <c r="V25" s="6">
        <f t="shared" si="2"/>
        <v>2</v>
      </c>
      <c r="X25" s="6">
        <v>15</v>
      </c>
      <c r="AC25" s="6">
        <f t="shared" si="3"/>
        <v>0</v>
      </c>
      <c r="AF25" s="6">
        <v>18</v>
      </c>
      <c r="AG25" s="6">
        <v>2</v>
      </c>
      <c r="AH25" s="6">
        <v>143</v>
      </c>
      <c r="AI25" s="6">
        <v>137</v>
      </c>
      <c r="AM25" s="6">
        <v>18</v>
      </c>
      <c r="AN25" s="6">
        <v>2</v>
      </c>
      <c r="AO25" s="6">
        <v>144</v>
      </c>
      <c r="AP25" s="6">
        <v>153</v>
      </c>
      <c r="AT25" s="6">
        <v>18</v>
      </c>
      <c r="AU25" s="6">
        <v>2</v>
      </c>
      <c r="AV25" s="6">
        <v>73</v>
      </c>
      <c r="AW25" s="6">
        <v>112</v>
      </c>
      <c r="BA25" s="6">
        <v>18</v>
      </c>
      <c r="BB25" s="6">
        <v>2</v>
      </c>
      <c r="BC25" s="6">
        <v>98</v>
      </c>
      <c r="BD25" s="6">
        <v>97</v>
      </c>
      <c r="BH25" s="6">
        <v>18</v>
      </c>
      <c r="BI25" s="6">
        <v>2</v>
      </c>
      <c r="BJ25" s="6">
        <v>19</v>
      </c>
      <c r="BK25" s="6">
        <v>30</v>
      </c>
    </row>
    <row r="26" spans="2:63" x14ac:dyDescent="0.15">
      <c r="B26" s="6">
        <v>3</v>
      </c>
      <c r="C26" s="6">
        <v>16</v>
      </c>
      <c r="D26" s="6">
        <v>2</v>
      </c>
      <c r="F26" s="6">
        <v>1</v>
      </c>
      <c r="H26" s="6">
        <f t="shared" si="0"/>
        <v>2</v>
      </c>
      <c r="J26" s="6">
        <v>16</v>
      </c>
      <c r="K26" s="6">
        <v>2</v>
      </c>
      <c r="M26" s="6">
        <v>1</v>
      </c>
      <c r="O26" s="6">
        <f t="shared" si="1"/>
        <v>2</v>
      </c>
      <c r="Q26" s="6">
        <v>16</v>
      </c>
      <c r="R26" s="6">
        <v>3</v>
      </c>
      <c r="S26" s="6">
        <v>1</v>
      </c>
      <c r="T26" s="6">
        <v>1</v>
      </c>
      <c r="V26" s="6">
        <f t="shared" si="2"/>
        <v>3</v>
      </c>
      <c r="X26" s="6">
        <v>16</v>
      </c>
      <c r="AC26" s="6">
        <f t="shared" si="3"/>
        <v>0</v>
      </c>
      <c r="AF26" s="6">
        <v>19</v>
      </c>
      <c r="AG26" s="6">
        <v>2</v>
      </c>
      <c r="AH26" s="6">
        <v>142</v>
      </c>
      <c r="AI26" s="6">
        <v>133</v>
      </c>
      <c r="AM26" s="6">
        <v>19</v>
      </c>
      <c r="AN26" s="6">
        <v>2</v>
      </c>
      <c r="AO26" s="6">
        <v>138</v>
      </c>
      <c r="AP26" s="6">
        <v>145</v>
      </c>
      <c r="AT26" s="6">
        <v>19</v>
      </c>
      <c r="AU26" s="6">
        <v>2</v>
      </c>
      <c r="AV26" s="6">
        <v>78</v>
      </c>
      <c r="AW26" s="6">
        <v>110</v>
      </c>
      <c r="BA26" s="6">
        <v>19</v>
      </c>
      <c r="BB26" s="6">
        <v>2</v>
      </c>
      <c r="BC26" s="6">
        <v>99</v>
      </c>
      <c r="BD26" s="6">
        <v>34</v>
      </c>
      <c r="BH26" s="6">
        <v>19</v>
      </c>
      <c r="BI26" s="6">
        <v>2</v>
      </c>
      <c r="BJ26" s="6">
        <v>20</v>
      </c>
      <c r="BK26" s="6">
        <v>31</v>
      </c>
    </row>
    <row r="27" spans="2:63" x14ac:dyDescent="0.15">
      <c r="B27" s="6">
        <v>4</v>
      </c>
      <c r="C27" s="6">
        <v>17</v>
      </c>
      <c r="D27" s="6">
        <v>2</v>
      </c>
      <c r="F27" s="6">
        <v>1</v>
      </c>
      <c r="H27" s="6">
        <f t="shared" si="0"/>
        <v>2</v>
      </c>
      <c r="J27" s="6">
        <v>17</v>
      </c>
      <c r="K27" s="6">
        <v>2</v>
      </c>
      <c r="M27" s="6">
        <v>1</v>
      </c>
      <c r="O27" s="6">
        <f t="shared" si="1"/>
        <v>2</v>
      </c>
      <c r="Q27" s="6">
        <v>17</v>
      </c>
      <c r="R27" s="6">
        <v>2</v>
      </c>
      <c r="T27" s="6">
        <v>1</v>
      </c>
      <c r="U27" s="6">
        <v>1</v>
      </c>
      <c r="V27" s="6">
        <f t="shared" si="2"/>
        <v>2</v>
      </c>
      <c r="X27" s="6">
        <v>17</v>
      </c>
      <c r="Y27" s="6">
        <v>1</v>
      </c>
      <c r="AA27" s="6">
        <v>1</v>
      </c>
      <c r="AC27" s="6">
        <f t="shared" si="3"/>
        <v>1</v>
      </c>
      <c r="AF27" s="6">
        <v>20</v>
      </c>
      <c r="AG27" s="6">
        <v>2</v>
      </c>
      <c r="AH27" s="6">
        <v>141</v>
      </c>
      <c r="AI27" s="6">
        <v>128</v>
      </c>
      <c r="AM27" s="6">
        <v>20</v>
      </c>
      <c r="AN27" s="6">
        <v>2</v>
      </c>
      <c r="AO27" s="6">
        <v>143</v>
      </c>
      <c r="AP27" s="6">
        <v>137</v>
      </c>
      <c r="AT27" s="6">
        <v>20</v>
      </c>
      <c r="AU27" s="6">
        <v>2</v>
      </c>
      <c r="AV27" s="6">
        <v>79</v>
      </c>
      <c r="AW27" s="6">
        <v>109</v>
      </c>
      <c r="BA27" s="6">
        <v>20</v>
      </c>
      <c r="BB27" s="6">
        <v>2</v>
      </c>
      <c r="BC27" s="6">
        <v>4</v>
      </c>
      <c r="BD27" s="6">
        <v>96</v>
      </c>
      <c r="BH27" s="6">
        <v>20</v>
      </c>
      <c r="BI27" s="6">
        <v>2</v>
      </c>
      <c r="BJ27" s="6">
        <v>21</v>
      </c>
      <c r="BK27" s="6">
        <v>25</v>
      </c>
    </row>
    <row r="28" spans="2:63" x14ac:dyDescent="0.15">
      <c r="B28" s="6">
        <v>4</v>
      </c>
      <c r="C28" s="6">
        <v>18</v>
      </c>
      <c r="D28" s="6">
        <v>2</v>
      </c>
      <c r="F28" s="6">
        <v>1</v>
      </c>
      <c r="H28" s="6">
        <f t="shared" si="0"/>
        <v>2</v>
      </c>
      <c r="J28" s="6">
        <v>18</v>
      </c>
      <c r="K28" s="6">
        <v>2</v>
      </c>
      <c r="M28" s="6">
        <v>1</v>
      </c>
      <c r="O28" s="6">
        <f t="shared" si="1"/>
        <v>2</v>
      </c>
      <c r="Q28" s="6">
        <v>18</v>
      </c>
      <c r="R28" s="6">
        <v>2</v>
      </c>
      <c r="T28" s="6">
        <v>1</v>
      </c>
      <c r="V28" s="6">
        <f t="shared" si="2"/>
        <v>2</v>
      </c>
      <c r="X28" s="6">
        <v>18</v>
      </c>
      <c r="Y28" s="6">
        <v>2</v>
      </c>
      <c r="Z28" s="6">
        <v>1</v>
      </c>
      <c r="AA28" s="6">
        <v>1</v>
      </c>
      <c r="AC28" s="6">
        <f t="shared" si="3"/>
        <v>2</v>
      </c>
      <c r="AF28" s="6">
        <v>21</v>
      </c>
      <c r="AG28" s="6">
        <v>2</v>
      </c>
      <c r="AH28" s="6">
        <v>140</v>
      </c>
      <c r="AI28" s="6">
        <v>125</v>
      </c>
      <c r="AM28" s="6">
        <v>21</v>
      </c>
      <c r="AN28" s="6">
        <v>2</v>
      </c>
      <c r="AO28" s="6">
        <v>142</v>
      </c>
      <c r="AP28" s="6">
        <v>133</v>
      </c>
      <c r="AT28" s="6">
        <v>21</v>
      </c>
      <c r="AU28" s="6">
        <v>2</v>
      </c>
      <c r="AV28" s="6">
        <v>84</v>
      </c>
      <c r="AW28" s="6">
        <v>108</v>
      </c>
      <c r="BA28" s="6">
        <v>21</v>
      </c>
      <c r="BB28" s="6">
        <v>2</v>
      </c>
      <c r="BC28" s="6">
        <v>3</v>
      </c>
      <c r="BD28" s="6">
        <v>95</v>
      </c>
      <c r="BH28" s="6">
        <v>21</v>
      </c>
      <c r="BI28" s="6">
        <v>2</v>
      </c>
      <c r="BJ28" s="6">
        <v>63</v>
      </c>
      <c r="BK28" s="6">
        <v>24</v>
      </c>
    </row>
    <row r="29" spans="2:63" x14ac:dyDescent="0.15">
      <c r="B29" s="6">
        <v>4</v>
      </c>
      <c r="C29" s="6">
        <v>19</v>
      </c>
      <c r="D29" s="6">
        <v>2</v>
      </c>
      <c r="F29" s="6">
        <v>1</v>
      </c>
      <c r="H29" s="6">
        <f t="shared" si="0"/>
        <v>2</v>
      </c>
      <c r="J29" s="6">
        <v>19</v>
      </c>
      <c r="K29" s="6">
        <v>2</v>
      </c>
      <c r="M29" s="6">
        <v>1</v>
      </c>
      <c r="N29" s="6">
        <v>1</v>
      </c>
      <c r="O29" s="6">
        <f t="shared" si="1"/>
        <v>2</v>
      </c>
      <c r="Q29" s="6">
        <v>19</v>
      </c>
      <c r="R29" s="6">
        <v>2</v>
      </c>
      <c r="T29" s="6">
        <v>1</v>
      </c>
      <c r="V29" s="6">
        <f t="shared" si="2"/>
        <v>2</v>
      </c>
      <c r="X29" s="6">
        <v>19</v>
      </c>
      <c r="Y29" s="6">
        <v>2</v>
      </c>
      <c r="AA29" s="6">
        <v>1</v>
      </c>
      <c r="AC29" s="6">
        <f t="shared" si="3"/>
        <v>2</v>
      </c>
      <c r="AF29" s="6">
        <v>22</v>
      </c>
      <c r="AG29" s="6">
        <v>2</v>
      </c>
      <c r="AH29" s="6">
        <v>139</v>
      </c>
      <c r="AI29" s="6">
        <v>126</v>
      </c>
      <c r="AM29" s="6">
        <v>22</v>
      </c>
      <c r="AN29" s="6">
        <v>2</v>
      </c>
      <c r="AO29" s="6">
        <v>141</v>
      </c>
      <c r="AP29" s="6">
        <v>128</v>
      </c>
      <c r="AT29" s="6">
        <v>22</v>
      </c>
      <c r="AU29" s="6">
        <v>2</v>
      </c>
      <c r="AV29" s="6">
        <v>83</v>
      </c>
      <c r="AW29" s="6">
        <v>107</v>
      </c>
      <c r="BA29" s="6">
        <v>22</v>
      </c>
      <c r="BB29" s="6">
        <v>2</v>
      </c>
      <c r="BC29" s="6">
        <v>2</v>
      </c>
      <c r="BD29" s="6">
        <v>28</v>
      </c>
      <c r="BH29" s="6">
        <v>22</v>
      </c>
      <c r="BI29" s="6">
        <v>2</v>
      </c>
      <c r="BJ29" s="6">
        <v>62</v>
      </c>
      <c r="BK29" s="6">
        <v>52</v>
      </c>
    </row>
    <row r="30" spans="2:63" x14ac:dyDescent="0.15">
      <c r="B30" s="6">
        <v>4</v>
      </c>
      <c r="C30" s="6">
        <v>20</v>
      </c>
      <c r="D30" s="6">
        <v>2</v>
      </c>
      <c r="F30" s="6">
        <v>1</v>
      </c>
      <c r="H30" s="6">
        <f t="shared" si="0"/>
        <v>2</v>
      </c>
      <c r="J30" s="6">
        <v>20</v>
      </c>
      <c r="K30" s="6">
        <v>2</v>
      </c>
      <c r="M30" s="6">
        <v>1</v>
      </c>
      <c r="O30" s="6">
        <f t="shared" si="1"/>
        <v>2</v>
      </c>
      <c r="Q30" s="6">
        <v>20</v>
      </c>
      <c r="R30" s="6">
        <v>2</v>
      </c>
      <c r="S30" s="6">
        <v>1</v>
      </c>
      <c r="T30" s="6">
        <v>1</v>
      </c>
      <c r="V30" s="6">
        <f t="shared" si="2"/>
        <v>2</v>
      </c>
      <c r="X30" s="6">
        <v>20</v>
      </c>
      <c r="Y30" s="6">
        <v>2</v>
      </c>
      <c r="AA30" s="6">
        <v>1</v>
      </c>
      <c r="AC30" s="6">
        <f t="shared" si="3"/>
        <v>2</v>
      </c>
      <c r="AF30" s="6">
        <v>23</v>
      </c>
      <c r="AG30" s="6">
        <v>2</v>
      </c>
      <c r="AH30" s="6">
        <v>131</v>
      </c>
      <c r="AI30" s="6">
        <v>83</v>
      </c>
      <c r="AM30" s="6">
        <v>23</v>
      </c>
      <c r="AN30" s="6">
        <v>2</v>
      </c>
      <c r="AO30" s="6">
        <v>140</v>
      </c>
      <c r="AP30" s="6">
        <v>125</v>
      </c>
      <c r="AT30" s="6">
        <v>23</v>
      </c>
      <c r="AU30" s="6">
        <v>2</v>
      </c>
      <c r="AV30" s="6">
        <v>86</v>
      </c>
      <c r="AW30" s="6">
        <v>114</v>
      </c>
      <c r="BA30" s="6">
        <v>23</v>
      </c>
      <c r="BB30" s="6">
        <v>2</v>
      </c>
      <c r="BC30" s="6">
        <v>5</v>
      </c>
      <c r="BD30" s="6">
        <v>32</v>
      </c>
      <c r="BH30" s="6">
        <v>23</v>
      </c>
      <c r="BI30" s="6">
        <v>2</v>
      </c>
      <c r="BJ30" s="6">
        <v>61</v>
      </c>
      <c r="BK30" s="6">
        <v>23</v>
      </c>
    </row>
    <row r="31" spans="2:63" x14ac:dyDescent="0.15">
      <c r="AF31" s="6">
        <v>24</v>
      </c>
      <c r="AG31" s="6">
        <v>2</v>
      </c>
      <c r="AH31" s="6">
        <v>132</v>
      </c>
      <c r="AI31" s="6">
        <v>84</v>
      </c>
      <c r="AM31" s="6">
        <v>24</v>
      </c>
      <c r="AN31" s="6">
        <v>2</v>
      </c>
      <c r="AO31" s="6">
        <v>139</v>
      </c>
      <c r="AP31" s="6">
        <v>126</v>
      </c>
      <c r="AT31" s="6">
        <v>24</v>
      </c>
      <c r="AU31" s="6">
        <v>2</v>
      </c>
      <c r="AV31" s="6">
        <v>85</v>
      </c>
      <c r="AW31" s="6">
        <v>116</v>
      </c>
      <c r="BA31" s="6">
        <v>24</v>
      </c>
      <c r="BB31" s="6">
        <v>2</v>
      </c>
      <c r="BC31" s="6">
        <v>13</v>
      </c>
      <c r="BD31" s="6">
        <v>31</v>
      </c>
      <c r="BH31" s="6">
        <v>24</v>
      </c>
      <c r="BI31" s="6">
        <v>2</v>
      </c>
      <c r="BJ31" s="6">
        <v>176</v>
      </c>
      <c r="BK31" s="6">
        <v>58</v>
      </c>
    </row>
    <row r="32" spans="2:63" x14ac:dyDescent="0.15">
      <c r="AF32" s="6">
        <v>25</v>
      </c>
      <c r="AG32" s="6">
        <v>2</v>
      </c>
      <c r="AH32" s="6">
        <v>130</v>
      </c>
      <c r="AI32" s="6">
        <v>79</v>
      </c>
      <c r="AM32" s="6">
        <v>25</v>
      </c>
      <c r="AN32" s="6">
        <v>2</v>
      </c>
      <c r="AO32" s="6">
        <v>131</v>
      </c>
      <c r="AP32" s="6">
        <v>83</v>
      </c>
      <c r="AT32" s="6">
        <v>25</v>
      </c>
      <c r="AU32" s="6">
        <v>2</v>
      </c>
      <c r="AV32" s="6">
        <v>111</v>
      </c>
      <c r="AW32" s="6">
        <v>115</v>
      </c>
      <c r="BA32" s="6">
        <v>25</v>
      </c>
      <c r="BB32" s="6">
        <v>2</v>
      </c>
      <c r="BC32" s="6">
        <v>14</v>
      </c>
      <c r="BD32" s="6">
        <v>30</v>
      </c>
      <c r="BH32" s="6">
        <v>25</v>
      </c>
      <c r="BI32" s="6">
        <v>2</v>
      </c>
      <c r="BJ32" s="6">
        <v>177</v>
      </c>
      <c r="BK32" s="6">
        <v>57</v>
      </c>
    </row>
    <row r="33" spans="32:64" x14ac:dyDescent="0.15">
      <c r="AF33" s="6">
        <v>26</v>
      </c>
      <c r="AG33" s="6">
        <v>2</v>
      </c>
      <c r="AH33" s="6">
        <v>119</v>
      </c>
      <c r="AI33" s="6">
        <v>71</v>
      </c>
      <c r="AM33" s="6">
        <v>26</v>
      </c>
      <c r="AN33" s="6">
        <v>2</v>
      </c>
      <c r="AO33" s="6">
        <v>132</v>
      </c>
      <c r="AP33" s="6">
        <v>84</v>
      </c>
      <c r="AT33" s="6">
        <v>26</v>
      </c>
      <c r="AU33" s="6">
        <v>2</v>
      </c>
      <c r="AV33" s="6">
        <v>89</v>
      </c>
      <c r="AW33" s="6">
        <v>113</v>
      </c>
      <c r="BA33" s="6">
        <v>26</v>
      </c>
      <c r="BB33" s="6">
        <v>2</v>
      </c>
      <c r="BC33" s="6">
        <v>15</v>
      </c>
      <c r="BD33" s="6">
        <v>19</v>
      </c>
      <c r="BH33" s="6">
        <v>26</v>
      </c>
      <c r="BI33" s="6">
        <v>2</v>
      </c>
      <c r="BJ33" s="6">
        <v>175</v>
      </c>
      <c r="BK33" s="6">
        <v>56</v>
      </c>
    </row>
    <row r="34" spans="32:64" x14ac:dyDescent="0.15">
      <c r="AF34" s="6">
        <v>27</v>
      </c>
      <c r="AG34" s="6">
        <v>2</v>
      </c>
      <c r="AH34" s="6">
        <v>118</v>
      </c>
      <c r="AI34" s="6">
        <v>112</v>
      </c>
      <c r="AM34" s="6">
        <v>27</v>
      </c>
      <c r="AN34" s="6">
        <v>2</v>
      </c>
      <c r="AO34" s="6">
        <v>130</v>
      </c>
      <c r="AP34" s="6">
        <v>79</v>
      </c>
      <c r="AT34" s="6">
        <v>27</v>
      </c>
      <c r="AU34" s="6">
        <v>2</v>
      </c>
      <c r="AV34" s="6">
        <v>91</v>
      </c>
      <c r="AW34" s="6">
        <v>100</v>
      </c>
      <c r="BA34" s="6">
        <v>27</v>
      </c>
      <c r="BB34" s="6">
        <v>2</v>
      </c>
      <c r="BC34" s="6">
        <v>16</v>
      </c>
      <c r="BD34" s="6">
        <v>20</v>
      </c>
      <c r="BH34" s="6">
        <v>27</v>
      </c>
      <c r="BI34" s="6">
        <v>2</v>
      </c>
      <c r="BJ34" s="6">
        <v>174</v>
      </c>
      <c r="BK34" s="6">
        <v>50</v>
      </c>
    </row>
    <row r="35" spans="32:64" x14ac:dyDescent="0.15">
      <c r="AF35" s="6">
        <v>28</v>
      </c>
      <c r="AG35" s="6">
        <v>2</v>
      </c>
      <c r="AH35" s="6">
        <v>117</v>
      </c>
      <c r="AI35" s="6">
        <v>111</v>
      </c>
      <c r="AM35" s="6">
        <v>28</v>
      </c>
      <c r="AN35" s="6">
        <v>2</v>
      </c>
      <c r="AO35" s="6">
        <v>119</v>
      </c>
      <c r="AP35" s="6">
        <v>71</v>
      </c>
      <c r="AT35" s="6">
        <v>28</v>
      </c>
      <c r="AU35" s="6">
        <v>2</v>
      </c>
      <c r="AV35" s="6">
        <v>87</v>
      </c>
      <c r="AW35" s="6">
        <v>106</v>
      </c>
      <c r="BA35" s="6">
        <v>28</v>
      </c>
      <c r="BB35" s="6">
        <v>2</v>
      </c>
      <c r="BC35" s="6">
        <v>17</v>
      </c>
      <c r="BD35" s="6">
        <v>22</v>
      </c>
      <c r="BH35" s="6">
        <v>28</v>
      </c>
      <c r="BI35" s="6">
        <v>2</v>
      </c>
      <c r="BJ35" s="6">
        <v>173</v>
      </c>
      <c r="BK35" s="6">
        <v>49</v>
      </c>
    </row>
    <row r="36" spans="32:64" x14ac:dyDescent="0.15">
      <c r="AF36" s="6">
        <v>29</v>
      </c>
      <c r="AG36" s="6">
        <v>2</v>
      </c>
      <c r="AH36" s="6">
        <v>120</v>
      </c>
      <c r="AI36" s="6">
        <v>85</v>
      </c>
      <c r="AM36" s="6">
        <v>29</v>
      </c>
      <c r="AN36" s="6">
        <v>2</v>
      </c>
      <c r="AO36" s="6">
        <v>118</v>
      </c>
      <c r="AP36" s="6">
        <v>112</v>
      </c>
      <c r="AT36" s="6">
        <v>29</v>
      </c>
      <c r="AU36" s="6">
        <v>2</v>
      </c>
      <c r="AV36" s="6">
        <v>88</v>
      </c>
      <c r="AW36" s="6">
        <v>105</v>
      </c>
      <c r="BA36" s="6">
        <v>29</v>
      </c>
      <c r="BB36" s="6">
        <v>2</v>
      </c>
      <c r="BC36" s="6">
        <v>18</v>
      </c>
      <c r="BD36" s="6">
        <v>23</v>
      </c>
      <c r="BH36" s="6">
        <v>29</v>
      </c>
      <c r="BI36" s="6">
        <v>2</v>
      </c>
      <c r="BJ36" s="6">
        <v>172</v>
      </c>
      <c r="BK36" s="6">
        <v>48</v>
      </c>
    </row>
    <row r="37" spans="32:64" x14ac:dyDescent="0.15">
      <c r="AF37" s="6">
        <v>30</v>
      </c>
      <c r="AG37" s="6">
        <v>2</v>
      </c>
      <c r="AH37" s="9"/>
      <c r="AI37" s="6">
        <v>86</v>
      </c>
      <c r="AM37" s="6">
        <v>30</v>
      </c>
      <c r="AN37" s="6">
        <v>2</v>
      </c>
      <c r="AO37" s="9"/>
      <c r="AP37" s="6">
        <v>111</v>
      </c>
      <c r="AT37" s="6">
        <v>30</v>
      </c>
      <c r="AU37" s="6">
        <v>2</v>
      </c>
      <c r="AV37" s="9"/>
      <c r="AW37" s="6">
        <v>98</v>
      </c>
      <c r="BA37" s="6">
        <v>30</v>
      </c>
      <c r="BB37" s="6">
        <v>2</v>
      </c>
      <c r="BC37" s="9"/>
      <c r="BD37" s="6">
        <v>58</v>
      </c>
      <c r="BH37" s="6">
        <v>30</v>
      </c>
      <c r="BI37" s="6">
        <v>2</v>
      </c>
      <c r="BJ37" s="9"/>
      <c r="BK37" s="6">
        <v>46</v>
      </c>
    </row>
    <row r="38" spans="32:64" x14ac:dyDescent="0.15">
      <c r="AF38" s="6">
        <v>31</v>
      </c>
      <c r="AG38" s="6">
        <v>2</v>
      </c>
      <c r="AH38" s="9"/>
      <c r="AI38" s="6">
        <v>134</v>
      </c>
      <c r="AM38" s="6">
        <v>31</v>
      </c>
      <c r="AN38" s="6">
        <v>2</v>
      </c>
      <c r="AO38" s="9"/>
      <c r="AP38" s="6">
        <v>85</v>
      </c>
      <c r="AT38" s="6">
        <v>31</v>
      </c>
      <c r="AU38" s="6">
        <v>2</v>
      </c>
      <c r="AV38" s="9"/>
      <c r="AW38" s="6">
        <v>99</v>
      </c>
      <c r="BA38" s="6">
        <v>31</v>
      </c>
      <c r="BB38" s="6">
        <v>2</v>
      </c>
      <c r="BC38" s="9"/>
      <c r="BD38" s="6">
        <v>57</v>
      </c>
      <c r="BH38" s="6">
        <v>31</v>
      </c>
      <c r="BI38" s="6">
        <v>2</v>
      </c>
      <c r="BJ38" s="9"/>
      <c r="BK38" s="6">
        <v>43</v>
      </c>
    </row>
    <row r="39" spans="32:64" x14ac:dyDescent="0.15">
      <c r="AF39" s="6">
        <v>32</v>
      </c>
      <c r="AG39" s="6">
        <v>2</v>
      </c>
      <c r="AH39" s="9"/>
      <c r="AI39" s="7">
        <v>88</v>
      </c>
      <c r="AM39" s="6">
        <v>32</v>
      </c>
      <c r="AN39" s="6">
        <v>2</v>
      </c>
      <c r="AO39" s="9"/>
      <c r="AP39" s="7">
        <v>86</v>
      </c>
      <c r="AT39" s="6">
        <v>32</v>
      </c>
      <c r="AU39" s="6">
        <v>2</v>
      </c>
      <c r="AV39" s="9"/>
      <c r="AW39" s="7">
        <v>13</v>
      </c>
      <c r="BA39" s="6">
        <v>32</v>
      </c>
      <c r="BB39" s="6">
        <v>2</v>
      </c>
      <c r="BC39" s="9"/>
      <c r="BD39" s="7">
        <v>51</v>
      </c>
      <c r="BH39" s="6">
        <v>32</v>
      </c>
      <c r="BI39" s="6">
        <v>2</v>
      </c>
      <c r="BJ39" s="9"/>
      <c r="BK39" s="7">
        <v>159</v>
      </c>
    </row>
    <row r="40" spans="32:64" x14ac:dyDescent="0.15">
      <c r="AF40" s="6">
        <v>33</v>
      </c>
      <c r="AG40" s="6">
        <v>3</v>
      </c>
      <c r="AH40" s="6">
        <v>121</v>
      </c>
      <c r="AI40" s="6">
        <v>135</v>
      </c>
      <c r="AJ40" s="6">
        <v>91</v>
      </c>
      <c r="AM40" s="6">
        <v>33</v>
      </c>
      <c r="AN40" s="6">
        <v>3</v>
      </c>
      <c r="AO40" s="6">
        <v>117</v>
      </c>
      <c r="AP40" s="6">
        <v>134</v>
      </c>
      <c r="AQ40" s="6">
        <v>87</v>
      </c>
      <c r="AT40" s="6">
        <v>33</v>
      </c>
      <c r="AU40" s="6">
        <v>3</v>
      </c>
      <c r="AV40" s="6">
        <v>149</v>
      </c>
      <c r="AW40" s="6">
        <v>14</v>
      </c>
      <c r="AX40" s="6">
        <v>4</v>
      </c>
      <c r="BA40" s="6">
        <v>33</v>
      </c>
      <c r="BB40" s="6">
        <v>3</v>
      </c>
      <c r="BC40" s="6">
        <v>12</v>
      </c>
      <c r="BD40" s="6">
        <v>56</v>
      </c>
      <c r="BE40" s="6">
        <v>50</v>
      </c>
      <c r="BH40" s="6">
        <v>33</v>
      </c>
      <c r="BI40" s="6">
        <v>3</v>
      </c>
      <c r="BJ40" s="6">
        <v>171</v>
      </c>
      <c r="BK40" s="6">
        <v>154</v>
      </c>
      <c r="BL40" s="6">
        <v>158</v>
      </c>
    </row>
    <row r="41" spans="32:64" x14ac:dyDescent="0.15">
      <c r="AF41" s="6">
        <v>34</v>
      </c>
      <c r="AG41" s="6">
        <v>3</v>
      </c>
      <c r="AH41" s="6">
        <v>122</v>
      </c>
      <c r="AI41" s="6">
        <v>136</v>
      </c>
      <c r="AJ41" s="6">
        <v>102</v>
      </c>
      <c r="AM41" s="6">
        <v>34</v>
      </c>
      <c r="AN41" s="6">
        <v>3</v>
      </c>
      <c r="AO41" s="6">
        <v>120</v>
      </c>
      <c r="AP41" s="6">
        <v>88</v>
      </c>
      <c r="AQ41" s="6">
        <v>89</v>
      </c>
      <c r="AT41" s="6">
        <v>34</v>
      </c>
      <c r="AU41" s="6">
        <v>3</v>
      </c>
      <c r="AV41" s="6">
        <v>148</v>
      </c>
      <c r="AW41" s="6">
        <v>15</v>
      </c>
      <c r="AX41" s="6">
        <v>3</v>
      </c>
      <c r="BA41" s="6">
        <v>34</v>
      </c>
      <c r="BB41" s="6">
        <v>3</v>
      </c>
      <c r="BC41" s="6">
        <v>11</v>
      </c>
      <c r="BD41" s="6">
        <v>55</v>
      </c>
      <c r="BE41" s="6">
        <v>48</v>
      </c>
      <c r="BH41" s="6">
        <v>34</v>
      </c>
      <c r="BI41" s="6">
        <v>3</v>
      </c>
      <c r="BJ41" s="6">
        <v>179</v>
      </c>
      <c r="BK41" s="6">
        <v>153</v>
      </c>
      <c r="BL41" s="6">
        <v>152</v>
      </c>
    </row>
    <row r="42" spans="32:64" x14ac:dyDescent="0.15">
      <c r="AF42" s="6">
        <v>35</v>
      </c>
      <c r="AG42" s="6">
        <v>3</v>
      </c>
      <c r="AH42" s="6">
        <v>124</v>
      </c>
      <c r="AI42" s="6">
        <v>146</v>
      </c>
      <c r="AJ42" s="6">
        <v>103</v>
      </c>
      <c r="AM42" s="6">
        <v>35</v>
      </c>
      <c r="AN42" s="6">
        <v>3</v>
      </c>
      <c r="AO42" s="6">
        <v>121</v>
      </c>
      <c r="AP42" s="6">
        <v>135</v>
      </c>
      <c r="AQ42" s="6">
        <v>90</v>
      </c>
      <c r="AT42" s="6">
        <v>35</v>
      </c>
      <c r="AU42" s="6">
        <v>3</v>
      </c>
      <c r="AV42" s="6">
        <v>150</v>
      </c>
      <c r="AW42" s="6">
        <v>16</v>
      </c>
      <c r="AX42" s="6">
        <v>2</v>
      </c>
      <c r="BA42" s="6">
        <v>35</v>
      </c>
      <c r="BB42" s="6">
        <v>3</v>
      </c>
      <c r="BC42" s="6">
        <v>10</v>
      </c>
      <c r="BD42" s="6">
        <v>178</v>
      </c>
      <c r="BE42" s="6">
        <v>46</v>
      </c>
      <c r="BH42" s="6">
        <v>35</v>
      </c>
      <c r="BI42" s="6">
        <v>3</v>
      </c>
      <c r="BJ42" s="6">
        <v>180</v>
      </c>
      <c r="BK42" s="6">
        <v>145</v>
      </c>
      <c r="BL42" s="6">
        <v>151</v>
      </c>
    </row>
    <row r="43" spans="32:64" x14ac:dyDescent="0.15">
      <c r="AF43" s="6">
        <v>36</v>
      </c>
      <c r="AG43" s="6">
        <v>3</v>
      </c>
      <c r="AH43" s="6">
        <v>123</v>
      </c>
      <c r="AI43" s="6">
        <v>147</v>
      </c>
      <c r="AJ43" s="6">
        <v>104</v>
      </c>
      <c r="AM43" s="6">
        <v>36</v>
      </c>
      <c r="AN43" s="6">
        <v>3</v>
      </c>
      <c r="AO43" s="6">
        <v>122</v>
      </c>
      <c r="AP43" s="6">
        <v>136</v>
      </c>
      <c r="AQ43" s="6">
        <v>91</v>
      </c>
      <c r="AT43" s="6">
        <v>36</v>
      </c>
      <c r="AU43" s="6">
        <v>3</v>
      </c>
      <c r="AV43" s="6">
        <v>93</v>
      </c>
      <c r="AW43" s="6">
        <v>32</v>
      </c>
      <c r="AX43" s="6">
        <v>1</v>
      </c>
      <c r="BA43" s="6">
        <v>36</v>
      </c>
      <c r="BB43" s="6">
        <v>3</v>
      </c>
      <c r="BC43" s="6">
        <v>7</v>
      </c>
      <c r="BD43" s="6">
        <v>171</v>
      </c>
      <c r="BE43" s="6">
        <v>43</v>
      </c>
      <c r="BH43" s="6">
        <v>36</v>
      </c>
      <c r="BI43" s="6">
        <v>3</v>
      </c>
      <c r="BJ43" s="6">
        <v>54</v>
      </c>
      <c r="BK43" s="6">
        <v>137</v>
      </c>
      <c r="BL43" s="6">
        <v>157</v>
      </c>
    </row>
    <row r="44" spans="32:64" x14ac:dyDescent="0.15">
      <c r="AF44" s="6">
        <v>37</v>
      </c>
      <c r="AG44" s="6">
        <v>3</v>
      </c>
      <c r="AH44" s="6">
        <v>77</v>
      </c>
      <c r="AI44" s="6">
        <v>148</v>
      </c>
      <c r="AJ44" s="6">
        <v>105</v>
      </c>
      <c r="AM44" s="6">
        <v>37</v>
      </c>
      <c r="AN44" s="6">
        <v>3</v>
      </c>
      <c r="AO44" s="6">
        <v>124</v>
      </c>
      <c r="AP44" s="6">
        <v>146</v>
      </c>
      <c r="AQ44" s="6">
        <v>102</v>
      </c>
      <c r="AT44" s="6">
        <v>37</v>
      </c>
      <c r="AU44" s="6">
        <v>3</v>
      </c>
      <c r="AV44" s="6">
        <v>92</v>
      </c>
      <c r="AW44" s="6">
        <v>31</v>
      </c>
      <c r="AX44" s="6">
        <v>5</v>
      </c>
      <c r="BA44" s="6">
        <v>37</v>
      </c>
      <c r="BB44" s="6">
        <v>3</v>
      </c>
      <c r="BC44" s="6">
        <v>6</v>
      </c>
      <c r="BD44" s="6">
        <v>179</v>
      </c>
      <c r="BE44" s="6">
        <v>159</v>
      </c>
      <c r="BH44" s="6">
        <v>37</v>
      </c>
      <c r="BI44" s="6">
        <v>3</v>
      </c>
      <c r="BJ44" s="6">
        <v>167</v>
      </c>
      <c r="BK44" s="6">
        <v>133</v>
      </c>
      <c r="BL44" s="6">
        <v>156</v>
      </c>
    </row>
    <row r="45" spans="32:64" x14ac:dyDescent="0.15">
      <c r="AF45" s="6">
        <v>38</v>
      </c>
      <c r="AG45" s="6">
        <v>3</v>
      </c>
      <c r="AH45" s="6">
        <v>74</v>
      </c>
      <c r="AI45" s="6">
        <v>149</v>
      </c>
      <c r="AJ45" s="6">
        <v>106</v>
      </c>
      <c r="AM45" s="6">
        <v>38</v>
      </c>
      <c r="AN45" s="6">
        <v>3</v>
      </c>
      <c r="AO45" s="6">
        <v>123</v>
      </c>
      <c r="AP45" s="6">
        <v>147</v>
      </c>
      <c r="AQ45" s="6">
        <v>103</v>
      </c>
      <c r="AT45" s="6">
        <v>38</v>
      </c>
      <c r="AU45" s="6">
        <v>3</v>
      </c>
      <c r="AV45" s="6">
        <v>101</v>
      </c>
      <c r="AW45" s="6">
        <v>24</v>
      </c>
      <c r="AX45" s="6">
        <v>12</v>
      </c>
      <c r="BA45" s="6">
        <v>38</v>
      </c>
      <c r="BB45" s="6">
        <v>3</v>
      </c>
      <c r="BC45" s="6">
        <v>8</v>
      </c>
      <c r="BD45" s="6">
        <v>54</v>
      </c>
      <c r="BE45" s="6">
        <v>160</v>
      </c>
      <c r="BH45" s="6">
        <v>38</v>
      </c>
      <c r="BI45" s="6">
        <v>3</v>
      </c>
      <c r="BJ45" s="6">
        <v>169</v>
      </c>
      <c r="BK45" s="6">
        <v>128</v>
      </c>
      <c r="BL45" s="6">
        <v>150</v>
      </c>
    </row>
    <row r="46" spans="32:64" x14ac:dyDescent="0.15">
      <c r="AF46" s="6">
        <v>39</v>
      </c>
      <c r="AG46" s="6">
        <v>3</v>
      </c>
      <c r="AH46" s="6">
        <v>76</v>
      </c>
      <c r="AI46" s="6">
        <v>93</v>
      </c>
      <c r="AJ46" s="6">
        <v>108</v>
      </c>
      <c r="AM46" s="6">
        <v>39</v>
      </c>
      <c r="AN46" s="6">
        <v>3</v>
      </c>
      <c r="AO46" s="6">
        <v>77</v>
      </c>
      <c r="AP46" s="6">
        <v>148</v>
      </c>
      <c r="AQ46" s="6">
        <v>104</v>
      </c>
      <c r="AT46" s="6">
        <v>39</v>
      </c>
      <c r="AU46" s="6">
        <v>3</v>
      </c>
      <c r="AV46" s="6">
        <v>96</v>
      </c>
      <c r="AW46" s="6">
        <v>52</v>
      </c>
      <c r="AX46" s="6">
        <v>11</v>
      </c>
      <c r="BA46" s="6">
        <v>39</v>
      </c>
      <c r="BB46" s="6">
        <v>3</v>
      </c>
      <c r="BC46" s="6">
        <v>9</v>
      </c>
      <c r="BD46" s="6">
        <v>167</v>
      </c>
      <c r="BE46" s="6">
        <v>154</v>
      </c>
      <c r="BH46" s="6">
        <v>39</v>
      </c>
      <c r="BI46" s="6">
        <v>3</v>
      </c>
      <c r="BJ46" s="6">
        <v>168</v>
      </c>
      <c r="BK46" s="6">
        <v>127</v>
      </c>
      <c r="BL46" s="6">
        <v>148</v>
      </c>
    </row>
    <row r="47" spans="32:64" x14ac:dyDescent="0.15">
      <c r="AF47" s="6">
        <v>40</v>
      </c>
      <c r="AG47" s="6">
        <v>3</v>
      </c>
      <c r="AH47" s="6">
        <v>67</v>
      </c>
      <c r="AI47" s="6">
        <v>150</v>
      </c>
      <c r="AJ47" s="7">
        <v>107</v>
      </c>
      <c r="AM47" s="6">
        <v>40</v>
      </c>
      <c r="AN47" s="6">
        <v>3</v>
      </c>
      <c r="AO47" s="6">
        <v>74</v>
      </c>
      <c r="AP47" s="6">
        <v>149</v>
      </c>
      <c r="AQ47" s="7">
        <v>105</v>
      </c>
      <c r="AT47" s="6">
        <v>40</v>
      </c>
      <c r="AU47" s="6">
        <v>3</v>
      </c>
      <c r="AV47" s="6">
        <v>34</v>
      </c>
      <c r="AW47" s="6">
        <v>51</v>
      </c>
      <c r="AX47" s="7">
        <v>18</v>
      </c>
      <c r="BA47" s="6">
        <v>40</v>
      </c>
      <c r="BB47" s="6">
        <v>3</v>
      </c>
      <c r="BC47" s="6">
        <v>21</v>
      </c>
      <c r="BD47" s="6">
        <v>169</v>
      </c>
      <c r="BE47" s="7">
        <v>144</v>
      </c>
      <c r="BH47" s="6">
        <v>40</v>
      </c>
      <c r="BI47" s="6">
        <v>3</v>
      </c>
      <c r="BJ47" s="6">
        <v>142</v>
      </c>
      <c r="BK47" s="6">
        <v>126</v>
      </c>
      <c r="BL47" s="7">
        <v>135</v>
      </c>
    </row>
    <row r="48" spans="32:64" x14ac:dyDescent="0.15">
      <c r="AF48" s="6">
        <v>41</v>
      </c>
      <c r="AG48" s="6">
        <v>3</v>
      </c>
      <c r="AH48" s="6">
        <v>65</v>
      </c>
      <c r="AI48" s="6">
        <v>155</v>
      </c>
      <c r="AJ48" s="9"/>
      <c r="AM48" s="6">
        <v>41</v>
      </c>
      <c r="AN48" s="6">
        <v>3</v>
      </c>
      <c r="AO48" s="6">
        <v>76</v>
      </c>
      <c r="AP48" s="6">
        <v>93</v>
      </c>
      <c r="AQ48" s="9"/>
      <c r="AT48" s="6">
        <v>41</v>
      </c>
      <c r="AU48" s="6">
        <v>3</v>
      </c>
      <c r="AV48" s="6">
        <v>27</v>
      </c>
      <c r="AW48" s="6">
        <v>56</v>
      </c>
      <c r="AX48" s="9"/>
      <c r="BA48" s="6">
        <v>41</v>
      </c>
      <c r="BB48" s="6">
        <v>3</v>
      </c>
      <c r="BC48" s="6">
        <v>63</v>
      </c>
      <c r="BD48" s="6">
        <v>168</v>
      </c>
      <c r="BE48" s="9"/>
      <c r="BH48" s="6">
        <v>41</v>
      </c>
      <c r="BI48" s="6">
        <v>3</v>
      </c>
      <c r="BJ48" s="6">
        <v>143</v>
      </c>
      <c r="BK48" s="6">
        <v>125</v>
      </c>
      <c r="BL48" s="9"/>
    </row>
    <row r="49" spans="32:65" x14ac:dyDescent="0.15">
      <c r="AF49" s="6">
        <v>42</v>
      </c>
      <c r="AG49" s="6">
        <v>4</v>
      </c>
      <c r="AH49" s="6">
        <v>66</v>
      </c>
      <c r="AI49" s="6">
        <v>156</v>
      </c>
      <c r="AJ49" s="6">
        <v>100</v>
      </c>
      <c r="AK49" s="6">
        <v>113</v>
      </c>
      <c r="AM49" s="6">
        <v>42</v>
      </c>
      <c r="AN49" s="6">
        <v>4</v>
      </c>
      <c r="AO49" s="6">
        <v>67</v>
      </c>
      <c r="AP49" s="6">
        <v>150</v>
      </c>
      <c r="AQ49" s="6">
        <v>98</v>
      </c>
      <c r="AR49" s="6">
        <v>106</v>
      </c>
      <c r="AT49" s="6">
        <v>42</v>
      </c>
      <c r="AU49" s="6">
        <v>4</v>
      </c>
      <c r="AV49" s="6">
        <v>28</v>
      </c>
      <c r="AW49" s="6">
        <v>55</v>
      </c>
      <c r="AX49" s="6">
        <v>19</v>
      </c>
      <c r="AY49" s="6">
        <v>10</v>
      </c>
      <c r="BA49" s="6">
        <v>42</v>
      </c>
      <c r="BB49" s="6">
        <v>4</v>
      </c>
      <c r="BC49" s="6">
        <v>62</v>
      </c>
      <c r="BD49" s="6">
        <v>165</v>
      </c>
      <c r="BE49" s="6">
        <v>138</v>
      </c>
      <c r="BF49" s="6">
        <v>145</v>
      </c>
      <c r="BH49" s="6">
        <v>42</v>
      </c>
      <c r="BI49" s="6">
        <v>4</v>
      </c>
      <c r="BJ49" s="6">
        <v>139</v>
      </c>
      <c r="BK49" s="6">
        <v>80</v>
      </c>
      <c r="BL49" s="6">
        <v>134</v>
      </c>
      <c r="BM49" s="6">
        <v>88</v>
      </c>
    </row>
    <row r="50" spans="32:65" x14ac:dyDescent="0.15">
      <c r="AF50" s="6">
        <v>43</v>
      </c>
      <c r="AG50" s="6">
        <v>4</v>
      </c>
      <c r="AH50" s="6">
        <v>70</v>
      </c>
      <c r="AI50" s="6">
        <v>157</v>
      </c>
      <c r="AJ50" s="6">
        <v>99</v>
      </c>
      <c r="AK50" s="6">
        <v>4</v>
      </c>
      <c r="AM50" s="6">
        <v>43</v>
      </c>
      <c r="AN50" s="6">
        <v>4</v>
      </c>
      <c r="AO50" s="6">
        <v>65</v>
      </c>
      <c r="AP50" s="6">
        <v>155</v>
      </c>
      <c r="AQ50" s="6">
        <v>35</v>
      </c>
      <c r="AR50" s="6">
        <v>107</v>
      </c>
      <c r="AT50" s="6">
        <v>43</v>
      </c>
      <c r="AU50" s="6">
        <v>4</v>
      </c>
      <c r="AV50" s="6">
        <v>26</v>
      </c>
      <c r="AW50" s="6">
        <v>53</v>
      </c>
      <c r="AX50" s="6">
        <v>23</v>
      </c>
      <c r="AY50" s="6">
        <v>7</v>
      </c>
      <c r="BA50" s="6">
        <v>43</v>
      </c>
      <c r="BB50" s="6">
        <v>4</v>
      </c>
      <c r="BC50" s="6">
        <v>176</v>
      </c>
      <c r="BD50" s="6">
        <v>166</v>
      </c>
      <c r="BE50" s="6">
        <v>132</v>
      </c>
      <c r="BF50" s="6">
        <v>137</v>
      </c>
      <c r="BH50" s="6">
        <v>43</v>
      </c>
      <c r="BI50" s="6">
        <v>4</v>
      </c>
      <c r="BJ50" s="6">
        <v>141</v>
      </c>
      <c r="BK50" s="6">
        <v>81</v>
      </c>
      <c r="BL50" s="6">
        <v>86</v>
      </c>
      <c r="BM50" s="6">
        <v>87</v>
      </c>
    </row>
    <row r="51" spans="32:65" x14ac:dyDescent="0.15">
      <c r="AF51" s="6">
        <v>44</v>
      </c>
      <c r="AG51" s="6">
        <v>4</v>
      </c>
      <c r="AH51" s="6">
        <v>75</v>
      </c>
      <c r="AI51" s="6">
        <v>40</v>
      </c>
      <c r="AJ51" s="6">
        <v>35</v>
      </c>
      <c r="AK51" s="6">
        <v>3</v>
      </c>
      <c r="AM51" s="6">
        <v>44</v>
      </c>
      <c r="AN51" s="6">
        <v>4</v>
      </c>
      <c r="AO51" s="6">
        <v>66</v>
      </c>
      <c r="AP51" s="6">
        <v>156</v>
      </c>
      <c r="AQ51" s="6">
        <v>36</v>
      </c>
      <c r="AR51" s="6">
        <v>100</v>
      </c>
      <c r="AT51" s="6">
        <v>44</v>
      </c>
      <c r="AU51" s="6">
        <v>4</v>
      </c>
      <c r="AV51" s="6">
        <v>39</v>
      </c>
      <c r="AW51" s="6">
        <v>164</v>
      </c>
      <c r="AX51" s="6">
        <v>58</v>
      </c>
      <c r="AY51" s="6">
        <v>6</v>
      </c>
      <c r="BA51" s="6">
        <v>44</v>
      </c>
      <c r="BB51" s="6">
        <v>4</v>
      </c>
      <c r="BC51" s="6">
        <v>177</v>
      </c>
      <c r="BD51" s="6">
        <v>163</v>
      </c>
      <c r="BE51" s="6">
        <v>131</v>
      </c>
      <c r="BF51" s="6">
        <v>133</v>
      </c>
      <c r="BH51" s="6">
        <v>44</v>
      </c>
      <c r="BI51" s="6">
        <v>4</v>
      </c>
      <c r="BJ51" s="6">
        <v>140</v>
      </c>
      <c r="BK51" s="6">
        <v>77</v>
      </c>
      <c r="BL51" s="6">
        <v>85</v>
      </c>
      <c r="BM51" s="6">
        <v>89</v>
      </c>
    </row>
    <row r="52" spans="32:65" x14ac:dyDescent="0.15">
      <c r="AF52" s="6">
        <v>45</v>
      </c>
      <c r="AG52" s="6">
        <v>4</v>
      </c>
      <c r="AH52" s="6">
        <v>73</v>
      </c>
      <c r="AI52" s="6">
        <v>44</v>
      </c>
      <c r="AJ52" s="6">
        <v>33</v>
      </c>
      <c r="AK52" s="6">
        <v>2</v>
      </c>
      <c r="AM52" s="6">
        <v>45</v>
      </c>
      <c r="AN52" s="6">
        <v>4</v>
      </c>
      <c r="AO52" s="6">
        <v>70</v>
      </c>
      <c r="AP52" s="6">
        <v>157</v>
      </c>
      <c r="AQ52" s="6">
        <v>32</v>
      </c>
      <c r="AR52" s="6">
        <v>4</v>
      </c>
      <c r="AT52" s="6">
        <v>45</v>
      </c>
      <c r="AU52" s="6">
        <v>4</v>
      </c>
      <c r="AV52" s="6">
        <v>42</v>
      </c>
      <c r="AW52" s="6">
        <v>165</v>
      </c>
      <c r="AX52" s="6">
        <v>60</v>
      </c>
      <c r="AY52" s="6">
        <v>8</v>
      </c>
      <c r="BA52" s="6">
        <v>45</v>
      </c>
      <c r="BB52" s="6">
        <v>4</v>
      </c>
      <c r="BC52" s="6">
        <v>175</v>
      </c>
      <c r="BD52" s="6">
        <v>161</v>
      </c>
      <c r="BE52" s="6">
        <v>118</v>
      </c>
      <c r="BF52" s="6">
        <v>128</v>
      </c>
      <c r="BH52" s="6">
        <v>45</v>
      </c>
      <c r="BI52" s="6">
        <v>4</v>
      </c>
      <c r="BJ52" s="6">
        <v>131</v>
      </c>
      <c r="BK52" s="6">
        <v>74</v>
      </c>
      <c r="BL52" s="6">
        <v>84</v>
      </c>
      <c r="BM52" s="6">
        <v>111</v>
      </c>
    </row>
    <row r="53" spans="32:65" x14ac:dyDescent="0.15">
      <c r="AF53" s="6">
        <v>46</v>
      </c>
      <c r="AG53" s="6">
        <v>4</v>
      </c>
      <c r="AH53" s="6">
        <v>72</v>
      </c>
      <c r="AI53" s="6">
        <v>41</v>
      </c>
      <c r="AJ53" s="6">
        <v>32</v>
      </c>
      <c r="AK53" s="6">
        <v>5</v>
      </c>
      <c r="AM53" s="6">
        <v>46</v>
      </c>
      <c r="AN53" s="6">
        <v>4</v>
      </c>
      <c r="AO53" s="6">
        <v>75</v>
      </c>
      <c r="AP53" s="6">
        <v>40</v>
      </c>
      <c r="AQ53" s="6">
        <v>31</v>
      </c>
      <c r="AR53" s="6">
        <v>2</v>
      </c>
      <c r="AT53" s="6">
        <v>46</v>
      </c>
      <c r="AU53" s="6">
        <v>4</v>
      </c>
      <c r="AV53" s="6">
        <v>45</v>
      </c>
      <c r="AW53" s="6">
        <v>166</v>
      </c>
      <c r="AX53" s="6">
        <v>61</v>
      </c>
      <c r="AY53" s="6">
        <v>9</v>
      </c>
      <c r="BA53" s="6">
        <v>46</v>
      </c>
      <c r="BB53" s="6">
        <v>4</v>
      </c>
      <c r="BC53" s="6">
        <v>174</v>
      </c>
      <c r="BD53" s="6">
        <v>143</v>
      </c>
      <c r="BE53" s="6">
        <v>119</v>
      </c>
      <c r="BF53" s="6">
        <v>127</v>
      </c>
      <c r="BH53" s="6">
        <v>46</v>
      </c>
      <c r="BI53" s="6">
        <v>4</v>
      </c>
      <c r="BJ53" s="6">
        <v>118</v>
      </c>
      <c r="BK53" s="6">
        <v>76</v>
      </c>
      <c r="BL53" s="6">
        <v>83</v>
      </c>
      <c r="BM53" s="6">
        <v>112</v>
      </c>
    </row>
    <row r="54" spans="32:65" x14ac:dyDescent="0.15">
      <c r="AF54" s="6">
        <v>47</v>
      </c>
      <c r="AG54" s="6">
        <v>4</v>
      </c>
      <c r="AH54" s="6">
        <v>78</v>
      </c>
      <c r="AI54" s="6">
        <v>38</v>
      </c>
      <c r="AJ54" s="6">
        <v>31</v>
      </c>
      <c r="AK54" s="6">
        <v>12</v>
      </c>
      <c r="AM54" s="6">
        <v>47</v>
      </c>
      <c r="AN54" s="6">
        <v>4</v>
      </c>
      <c r="AO54" s="6">
        <v>73</v>
      </c>
      <c r="AP54" s="6">
        <v>44</v>
      </c>
      <c r="AQ54" s="6">
        <v>25</v>
      </c>
      <c r="AR54" s="6">
        <v>5</v>
      </c>
      <c r="AT54" s="6">
        <v>47</v>
      </c>
      <c r="AU54" s="6">
        <v>4</v>
      </c>
      <c r="AV54" s="6">
        <v>47</v>
      </c>
      <c r="AW54" s="6">
        <v>168</v>
      </c>
      <c r="AX54" s="6">
        <v>59</v>
      </c>
      <c r="AY54" s="6">
        <v>21</v>
      </c>
      <c r="BA54" s="6">
        <v>47</v>
      </c>
      <c r="BB54" s="6">
        <v>4</v>
      </c>
      <c r="BC54" s="6">
        <v>173</v>
      </c>
      <c r="BD54" s="6">
        <v>142</v>
      </c>
      <c r="BE54" s="6">
        <v>130</v>
      </c>
      <c r="BF54" s="6">
        <v>126</v>
      </c>
      <c r="BH54" s="6">
        <v>47</v>
      </c>
      <c r="BI54" s="6">
        <v>4</v>
      </c>
      <c r="BJ54" s="6">
        <v>117</v>
      </c>
      <c r="BK54" s="6">
        <v>67</v>
      </c>
      <c r="BL54" s="6">
        <v>82</v>
      </c>
      <c r="BM54" s="6">
        <v>110</v>
      </c>
    </row>
    <row r="55" spans="32:65" x14ac:dyDescent="0.15">
      <c r="AF55" s="6">
        <v>48</v>
      </c>
      <c r="AG55" s="6">
        <v>4</v>
      </c>
      <c r="AH55" s="6">
        <v>81</v>
      </c>
      <c r="AI55" s="6">
        <v>39</v>
      </c>
      <c r="AJ55" s="6">
        <v>25</v>
      </c>
      <c r="AK55" s="6">
        <v>1</v>
      </c>
      <c r="AM55" s="6">
        <v>48</v>
      </c>
      <c r="AN55" s="6">
        <v>4</v>
      </c>
      <c r="AO55" s="6">
        <v>72</v>
      </c>
      <c r="AP55" s="6">
        <v>41</v>
      </c>
      <c r="AQ55" s="6">
        <v>24</v>
      </c>
      <c r="AR55" s="6">
        <v>12</v>
      </c>
      <c r="AT55" s="6">
        <v>48</v>
      </c>
      <c r="AU55" s="6">
        <v>4</v>
      </c>
      <c r="AV55" s="6">
        <v>44</v>
      </c>
      <c r="AW55" s="6">
        <v>169</v>
      </c>
      <c r="AX55" s="6">
        <v>177</v>
      </c>
      <c r="AY55" s="6">
        <v>63</v>
      </c>
      <c r="BA55" s="6">
        <v>48</v>
      </c>
      <c r="BB55" s="6">
        <v>4</v>
      </c>
      <c r="BC55" s="6">
        <v>172</v>
      </c>
      <c r="BD55" s="6">
        <v>141</v>
      </c>
      <c r="BE55" s="6">
        <v>129</v>
      </c>
      <c r="BF55" s="6">
        <v>125</v>
      </c>
      <c r="BH55" s="6">
        <v>48</v>
      </c>
      <c r="BI55" s="6">
        <v>4</v>
      </c>
      <c r="BJ55" s="6">
        <v>121</v>
      </c>
      <c r="BK55" s="6">
        <v>65</v>
      </c>
      <c r="BL55" s="6">
        <v>78</v>
      </c>
      <c r="BM55" s="6">
        <v>109</v>
      </c>
    </row>
    <row r="56" spans="32:65" x14ac:dyDescent="0.15">
      <c r="AF56" s="6">
        <v>49</v>
      </c>
      <c r="AG56" s="6">
        <v>4</v>
      </c>
      <c r="AH56" s="6">
        <v>80</v>
      </c>
      <c r="AI56" s="9"/>
      <c r="AJ56" s="6">
        <v>24</v>
      </c>
      <c r="AK56" s="6">
        <v>11</v>
      </c>
      <c r="AM56" s="6">
        <v>49</v>
      </c>
      <c r="AN56" s="6">
        <v>4</v>
      </c>
      <c r="AO56" s="6">
        <v>78</v>
      </c>
      <c r="AP56" s="9"/>
      <c r="AQ56" s="6">
        <v>42</v>
      </c>
      <c r="AR56" s="6">
        <v>11</v>
      </c>
      <c r="AT56" s="6">
        <v>49</v>
      </c>
      <c r="AU56" s="6">
        <v>4</v>
      </c>
      <c r="AV56" s="6">
        <v>40</v>
      </c>
      <c r="AW56" s="9"/>
      <c r="AX56" s="6">
        <v>175</v>
      </c>
      <c r="AY56" s="6">
        <v>62</v>
      </c>
      <c r="BA56" s="6">
        <v>49</v>
      </c>
      <c r="BB56" s="6">
        <v>4</v>
      </c>
      <c r="BC56" s="6">
        <v>180</v>
      </c>
      <c r="BD56" s="9"/>
      <c r="BE56" s="6">
        <v>120</v>
      </c>
      <c r="BF56" s="6">
        <v>80</v>
      </c>
      <c r="BH56" s="6">
        <v>49</v>
      </c>
      <c r="BI56" s="6">
        <v>4</v>
      </c>
      <c r="BJ56" s="6">
        <v>122</v>
      </c>
      <c r="BK56" s="9">
        <v>66</v>
      </c>
      <c r="BL56" s="6">
        <v>73</v>
      </c>
      <c r="BM56" s="6">
        <v>108</v>
      </c>
    </row>
    <row r="60" spans="32:65" x14ac:dyDescent="0.15">
      <c r="AI60" s="6">
        <f>MAX(AI63:AI170)</f>
        <v>1</v>
      </c>
      <c r="AP60" s="6">
        <f>MAX(AP63:AP170)</f>
        <v>1</v>
      </c>
      <c r="AW60" s="6">
        <f>MAX(AW63:AW170)</f>
        <v>1</v>
      </c>
      <c r="BD60" s="6">
        <f>MAX(BD63:BD170)</f>
        <v>1</v>
      </c>
      <c r="BK60" s="6">
        <f>MAX(BK63:BK170)</f>
        <v>1</v>
      </c>
    </row>
    <row r="61" spans="32:65" x14ac:dyDescent="0.15">
      <c r="AI61" s="6">
        <f>COUNTIF(AH8:AK56,"&gt;180")</f>
        <v>0</v>
      </c>
      <c r="AP61" s="12">
        <f>COUNTIF(AO8:AR56,"&gt;180")</f>
        <v>0</v>
      </c>
      <c r="AW61" s="12">
        <f>COUNTIF(AV8:AY56,"&gt;180")</f>
        <v>0</v>
      </c>
      <c r="BD61" s="12">
        <f>COUNTIF(BC8:BF56,"&gt;180")</f>
        <v>0</v>
      </c>
      <c r="BK61" s="12">
        <f>COUNTIF(BJ8:BM56,"&gt;180")</f>
        <v>0</v>
      </c>
    </row>
    <row r="63" spans="32:65" x14ac:dyDescent="0.15">
      <c r="AH63" s="6">
        <f t="shared" ref="AH63:AH94" si="4">AH8</f>
        <v>169</v>
      </c>
      <c r="AI63" s="6">
        <f>IF(AH63=0,0,COUNTIF(AH$63:AH$170,AH63))</f>
        <v>1</v>
      </c>
      <c r="AO63" s="6">
        <f t="shared" ref="AO63:AO94" si="5">AO8</f>
        <v>61</v>
      </c>
      <c r="AP63" s="6">
        <f>IF(AO63=0,0,COUNTIF(AO$63:AO$170,AO63))</f>
        <v>1</v>
      </c>
      <c r="AV63" s="6">
        <f t="shared" ref="AV63:AV94" si="6">AV8</f>
        <v>133</v>
      </c>
      <c r="AW63" s="6">
        <f>IF(AV63=0,0,COUNTIF(AV$63:AV$170,AV63))</f>
        <v>1</v>
      </c>
      <c r="BC63" s="6">
        <f t="shared" ref="BC63:BC94" si="7">BC8</f>
        <v>110</v>
      </c>
      <c r="BD63" s="6">
        <f>IF(BC63=0,0,COUNTIF(BC$63:BC$170,BC63))</f>
        <v>1</v>
      </c>
      <c r="BJ63" s="6">
        <f t="shared" ref="BJ63:BJ94" si="8">BJ8</f>
        <v>155</v>
      </c>
      <c r="BK63" s="6">
        <f>IF(BJ63=0,0,COUNTIF(BJ$63:BJ$170,BJ63))</f>
        <v>1</v>
      </c>
    </row>
    <row r="64" spans="32:65" x14ac:dyDescent="0.15">
      <c r="AH64" s="6">
        <f t="shared" si="4"/>
        <v>168</v>
      </c>
      <c r="AI64" s="6">
        <f t="shared" ref="AI64:AI127" si="9">IF(AH64=0,0,COUNTIF(AH$63:AH$170,AH64))</f>
        <v>1</v>
      </c>
      <c r="AO64" s="6">
        <f t="shared" si="5"/>
        <v>60</v>
      </c>
      <c r="AP64" s="6">
        <f t="shared" ref="AP64:AP127" si="10">IF(AO64=0,0,COUNTIF(AO$63:AO$170,AO64))</f>
        <v>1</v>
      </c>
      <c r="AV64" s="6">
        <f t="shared" si="6"/>
        <v>128</v>
      </c>
      <c r="AW64" s="6">
        <f t="shared" ref="AW64:AW127" si="11">IF(AV64=0,0,COUNTIF(AV$63:AV$170,AV64))</f>
        <v>1</v>
      </c>
      <c r="BC64" s="6">
        <f t="shared" si="7"/>
        <v>109</v>
      </c>
      <c r="BD64" s="6">
        <f t="shared" ref="BD64:BD127" si="12">IF(BC64=0,0,COUNTIF(BC$63:BC$170,BC64))</f>
        <v>1</v>
      </c>
      <c r="BJ64" s="6">
        <f t="shared" si="8"/>
        <v>94</v>
      </c>
      <c r="BK64" s="6">
        <f t="shared" ref="BK64:BK127" si="13">IF(BJ64=0,0,COUNTIF(BJ$63:BJ$170,BJ64))</f>
        <v>1</v>
      </c>
    </row>
    <row r="65" spans="34:63" x14ac:dyDescent="0.15">
      <c r="AH65" s="6">
        <f t="shared" si="4"/>
        <v>167</v>
      </c>
      <c r="AI65" s="6">
        <f t="shared" si="9"/>
        <v>1</v>
      </c>
      <c r="AO65" s="6">
        <f t="shared" si="5"/>
        <v>58</v>
      </c>
      <c r="AP65" s="6">
        <f t="shared" si="10"/>
        <v>1</v>
      </c>
      <c r="AV65" s="6">
        <f t="shared" si="6"/>
        <v>127</v>
      </c>
      <c r="AW65" s="6">
        <f t="shared" si="11"/>
        <v>1</v>
      </c>
      <c r="BC65" s="6">
        <f t="shared" si="7"/>
        <v>108</v>
      </c>
      <c r="BD65" s="6">
        <f t="shared" si="12"/>
        <v>1</v>
      </c>
      <c r="BJ65" s="6">
        <f t="shared" si="8"/>
        <v>92</v>
      </c>
      <c r="BK65" s="6">
        <f t="shared" si="13"/>
        <v>1</v>
      </c>
    </row>
    <row r="66" spans="34:63" x14ac:dyDescent="0.15">
      <c r="AH66" s="6">
        <f t="shared" si="4"/>
        <v>165</v>
      </c>
      <c r="AI66" s="6">
        <f t="shared" si="9"/>
        <v>1</v>
      </c>
      <c r="AO66" s="6">
        <f t="shared" si="5"/>
        <v>23</v>
      </c>
      <c r="AP66" s="6">
        <f t="shared" si="10"/>
        <v>1</v>
      </c>
      <c r="AV66" s="6">
        <f t="shared" si="6"/>
        <v>126</v>
      </c>
      <c r="AW66" s="6">
        <f t="shared" si="11"/>
        <v>1</v>
      </c>
      <c r="BC66" s="6">
        <f t="shared" si="7"/>
        <v>107</v>
      </c>
      <c r="BD66" s="6">
        <f t="shared" si="12"/>
        <v>1</v>
      </c>
      <c r="BJ66" s="6">
        <f t="shared" si="8"/>
        <v>101</v>
      </c>
      <c r="BK66" s="6">
        <f t="shared" si="13"/>
        <v>1</v>
      </c>
    </row>
    <row r="67" spans="34:63" x14ac:dyDescent="0.15">
      <c r="AH67" s="6">
        <f t="shared" si="4"/>
        <v>166</v>
      </c>
      <c r="AI67" s="6">
        <f t="shared" si="9"/>
        <v>1</v>
      </c>
      <c r="AO67" s="6">
        <f t="shared" si="5"/>
        <v>52</v>
      </c>
      <c r="AP67" s="6">
        <f t="shared" si="10"/>
        <v>1</v>
      </c>
      <c r="AV67" s="6">
        <f t="shared" si="6"/>
        <v>125</v>
      </c>
      <c r="AW67" s="6">
        <f t="shared" si="11"/>
        <v>1</v>
      </c>
      <c r="BC67" s="6">
        <f t="shared" si="7"/>
        <v>114</v>
      </c>
      <c r="BD67" s="6">
        <f t="shared" si="12"/>
        <v>1</v>
      </c>
      <c r="BJ67" s="6">
        <f t="shared" si="8"/>
        <v>95</v>
      </c>
      <c r="BK67" s="6">
        <f t="shared" si="13"/>
        <v>1</v>
      </c>
    </row>
    <row r="68" spans="34:63" x14ac:dyDescent="0.15">
      <c r="AH68" s="6">
        <f t="shared" si="4"/>
        <v>164</v>
      </c>
      <c r="AI68" s="6">
        <f t="shared" si="9"/>
        <v>1</v>
      </c>
      <c r="AO68" s="6">
        <f t="shared" si="5"/>
        <v>51</v>
      </c>
      <c r="AP68" s="6">
        <f t="shared" si="10"/>
        <v>1</v>
      </c>
      <c r="AV68" s="6">
        <f t="shared" si="6"/>
        <v>80</v>
      </c>
      <c r="AW68" s="6">
        <f t="shared" si="11"/>
        <v>1</v>
      </c>
      <c r="BC68" s="6">
        <f t="shared" si="7"/>
        <v>116</v>
      </c>
      <c r="BD68" s="6">
        <f t="shared" si="12"/>
        <v>1</v>
      </c>
      <c r="BJ68" s="6">
        <f t="shared" si="8"/>
        <v>28</v>
      </c>
      <c r="BK68" s="6">
        <f t="shared" si="13"/>
        <v>1</v>
      </c>
    </row>
    <row r="69" spans="34:63" x14ac:dyDescent="0.15">
      <c r="AH69" s="6">
        <f t="shared" si="4"/>
        <v>163</v>
      </c>
      <c r="AI69" s="6">
        <f t="shared" si="9"/>
        <v>1</v>
      </c>
      <c r="AO69" s="6">
        <f t="shared" si="5"/>
        <v>57</v>
      </c>
      <c r="AP69" s="6">
        <f t="shared" si="10"/>
        <v>1</v>
      </c>
      <c r="AV69" s="6">
        <f t="shared" si="6"/>
        <v>81</v>
      </c>
      <c r="AW69" s="6">
        <f t="shared" si="11"/>
        <v>1</v>
      </c>
      <c r="BC69" s="6">
        <f t="shared" si="7"/>
        <v>115</v>
      </c>
      <c r="BD69" s="6">
        <f t="shared" si="12"/>
        <v>1</v>
      </c>
      <c r="BJ69" s="6">
        <f t="shared" si="8"/>
        <v>32</v>
      </c>
      <c r="BK69" s="6">
        <f t="shared" si="13"/>
        <v>1</v>
      </c>
    </row>
    <row r="70" spans="34:63" x14ac:dyDescent="0.15">
      <c r="AH70" s="6">
        <f t="shared" si="4"/>
        <v>162</v>
      </c>
      <c r="AI70" s="6">
        <f t="shared" si="9"/>
        <v>1</v>
      </c>
      <c r="AO70" s="6">
        <f t="shared" si="5"/>
        <v>56</v>
      </c>
      <c r="AP70" s="6">
        <f t="shared" si="10"/>
        <v>1</v>
      </c>
      <c r="AV70" s="6">
        <f t="shared" si="6"/>
        <v>77</v>
      </c>
      <c r="AW70" s="6">
        <f t="shared" si="11"/>
        <v>1</v>
      </c>
      <c r="BC70" s="6">
        <f t="shared" si="7"/>
        <v>113</v>
      </c>
      <c r="BD70" s="6">
        <f t="shared" si="12"/>
        <v>1</v>
      </c>
      <c r="BJ70" s="6">
        <f t="shared" si="8"/>
        <v>16</v>
      </c>
      <c r="BK70" s="6">
        <f t="shared" si="13"/>
        <v>1</v>
      </c>
    </row>
    <row r="71" spans="34:63" x14ac:dyDescent="0.15">
      <c r="AH71" s="6">
        <f t="shared" si="4"/>
        <v>161</v>
      </c>
      <c r="AI71" s="6">
        <f t="shared" si="9"/>
        <v>1</v>
      </c>
      <c r="AO71" s="6">
        <f t="shared" si="5"/>
        <v>55</v>
      </c>
      <c r="AP71" s="6">
        <f t="shared" si="10"/>
        <v>1</v>
      </c>
      <c r="AV71" s="6">
        <f t="shared" si="6"/>
        <v>74</v>
      </c>
      <c r="AW71" s="6">
        <f t="shared" si="11"/>
        <v>1</v>
      </c>
      <c r="BC71" s="6">
        <f t="shared" si="7"/>
        <v>100</v>
      </c>
      <c r="BD71" s="6">
        <f t="shared" si="12"/>
        <v>1</v>
      </c>
      <c r="BJ71" s="6">
        <f t="shared" si="8"/>
        <v>5</v>
      </c>
      <c r="BK71" s="6">
        <f t="shared" si="13"/>
        <v>1</v>
      </c>
    </row>
    <row r="72" spans="34:63" x14ac:dyDescent="0.15">
      <c r="AH72" s="6">
        <f t="shared" si="4"/>
        <v>160</v>
      </c>
      <c r="AI72" s="6">
        <f t="shared" si="9"/>
        <v>1</v>
      </c>
      <c r="AO72" s="6">
        <f t="shared" si="5"/>
        <v>53</v>
      </c>
      <c r="AP72" s="6">
        <f t="shared" si="10"/>
        <v>1</v>
      </c>
      <c r="AV72" s="6">
        <f t="shared" si="6"/>
        <v>76</v>
      </c>
      <c r="AW72" s="6">
        <f t="shared" si="11"/>
        <v>1</v>
      </c>
      <c r="BC72" s="6">
        <f t="shared" si="7"/>
        <v>106</v>
      </c>
      <c r="BD72" s="6">
        <f t="shared" si="12"/>
        <v>1</v>
      </c>
      <c r="BJ72" s="6">
        <f t="shared" si="8"/>
        <v>2</v>
      </c>
      <c r="BK72" s="6">
        <f t="shared" si="13"/>
        <v>1</v>
      </c>
    </row>
    <row r="73" spans="34:63" x14ac:dyDescent="0.15">
      <c r="AH73" s="6">
        <f t="shared" si="4"/>
        <v>49</v>
      </c>
      <c r="AI73" s="6">
        <f t="shared" si="9"/>
        <v>1</v>
      </c>
      <c r="AO73" s="6">
        <f t="shared" si="5"/>
        <v>164</v>
      </c>
      <c r="AP73" s="6">
        <f t="shared" si="10"/>
        <v>1</v>
      </c>
      <c r="AV73" s="6">
        <f t="shared" si="6"/>
        <v>67</v>
      </c>
      <c r="AW73" s="6">
        <f t="shared" si="11"/>
        <v>1</v>
      </c>
      <c r="BC73" s="6">
        <f t="shared" si="7"/>
        <v>90</v>
      </c>
      <c r="BD73" s="6">
        <f t="shared" si="12"/>
        <v>1</v>
      </c>
      <c r="BJ73" s="6">
        <f t="shared" si="8"/>
        <v>1</v>
      </c>
      <c r="BK73" s="6">
        <f t="shared" si="13"/>
        <v>1</v>
      </c>
    </row>
    <row r="74" spans="34:63" x14ac:dyDescent="0.15">
      <c r="AH74" s="6">
        <f t="shared" si="4"/>
        <v>48</v>
      </c>
      <c r="AI74" s="6">
        <f t="shared" si="9"/>
        <v>1</v>
      </c>
      <c r="AO74" s="6">
        <f t="shared" si="5"/>
        <v>165</v>
      </c>
      <c r="AP74" s="6">
        <f t="shared" si="10"/>
        <v>1</v>
      </c>
      <c r="AV74" s="6">
        <f t="shared" si="6"/>
        <v>65</v>
      </c>
      <c r="AW74" s="6">
        <f t="shared" si="11"/>
        <v>1</v>
      </c>
      <c r="BC74" s="6">
        <f t="shared" si="7"/>
        <v>89</v>
      </c>
      <c r="BD74" s="6">
        <f t="shared" si="12"/>
        <v>1</v>
      </c>
      <c r="BJ74" s="6">
        <f t="shared" si="8"/>
        <v>7</v>
      </c>
      <c r="BK74" s="6">
        <f t="shared" si="13"/>
        <v>1</v>
      </c>
    </row>
    <row r="75" spans="34:63" x14ac:dyDescent="0.15">
      <c r="AH75" s="6">
        <f t="shared" si="4"/>
        <v>46</v>
      </c>
      <c r="AI75" s="6">
        <f t="shared" si="9"/>
        <v>1</v>
      </c>
      <c r="AO75" s="6">
        <f t="shared" si="5"/>
        <v>168</v>
      </c>
      <c r="AP75" s="6">
        <f t="shared" si="10"/>
        <v>1</v>
      </c>
      <c r="AV75" s="6">
        <f t="shared" si="6"/>
        <v>66</v>
      </c>
      <c r="AW75" s="6">
        <f t="shared" si="11"/>
        <v>1</v>
      </c>
      <c r="BC75" s="6">
        <f t="shared" si="7"/>
        <v>91</v>
      </c>
      <c r="BD75" s="6">
        <f t="shared" si="12"/>
        <v>1</v>
      </c>
      <c r="BJ75" s="6">
        <f t="shared" si="8"/>
        <v>6</v>
      </c>
      <c r="BK75" s="6">
        <f t="shared" si="13"/>
        <v>1</v>
      </c>
    </row>
    <row r="76" spans="34:63" x14ac:dyDescent="0.15">
      <c r="AH76" s="6">
        <f t="shared" si="4"/>
        <v>43</v>
      </c>
      <c r="AI76" s="6">
        <f t="shared" si="9"/>
        <v>1</v>
      </c>
      <c r="AO76" s="6">
        <f t="shared" si="5"/>
        <v>166</v>
      </c>
      <c r="AP76" s="6">
        <f t="shared" si="10"/>
        <v>1</v>
      </c>
      <c r="AV76" s="6">
        <f t="shared" si="6"/>
        <v>70</v>
      </c>
      <c r="AW76" s="6">
        <f t="shared" si="11"/>
        <v>1</v>
      </c>
      <c r="BC76" s="6">
        <f t="shared" si="7"/>
        <v>102</v>
      </c>
      <c r="BD76" s="6">
        <f t="shared" si="12"/>
        <v>1</v>
      </c>
      <c r="BJ76" s="6">
        <f t="shared" si="8"/>
        <v>8</v>
      </c>
      <c r="BK76" s="6">
        <f t="shared" si="13"/>
        <v>1</v>
      </c>
    </row>
    <row r="77" spans="34:63" x14ac:dyDescent="0.15">
      <c r="AH77" s="6">
        <f t="shared" si="4"/>
        <v>154</v>
      </c>
      <c r="AI77" s="6">
        <f t="shared" si="9"/>
        <v>1</v>
      </c>
      <c r="AO77" s="6">
        <f t="shared" si="5"/>
        <v>163</v>
      </c>
      <c r="AP77" s="6">
        <f t="shared" si="10"/>
        <v>1</v>
      </c>
      <c r="AV77" s="6">
        <f t="shared" si="6"/>
        <v>75</v>
      </c>
      <c r="AW77" s="6">
        <f t="shared" si="11"/>
        <v>1</v>
      </c>
      <c r="BC77" s="6">
        <f t="shared" si="7"/>
        <v>101</v>
      </c>
      <c r="BD77" s="6">
        <f t="shared" si="12"/>
        <v>1</v>
      </c>
      <c r="BJ77" s="6">
        <f t="shared" si="8"/>
        <v>9</v>
      </c>
      <c r="BK77" s="6">
        <f t="shared" si="13"/>
        <v>1</v>
      </c>
    </row>
    <row r="78" spans="34:63" x14ac:dyDescent="0.15">
      <c r="AH78" s="6">
        <f t="shared" si="4"/>
        <v>144</v>
      </c>
      <c r="AI78" s="6">
        <f t="shared" si="9"/>
        <v>1</v>
      </c>
      <c r="AO78" s="6">
        <f t="shared" si="5"/>
        <v>161</v>
      </c>
      <c r="AP78" s="6">
        <f t="shared" si="10"/>
        <v>1</v>
      </c>
      <c r="AV78" s="6">
        <f t="shared" si="6"/>
        <v>72</v>
      </c>
      <c r="AW78" s="6">
        <f t="shared" si="11"/>
        <v>1</v>
      </c>
      <c r="BC78" s="6">
        <f t="shared" si="7"/>
        <v>103</v>
      </c>
      <c r="BD78" s="6">
        <f t="shared" si="12"/>
        <v>1</v>
      </c>
      <c r="BJ78" s="6">
        <f t="shared" si="8"/>
        <v>10</v>
      </c>
      <c r="BK78" s="6">
        <f t="shared" si="13"/>
        <v>1</v>
      </c>
    </row>
    <row r="79" spans="34:63" x14ac:dyDescent="0.15">
      <c r="AH79" s="6">
        <f t="shared" si="4"/>
        <v>138</v>
      </c>
      <c r="AI79" s="6">
        <f t="shared" si="9"/>
        <v>1</v>
      </c>
      <c r="AO79" s="6">
        <f t="shared" si="5"/>
        <v>154</v>
      </c>
      <c r="AP79" s="6">
        <f t="shared" si="10"/>
        <v>1</v>
      </c>
      <c r="AV79" s="6">
        <f t="shared" si="6"/>
        <v>71</v>
      </c>
      <c r="AW79" s="6">
        <f t="shared" si="11"/>
        <v>1</v>
      </c>
      <c r="BC79" s="6">
        <f t="shared" si="7"/>
        <v>104</v>
      </c>
      <c r="BD79" s="6">
        <f t="shared" si="12"/>
        <v>1</v>
      </c>
      <c r="BJ79" s="6">
        <f t="shared" si="8"/>
        <v>18</v>
      </c>
      <c r="BK79" s="6">
        <f t="shared" si="13"/>
        <v>1</v>
      </c>
    </row>
    <row r="80" spans="34:63" x14ac:dyDescent="0.15">
      <c r="AH80" s="6">
        <f t="shared" si="4"/>
        <v>143</v>
      </c>
      <c r="AI80" s="6">
        <f t="shared" si="9"/>
        <v>1</v>
      </c>
      <c r="AO80" s="6">
        <f t="shared" si="5"/>
        <v>144</v>
      </c>
      <c r="AP80" s="6">
        <f t="shared" si="10"/>
        <v>1</v>
      </c>
      <c r="AV80" s="6">
        <f t="shared" si="6"/>
        <v>73</v>
      </c>
      <c r="AW80" s="6">
        <f t="shared" si="11"/>
        <v>1</v>
      </c>
      <c r="BC80" s="6">
        <f t="shared" si="7"/>
        <v>98</v>
      </c>
      <c r="BD80" s="6">
        <f t="shared" si="12"/>
        <v>1</v>
      </c>
      <c r="BJ80" s="6">
        <f t="shared" si="8"/>
        <v>19</v>
      </c>
      <c r="BK80" s="6">
        <f t="shared" si="13"/>
        <v>1</v>
      </c>
    </row>
    <row r="81" spans="34:63" x14ac:dyDescent="0.15">
      <c r="AH81" s="6">
        <f t="shared" si="4"/>
        <v>142</v>
      </c>
      <c r="AI81" s="6">
        <f t="shared" si="9"/>
        <v>1</v>
      </c>
      <c r="AO81" s="6">
        <f t="shared" si="5"/>
        <v>138</v>
      </c>
      <c r="AP81" s="6">
        <f t="shared" si="10"/>
        <v>1</v>
      </c>
      <c r="AV81" s="6">
        <f t="shared" si="6"/>
        <v>78</v>
      </c>
      <c r="AW81" s="6">
        <f t="shared" si="11"/>
        <v>1</v>
      </c>
      <c r="BC81" s="6">
        <f t="shared" si="7"/>
        <v>99</v>
      </c>
      <c r="BD81" s="6">
        <f t="shared" si="12"/>
        <v>1</v>
      </c>
      <c r="BJ81" s="6">
        <f t="shared" si="8"/>
        <v>20</v>
      </c>
      <c r="BK81" s="6">
        <f t="shared" si="13"/>
        <v>1</v>
      </c>
    </row>
    <row r="82" spans="34:63" x14ac:dyDescent="0.15">
      <c r="AH82" s="6">
        <f t="shared" si="4"/>
        <v>141</v>
      </c>
      <c r="AI82" s="6">
        <f t="shared" si="9"/>
        <v>1</v>
      </c>
      <c r="AO82" s="6">
        <f t="shared" si="5"/>
        <v>143</v>
      </c>
      <c r="AP82" s="6">
        <f t="shared" si="10"/>
        <v>1</v>
      </c>
      <c r="AV82" s="6">
        <f t="shared" si="6"/>
        <v>79</v>
      </c>
      <c r="AW82" s="6">
        <f t="shared" si="11"/>
        <v>1</v>
      </c>
      <c r="BC82" s="6">
        <f t="shared" si="7"/>
        <v>4</v>
      </c>
      <c r="BD82" s="6">
        <f t="shared" si="12"/>
        <v>1</v>
      </c>
      <c r="BJ82" s="6">
        <f t="shared" si="8"/>
        <v>21</v>
      </c>
      <c r="BK82" s="6">
        <f t="shared" si="13"/>
        <v>1</v>
      </c>
    </row>
    <row r="83" spans="34:63" x14ac:dyDescent="0.15">
      <c r="AH83" s="6">
        <f t="shared" si="4"/>
        <v>140</v>
      </c>
      <c r="AI83" s="6">
        <f t="shared" si="9"/>
        <v>1</v>
      </c>
      <c r="AO83" s="6">
        <f t="shared" si="5"/>
        <v>142</v>
      </c>
      <c r="AP83" s="6">
        <f t="shared" si="10"/>
        <v>1</v>
      </c>
      <c r="AV83" s="6">
        <f t="shared" si="6"/>
        <v>84</v>
      </c>
      <c r="AW83" s="6">
        <f t="shared" si="11"/>
        <v>1</v>
      </c>
      <c r="BC83" s="6">
        <f t="shared" si="7"/>
        <v>3</v>
      </c>
      <c r="BD83" s="6">
        <f t="shared" si="12"/>
        <v>1</v>
      </c>
      <c r="BJ83" s="6">
        <f t="shared" si="8"/>
        <v>63</v>
      </c>
      <c r="BK83" s="6">
        <f t="shared" si="13"/>
        <v>1</v>
      </c>
    </row>
    <row r="84" spans="34:63" x14ac:dyDescent="0.15">
      <c r="AH84" s="6">
        <f t="shared" si="4"/>
        <v>139</v>
      </c>
      <c r="AI84" s="6">
        <f t="shared" si="9"/>
        <v>1</v>
      </c>
      <c r="AO84" s="6">
        <f t="shared" si="5"/>
        <v>141</v>
      </c>
      <c r="AP84" s="6">
        <f t="shared" si="10"/>
        <v>1</v>
      </c>
      <c r="AV84" s="6">
        <f t="shared" si="6"/>
        <v>83</v>
      </c>
      <c r="AW84" s="6">
        <f t="shared" si="11"/>
        <v>1</v>
      </c>
      <c r="BC84" s="6">
        <f t="shared" si="7"/>
        <v>2</v>
      </c>
      <c r="BD84" s="6">
        <f t="shared" si="12"/>
        <v>1</v>
      </c>
      <c r="BJ84" s="6">
        <f t="shared" si="8"/>
        <v>62</v>
      </c>
      <c r="BK84" s="6">
        <f t="shared" si="13"/>
        <v>1</v>
      </c>
    </row>
    <row r="85" spans="34:63" x14ac:dyDescent="0.15">
      <c r="AH85" s="6">
        <f t="shared" si="4"/>
        <v>131</v>
      </c>
      <c r="AI85" s="6">
        <f t="shared" si="9"/>
        <v>1</v>
      </c>
      <c r="AO85" s="6">
        <f t="shared" si="5"/>
        <v>140</v>
      </c>
      <c r="AP85" s="6">
        <f t="shared" si="10"/>
        <v>1</v>
      </c>
      <c r="AV85" s="6">
        <f t="shared" si="6"/>
        <v>86</v>
      </c>
      <c r="AW85" s="6">
        <f t="shared" si="11"/>
        <v>1</v>
      </c>
      <c r="BC85" s="6">
        <f t="shared" si="7"/>
        <v>5</v>
      </c>
      <c r="BD85" s="6">
        <f t="shared" si="12"/>
        <v>1</v>
      </c>
      <c r="BJ85" s="6">
        <f t="shared" si="8"/>
        <v>61</v>
      </c>
      <c r="BK85" s="6">
        <f t="shared" si="13"/>
        <v>1</v>
      </c>
    </row>
    <row r="86" spans="34:63" x14ac:dyDescent="0.15">
      <c r="AH86" s="6">
        <f t="shared" si="4"/>
        <v>132</v>
      </c>
      <c r="AI86" s="6">
        <f t="shared" si="9"/>
        <v>1</v>
      </c>
      <c r="AO86" s="6">
        <f t="shared" si="5"/>
        <v>139</v>
      </c>
      <c r="AP86" s="6">
        <f t="shared" si="10"/>
        <v>1</v>
      </c>
      <c r="AV86" s="6">
        <f t="shared" si="6"/>
        <v>85</v>
      </c>
      <c r="AW86" s="6">
        <f t="shared" si="11"/>
        <v>1</v>
      </c>
      <c r="BC86" s="6">
        <f t="shared" si="7"/>
        <v>13</v>
      </c>
      <c r="BD86" s="6">
        <f t="shared" si="12"/>
        <v>1</v>
      </c>
      <c r="BJ86" s="6">
        <f t="shared" si="8"/>
        <v>176</v>
      </c>
      <c r="BK86" s="6">
        <f t="shared" si="13"/>
        <v>1</v>
      </c>
    </row>
    <row r="87" spans="34:63" x14ac:dyDescent="0.15">
      <c r="AH87" s="6">
        <f t="shared" si="4"/>
        <v>130</v>
      </c>
      <c r="AI87" s="6">
        <f t="shared" si="9"/>
        <v>1</v>
      </c>
      <c r="AO87" s="6">
        <f t="shared" si="5"/>
        <v>131</v>
      </c>
      <c r="AP87" s="6">
        <f t="shared" si="10"/>
        <v>1</v>
      </c>
      <c r="AV87" s="6">
        <f t="shared" si="6"/>
        <v>111</v>
      </c>
      <c r="AW87" s="6">
        <f t="shared" si="11"/>
        <v>1</v>
      </c>
      <c r="BC87" s="6">
        <f t="shared" si="7"/>
        <v>14</v>
      </c>
      <c r="BD87" s="6">
        <f t="shared" si="12"/>
        <v>1</v>
      </c>
      <c r="BJ87" s="6">
        <f t="shared" si="8"/>
        <v>177</v>
      </c>
      <c r="BK87" s="6">
        <f t="shared" si="13"/>
        <v>1</v>
      </c>
    </row>
    <row r="88" spans="34:63" x14ac:dyDescent="0.15">
      <c r="AH88" s="6">
        <f t="shared" si="4"/>
        <v>119</v>
      </c>
      <c r="AI88" s="6">
        <f t="shared" si="9"/>
        <v>1</v>
      </c>
      <c r="AO88" s="6">
        <f t="shared" si="5"/>
        <v>132</v>
      </c>
      <c r="AP88" s="6">
        <f t="shared" si="10"/>
        <v>1</v>
      </c>
      <c r="AV88" s="6">
        <f t="shared" si="6"/>
        <v>89</v>
      </c>
      <c r="AW88" s="6">
        <f t="shared" si="11"/>
        <v>1</v>
      </c>
      <c r="BC88" s="6">
        <f t="shared" si="7"/>
        <v>15</v>
      </c>
      <c r="BD88" s="6">
        <f t="shared" si="12"/>
        <v>1</v>
      </c>
      <c r="BJ88" s="6">
        <f t="shared" si="8"/>
        <v>175</v>
      </c>
      <c r="BK88" s="6">
        <f t="shared" si="13"/>
        <v>1</v>
      </c>
    </row>
    <row r="89" spans="34:63" x14ac:dyDescent="0.15">
      <c r="AH89" s="6">
        <f t="shared" si="4"/>
        <v>118</v>
      </c>
      <c r="AI89" s="6">
        <f t="shared" si="9"/>
        <v>1</v>
      </c>
      <c r="AO89" s="6">
        <f t="shared" si="5"/>
        <v>130</v>
      </c>
      <c r="AP89" s="6">
        <f t="shared" si="10"/>
        <v>1</v>
      </c>
      <c r="AV89" s="6">
        <f t="shared" si="6"/>
        <v>91</v>
      </c>
      <c r="AW89" s="6">
        <f t="shared" si="11"/>
        <v>1</v>
      </c>
      <c r="BC89" s="6">
        <f t="shared" si="7"/>
        <v>16</v>
      </c>
      <c r="BD89" s="6">
        <f t="shared" si="12"/>
        <v>1</v>
      </c>
      <c r="BJ89" s="6">
        <f t="shared" si="8"/>
        <v>174</v>
      </c>
      <c r="BK89" s="6">
        <f t="shared" si="13"/>
        <v>1</v>
      </c>
    </row>
    <row r="90" spans="34:63" x14ac:dyDescent="0.15">
      <c r="AH90" s="6">
        <f t="shared" si="4"/>
        <v>117</v>
      </c>
      <c r="AI90" s="6">
        <f t="shared" si="9"/>
        <v>1</v>
      </c>
      <c r="AO90" s="6">
        <f t="shared" si="5"/>
        <v>119</v>
      </c>
      <c r="AP90" s="6">
        <f t="shared" si="10"/>
        <v>1</v>
      </c>
      <c r="AV90" s="6">
        <f t="shared" si="6"/>
        <v>87</v>
      </c>
      <c r="AW90" s="6">
        <f t="shared" si="11"/>
        <v>1</v>
      </c>
      <c r="BC90" s="6">
        <f t="shared" si="7"/>
        <v>17</v>
      </c>
      <c r="BD90" s="6">
        <f t="shared" si="12"/>
        <v>1</v>
      </c>
      <c r="BJ90" s="6">
        <f t="shared" si="8"/>
        <v>173</v>
      </c>
      <c r="BK90" s="6">
        <f t="shared" si="13"/>
        <v>1</v>
      </c>
    </row>
    <row r="91" spans="34:63" x14ac:dyDescent="0.15">
      <c r="AH91" s="6">
        <f t="shared" si="4"/>
        <v>120</v>
      </c>
      <c r="AI91" s="6">
        <f t="shared" si="9"/>
        <v>1</v>
      </c>
      <c r="AO91" s="6">
        <f t="shared" si="5"/>
        <v>118</v>
      </c>
      <c r="AP91" s="6">
        <f t="shared" si="10"/>
        <v>1</v>
      </c>
      <c r="AV91" s="6">
        <f t="shared" si="6"/>
        <v>88</v>
      </c>
      <c r="AW91" s="6">
        <f t="shared" si="11"/>
        <v>1</v>
      </c>
      <c r="BC91" s="6">
        <f t="shared" si="7"/>
        <v>18</v>
      </c>
      <c r="BD91" s="6">
        <f t="shared" si="12"/>
        <v>1</v>
      </c>
      <c r="BJ91" s="6">
        <f t="shared" si="8"/>
        <v>172</v>
      </c>
      <c r="BK91" s="6">
        <f t="shared" si="13"/>
        <v>1</v>
      </c>
    </row>
    <row r="92" spans="34:63" x14ac:dyDescent="0.15">
      <c r="AH92" s="6">
        <f t="shared" si="4"/>
        <v>0</v>
      </c>
      <c r="AI92" s="6">
        <f t="shared" si="9"/>
        <v>0</v>
      </c>
      <c r="AO92" s="6">
        <f t="shared" si="5"/>
        <v>0</v>
      </c>
      <c r="AP92" s="6">
        <f t="shared" si="10"/>
        <v>0</v>
      </c>
      <c r="AV92" s="6">
        <f t="shared" si="6"/>
        <v>0</v>
      </c>
      <c r="AW92" s="6">
        <f t="shared" si="11"/>
        <v>0</v>
      </c>
      <c r="BC92" s="6">
        <f t="shared" si="7"/>
        <v>0</v>
      </c>
      <c r="BD92" s="6">
        <f t="shared" si="12"/>
        <v>0</v>
      </c>
      <c r="BJ92" s="6">
        <f t="shared" si="8"/>
        <v>0</v>
      </c>
      <c r="BK92" s="6">
        <f t="shared" si="13"/>
        <v>0</v>
      </c>
    </row>
    <row r="93" spans="34:63" x14ac:dyDescent="0.15">
      <c r="AH93" s="6">
        <f t="shared" si="4"/>
        <v>0</v>
      </c>
      <c r="AI93" s="6">
        <f t="shared" si="9"/>
        <v>0</v>
      </c>
      <c r="AO93" s="6">
        <f t="shared" si="5"/>
        <v>0</v>
      </c>
      <c r="AP93" s="6">
        <f t="shared" si="10"/>
        <v>0</v>
      </c>
      <c r="AV93" s="6">
        <f t="shared" si="6"/>
        <v>0</v>
      </c>
      <c r="AW93" s="6">
        <f t="shared" si="11"/>
        <v>0</v>
      </c>
      <c r="BC93" s="6">
        <f t="shared" si="7"/>
        <v>0</v>
      </c>
      <c r="BD93" s="6">
        <f t="shared" si="12"/>
        <v>0</v>
      </c>
      <c r="BJ93" s="6">
        <f t="shared" si="8"/>
        <v>0</v>
      </c>
      <c r="BK93" s="6">
        <f t="shared" si="13"/>
        <v>0</v>
      </c>
    </row>
    <row r="94" spans="34:63" x14ac:dyDescent="0.15">
      <c r="AH94" s="6">
        <f t="shared" si="4"/>
        <v>0</v>
      </c>
      <c r="AI94" s="6">
        <f t="shared" si="9"/>
        <v>0</v>
      </c>
      <c r="AO94" s="6">
        <f t="shared" si="5"/>
        <v>0</v>
      </c>
      <c r="AP94" s="6">
        <f t="shared" si="10"/>
        <v>0</v>
      </c>
      <c r="AV94" s="6">
        <f t="shared" si="6"/>
        <v>0</v>
      </c>
      <c r="AW94" s="6">
        <f t="shared" si="11"/>
        <v>0</v>
      </c>
      <c r="BC94" s="6">
        <f t="shared" si="7"/>
        <v>0</v>
      </c>
      <c r="BD94" s="6">
        <f t="shared" si="12"/>
        <v>0</v>
      </c>
      <c r="BJ94" s="6">
        <f t="shared" si="8"/>
        <v>0</v>
      </c>
      <c r="BK94" s="6">
        <f t="shared" si="13"/>
        <v>0</v>
      </c>
    </row>
    <row r="95" spans="34:63" x14ac:dyDescent="0.15">
      <c r="AH95" s="6">
        <f t="shared" ref="AH95:AH111" si="14">AH40</f>
        <v>121</v>
      </c>
      <c r="AI95" s="6">
        <f t="shared" si="9"/>
        <v>1</v>
      </c>
      <c r="AO95" s="6">
        <f t="shared" ref="AO95:AO111" si="15">AO40</f>
        <v>117</v>
      </c>
      <c r="AP95" s="6">
        <f t="shared" si="10"/>
        <v>1</v>
      </c>
      <c r="AV95" s="6">
        <f t="shared" ref="AV95:AV111" si="16">AV40</f>
        <v>149</v>
      </c>
      <c r="AW95" s="6">
        <f t="shared" si="11"/>
        <v>1</v>
      </c>
      <c r="BC95" s="6">
        <f t="shared" ref="BC95:BC111" si="17">BC40</f>
        <v>12</v>
      </c>
      <c r="BD95" s="6">
        <f t="shared" si="12"/>
        <v>1</v>
      </c>
      <c r="BJ95" s="6">
        <f t="shared" ref="BJ95:BJ111" si="18">BJ40</f>
        <v>171</v>
      </c>
      <c r="BK95" s="6">
        <f t="shared" si="13"/>
        <v>1</v>
      </c>
    </row>
    <row r="96" spans="34:63" x14ac:dyDescent="0.15">
      <c r="AH96" s="6">
        <f t="shared" si="14"/>
        <v>122</v>
      </c>
      <c r="AI96" s="6">
        <f t="shared" si="9"/>
        <v>1</v>
      </c>
      <c r="AO96" s="6">
        <f t="shared" si="15"/>
        <v>120</v>
      </c>
      <c r="AP96" s="6">
        <f t="shared" si="10"/>
        <v>1</v>
      </c>
      <c r="AV96" s="6">
        <f t="shared" si="16"/>
        <v>148</v>
      </c>
      <c r="AW96" s="6">
        <f t="shared" si="11"/>
        <v>1</v>
      </c>
      <c r="BC96" s="6">
        <f t="shared" si="17"/>
        <v>11</v>
      </c>
      <c r="BD96" s="6">
        <f t="shared" si="12"/>
        <v>1</v>
      </c>
      <c r="BJ96" s="6">
        <f t="shared" si="18"/>
        <v>179</v>
      </c>
      <c r="BK96" s="6">
        <f t="shared" si="13"/>
        <v>1</v>
      </c>
    </row>
    <row r="97" spans="34:63" x14ac:dyDescent="0.15">
      <c r="AH97" s="6">
        <f t="shared" si="14"/>
        <v>124</v>
      </c>
      <c r="AI97" s="6">
        <f t="shared" si="9"/>
        <v>1</v>
      </c>
      <c r="AO97" s="6">
        <f t="shared" si="15"/>
        <v>121</v>
      </c>
      <c r="AP97" s="6">
        <f t="shared" si="10"/>
        <v>1</v>
      </c>
      <c r="AV97" s="6">
        <f t="shared" si="16"/>
        <v>150</v>
      </c>
      <c r="AW97" s="6">
        <f t="shared" si="11"/>
        <v>1</v>
      </c>
      <c r="BC97" s="6">
        <f t="shared" si="17"/>
        <v>10</v>
      </c>
      <c r="BD97" s="6">
        <f t="shared" si="12"/>
        <v>1</v>
      </c>
      <c r="BJ97" s="6">
        <f t="shared" si="18"/>
        <v>180</v>
      </c>
      <c r="BK97" s="6">
        <f t="shared" si="13"/>
        <v>1</v>
      </c>
    </row>
    <row r="98" spans="34:63" x14ac:dyDescent="0.15">
      <c r="AH98" s="6">
        <f t="shared" si="14"/>
        <v>123</v>
      </c>
      <c r="AI98" s="6">
        <f t="shared" si="9"/>
        <v>1</v>
      </c>
      <c r="AO98" s="6">
        <f t="shared" si="15"/>
        <v>122</v>
      </c>
      <c r="AP98" s="6">
        <f t="shared" si="10"/>
        <v>1</v>
      </c>
      <c r="AV98" s="6">
        <f t="shared" si="16"/>
        <v>93</v>
      </c>
      <c r="AW98" s="6">
        <f t="shared" si="11"/>
        <v>1</v>
      </c>
      <c r="BC98" s="6">
        <f t="shared" si="17"/>
        <v>7</v>
      </c>
      <c r="BD98" s="6">
        <f t="shared" si="12"/>
        <v>1</v>
      </c>
      <c r="BJ98" s="6">
        <f t="shared" si="18"/>
        <v>54</v>
      </c>
      <c r="BK98" s="6">
        <f t="shared" si="13"/>
        <v>1</v>
      </c>
    </row>
    <row r="99" spans="34:63" x14ac:dyDescent="0.15">
      <c r="AH99" s="6">
        <f t="shared" si="14"/>
        <v>77</v>
      </c>
      <c r="AI99" s="6">
        <f t="shared" si="9"/>
        <v>1</v>
      </c>
      <c r="AO99" s="6">
        <f t="shared" si="15"/>
        <v>124</v>
      </c>
      <c r="AP99" s="6">
        <f t="shared" si="10"/>
        <v>1</v>
      </c>
      <c r="AV99" s="6">
        <f t="shared" si="16"/>
        <v>92</v>
      </c>
      <c r="AW99" s="6">
        <f t="shared" si="11"/>
        <v>1</v>
      </c>
      <c r="BC99" s="6">
        <f t="shared" si="17"/>
        <v>6</v>
      </c>
      <c r="BD99" s="6">
        <f t="shared" si="12"/>
        <v>1</v>
      </c>
      <c r="BJ99" s="6">
        <f t="shared" si="18"/>
        <v>167</v>
      </c>
      <c r="BK99" s="6">
        <f t="shared" si="13"/>
        <v>1</v>
      </c>
    </row>
    <row r="100" spans="34:63" x14ac:dyDescent="0.15">
      <c r="AH100" s="6">
        <f t="shared" si="14"/>
        <v>74</v>
      </c>
      <c r="AI100" s="6">
        <f t="shared" si="9"/>
        <v>1</v>
      </c>
      <c r="AO100" s="6">
        <f t="shared" si="15"/>
        <v>123</v>
      </c>
      <c r="AP100" s="6">
        <f t="shared" si="10"/>
        <v>1</v>
      </c>
      <c r="AV100" s="6">
        <f t="shared" si="16"/>
        <v>101</v>
      </c>
      <c r="AW100" s="6">
        <f t="shared" si="11"/>
        <v>1</v>
      </c>
      <c r="BC100" s="6">
        <f t="shared" si="17"/>
        <v>8</v>
      </c>
      <c r="BD100" s="6">
        <f t="shared" si="12"/>
        <v>1</v>
      </c>
      <c r="BJ100" s="6">
        <f t="shared" si="18"/>
        <v>169</v>
      </c>
      <c r="BK100" s="6">
        <f t="shared" si="13"/>
        <v>1</v>
      </c>
    </row>
    <row r="101" spans="34:63" x14ac:dyDescent="0.15">
      <c r="AH101" s="6">
        <f t="shared" si="14"/>
        <v>76</v>
      </c>
      <c r="AI101" s="6">
        <f t="shared" si="9"/>
        <v>1</v>
      </c>
      <c r="AO101" s="6">
        <f t="shared" si="15"/>
        <v>77</v>
      </c>
      <c r="AP101" s="6">
        <f t="shared" si="10"/>
        <v>1</v>
      </c>
      <c r="AV101" s="6">
        <f t="shared" si="16"/>
        <v>96</v>
      </c>
      <c r="AW101" s="6">
        <f t="shared" si="11"/>
        <v>1</v>
      </c>
      <c r="BC101" s="6">
        <f t="shared" si="17"/>
        <v>9</v>
      </c>
      <c r="BD101" s="6">
        <f t="shared" si="12"/>
        <v>1</v>
      </c>
      <c r="BJ101" s="6">
        <f t="shared" si="18"/>
        <v>168</v>
      </c>
      <c r="BK101" s="6">
        <f t="shared" si="13"/>
        <v>1</v>
      </c>
    </row>
    <row r="102" spans="34:63" x14ac:dyDescent="0.15">
      <c r="AH102" s="6">
        <f t="shared" si="14"/>
        <v>67</v>
      </c>
      <c r="AI102" s="6">
        <f t="shared" si="9"/>
        <v>1</v>
      </c>
      <c r="AO102" s="6">
        <f t="shared" si="15"/>
        <v>74</v>
      </c>
      <c r="AP102" s="6">
        <f t="shared" si="10"/>
        <v>1</v>
      </c>
      <c r="AV102" s="6">
        <f t="shared" si="16"/>
        <v>34</v>
      </c>
      <c r="AW102" s="6">
        <f t="shared" si="11"/>
        <v>1</v>
      </c>
      <c r="BC102" s="6">
        <f t="shared" si="17"/>
        <v>21</v>
      </c>
      <c r="BD102" s="6">
        <f t="shared" si="12"/>
        <v>1</v>
      </c>
      <c r="BJ102" s="6">
        <f t="shared" si="18"/>
        <v>142</v>
      </c>
      <c r="BK102" s="6">
        <f t="shared" si="13"/>
        <v>1</v>
      </c>
    </row>
    <row r="103" spans="34:63" x14ac:dyDescent="0.15">
      <c r="AH103" s="6">
        <f t="shared" si="14"/>
        <v>65</v>
      </c>
      <c r="AI103" s="6">
        <f t="shared" si="9"/>
        <v>1</v>
      </c>
      <c r="AO103" s="6">
        <f t="shared" si="15"/>
        <v>76</v>
      </c>
      <c r="AP103" s="6">
        <f t="shared" si="10"/>
        <v>1</v>
      </c>
      <c r="AV103" s="6">
        <f t="shared" si="16"/>
        <v>27</v>
      </c>
      <c r="AW103" s="6">
        <f t="shared" si="11"/>
        <v>1</v>
      </c>
      <c r="BC103" s="6">
        <f t="shared" si="17"/>
        <v>63</v>
      </c>
      <c r="BD103" s="6">
        <f t="shared" si="12"/>
        <v>1</v>
      </c>
      <c r="BJ103" s="6">
        <f t="shared" si="18"/>
        <v>143</v>
      </c>
      <c r="BK103" s="6">
        <f t="shared" si="13"/>
        <v>1</v>
      </c>
    </row>
    <row r="104" spans="34:63" x14ac:dyDescent="0.15">
      <c r="AH104" s="6">
        <f t="shared" si="14"/>
        <v>66</v>
      </c>
      <c r="AI104" s="6">
        <f t="shared" si="9"/>
        <v>1</v>
      </c>
      <c r="AO104" s="6">
        <f t="shared" si="15"/>
        <v>67</v>
      </c>
      <c r="AP104" s="6">
        <f t="shared" si="10"/>
        <v>1</v>
      </c>
      <c r="AV104" s="6">
        <f t="shared" si="16"/>
        <v>28</v>
      </c>
      <c r="AW104" s="6">
        <f t="shared" si="11"/>
        <v>1</v>
      </c>
      <c r="BC104" s="6">
        <f t="shared" si="17"/>
        <v>62</v>
      </c>
      <c r="BD104" s="6">
        <f t="shared" si="12"/>
        <v>1</v>
      </c>
      <c r="BJ104" s="6">
        <f t="shared" si="18"/>
        <v>139</v>
      </c>
      <c r="BK104" s="6">
        <f t="shared" si="13"/>
        <v>1</v>
      </c>
    </row>
    <row r="105" spans="34:63" x14ac:dyDescent="0.15">
      <c r="AH105" s="6">
        <f t="shared" si="14"/>
        <v>70</v>
      </c>
      <c r="AI105" s="6">
        <f t="shared" si="9"/>
        <v>1</v>
      </c>
      <c r="AO105" s="6">
        <f t="shared" si="15"/>
        <v>65</v>
      </c>
      <c r="AP105" s="6">
        <f t="shared" si="10"/>
        <v>1</v>
      </c>
      <c r="AV105" s="6">
        <f t="shared" si="16"/>
        <v>26</v>
      </c>
      <c r="AW105" s="6">
        <f t="shared" si="11"/>
        <v>1</v>
      </c>
      <c r="BC105" s="6">
        <f t="shared" si="17"/>
        <v>176</v>
      </c>
      <c r="BD105" s="6">
        <f t="shared" si="12"/>
        <v>1</v>
      </c>
      <c r="BJ105" s="6">
        <f t="shared" si="18"/>
        <v>141</v>
      </c>
      <c r="BK105" s="6">
        <f t="shared" si="13"/>
        <v>1</v>
      </c>
    </row>
    <row r="106" spans="34:63" x14ac:dyDescent="0.15">
      <c r="AH106" s="6">
        <f t="shared" si="14"/>
        <v>75</v>
      </c>
      <c r="AI106" s="6">
        <f t="shared" si="9"/>
        <v>1</v>
      </c>
      <c r="AO106" s="6">
        <f t="shared" si="15"/>
        <v>66</v>
      </c>
      <c r="AP106" s="6">
        <f t="shared" si="10"/>
        <v>1</v>
      </c>
      <c r="AV106" s="6">
        <f t="shared" si="16"/>
        <v>39</v>
      </c>
      <c r="AW106" s="6">
        <f t="shared" si="11"/>
        <v>1</v>
      </c>
      <c r="BC106" s="6">
        <f t="shared" si="17"/>
        <v>177</v>
      </c>
      <c r="BD106" s="6">
        <f t="shared" si="12"/>
        <v>1</v>
      </c>
      <c r="BJ106" s="6">
        <f t="shared" si="18"/>
        <v>140</v>
      </c>
      <c r="BK106" s="6">
        <f t="shared" si="13"/>
        <v>1</v>
      </c>
    </row>
    <row r="107" spans="34:63" x14ac:dyDescent="0.15">
      <c r="AH107" s="6">
        <f t="shared" si="14"/>
        <v>73</v>
      </c>
      <c r="AI107" s="6">
        <f t="shared" si="9"/>
        <v>1</v>
      </c>
      <c r="AO107" s="6">
        <f t="shared" si="15"/>
        <v>70</v>
      </c>
      <c r="AP107" s="6">
        <f t="shared" si="10"/>
        <v>1</v>
      </c>
      <c r="AV107" s="6">
        <f t="shared" si="16"/>
        <v>42</v>
      </c>
      <c r="AW107" s="6">
        <f t="shared" si="11"/>
        <v>1</v>
      </c>
      <c r="BC107" s="6">
        <f t="shared" si="17"/>
        <v>175</v>
      </c>
      <c r="BD107" s="6">
        <f t="shared" si="12"/>
        <v>1</v>
      </c>
      <c r="BJ107" s="6">
        <f t="shared" si="18"/>
        <v>131</v>
      </c>
      <c r="BK107" s="6">
        <f t="shared" si="13"/>
        <v>1</v>
      </c>
    </row>
    <row r="108" spans="34:63" x14ac:dyDescent="0.15">
      <c r="AH108" s="6">
        <f t="shared" si="14"/>
        <v>72</v>
      </c>
      <c r="AI108" s="6">
        <f t="shared" si="9"/>
        <v>1</v>
      </c>
      <c r="AO108" s="6">
        <f t="shared" si="15"/>
        <v>75</v>
      </c>
      <c r="AP108" s="6">
        <f t="shared" si="10"/>
        <v>1</v>
      </c>
      <c r="AV108" s="6">
        <f t="shared" si="16"/>
        <v>45</v>
      </c>
      <c r="AW108" s="6">
        <f t="shared" si="11"/>
        <v>1</v>
      </c>
      <c r="BC108" s="6">
        <f t="shared" si="17"/>
        <v>174</v>
      </c>
      <c r="BD108" s="6">
        <f t="shared" si="12"/>
        <v>1</v>
      </c>
      <c r="BJ108" s="6">
        <f t="shared" si="18"/>
        <v>118</v>
      </c>
      <c r="BK108" s="6">
        <f t="shared" si="13"/>
        <v>1</v>
      </c>
    </row>
    <row r="109" spans="34:63" x14ac:dyDescent="0.15">
      <c r="AH109" s="6">
        <f t="shared" si="14"/>
        <v>78</v>
      </c>
      <c r="AI109" s="6">
        <f t="shared" si="9"/>
        <v>1</v>
      </c>
      <c r="AO109" s="6">
        <f t="shared" si="15"/>
        <v>73</v>
      </c>
      <c r="AP109" s="6">
        <f t="shared" si="10"/>
        <v>1</v>
      </c>
      <c r="AV109" s="6">
        <f t="shared" si="16"/>
        <v>47</v>
      </c>
      <c r="AW109" s="6">
        <f t="shared" si="11"/>
        <v>1</v>
      </c>
      <c r="BC109" s="6">
        <f t="shared" si="17"/>
        <v>173</v>
      </c>
      <c r="BD109" s="6">
        <f t="shared" si="12"/>
        <v>1</v>
      </c>
      <c r="BJ109" s="6">
        <f t="shared" si="18"/>
        <v>117</v>
      </c>
      <c r="BK109" s="6">
        <f t="shared" si="13"/>
        <v>1</v>
      </c>
    </row>
    <row r="110" spans="34:63" x14ac:dyDescent="0.15">
      <c r="AH110" s="6">
        <f t="shared" si="14"/>
        <v>81</v>
      </c>
      <c r="AI110" s="6">
        <f t="shared" si="9"/>
        <v>1</v>
      </c>
      <c r="AO110" s="6">
        <f t="shared" si="15"/>
        <v>72</v>
      </c>
      <c r="AP110" s="6">
        <f t="shared" si="10"/>
        <v>1</v>
      </c>
      <c r="AV110" s="6">
        <f t="shared" si="16"/>
        <v>44</v>
      </c>
      <c r="AW110" s="6">
        <f t="shared" si="11"/>
        <v>1</v>
      </c>
      <c r="BC110" s="6">
        <f t="shared" si="17"/>
        <v>172</v>
      </c>
      <c r="BD110" s="6">
        <f t="shared" si="12"/>
        <v>1</v>
      </c>
      <c r="BJ110" s="6">
        <f t="shared" si="18"/>
        <v>121</v>
      </c>
      <c r="BK110" s="6">
        <f t="shared" si="13"/>
        <v>1</v>
      </c>
    </row>
    <row r="111" spans="34:63" x14ac:dyDescent="0.15">
      <c r="AH111" s="6">
        <f t="shared" si="14"/>
        <v>80</v>
      </c>
      <c r="AI111" s="6">
        <f t="shared" si="9"/>
        <v>1</v>
      </c>
      <c r="AO111" s="6">
        <f t="shared" si="15"/>
        <v>78</v>
      </c>
      <c r="AP111" s="6">
        <f t="shared" si="10"/>
        <v>1</v>
      </c>
      <c r="AV111" s="6">
        <f t="shared" si="16"/>
        <v>40</v>
      </c>
      <c r="AW111" s="6">
        <f t="shared" si="11"/>
        <v>1</v>
      </c>
      <c r="BC111" s="6">
        <f t="shared" si="17"/>
        <v>180</v>
      </c>
      <c r="BD111" s="6">
        <f t="shared" si="12"/>
        <v>1</v>
      </c>
      <c r="BJ111" s="6">
        <f t="shared" si="18"/>
        <v>122</v>
      </c>
      <c r="BK111" s="6">
        <f t="shared" si="13"/>
        <v>1</v>
      </c>
    </row>
    <row r="112" spans="34:63" x14ac:dyDescent="0.15">
      <c r="AI112" s="6">
        <f t="shared" si="9"/>
        <v>0</v>
      </c>
      <c r="AP112" s="6">
        <f t="shared" si="10"/>
        <v>0</v>
      </c>
      <c r="AW112" s="6">
        <f t="shared" si="11"/>
        <v>0</v>
      </c>
      <c r="BD112" s="6">
        <f t="shared" si="12"/>
        <v>0</v>
      </c>
      <c r="BK112" s="6">
        <f t="shared" si="13"/>
        <v>0</v>
      </c>
    </row>
    <row r="113" spans="34:63" x14ac:dyDescent="0.15">
      <c r="AH113" s="6">
        <f t="shared" ref="AH113:AH143" si="19">AI25</f>
        <v>137</v>
      </c>
      <c r="AI113" s="6">
        <f t="shared" si="9"/>
        <v>1</v>
      </c>
      <c r="AO113" s="6">
        <f t="shared" ref="AO113:AO143" si="20">AP25</f>
        <v>153</v>
      </c>
      <c r="AP113" s="6">
        <f t="shared" si="10"/>
        <v>1</v>
      </c>
      <c r="AV113" s="6">
        <f t="shared" ref="AV113:AV143" si="21">AW25</f>
        <v>112</v>
      </c>
      <c r="AW113" s="6">
        <f t="shared" si="11"/>
        <v>1</v>
      </c>
      <c r="BC113" s="6">
        <f t="shared" ref="BC113:BC143" si="22">BD25</f>
        <v>97</v>
      </c>
      <c r="BD113" s="6">
        <f t="shared" si="12"/>
        <v>1</v>
      </c>
      <c r="BJ113" s="6">
        <f t="shared" ref="BJ113:BJ143" si="23">BK25</f>
        <v>30</v>
      </c>
      <c r="BK113" s="6">
        <f t="shared" si="13"/>
        <v>1</v>
      </c>
    </row>
    <row r="114" spans="34:63" x14ac:dyDescent="0.15">
      <c r="AH114" s="6">
        <f t="shared" si="19"/>
        <v>133</v>
      </c>
      <c r="AI114" s="6">
        <f t="shared" si="9"/>
        <v>1</v>
      </c>
      <c r="AO114" s="6">
        <f t="shared" si="20"/>
        <v>145</v>
      </c>
      <c r="AP114" s="6">
        <f t="shared" si="10"/>
        <v>1</v>
      </c>
      <c r="AV114" s="6">
        <f t="shared" si="21"/>
        <v>110</v>
      </c>
      <c r="AW114" s="6">
        <f t="shared" si="11"/>
        <v>1</v>
      </c>
      <c r="BC114" s="6">
        <f t="shared" si="22"/>
        <v>34</v>
      </c>
      <c r="BD114" s="6">
        <f t="shared" si="12"/>
        <v>1</v>
      </c>
      <c r="BJ114" s="6">
        <f t="shared" si="23"/>
        <v>31</v>
      </c>
      <c r="BK114" s="6">
        <f t="shared" si="13"/>
        <v>1</v>
      </c>
    </row>
    <row r="115" spans="34:63" x14ac:dyDescent="0.15">
      <c r="AH115" s="6">
        <f t="shared" si="19"/>
        <v>128</v>
      </c>
      <c r="AI115" s="6">
        <f t="shared" si="9"/>
        <v>1</v>
      </c>
      <c r="AO115" s="6">
        <f t="shared" si="20"/>
        <v>137</v>
      </c>
      <c r="AP115" s="6">
        <f t="shared" si="10"/>
        <v>1</v>
      </c>
      <c r="AV115" s="6">
        <f t="shared" si="21"/>
        <v>109</v>
      </c>
      <c r="AW115" s="6">
        <f t="shared" si="11"/>
        <v>1</v>
      </c>
      <c r="BC115" s="6">
        <f t="shared" si="22"/>
        <v>96</v>
      </c>
      <c r="BD115" s="6">
        <f t="shared" si="12"/>
        <v>1</v>
      </c>
      <c r="BJ115" s="6">
        <f t="shared" si="23"/>
        <v>25</v>
      </c>
      <c r="BK115" s="6">
        <f t="shared" si="13"/>
        <v>1</v>
      </c>
    </row>
    <row r="116" spans="34:63" x14ac:dyDescent="0.15">
      <c r="AH116" s="6">
        <f t="shared" si="19"/>
        <v>125</v>
      </c>
      <c r="AI116" s="6">
        <f t="shared" si="9"/>
        <v>1</v>
      </c>
      <c r="AO116" s="6">
        <f t="shared" si="20"/>
        <v>133</v>
      </c>
      <c r="AP116" s="6">
        <f t="shared" si="10"/>
        <v>1</v>
      </c>
      <c r="AV116" s="6">
        <f t="shared" si="21"/>
        <v>108</v>
      </c>
      <c r="AW116" s="6">
        <f t="shared" si="11"/>
        <v>1</v>
      </c>
      <c r="BC116" s="6">
        <f t="shared" si="22"/>
        <v>95</v>
      </c>
      <c r="BD116" s="6">
        <f t="shared" si="12"/>
        <v>1</v>
      </c>
      <c r="BJ116" s="6">
        <f t="shared" si="23"/>
        <v>24</v>
      </c>
      <c r="BK116" s="6">
        <f t="shared" si="13"/>
        <v>1</v>
      </c>
    </row>
    <row r="117" spans="34:63" x14ac:dyDescent="0.15">
      <c r="AH117" s="6">
        <f t="shared" si="19"/>
        <v>126</v>
      </c>
      <c r="AI117" s="6">
        <f t="shared" si="9"/>
        <v>1</v>
      </c>
      <c r="AO117" s="6">
        <f t="shared" si="20"/>
        <v>128</v>
      </c>
      <c r="AP117" s="6">
        <f t="shared" si="10"/>
        <v>1</v>
      </c>
      <c r="AV117" s="6">
        <f t="shared" si="21"/>
        <v>107</v>
      </c>
      <c r="AW117" s="6">
        <f t="shared" si="11"/>
        <v>1</v>
      </c>
      <c r="BC117" s="6">
        <f t="shared" si="22"/>
        <v>28</v>
      </c>
      <c r="BD117" s="6">
        <f t="shared" si="12"/>
        <v>1</v>
      </c>
      <c r="BJ117" s="6">
        <f t="shared" si="23"/>
        <v>52</v>
      </c>
      <c r="BK117" s="6">
        <f t="shared" si="13"/>
        <v>1</v>
      </c>
    </row>
    <row r="118" spans="34:63" x14ac:dyDescent="0.15">
      <c r="AH118" s="6">
        <f t="shared" si="19"/>
        <v>83</v>
      </c>
      <c r="AI118" s="6">
        <f t="shared" si="9"/>
        <v>1</v>
      </c>
      <c r="AO118" s="6">
        <f t="shared" si="20"/>
        <v>125</v>
      </c>
      <c r="AP118" s="6">
        <f t="shared" si="10"/>
        <v>1</v>
      </c>
      <c r="AV118" s="6">
        <f t="shared" si="21"/>
        <v>114</v>
      </c>
      <c r="AW118" s="6">
        <f t="shared" si="11"/>
        <v>1</v>
      </c>
      <c r="BC118" s="6">
        <f t="shared" si="22"/>
        <v>32</v>
      </c>
      <c r="BD118" s="6">
        <f t="shared" si="12"/>
        <v>1</v>
      </c>
      <c r="BJ118" s="6">
        <f t="shared" si="23"/>
        <v>23</v>
      </c>
      <c r="BK118" s="6">
        <f t="shared" si="13"/>
        <v>1</v>
      </c>
    </row>
    <row r="119" spans="34:63" x14ac:dyDescent="0.15">
      <c r="AH119" s="6">
        <f t="shared" si="19"/>
        <v>84</v>
      </c>
      <c r="AI119" s="6">
        <f t="shared" si="9"/>
        <v>1</v>
      </c>
      <c r="AO119" s="6">
        <f t="shared" si="20"/>
        <v>126</v>
      </c>
      <c r="AP119" s="6">
        <f t="shared" si="10"/>
        <v>1</v>
      </c>
      <c r="AV119" s="6">
        <f t="shared" si="21"/>
        <v>116</v>
      </c>
      <c r="AW119" s="6">
        <f t="shared" si="11"/>
        <v>1</v>
      </c>
      <c r="BC119" s="6">
        <f t="shared" si="22"/>
        <v>31</v>
      </c>
      <c r="BD119" s="6">
        <f t="shared" si="12"/>
        <v>1</v>
      </c>
      <c r="BJ119" s="6">
        <f t="shared" si="23"/>
        <v>58</v>
      </c>
      <c r="BK119" s="6">
        <f t="shared" si="13"/>
        <v>1</v>
      </c>
    </row>
    <row r="120" spans="34:63" x14ac:dyDescent="0.15">
      <c r="AH120" s="6">
        <f t="shared" si="19"/>
        <v>79</v>
      </c>
      <c r="AI120" s="6">
        <f t="shared" si="9"/>
        <v>1</v>
      </c>
      <c r="AO120" s="6">
        <f t="shared" si="20"/>
        <v>83</v>
      </c>
      <c r="AP120" s="6">
        <f t="shared" si="10"/>
        <v>1</v>
      </c>
      <c r="AV120" s="6">
        <f t="shared" si="21"/>
        <v>115</v>
      </c>
      <c r="AW120" s="6">
        <f t="shared" si="11"/>
        <v>1</v>
      </c>
      <c r="BC120" s="6">
        <f t="shared" si="22"/>
        <v>30</v>
      </c>
      <c r="BD120" s="6">
        <f t="shared" si="12"/>
        <v>1</v>
      </c>
      <c r="BJ120" s="6">
        <f t="shared" si="23"/>
        <v>57</v>
      </c>
      <c r="BK120" s="6">
        <f t="shared" si="13"/>
        <v>1</v>
      </c>
    </row>
    <row r="121" spans="34:63" x14ac:dyDescent="0.15">
      <c r="AH121" s="6">
        <f t="shared" si="19"/>
        <v>71</v>
      </c>
      <c r="AI121" s="6">
        <f t="shared" si="9"/>
        <v>1</v>
      </c>
      <c r="AO121" s="6">
        <f t="shared" si="20"/>
        <v>84</v>
      </c>
      <c r="AP121" s="6">
        <f t="shared" si="10"/>
        <v>1</v>
      </c>
      <c r="AV121" s="6">
        <f t="shared" si="21"/>
        <v>113</v>
      </c>
      <c r="AW121" s="6">
        <f t="shared" si="11"/>
        <v>1</v>
      </c>
      <c r="BC121" s="6">
        <f t="shared" si="22"/>
        <v>19</v>
      </c>
      <c r="BD121" s="6">
        <f t="shared" si="12"/>
        <v>1</v>
      </c>
      <c r="BJ121" s="6">
        <f t="shared" si="23"/>
        <v>56</v>
      </c>
      <c r="BK121" s="6">
        <f t="shared" si="13"/>
        <v>1</v>
      </c>
    </row>
    <row r="122" spans="34:63" x14ac:dyDescent="0.15">
      <c r="AH122" s="6">
        <f t="shared" si="19"/>
        <v>112</v>
      </c>
      <c r="AI122" s="6">
        <f t="shared" si="9"/>
        <v>1</v>
      </c>
      <c r="AO122" s="6">
        <f t="shared" si="20"/>
        <v>79</v>
      </c>
      <c r="AP122" s="6">
        <f t="shared" si="10"/>
        <v>1</v>
      </c>
      <c r="AV122" s="6">
        <f t="shared" si="21"/>
        <v>100</v>
      </c>
      <c r="AW122" s="6">
        <f t="shared" si="11"/>
        <v>1</v>
      </c>
      <c r="BC122" s="6">
        <f t="shared" si="22"/>
        <v>20</v>
      </c>
      <c r="BD122" s="6">
        <f t="shared" si="12"/>
        <v>1</v>
      </c>
      <c r="BJ122" s="6">
        <f t="shared" si="23"/>
        <v>50</v>
      </c>
      <c r="BK122" s="6">
        <f t="shared" si="13"/>
        <v>1</v>
      </c>
    </row>
    <row r="123" spans="34:63" x14ac:dyDescent="0.15">
      <c r="AH123" s="6">
        <f t="shared" si="19"/>
        <v>111</v>
      </c>
      <c r="AI123" s="6">
        <f t="shared" si="9"/>
        <v>1</v>
      </c>
      <c r="AO123" s="6">
        <f t="shared" si="20"/>
        <v>71</v>
      </c>
      <c r="AP123" s="6">
        <f t="shared" si="10"/>
        <v>1</v>
      </c>
      <c r="AV123" s="6">
        <f t="shared" si="21"/>
        <v>106</v>
      </c>
      <c r="AW123" s="6">
        <f t="shared" si="11"/>
        <v>1</v>
      </c>
      <c r="BC123" s="6">
        <f t="shared" si="22"/>
        <v>22</v>
      </c>
      <c r="BD123" s="6">
        <f t="shared" si="12"/>
        <v>1</v>
      </c>
      <c r="BJ123" s="6">
        <f t="shared" si="23"/>
        <v>49</v>
      </c>
      <c r="BK123" s="6">
        <f t="shared" si="13"/>
        <v>1</v>
      </c>
    </row>
    <row r="124" spans="34:63" x14ac:dyDescent="0.15">
      <c r="AH124" s="6">
        <f t="shared" si="19"/>
        <v>85</v>
      </c>
      <c r="AI124" s="6">
        <f t="shared" si="9"/>
        <v>1</v>
      </c>
      <c r="AO124" s="6">
        <f t="shared" si="20"/>
        <v>112</v>
      </c>
      <c r="AP124" s="6">
        <f t="shared" si="10"/>
        <v>1</v>
      </c>
      <c r="AV124" s="6">
        <f t="shared" si="21"/>
        <v>105</v>
      </c>
      <c r="AW124" s="6">
        <f t="shared" si="11"/>
        <v>1</v>
      </c>
      <c r="BC124" s="6">
        <f t="shared" si="22"/>
        <v>23</v>
      </c>
      <c r="BD124" s="6">
        <f t="shared" si="12"/>
        <v>1</v>
      </c>
      <c r="BJ124" s="6">
        <f t="shared" si="23"/>
        <v>48</v>
      </c>
      <c r="BK124" s="6">
        <f t="shared" si="13"/>
        <v>1</v>
      </c>
    </row>
    <row r="125" spans="34:63" x14ac:dyDescent="0.15">
      <c r="AH125" s="6">
        <f t="shared" si="19"/>
        <v>86</v>
      </c>
      <c r="AI125" s="6">
        <f t="shared" si="9"/>
        <v>1</v>
      </c>
      <c r="AO125" s="6">
        <f t="shared" si="20"/>
        <v>111</v>
      </c>
      <c r="AP125" s="6">
        <f t="shared" si="10"/>
        <v>1</v>
      </c>
      <c r="AV125" s="6">
        <f t="shared" si="21"/>
        <v>98</v>
      </c>
      <c r="AW125" s="6">
        <f t="shared" si="11"/>
        <v>1</v>
      </c>
      <c r="BC125" s="6">
        <f t="shared" si="22"/>
        <v>58</v>
      </c>
      <c r="BD125" s="6">
        <f t="shared" si="12"/>
        <v>1</v>
      </c>
      <c r="BJ125" s="6">
        <f t="shared" si="23"/>
        <v>46</v>
      </c>
      <c r="BK125" s="6">
        <f t="shared" si="13"/>
        <v>1</v>
      </c>
    </row>
    <row r="126" spans="34:63" x14ac:dyDescent="0.15">
      <c r="AH126" s="6">
        <f t="shared" si="19"/>
        <v>134</v>
      </c>
      <c r="AI126" s="6">
        <f t="shared" si="9"/>
        <v>1</v>
      </c>
      <c r="AO126" s="6">
        <f t="shared" si="20"/>
        <v>85</v>
      </c>
      <c r="AP126" s="6">
        <f t="shared" si="10"/>
        <v>1</v>
      </c>
      <c r="AV126" s="6">
        <f t="shared" si="21"/>
        <v>99</v>
      </c>
      <c r="AW126" s="6">
        <f t="shared" si="11"/>
        <v>1</v>
      </c>
      <c r="BC126" s="6">
        <f t="shared" si="22"/>
        <v>57</v>
      </c>
      <c r="BD126" s="6">
        <f t="shared" si="12"/>
        <v>1</v>
      </c>
      <c r="BJ126" s="6">
        <f t="shared" si="23"/>
        <v>43</v>
      </c>
      <c r="BK126" s="6">
        <f t="shared" si="13"/>
        <v>1</v>
      </c>
    </row>
    <row r="127" spans="34:63" x14ac:dyDescent="0.15">
      <c r="AH127" s="6">
        <f t="shared" si="19"/>
        <v>88</v>
      </c>
      <c r="AI127" s="6">
        <f t="shared" si="9"/>
        <v>1</v>
      </c>
      <c r="AO127" s="6">
        <f t="shared" si="20"/>
        <v>86</v>
      </c>
      <c r="AP127" s="6">
        <f t="shared" si="10"/>
        <v>1</v>
      </c>
      <c r="AV127" s="6">
        <f t="shared" si="21"/>
        <v>13</v>
      </c>
      <c r="AW127" s="6">
        <f t="shared" si="11"/>
        <v>1</v>
      </c>
      <c r="BC127" s="6">
        <f t="shared" si="22"/>
        <v>51</v>
      </c>
      <c r="BD127" s="6">
        <f t="shared" si="12"/>
        <v>1</v>
      </c>
      <c r="BJ127" s="6">
        <f t="shared" si="23"/>
        <v>159</v>
      </c>
      <c r="BK127" s="6">
        <f t="shared" si="13"/>
        <v>1</v>
      </c>
    </row>
    <row r="128" spans="34:63" x14ac:dyDescent="0.15">
      <c r="AH128" s="6">
        <f t="shared" si="19"/>
        <v>135</v>
      </c>
      <c r="AI128" s="6">
        <f t="shared" ref="AI128:AI170" si="24">IF(AH128=0,0,COUNTIF(AH$63:AH$170,AH128))</f>
        <v>1</v>
      </c>
      <c r="AO128" s="6">
        <f t="shared" si="20"/>
        <v>134</v>
      </c>
      <c r="AP128" s="6">
        <f t="shared" ref="AP128:AP170" si="25">IF(AO128=0,0,COUNTIF(AO$63:AO$170,AO128))</f>
        <v>1</v>
      </c>
      <c r="AV128" s="6">
        <f t="shared" si="21"/>
        <v>14</v>
      </c>
      <c r="AW128" s="6">
        <f t="shared" ref="AW128:AW170" si="26">IF(AV128=0,0,COUNTIF(AV$63:AV$170,AV128))</f>
        <v>1</v>
      </c>
      <c r="BC128" s="6">
        <f t="shared" si="22"/>
        <v>56</v>
      </c>
      <c r="BD128" s="6">
        <f t="shared" ref="BD128:BD170" si="27">IF(BC128=0,0,COUNTIF(BC$63:BC$170,BC128))</f>
        <v>1</v>
      </c>
      <c r="BJ128" s="6">
        <f t="shared" si="23"/>
        <v>154</v>
      </c>
      <c r="BK128" s="6">
        <f t="shared" ref="BK128:BK170" si="28">IF(BJ128=0,0,COUNTIF(BJ$63:BJ$170,BJ128))</f>
        <v>1</v>
      </c>
    </row>
    <row r="129" spans="34:63" x14ac:dyDescent="0.15">
      <c r="AH129" s="6">
        <f t="shared" si="19"/>
        <v>136</v>
      </c>
      <c r="AI129" s="6">
        <f t="shared" si="24"/>
        <v>1</v>
      </c>
      <c r="AO129" s="6">
        <f t="shared" si="20"/>
        <v>88</v>
      </c>
      <c r="AP129" s="6">
        <f t="shared" si="25"/>
        <v>1</v>
      </c>
      <c r="AV129" s="6">
        <f t="shared" si="21"/>
        <v>15</v>
      </c>
      <c r="AW129" s="6">
        <f t="shared" si="26"/>
        <v>1</v>
      </c>
      <c r="BC129" s="6">
        <f t="shared" si="22"/>
        <v>55</v>
      </c>
      <c r="BD129" s="6">
        <f t="shared" si="27"/>
        <v>1</v>
      </c>
      <c r="BJ129" s="6">
        <f t="shared" si="23"/>
        <v>153</v>
      </c>
      <c r="BK129" s="6">
        <f t="shared" si="28"/>
        <v>1</v>
      </c>
    </row>
    <row r="130" spans="34:63" x14ac:dyDescent="0.15">
      <c r="AH130" s="6">
        <f t="shared" si="19"/>
        <v>146</v>
      </c>
      <c r="AI130" s="6">
        <f t="shared" si="24"/>
        <v>1</v>
      </c>
      <c r="AO130" s="6">
        <f t="shared" si="20"/>
        <v>135</v>
      </c>
      <c r="AP130" s="6">
        <f t="shared" si="25"/>
        <v>1</v>
      </c>
      <c r="AV130" s="6">
        <f t="shared" si="21"/>
        <v>16</v>
      </c>
      <c r="AW130" s="6">
        <f t="shared" si="26"/>
        <v>1</v>
      </c>
      <c r="BC130" s="6">
        <f t="shared" si="22"/>
        <v>178</v>
      </c>
      <c r="BD130" s="6">
        <f t="shared" si="27"/>
        <v>1</v>
      </c>
      <c r="BJ130" s="6">
        <f t="shared" si="23"/>
        <v>145</v>
      </c>
      <c r="BK130" s="6">
        <f t="shared" si="28"/>
        <v>1</v>
      </c>
    </row>
    <row r="131" spans="34:63" x14ac:dyDescent="0.15">
      <c r="AH131" s="6">
        <f t="shared" si="19"/>
        <v>147</v>
      </c>
      <c r="AI131" s="6">
        <f t="shared" si="24"/>
        <v>1</v>
      </c>
      <c r="AO131" s="6">
        <f t="shared" si="20"/>
        <v>136</v>
      </c>
      <c r="AP131" s="6">
        <f t="shared" si="25"/>
        <v>1</v>
      </c>
      <c r="AV131" s="6">
        <f t="shared" si="21"/>
        <v>32</v>
      </c>
      <c r="AW131" s="6">
        <f t="shared" si="26"/>
        <v>1</v>
      </c>
      <c r="BC131" s="6">
        <f t="shared" si="22"/>
        <v>171</v>
      </c>
      <c r="BD131" s="6">
        <f t="shared" si="27"/>
        <v>1</v>
      </c>
      <c r="BJ131" s="6">
        <f t="shared" si="23"/>
        <v>137</v>
      </c>
      <c r="BK131" s="6">
        <f t="shared" si="28"/>
        <v>1</v>
      </c>
    </row>
    <row r="132" spans="34:63" x14ac:dyDescent="0.15">
      <c r="AH132" s="6">
        <f t="shared" si="19"/>
        <v>148</v>
      </c>
      <c r="AI132" s="6">
        <f t="shared" si="24"/>
        <v>1</v>
      </c>
      <c r="AO132" s="6">
        <f t="shared" si="20"/>
        <v>146</v>
      </c>
      <c r="AP132" s="6">
        <f t="shared" si="25"/>
        <v>1</v>
      </c>
      <c r="AV132" s="6">
        <f t="shared" si="21"/>
        <v>31</v>
      </c>
      <c r="AW132" s="6">
        <f t="shared" si="26"/>
        <v>1</v>
      </c>
      <c r="BC132" s="6">
        <f t="shared" si="22"/>
        <v>179</v>
      </c>
      <c r="BD132" s="6">
        <f t="shared" si="27"/>
        <v>1</v>
      </c>
      <c r="BJ132" s="6">
        <f t="shared" si="23"/>
        <v>133</v>
      </c>
      <c r="BK132" s="6">
        <f t="shared" si="28"/>
        <v>1</v>
      </c>
    </row>
    <row r="133" spans="34:63" x14ac:dyDescent="0.15">
      <c r="AH133" s="6">
        <f t="shared" si="19"/>
        <v>149</v>
      </c>
      <c r="AI133" s="6">
        <f t="shared" si="24"/>
        <v>1</v>
      </c>
      <c r="AO133" s="6">
        <f t="shared" si="20"/>
        <v>147</v>
      </c>
      <c r="AP133" s="6">
        <f t="shared" si="25"/>
        <v>1</v>
      </c>
      <c r="AV133" s="6">
        <f t="shared" si="21"/>
        <v>24</v>
      </c>
      <c r="AW133" s="6">
        <f t="shared" si="26"/>
        <v>1</v>
      </c>
      <c r="BC133" s="6">
        <f t="shared" si="22"/>
        <v>54</v>
      </c>
      <c r="BD133" s="6">
        <f t="shared" si="27"/>
        <v>1</v>
      </c>
      <c r="BJ133" s="6">
        <f t="shared" si="23"/>
        <v>128</v>
      </c>
      <c r="BK133" s="6">
        <f t="shared" si="28"/>
        <v>1</v>
      </c>
    </row>
    <row r="134" spans="34:63" x14ac:dyDescent="0.15">
      <c r="AH134" s="6">
        <f t="shared" si="19"/>
        <v>93</v>
      </c>
      <c r="AI134" s="6">
        <f t="shared" si="24"/>
        <v>1</v>
      </c>
      <c r="AO134" s="6">
        <f t="shared" si="20"/>
        <v>148</v>
      </c>
      <c r="AP134" s="6">
        <f t="shared" si="25"/>
        <v>1</v>
      </c>
      <c r="AV134" s="6">
        <f t="shared" si="21"/>
        <v>52</v>
      </c>
      <c r="AW134" s="6">
        <f t="shared" si="26"/>
        <v>1</v>
      </c>
      <c r="BC134" s="6">
        <f t="shared" si="22"/>
        <v>167</v>
      </c>
      <c r="BD134" s="6">
        <f t="shared" si="27"/>
        <v>1</v>
      </c>
      <c r="BJ134" s="6">
        <f t="shared" si="23"/>
        <v>127</v>
      </c>
      <c r="BK134" s="6">
        <f t="shared" si="28"/>
        <v>1</v>
      </c>
    </row>
    <row r="135" spans="34:63" x14ac:dyDescent="0.15">
      <c r="AH135" s="6">
        <f t="shared" si="19"/>
        <v>150</v>
      </c>
      <c r="AI135" s="6">
        <f t="shared" si="24"/>
        <v>1</v>
      </c>
      <c r="AO135" s="6">
        <f t="shared" si="20"/>
        <v>149</v>
      </c>
      <c r="AP135" s="6">
        <f t="shared" si="25"/>
        <v>1</v>
      </c>
      <c r="AV135" s="6">
        <f t="shared" si="21"/>
        <v>51</v>
      </c>
      <c r="AW135" s="6">
        <f t="shared" si="26"/>
        <v>1</v>
      </c>
      <c r="BC135" s="6">
        <f t="shared" si="22"/>
        <v>169</v>
      </c>
      <c r="BD135" s="6">
        <f t="shared" si="27"/>
        <v>1</v>
      </c>
      <c r="BJ135" s="6">
        <f t="shared" si="23"/>
        <v>126</v>
      </c>
      <c r="BK135" s="6">
        <f t="shared" si="28"/>
        <v>1</v>
      </c>
    </row>
    <row r="136" spans="34:63" x14ac:dyDescent="0.15">
      <c r="AH136" s="6">
        <f t="shared" si="19"/>
        <v>155</v>
      </c>
      <c r="AI136" s="6">
        <f t="shared" si="24"/>
        <v>1</v>
      </c>
      <c r="AO136" s="6">
        <f t="shared" si="20"/>
        <v>93</v>
      </c>
      <c r="AP136" s="6">
        <f t="shared" si="25"/>
        <v>1</v>
      </c>
      <c r="AV136" s="6">
        <f t="shared" si="21"/>
        <v>56</v>
      </c>
      <c r="AW136" s="6">
        <f t="shared" si="26"/>
        <v>1</v>
      </c>
      <c r="BC136" s="6">
        <f t="shared" si="22"/>
        <v>168</v>
      </c>
      <c r="BD136" s="6">
        <f t="shared" si="27"/>
        <v>1</v>
      </c>
      <c r="BJ136" s="6">
        <f t="shared" si="23"/>
        <v>125</v>
      </c>
      <c r="BK136" s="6">
        <f t="shared" si="28"/>
        <v>1</v>
      </c>
    </row>
    <row r="137" spans="34:63" x14ac:dyDescent="0.15">
      <c r="AH137" s="6">
        <f t="shared" si="19"/>
        <v>156</v>
      </c>
      <c r="AI137" s="6">
        <f t="shared" si="24"/>
        <v>1</v>
      </c>
      <c r="AO137" s="6">
        <f t="shared" si="20"/>
        <v>150</v>
      </c>
      <c r="AP137" s="6">
        <f t="shared" si="25"/>
        <v>1</v>
      </c>
      <c r="AV137" s="6">
        <f t="shared" si="21"/>
        <v>55</v>
      </c>
      <c r="AW137" s="6">
        <f t="shared" si="26"/>
        <v>1</v>
      </c>
      <c r="BC137" s="6">
        <f t="shared" si="22"/>
        <v>165</v>
      </c>
      <c r="BD137" s="6">
        <f t="shared" si="27"/>
        <v>1</v>
      </c>
      <c r="BJ137" s="6">
        <f t="shared" si="23"/>
        <v>80</v>
      </c>
      <c r="BK137" s="6">
        <f t="shared" si="28"/>
        <v>1</v>
      </c>
    </row>
    <row r="138" spans="34:63" x14ac:dyDescent="0.15">
      <c r="AH138" s="6">
        <f t="shared" si="19"/>
        <v>157</v>
      </c>
      <c r="AI138" s="6">
        <f t="shared" si="24"/>
        <v>1</v>
      </c>
      <c r="AO138" s="6">
        <f t="shared" si="20"/>
        <v>155</v>
      </c>
      <c r="AP138" s="6">
        <f t="shared" si="25"/>
        <v>1</v>
      </c>
      <c r="AV138" s="6">
        <f t="shared" si="21"/>
        <v>53</v>
      </c>
      <c r="AW138" s="6">
        <f t="shared" si="26"/>
        <v>1</v>
      </c>
      <c r="BC138" s="6">
        <f t="shared" si="22"/>
        <v>166</v>
      </c>
      <c r="BD138" s="6">
        <f t="shared" si="27"/>
        <v>1</v>
      </c>
      <c r="BJ138" s="6">
        <f t="shared" si="23"/>
        <v>81</v>
      </c>
      <c r="BK138" s="6">
        <f t="shared" si="28"/>
        <v>1</v>
      </c>
    </row>
    <row r="139" spans="34:63" x14ac:dyDescent="0.15">
      <c r="AH139" s="6">
        <f t="shared" si="19"/>
        <v>40</v>
      </c>
      <c r="AI139" s="6">
        <f t="shared" si="24"/>
        <v>1</v>
      </c>
      <c r="AO139" s="6">
        <f t="shared" si="20"/>
        <v>156</v>
      </c>
      <c r="AP139" s="6">
        <f t="shared" si="25"/>
        <v>1</v>
      </c>
      <c r="AV139" s="6">
        <f t="shared" si="21"/>
        <v>164</v>
      </c>
      <c r="AW139" s="6">
        <f t="shared" si="26"/>
        <v>1</v>
      </c>
      <c r="BC139" s="6">
        <f t="shared" si="22"/>
        <v>163</v>
      </c>
      <c r="BD139" s="6">
        <f t="shared" si="27"/>
        <v>1</v>
      </c>
      <c r="BJ139" s="6">
        <f t="shared" si="23"/>
        <v>77</v>
      </c>
      <c r="BK139" s="6">
        <f t="shared" si="28"/>
        <v>1</v>
      </c>
    </row>
    <row r="140" spans="34:63" x14ac:dyDescent="0.15">
      <c r="AH140" s="6">
        <f t="shared" si="19"/>
        <v>44</v>
      </c>
      <c r="AI140" s="6">
        <f t="shared" si="24"/>
        <v>1</v>
      </c>
      <c r="AO140" s="6">
        <f t="shared" si="20"/>
        <v>157</v>
      </c>
      <c r="AP140" s="6">
        <f t="shared" si="25"/>
        <v>1</v>
      </c>
      <c r="AV140" s="6">
        <f t="shared" si="21"/>
        <v>165</v>
      </c>
      <c r="AW140" s="6">
        <f t="shared" si="26"/>
        <v>1</v>
      </c>
      <c r="BC140" s="6">
        <f t="shared" si="22"/>
        <v>161</v>
      </c>
      <c r="BD140" s="6">
        <f t="shared" si="27"/>
        <v>1</v>
      </c>
      <c r="BJ140" s="6">
        <f t="shared" si="23"/>
        <v>74</v>
      </c>
      <c r="BK140" s="6">
        <f t="shared" si="28"/>
        <v>1</v>
      </c>
    </row>
    <row r="141" spans="34:63" x14ac:dyDescent="0.15">
      <c r="AH141" s="6">
        <f t="shared" si="19"/>
        <v>41</v>
      </c>
      <c r="AI141" s="6">
        <f t="shared" si="24"/>
        <v>1</v>
      </c>
      <c r="AO141" s="6">
        <f t="shared" si="20"/>
        <v>40</v>
      </c>
      <c r="AP141" s="6">
        <f t="shared" si="25"/>
        <v>1</v>
      </c>
      <c r="AV141" s="6">
        <f t="shared" si="21"/>
        <v>166</v>
      </c>
      <c r="AW141" s="6">
        <f t="shared" si="26"/>
        <v>1</v>
      </c>
      <c r="BC141" s="6">
        <f t="shared" si="22"/>
        <v>143</v>
      </c>
      <c r="BD141" s="6">
        <f t="shared" si="27"/>
        <v>1</v>
      </c>
      <c r="BJ141" s="6">
        <f t="shared" si="23"/>
        <v>76</v>
      </c>
      <c r="BK141" s="6">
        <f t="shared" si="28"/>
        <v>1</v>
      </c>
    </row>
    <row r="142" spans="34:63" x14ac:dyDescent="0.15">
      <c r="AH142" s="6">
        <f t="shared" si="19"/>
        <v>38</v>
      </c>
      <c r="AI142" s="6">
        <f t="shared" si="24"/>
        <v>1</v>
      </c>
      <c r="AO142" s="6">
        <f t="shared" si="20"/>
        <v>44</v>
      </c>
      <c r="AP142" s="6">
        <f t="shared" si="25"/>
        <v>1</v>
      </c>
      <c r="AV142" s="6">
        <f t="shared" si="21"/>
        <v>168</v>
      </c>
      <c r="AW142" s="6">
        <f t="shared" si="26"/>
        <v>1</v>
      </c>
      <c r="BC142" s="6">
        <f t="shared" si="22"/>
        <v>142</v>
      </c>
      <c r="BD142" s="6">
        <f t="shared" si="27"/>
        <v>1</v>
      </c>
      <c r="BJ142" s="6">
        <f t="shared" si="23"/>
        <v>67</v>
      </c>
      <c r="BK142" s="6">
        <f t="shared" si="28"/>
        <v>1</v>
      </c>
    </row>
    <row r="143" spans="34:63" x14ac:dyDescent="0.15">
      <c r="AH143" s="6">
        <f t="shared" si="19"/>
        <v>39</v>
      </c>
      <c r="AI143" s="6">
        <f t="shared" si="24"/>
        <v>1</v>
      </c>
      <c r="AO143" s="6">
        <f t="shared" si="20"/>
        <v>41</v>
      </c>
      <c r="AP143" s="6">
        <f t="shared" si="25"/>
        <v>1</v>
      </c>
      <c r="AV143" s="6">
        <f t="shared" si="21"/>
        <v>169</v>
      </c>
      <c r="AW143" s="6">
        <f t="shared" si="26"/>
        <v>1</v>
      </c>
      <c r="BC143" s="6">
        <f t="shared" si="22"/>
        <v>141</v>
      </c>
      <c r="BD143" s="6">
        <f t="shared" si="27"/>
        <v>1</v>
      </c>
      <c r="BJ143" s="6">
        <f t="shared" si="23"/>
        <v>65</v>
      </c>
      <c r="BK143" s="6">
        <f t="shared" si="28"/>
        <v>1</v>
      </c>
    </row>
    <row r="144" spans="34:63" x14ac:dyDescent="0.15">
      <c r="AI144" s="6">
        <f t="shared" si="24"/>
        <v>0</v>
      </c>
      <c r="AP144" s="6">
        <f t="shared" si="25"/>
        <v>0</v>
      </c>
      <c r="AW144" s="6">
        <f t="shared" si="26"/>
        <v>0</v>
      </c>
      <c r="BD144" s="6">
        <f t="shared" si="27"/>
        <v>0</v>
      </c>
      <c r="BK144" s="6">
        <f t="shared" si="28"/>
        <v>0</v>
      </c>
    </row>
    <row r="145" spans="34:63" x14ac:dyDescent="0.15">
      <c r="AH145" s="6">
        <f t="shared" ref="AH145:AH161" si="29">AJ40</f>
        <v>91</v>
      </c>
      <c r="AI145" s="6">
        <f t="shared" si="24"/>
        <v>1</v>
      </c>
      <c r="AO145" s="6">
        <f t="shared" ref="AO145:AO161" si="30">AQ40</f>
        <v>87</v>
      </c>
      <c r="AP145" s="6">
        <f t="shared" si="25"/>
        <v>1</v>
      </c>
      <c r="AV145" s="6">
        <f t="shared" ref="AV145:AV161" si="31">AX40</f>
        <v>4</v>
      </c>
      <c r="AW145" s="6">
        <f t="shared" si="26"/>
        <v>1</v>
      </c>
      <c r="BC145" s="6">
        <f t="shared" ref="BC145:BC161" si="32">BE40</f>
        <v>50</v>
      </c>
      <c r="BD145" s="6">
        <f t="shared" si="27"/>
        <v>1</v>
      </c>
      <c r="BJ145" s="6">
        <f t="shared" ref="BJ145:BJ161" si="33">BL40</f>
        <v>158</v>
      </c>
      <c r="BK145" s="6">
        <f t="shared" si="28"/>
        <v>1</v>
      </c>
    </row>
    <row r="146" spans="34:63" x14ac:dyDescent="0.15">
      <c r="AH146" s="6">
        <f t="shared" si="29"/>
        <v>102</v>
      </c>
      <c r="AI146" s="6">
        <f t="shared" si="24"/>
        <v>1</v>
      </c>
      <c r="AO146" s="6">
        <f t="shared" si="30"/>
        <v>89</v>
      </c>
      <c r="AP146" s="6">
        <f t="shared" si="25"/>
        <v>1</v>
      </c>
      <c r="AV146" s="6">
        <f t="shared" si="31"/>
        <v>3</v>
      </c>
      <c r="AW146" s="6">
        <f t="shared" si="26"/>
        <v>1</v>
      </c>
      <c r="BC146" s="6">
        <f t="shared" si="32"/>
        <v>48</v>
      </c>
      <c r="BD146" s="6">
        <f t="shared" si="27"/>
        <v>1</v>
      </c>
      <c r="BJ146" s="6">
        <f t="shared" si="33"/>
        <v>152</v>
      </c>
      <c r="BK146" s="6">
        <f t="shared" si="28"/>
        <v>1</v>
      </c>
    </row>
    <row r="147" spans="34:63" x14ac:dyDescent="0.15">
      <c r="AH147" s="6">
        <f t="shared" si="29"/>
        <v>103</v>
      </c>
      <c r="AI147" s="6">
        <f t="shared" si="24"/>
        <v>1</v>
      </c>
      <c r="AO147" s="6">
        <f t="shared" si="30"/>
        <v>90</v>
      </c>
      <c r="AP147" s="6">
        <f t="shared" si="25"/>
        <v>1</v>
      </c>
      <c r="AV147" s="6">
        <f t="shared" si="31"/>
        <v>2</v>
      </c>
      <c r="AW147" s="6">
        <f t="shared" si="26"/>
        <v>1</v>
      </c>
      <c r="BC147" s="6">
        <f t="shared" si="32"/>
        <v>46</v>
      </c>
      <c r="BD147" s="6">
        <f t="shared" si="27"/>
        <v>1</v>
      </c>
      <c r="BJ147" s="6">
        <f t="shared" si="33"/>
        <v>151</v>
      </c>
      <c r="BK147" s="6">
        <f t="shared" si="28"/>
        <v>1</v>
      </c>
    </row>
    <row r="148" spans="34:63" x14ac:dyDescent="0.15">
      <c r="AH148" s="6">
        <f t="shared" si="29"/>
        <v>104</v>
      </c>
      <c r="AI148" s="6">
        <f t="shared" si="24"/>
        <v>1</v>
      </c>
      <c r="AO148" s="6">
        <f t="shared" si="30"/>
        <v>91</v>
      </c>
      <c r="AP148" s="6">
        <f t="shared" si="25"/>
        <v>1</v>
      </c>
      <c r="AV148" s="6">
        <f t="shared" si="31"/>
        <v>1</v>
      </c>
      <c r="AW148" s="6">
        <f t="shared" si="26"/>
        <v>1</v>
      </c>
      <c r="BC148" s="6">
        <f t="shared" si="32"/>
        <v>43</v>
      </c>
      <c r="BD148" s="6">
        <f t="shared" si="27"/>
        <v>1</v>
      </c>
      <c r="BJ148" s="6">
        <f t="shared" si="33"/>
        <v>157</v>
      </c>
      <c r="BK148" s="6">
        <f t="shared" si="28"/>
        <v>1</v>
      </c>
    </row>
    <row r="149" spans="34:63" x14ac:dyDescent="0.15">
      <c r="AH149" s="6">
        <f t="shared" si="29"/>
        <v>105</v>
      </c>
      <c r="AI149" s="6">
        <f t="shared" si="24"/>
        <v>1</v>
      </c>
      <c r="AO149" s="6">
        <f t="shared" si="30"/>
        <v>102</v>
      </c>
      <c r="AP149" s="6">
        <f t="shared" si="25"/>
        <v>1</v>
      </c>
      <c r="AV149" s="6">
        <f t="shared" si="31"/>
        <v>5</v>
      </c>
      <c r="AW149" s="6">
        <f t="shared" si="26"/>
        <v>1</v>
      </c>
      <c r="BC149" s="6">
        <f t="shared" si="32"/>
        <v>159</v>
      </c>
      <c r="BD149" s="6">
        <f t="shared" si="27"/>
        <v>1</v>
      </c>
      <c r="BJ149" s="6">
        <f t="shared" si="33"/>
        <v>156</v>
      </c>
      <c r="BK149" s="6">
        <f t="shared" si="28"/>
        <v>1</v>
      </c>
    </row>
    <row r="150" spans="34:63" x14ac:dyDescent="0.15">
      <c r="AH150" s="6">
        <f t="shared" si="29"/>
        <v>106</v>
      </c>
      <c r="AI150" s="6">
        <f t="shared" si="24"/>
        <v>1</v>
      </c>
      <c r="AO150" s="6">
        <f t="shared" si="30"/>
        <v>103</v>
      </c>
      <c r="AP150" s="6">
        <f t="shared" si="25"/>
        <v>1</v>
      </c>
      <c r="AV150" s="6">
        <f t="shared" si="31"/>
        <v>12</v>
      </c>
      <c r="AW150" s="6">
        <f t="shared" si="26"/>
        <v>1</v>
      </c>
      <c r="BC150" s="6">
        <f t="shared" si="32"/>
        <v>160</v>
      </c>
      <c r="BD150" s="6">
        <f t="shared" si="27"/>
        <v>1</v>
      </c>
      <c r="BJ150" s="6">
        <f t="shared" si="33"/>
        <v>150</v>
      </c>
      <c r="BK150" s="6">
        <f t="shared" si="28"/>
        <v>1</v>
      </c>
    </row>
    <row r="151" spans="34:63" x14ac:dyDescent="0.15">
      <c r="AH151" s="6">
        <f t="shared" si="29"/>
        <v>108</v>
      </c>
      <c r="AI151" s="6">
        <f t="shared" si="24"/>
        <v>1</v>
      </c>
      <c r="AO151" s="6">
        <f t="shared" si="30"/>
        <v>104</v>
      </c>
      <c r="AP151" s="6">
        <f t="shared" si="25"/>
        <v>1</v>
      </c>
      <c r="AV151" s="6">
        <f t="shared" si="31"/>
        <v>11</v>
      </c>
      <c r="AW151" s="6">
        <f t="shared" si="26"/>
        <v>1</v>
      </c>
      <c r="BC151" s="6">
        <f t="shared" si="32"/>
        <v>154</v>
      </c>
      <c r="BD151" s="6">
        <f t="shared" si="27"/>
        <v>1</v>
      </c>
      <c r="BJ151" s="6">
        <f t="shared" si="33"/>
        <v>148</v>
      </c>
      <c r="BK151" s="6">
        <f t="shared" si="28"/>
        <v>1</v>
      </c>
    </row>
    <row r="152" spans="34:63" x14ac:dyDescent="0.15">
      <c r="AH152" s="6">
        <f t="shared" si="29"/>
        <v>107</v>
      </c>
      <c r="AI152" s="6">
        <f t="shared" si="24"/>
        <v>1</v>
      </c>
      <c r="AO152" s="6">
        <f t="shared" si="30"/>
        <v>105</v>
      </c>
      <c r="AP152" s="6">
        <f t="shared" si="25"/>
        <v>1</v>
      </c>
      <c r="AV152" s="6">
        <f t="shared" si="31"/>
        <v>18</v>
      </c>
      <c r="AW152" s="6">
        <f t="shared" si="26"/>
        <v>1</v>
      </c>
      <c r="BC152" s="6">
        <f t="shared" si="32"/>
        <v>144</v>
      </c>
      <c r="BD152" s="6">
        <f t="shared" si="27"/>
        <v>1</v>
      </c>
      <c r="BJ152" s="6">
        <f t="shared" si="33"/>
        <v>135</v>
      </c>
      <c r="BK152" s="6">
        <f t="shared" si="28"/>
        <v>1</v>
      </c>
    </row>
    <row r="153" spans="34:63" x14ac:dyDescent="0.15">
      <c r="AH153" s="6">
        <f t="shared" si="29"/>
        <v>0</v>
      </c>
      <c r="AI153" s="6">
        <f t="shared" si="24"/>
        <v>0</v>
      </c>
      <c r="AO153" s="6">
        <f t="shared" si="30"/>
        <v>0</v>
      </c>
      <c r="AP153" s="6">
        <f t="shared" si="25"/>
        <v>0</v>
      </c>
      <c r="AV153" s="6">
        <f t="shared" si="31"/>
        <v>0</v>
      </c>
      <c r="AW153" s="6">
        <f t="shared" si="26"/>
        <v>0</v>
      </c>
      <c r="BC153" s="6">
        <f t="shared" si="32"/>
        <v>0</v>
      </c>
      <c r="BD153" s="6">
        <f t="shared" si="27"/>
        <v>0</v>
      </c>
      <c r="BJ153" s="6">
        <f t="shared" si="33"/>
        <v>0</v>
      </c>
      <c r="BK153" s="6">
        <f t="shared" si="28"/>
        <v>0</v>
      </c>
    </row>
    <row r="154" spans="34:63" x14ac:dyDescent="0.15">
      <c r="AH154" s="6">
        <f t="shared" si="29"/>
        <v>100</v>
      </c>
      <c r="AI154" s="6">
        <f t="shared" si="24"/>
        <v>1</v>
      </c>
      <c r="AO154" s="6">
        <f t="shared" si="30"/>
        <v>98</v>
      </c>
      <c r="AP154" s="6">
        <f t="shared" si="25"/>
        <v>1</v>
      </c>
      <c r="AV154" s="6">
        <f t="shared" si="31"/>
        <v>19</v>
      </c>
      <c r="AW154" s="6">
        <f t="shared" si="26"/>
        <v>1</v>
      </c>
      <c r="BC154" s="6">
        <f t="shared" si="32"/>
        <v>138</v>
      </c>
      <c r="BD154" s="6">
        <f t="shared" si="27"/>
        <v>1</v>
      </c>
      <c r="BJ154" s="6">
        <f t="shared" si="33"/>
        <v>134</v>
      </c>
      <c r="BK154" s="6">
        <f t="shared" si="28"/>
        <v>1</v>
      </c>
    </row>
    <row r="155" spans="34:63" x14ac:dyDescent="0.15">
      <c r="AH155" s="6">
        <f t="shared" si="29"/>
        <v>99</v>
      </c>
      <c r="AI155" s="6">
        <f t="shared" si="24"/>
        <v>1</v>
      </c>
      <c r="AO155" s="6">
        <f t="shared" si="30"/>
        <v>35</v>
      </c>
      <c r="AP155" s="6">
        <f t="shared" si="25"/>
        <v>1</v>
      </c>
      <c r="AV155" s="6">
        <f t="shared" si="31"/>
        <v>23</v>
      </c>
      <c r="AW155" s="6">
        <f t="shared" si="26"/>
        <v>1</v>
      </c>
      <c r="BC155" s="6">
        <f t="shared" si="32"/>
        <v>132</v>
      </c>
      <c r="BD155" s="6">
        <f t="shared" si="27"/>
        <v>1</v>
      </c>
      <c r="BJ155" s="6">
        <f t="shared" si="33"/>
        <v>86</v>
      </c>
      <c r="BK155" s="6">
        <f t="shared" si="28"/>
        <v>1</v>
      </c>
    </row>
    <row r="156" spans="34:63" x14ac:dyDescent="0.15">
      <c r="AH156" s="6">
        <f t="shared" si="29"/>
        <v>35</v>
      </c>
      <c r="AI156" s="6">
        <f t="shared" si="24"/>
        <v>1</v>
      </c>
      <c r="AO156" s="6">
        <f t="shared" si="30"/>
        <v>36</v>
      </c>
      <c r="AP156" s="6">
        <f t="shared" si="25"/>
        <v>1</v>
      </c>
      <c r="AV156" s="6">
        <f t="shared" si="31"/>
        <v>58</v>
      </c>
      <c r="AW156" s="6">
        <f t="shared" si="26"/>
        <v>1</v>
      </c>
      <c r="BC156" s="6">
        <f t="shared" si="32"/>
        <v>131</v>
      </c>
      <c r="BD156" s="6">
        <f t="shared" si="27"/>
        <v>1</v>
      </c>
      <c r="BJ156" s="6">
        <f t="shared" si="33"/>
        <v>85</v>
      </c>
      <c r="BK156" s="6">
        <f t="shared" si="28"/>
        <v>1</v>
      </c>
    </row>
    <row r="157" spans="34:63" x14ac:dyDescent="0.15">
      <c r="AH157" s="6">
        <f t="shared" si="29"/>
        <v>33</v>
      </c>
      <c r="AI157" s="6">
        <f t="shared" si="24"/>
        <v>1</v>
      </c>
      <c r="AO157" s="6">
        <f t="shared" si="30"/>
        <v>32</v>
      </c>
      <c r="AP157" s="6">
        <f t="shared" si="25"/>
        <v>1</v>
      </c>
      <c r="AV157" s="6">
        <f t="shared" si="31"/>
        <v>60</v>
      </c>
      <c r="AW157" s="6">
        <f t="shared" si="26"/>
        <v>1</v>
      </c>
      <c r="BC157" s="6">
        <f t="shared" si="32"/>
        <v>118</v>
      </c>
      <c r="BD157" s="6">
        <f t="shared" si="27"/>
        <v>1</v>
      </c>
      <c r="BJ157" s="6">
        <f t="shared" si="33"/>
        <v>84</v>
      </c>
      <c r="BK157" s="6">
        <f t="shared" si="28"/>
        <v>1</v>
      </c>
    </row>
    <row r="158" spans="34:63" x14ac:dyDescent="0.15">
      <c r="AH158" s="6">
        <f t="shared" si="29"/>
        <v>32</v>
      </c>
      <c r="AI158" s="6">
        <f t="shared" si="24"/>
        <v>1</v>
      </c>
      <c r="AO158" s="6">
        <f t="shared" si="30"/>
        <v>31</v>
      </c>
      <c r="AP158" s="6">
        <f t="shared" si="25"/>
        <v>1</v>
      </c>
      <c r="AV158" s="6">
        <f t="shared" si="31"/>
        <v>61</v>
      </c>
      <c r="AW158" s="6">
        <f t="shared" si="26"/>
        <v>1</v>
      </c>
      <c r="BC158" s="6">
        <f t="shared" si="32"/>
        <v>119</v>
      </c>
      <c r="BD158" s="6">
        <f t="shared" si="27"/>
        <v>1</v>
      </c>
      <c r="BJ158" s="6">
        <f t="shared" si="33"/>
        <v>83</v>
      </c>
      <c r="BK158" s="6">
        <f t="shared" si="28"/>
        <v>1</v>
      </c>
    </row>
    <row r="159" spans="34:63" x14ac:dyDescent="0.15">
      <c r="AH159" s="6">
        <f t="shared" si="29"/>
        <v>31</v>
      </c>
      <c r="AI159" s="6">
        <f t="shared" si="24"/>
        <v>1</v>
      </c>
      <c r="AO159" s="6">
        <f t="shared" si="30"/>
        <v>25</v>
      </c>
      <c r="AP159" s="6">
        <f t="shared" si="25"/>
        <v>1</v>
      </c>
      <c r="AV159" s="6">
        <f t="shared" si="31"/>
        <v>59</v>
      </c>
      <c r="AW159" s="6">
        <f t="shared" si="26"/>
        <v>1</v>
      </c>
      <c r="BC159" s="6">
        <f t="shared" si="32"/>
        <v>130</v>
      </c>
      <c r="BD159" s="6">
        <f t="shared" si="27"/>
        <v>1</v>
      </c>
      <c r="BJ159" s="6">
        <f t="shared" si="33"/>
        <v>82</v>
      </c>
      <c r="BK159" s="6">
        <f t="shared" si="28"/>
        <v>1</v>
      </c>
    </row>
    <row r="160" spans="34:63" x14ac:dyDescent="0.15">
      <c r="AH160" s="6">
        <f t="shared" si="29"/>
        <v>25</v>
      </c>
      <c r="AI160" s="6">
        <f t="shared" si="24"/>
        <v>1</v>
      </c>
      <c r="AO160" s="6">
        <f t="shared" si="30"/>
        <v>24</v>
      </c>
      <c r="AP160" s="6">
        <f t="shared" si="25"/>
        <v>1</v>
      </c>
      <c r="AV160" s="6">
        <f t="shared" si="31"/>
        <v>177</v>
      </c>
      <c r="AW160" s="6">
        <f t="shared" si="26"/>
        <v>1</v>
      </c>
      <c r="BC160" s="6">
        <f t="shared" si="32"/>
        <v>129</v>
      </c>
      <c r="BD160" s="6">
        <f t="shared" si="27"/>
        <v>1</v>
      </c>
      <c r="BJ160" s="6">
        <f t="shared" si="33"/>
        <v>78</v>
      </c>
      <c r="BK160" s="6">
        <f t="shared" si="28"/>
        <v>1</v>
      </c>
    </row>
    <row r="161" spans="34:63" x14ac:dyDescent="0.15">
      <c r="AH161" s="6">
        <f t="shared" si="29"/>
        <v>24</v>
      </c>
      <c r="AI161" s="6">
        <f t="shared" si="24"/>
        <v>1</v>
      </c>
      <c r="AO161" s="6">
        <f t="shared" si="30"/>
        <v>42</v>
      </c>
      <c r="AP161" s="6">
        <f t="shared" si="25"/>
        <v>1</v>
      </c>
      <c r="AV161" s="6">
        <f t="shared" si="31"/>
        <v>175</v>
      </c>
      <c r="AW161" s="6">
        <f t="shared" si="26"/>
        <v>1</v>
      </c>
      <c r="BC161" s="6">
        <f t="shared" si="32"/>
        <v>120</v>
      </c>
      <c r="BD161" s="6">
        <f t="shared" si="27"/>
        <v>1</v>
      </c>
      <c r="BJ161" s="6">
        <f t="shared" si="33"/>
        <v>73</v>
      </c>
      <c r="BK161" s="6">
        <f t="shared" si="28"/>
        <v>1</v>
      </c>
    </row>
    <row r="162" spans="34:63" x14ac:dyDescent="0.15">
      <c r="AI162" s="6">
        <f t="shared" si="24"/>
        <v>0</v>
      </c>
      <c r="AP162" s="6">
        <f t="shared" si="25"/>
        <v>0</v>
      </c>
      <c r="AW162" s="6">
        <f t="shared" si="26"/>
        <v>0</v>
      </c>
      <c r="BD162" s="6">
        <f t="shared" si="27"/>
        <v>0</v>
      </c>
      <c r="BK162" s="6">
        <f t="shared" si="28"/>
        <v>0</v>
      </c>
    </row>
    <row r="163" spans="34:63" x14ac:dyDescent="0.15">
      <c r="AH163" s="6">
        <f t="shared" ref="AH163:AH170" si="34">AK49</f>
        <v>113</v>
      </c>
      <c r="AI163" s="6">
        <f t="shared" si="24"/>
        <v>1</v>
      </c>
      <c r="AO163" s="6">
        <f t="shared" ref="AO163:AO170" si="35">AR49</f>
        <v>106</v>
      </c>
      <c r="AP163" s="6">
        <f t="shared" si="25"/>
        <v>1</v>
      </c>
      <c r="AV163" s="6">
        <f t="shared" ref="AV163:AV170" si="36">AY49</f>
        <v>10</v>
      </c>
      <c r="AW163" s="6">
        <f t="shared" si="26"/>
        <v>1</v>
      </c>
      <c r="BC163" s="6">
        <f t="shared" ref="BC163:BC170" si="37">BF49</f>
        <v>145</v>
      </c>
      <c r="BD163" s="6">
        <f t="shared" si="27"/>
        <v>1</v>
      </c>
      <c r="BJ163" s="6">
        <f t="shared" ref="BJ163:BJ170" si="38">BM49</f>
        <v>88</v>
      </c>
      <c r="BK163" s="6">
        <f t="shared" si="28"/>
        <v>1</v>
      </c>
    </row>
    <row r="164" spans="34:63" x14ac:dyDescent="0.15">
      <c r="AH164" s="6">
        <f t="shared" si="34"/>
        <v>4</v>
      </c>
      <c r="AI164" s="6">
        <f t="shared" si="24"/>
        <v>1</v>
      </c>
      <c r="AO164" s="6">
        <f t="shared" si="35"/>
        <v>107</v>
      </c>
      <c r="AP164" s="6">
        <f t="shared" si="25"/>
        <v>1</v>
      </c>
      <c r="AV164" s="6">
        <f t="shared" si="36"/>
        <v>7</v>
      </c>
      <c r="AW164" s="6">
        <f t="shared" si="26"/>
        <v>1</v>
      </c>
      <c r="BC164" s="6">
        <f t="shared" si="37"/>
        <v>137</v>
      </c>
      <c r="BD164" s="6">
        <f t="shared" si="27"/>
        <v>1</v>
      </c>
      <c r="BJ164" s="6">
        <f t="shared" si="38"/>
        <v>87</v>
      </c>
      <c r="BK164" s="6">
        <f t="shared" si="28"/>
        <v>1</v>
      </c>
    </row>
    <row r="165" spans="34:63" x14ac:dyDescent="0.15">
      <c r="AH165" s="6">
        <f t="shared" si="34"/>
        <v>3</v>
      </c>
      <c r="AI165" s="6">
        <f t="shared" si="24"/>
        <v>1</v>
      </c>
      <c r="AO165" s="6">
        <f t="shared" si="35"/>
        <v>100</v>
      </c>
      <c r="AP165" s="6">
        <f t="shared" si="25"/>
        <v>1</v>
      </c>
      <c r="AV165" s="6">
        <f t="shared" si="36"/>
        <v>6</v>
      </c>
      <c r="AW165" s="6">
        <f t="shared" si="26"/>
        <v>1</v>
      </c>
      <c r="BC165" s="6">
        <f t="shared" si="37"/>
        <v>133</v>
      </c>
      <c r="BD165" s="6">
        <f t="shared" si="27"/>
        <v>1</v>
      </c>
      <c r="BJ165" s="6">
        <f t="shared" si="38"/>
        <v>89</v>
      </c>
      <c r="BK165" s="6">
        <f t="shared" si="28"/>
        <v>1</v>
      </c>
    </row>
    <row r="166" spans="34:63" x14ac:dyDescent="0.15">
      <c r="AH166" s="6">
        <f t="shared" si="34"/>
        <v>2</v>
      </c>
      <c r="AI166" s="6">
        <f t="shared" si="24"/>
        <v>1</v>
      </c>
      <c r="AO166" s="6">
        <f t="shared" si="35"/>
        <v>4</v>
      </c>
      <c r="AP166" s="6">
        <f t="shared" si="25"/>
        <v>1</v>
      </c>
      <c r="AV166" s="6">
        <f t="shared" si="36"/>
        <v>8</v>
      </c>
      <c r="AW166" s="6">
        <f t="shared" si="26"/>
        <v>1</v>
      </c>
      <c r="BC166" s="6">
        <f t="shared" si="37"/>
        <v>128</v>
      </c>
      <c r="BD166" s="6">
        <f t="shared" si="27"/>
        <v>1</v>
      </c>
      <c r="BJ166" s="6">
        <f t="shared" si="38"/>
        <v>111</v>
      </c>
      <c r="BK166" s="6">
        <f t="shared" si="28"/>
        <v>1</v>
      </c>
    </row>
    <row r="167" spans="34:63" x14ac:dyDescent="0.15">
      <c r="AH167" s="6">
        <f t="shared" si="34"/>
        <v>5</v>
      </c>
      <c r="AI167" s="6">
        <f t="shared" si="24"/>
        <v>1</v>
      </c>
      <c r="AO167" s="6">
        <f t="shared" si="35"/>
        <v>2</v>
      </c>
      <c r="AP167" s="6">
        <f t="shared" si="25"/>
        <v>1</v>
      </c>
      <c r="AV167" s="6">
        <f t="shared" si="36"/>
        <v>9</v>
      </c>
      <c r="AW167" s="6">
        <f t="shared" si="26"/>
        <v>1</v>
      </c>
      <c r="BC167" s="6">
        <f t="shared" si="37"/>
        <v>127</v>
      </c>
      <c r="BD167" s="6">
        <f t="shared" si="27"/>
        <v>1</v>
      </c>
      <c r="BJ167" s="6">
        <f t="shared" si="38"/>
        <v>112</v>
      </c>
      <c r="BK167" s="6">
        <f t="shared" si="28"/>
        <v>1</v>
      </c>
    </row>
    <row r="168" spans="34:63" x14ac:dyDescent="0.15">
      <c r="AH168" s="6">
        <f t="shared" si="34"/>
        <v>12</v>
      </c>
      <c r="AI168" s="6">
        <f t="shared" si="24"/>
        <v>1</v>
      </c>
      <c r="AO168" s="6">
        <f t="shared" si="35"/>
        <v>5</v>
      </c>
      <c r="AP168" s="6">
        <f t="shared" si="25"/>
        <v>1</v>
      </c>
      <c r="AV168" s="6">
        <f t="shared" si="36"/>
        <v>21</v>
      </c>
      <c r="AW168" s="6">
        <f t="shared" si="26"/>
        <v>1</v>
      </c>
      <c r="BC168" s="6">
        <f t="shared" si="37"/>
        <v>126</v>
      </c>
      <c r="BD168" s="6">
        <f t="shared" si="27"/>
        <v>1</v>
      </c>
      <c r="BJ168" s="6">
        <f t="shared" si="38"/>
        <v>110</v>
      </c>
      <c r="BK168" s="6">
        <f t="shared" si="28"/>
        <v>1</v>
      </c>
    </row>
    <row r="169" spans="34:63" x14ac:dyDescent="0.15">
      <c r="AH169" s="6">
        <f t="shared" si="34"/>
        <v>1</v>
      </c>
      <c r="AI169" s="6">
        <f t="shared" si="24"/>
        <v>1</v>
      </c>
      <c r="AO169" s="6">
        <f t="shared" si="35"/>
        <v>12</v>
      </c>
      <c r="AP169" s="6">
        <f t="shared" si="25"/>
        <v>1</v>
      </c>
      <c r="AV169" s="6">
        <f t="shared" si="36"/>
        <v>63</v>
      </c>
      <c r="AW169" s="6">
        <f t="shared" si="26"/>
        <v>1</v>
      </c>
      <c r="BC169" s="6">
        <f t="shared" si="37"/>
        <v>125</v>
      </c>
      <c r="BD169" s="6">
        <f t="shared" si="27"/>
        <v>1</v>
      </c>
      <c r="BJ169" s="6">
        <f t="shared" si="38"/>
        <v>109</v>
      </c>
      <c r="BK169" s="6">
        <f t="shared" si="28"/>
        <v>1</v>
      </c>
    </row>
    <row r="170" spans="34:63" x14ac:dyDescent="0.15">
      <c r="AH170" s="6">
        <f t="shared" si="34"/>
        <v>11</v>
      </c>
      <c r="AI170" s="6">
        <f t="shared" si="24"/>
        <v>1</v>
      </c>
      <c r="AO170" s="6">
        <f t="shared" si="35"/>
        <v>11</v>
      </c>
      <c r="AP170" s="6">
        <f t="shared" si="25"/>
        <v>1</v>
      </c>
      <c r="AV170" s="6">
        <f t="shared" si="36"/>
        <v>62</v>
      </c>
      <c r="AW170" s="6">
        <f t="shared" si="26"/>
        <v>1</v>
      </c>
      <c r="BC170" s="6">
        <f t="shared" si="37"/>
        <v>80</v>
      </c>
      <c r="BD170" s="6">
        <f t="shared" si="27"/>
        <v>1</v>
      </c>
      <c r="BJ170" s="6">
        <f t="shared" si="38"/>
        <v>108</v>
      </c>
      <c r="BK170" s="6">
        <f t="shared" si="28"/>
        <v>1</v>
      </c>
    </row>
  </sheetData>
  <sortState xmlns:xlrd2="http://schemas.microsoft.com/office/spreadsheetml/2017/richdata2" ref="C12:D49">
    <sortCondition ref="D12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BF45-1B29-4B30-843C-2A9C1CFFCA41}">
  <sheetPr codeName="Sheet3"/>
  <dimension ref="A1:BZ174"/>
  <sheetViews>
    <sheetView tabSelected="1" topLeftCell="AW1" workbookViewId="0">
      <selection activeCell="BS17" sqref="BS17"/>
    </sheetView>
  </sheetViews>
  <sheetFormatPr defaultColWidth="6.625" defaultRowHeight="11.25" x14ac:dyDescent="0.15"/>
  <cols>
    <col min="1" max="10" width="6.625" style="31"/>
    <col min="11" max="13" width="6.625" style="31" customWidth="1"/>
    <col min="14" max="14" width="9.75" style="31" customWidth="1"/>
    <col min="15" max="20" width="6.625" style="31" customWidth="1"/>
    <col min="21" max="22" width="6.625" style="31"/>
    <col min="23" max="23" width="9.75" style="31" bestFit="1" customWidth="1"/>
    <col min="24" max="27" width="6.625" style="31"/>
    <col min="28" max="28" width="13.875" style="31" bestFit="1" customWidth="1"/>
    <col min="29" max="29" width="12.25" style="31" bestFit="1" customWidth="1"/>
    <col min="30" max="32" width="6.625" style="31"/>
    <col min="33" max="33" width="9" style="31" bestFit="1" customWidth="1"/>
    <col min="34" max="37" width="6.625" style="31"/>
    <col min="38" max="38" width="9" style="31" bestFit="1" customWidth="1"/>
    <col min="39" max="45" width="9" style="31" customWidth="1"/>
    <col min="46" max="46" width="7.625" style="31" customWidth="1"/>
    <col min="47" max="48" width="6.625" style="31"/>
    <col min="49" max="49" width="9" style="31" bestFit="1" customWidth="1"/>
    <col min="50" max="50" width="6.625" style="31"/>
    <col min="51" max="56" width="6.625" style="32"/>
    <col min="57" max="59" width="6.625" style="31"/>
    <col min="60" max="60" width="9" style="31" bestFit="1" customWidth="1"/>
    <col min="61" max="61" width="19.75" style="31" bestFit="1" customWidth="1"/>
    <col min="62" max="68" width="8.25" style="31" bestFit="1" customWidth="1"/>
    <col min="69" max="16384" width="6.625" style="31"/>
  </cols>
  <sheetData>
    <row r="1" spans="1:78" x14ac:dyDescent="0.15">
      <c r="A1" s="16" t="s">
        <v>583</v>
      </c>
    </row>
    <row r="3" spans="1:78" x14ac:dyDescent="0.15">
      <c r="AF3" s="24" t="s">
        <v>764</v>
      </c>
      <c r="AL3" s="48" t="s">
        <v>752</v>
      </c>
      <c r="AM3" s="48"/>
      <c r="AN3" s="48"/>
      <c r="AO3" s="48"/>
      <c r="AP3" s="48"/>
      <c r="AQ3" s="48"/>
      <c r="AR3" s="48"/>
      <c r="AU3" s="48" t="s">
        <v>797</v>
      </c>
      <c r="AV3" s="48"/>
      <c r="AW3" s="48"/>
      <c r="AX3" s="48" t="s">
        <v>803</v>
      </c>
      <c r="AY3" s="48"/>
      <c r="AZ3" s="48"/>
      <c r="BA3" s="48"/>
      <c r="BB3" s="48"/>
      <c r="BJ3" s="47" t="s">
        <v>751</v>
      </c>
      <c r="BK3" s="47"/>
      <c r="BL3" s="47"/>
      <c r="BM3" s="47"/>
      <c r="BN3" s="47"/>
      <c r="BO3" s="48" t="s">
        <v>810</v>
      </c>
      <c r="BP3" s="48"/>
      <c r="BQ3" s="48"/>
    </row>
    <row r="4" spans="1:78" x14ac:dyDescent="0.15">
      <c r="C4" s="31" t="s">
        <v>581</v>
      </c>
      <c r="D4" s="31" t="s">
        <v>582</v>
      </c>
      <c r="E4" s="31" t="s">
        <v>581</v>
      </c>
      <c r="F4" s="31" t="s">
        <v>582</v>
      </c>
      <c r="G4" s="31" t="s">
        <v>581</v>
      </c>
      <c r="H4" s="31" t="s">
        <v>582</v>
      </c>
      <c r="I4" s="31" t="s">
        <v>581</v>
      </c>
      <c r="J4" s="31" t="s">
        <v>582</v>
      </c>
      <c r="U4" s="31" t="s">
        <v>584</v>
      </c>
      <c r="AF4" s="31" t="s">
        <v>743</v>
      </c>
      <c r="AG4" s="31" t="s">
        <v>744</v>
      </c>
      <c r="AI4" s="31" t="s">
        <v>581</v>
      </c>
      <c r="AJ4" s="31" t="s">
        <v>585</v>
      </c>
      <c r="AK4" s="31" t="s">
        <v>760</v>
      </c>
      <c r="AL4" s="31" t="s">
        <v>753</v>
      </c>
      <c r="AM4" s="31" t="s">
        <v>754</v>
      </c>
      <c r="AN4" s="31" t="s">
        <v>755</v>
      </c>
      <c r="AO4" s="31" t="s">
        <v>756</v>
      </c>
      <c r="AP4" s="31" t="s">
        <v>757</v>
      </c>
      <c r="AQ4" s="31" t="s">
        <v>758</v>
      </c>
      <c r="AR4" s="31" t="s">
        <v>752</v>
      </c>
      <c r="AS4" s="31" t="s">
        <v>744</v>
      </c>
      <c r="AT4" s="31" t="s">
        <v>763</v>
      </c>
      <c r="AU4" s="31" t="s">
        <v>793</v>
      </c>
      <c r="AV4" s="31" t="s">
        <v>746</v>
      </c>
      <c r="AW4" s="31" t="s">
        <v>794</v>
      </c>
      <c r="AX4" s="31" t="s">
        <v>798</v>
      </c>
      <c r="AY4" s="32" t="s">
        <v>799</v>
      </c>
      <c r="AZ4" s="32" t="s">
        <v>800</v>
      </c>
      <c r="BA4" s="32" t="s">
        <v>801</v>
      </c>
      <c r="BB4" s="32" t="s">
        <v>802</v>
      </c>
      <c r="BE4" s="31" t="s">
        <v>581</v>
      </c>
      <c r="BF4" s="31" t="s">
        <v>585</v>
      </c>
      <c r="BG4" s="31" t="s">
        <v>759</v>
      </c>
      <c r="BH4" s="31" t="s">
        <v>744</v>
      </c>
      <c r="BI4" s="31" t="s">
        <v>796</v>
      </c>
      <c r="BJ4" s="17" t="s">
        <v>807</v>
      </c>
      <c r="BK4" s="17" t="s">
        <v>747</v>
      </c>
      <c r="BL4" s="17" t="s">
        <v>748</v>
      </c>
      <c r="BM4" s="17" t="s">
        <v>749</v>
      </c>
      <c r="BN4" s="17" t="s">
        <v>750</v>
      </c>
      <c r="BO4" s="31" t="s">
        <v>808</v>
      </c>
      <c r="BP4" s="33" t="s">
        <v>809</v>
      </c>
      <c r="BQ4" s="31" t="s">
        <v>798</v>
      </c>
    </row>
    <row r="5" spans="1:78" x14ac:dyDescent="0.15">
      <c r="C5" s="31" t="s">
        <v>488</v>
      </c>
      <c r="D5" s="31">
        <v>1</v>
      </c>
      <c r="E5" s="31" t="s">
        <v>489</v>
      </c>
      <c r="F5" s="31">
        <v>106</v>
      </c>
      <c r="G5" s="31" t="s">
        <v>490</v>
      </c>
      <c r="H5" s="31">
        <v>116</v>
      </c>
      <c r="I5" s="31" t="s">
        <v>538</v>
      </c>
      <c r="J5" s="31">
        <v>162</v>
      </c>
      <c r="L5" s="31" t="s">
        <v>466</v>
      </c>
      <c r="M5" s="31" t="s">
        <v>486</v>
      </c>
      <c r="N5" s="31" t="s">
        <v>459</v>
      </c>
      <c r="O5" s="31" t="s">
        <v>460</v>
      </c>
      <c r="P5" s="31" t="s">
        <v>461</v>
      </c>
      <c r="Q5" s="31" t="s">
        <v>462</v>
      </c>
      <c r="R5" s="31" t="s">
        <v>487</v>
      </c>
      <c r="S5" s="31" t="str">
        <f>IF(线路设计!I10="","",线路设计!I10)</f>
        <v/>
      </c>
      <c r="U5" s="31" t="s">
        <v>466</v>
      </c>
      <c r="V5" s="31" t="s">
        <v>486</v>
      </c>
      <c r="W5" s="31" t="s">
        <v>459</v>
      </c>
      <c r="X5" s="31" t="s">
        <v>460</v>
      </c>
      <c r="Y5" s="31" t="s">
        <v>461</v>
      </c>
      <c r="Z5" s="31" t="s">
        <v>462</v>
      </c>
      <c r="AB5" s="31" t="s">
        <v>761</v>
      </c>
      <c r="AC5" s="31" t="s">
        <v>795</v>
      </c>
      <c r="AF5" s="31">
        <v>106</v>
      </c>
      <c r="AG5" s="18">
        <v>5</v>
      </c>
      <c r="AI5" s="31" t="s">
        <v>488</v>
      </c>
      <c r="AJ5" s="31">
        <v>1</v>
      </c>
      <c r="AK5" s="31">
        <v>1</v>
      </c>
      <c r="AL5" s="31" t="str">
        <f>IFERROR(INDEX($BG$5:$BG$50,MATCH($AK5,BJ$5:BJ$50,0)),"")</f>
        <v/>
      </c>
      <c r="AM5" s="31" t="str">
        <f>IFERROR(INDEX($BG$5:$BG$50,MATCH($AK5,BK$5:BK$50,0)),"")</f>
        <v/>
      </c>
      <c r="AN5" s="31" t="str">
        <f>IFERROR(INDEX($BG$5:$BG$50,MATCH($AK5,BL$5:BL$50,0)),"")</f>
        <v/>
      </c>
      <c r="AO5" s="31" t="str">
        <f>IFERROR(INDEX($BG$5:$BG$50,MATCH($AK5,BM$5:BM$50,0)),"")</f>
        <v/>
      </c>
      <c r="AP5" s="31" t="str">
        <f>IFERROR(INDEX($BG$5:$BG$50,MATCH($AK5,BN$5:BN$50,0)),"")</f>
        <v/>
      </c>
      <c r="AQ5" s="31" t="str">
        <f>IFERROR(INDEX($BG$5:$BG$50,MATCH($AK5,#REF!,0)),"")</f>
        <v/>
      </c>
      <c r="AR5" s="19" t="str">
        <f>IF(MAX(AL5:AQ5)=0,"",MAX(AL5:AQ5))</f>
        <v/>
      </c>
      <c r="AT5" s="23" t="str">
        <f t="shared" ref="AT5:AT36" si="0">合并区域(AR5:AS5,"+")</f>
        <v/>
      </c>
      <c r="AV5" s="31">
        <v>2</v>
      </c>
      <c r="AW5" s="22" t="str">
        <f t="shared" ref="AW5:AW36" si="1">合并区域(AU5:AV5,"+")</f>
        <v>2</v>
      </c>
      <c r="AX5" s="31">
        <f>IF(AY5="",AK6,"")</f>
        <v>2</v>
      </c>
      <c r="AY5" s="32" t="str">
        <f>IFERROR(INDEX($BG$5:$BG$50,MATCH($AK5,$BH$5:$BH$50,0)),"")</f>
        <v/>
      </c>
      <c r="AZ5" s="32" t="str">
        <f>IFERROR(INDEX($AF$5:$AF$14,MATCH($AK5,$AG$5:$AG$14,0)),"")</f>
        <v/>
      </c>
      <c r="BA5" s="32" t="str">
        <f>IFERROR(INDEX($AF$20:$AF$28,MATCH($AK5,$AG$20:$AG$28,0)),"")</f>
        <v/>
      </c>
      <c r="BB5" s="22" t="str">
        <f>合并区域(AX5:BA5,"+")</f>
        <v>2</v>
      </c>
      <c r="BE5" s="31" t="s">
        <v>490</v>
      </c>
      <c r="BF5" s="31">
        <v>2</v>
      </c>
      <c r="BG5" s="31">
        <v>116</v>
      </c>
      <c r="BH5" s="22">
        <f>INDEX($AB$6:$AB$104,MATCH($BG5,$Y$6:$Y$104,0))*1</f>
        <v>4</v>
      </c>
      <c r="BI5" s="19" t="str">
        <f>INDEX($AC$6:$AC$104,MATCH($BG5,$Y$6:$Y$104,0))</f>
        <v>5+6+106+117</v>
      </c>
      <c r="BJ5" s="31">
        <v>5</v>
      </c>
      <c r="BK5" s="31">
        <v>6</v>
      </c>
      <c r="BO5" s="31">
        <f>IF(BJ5="","",BJ5)</f>
        <v>5</v>
      </c>
      <c r="BQ5" s="31" t="str">
        <f>合并区域(BO5:BP5,"+")</f>
        <v>5</v>
      </c>
    </row>
    <row r="6" spans="1:78" x14ac:dyDescent="0.15">
      <c r="C6" s="31" t="s">
        <v>488</v>
      </c>
      <c r="D6" s="31">
        <v>2</v>
      </c>
      <c r="E6" s="31" t="s">
        <v>491</v>
      </c>
      <c r="F6" s="31">
        <v>107</v>
      </c>
      <c r="G6" s="20" t="s">
        <v>492</v>
      </c>
      <c r="H6" s="20">
        <v>117</v>
      </c>
      <c r="I6" s="31" t="s">
        <v>539</v>
      </c>
      <c r="J6" s="31">
        <v>163</v>
      </c>
      <c r="L6" s="31">
        <f>IF(线路设计!B10="","",线路设计!B10)</f>
        <v>1</v>
      </c>
      <c r="M6" s="31">
        <f>IF(线路设计!C10="","",线路设计!C10)</f>
        <v>0</v>
      </c>
      <c r="N6" s="31">
        <f>IF(线路设计!D10="","",线路设计!D10)</f>
        <v>2</v>
      </c>
      <c r="O6" s="31" t="str">
        <f>IF(线路设计!E10="","",线路设计!E10)</f>
        <v/>
      </c>
      <c r="P6" s="31" t="str">
        <f>IF(线路设计!F10="","",线路设计!F10)</f>
        <v/>
      </c>
      <c r="Q6" s="31" t="str">
        <f>IF(线路设计!G10="","",线路设计!G10)</f>
        <v/>
      </c>
      <c r="R6" s="31">
        <f>IF(线路设计!H10="","",线路设计!H10)</f>
        <v>1</v>
      </c>
      <c r="S6" s="31" t="str">
        <f>IF(线路设计!I11="","",线路设计!I11)</f>
        <v/>
      </c>
      <c r="U6" s="31">
        <v>1</v>
      </c>
      <c r="V6" s="31">
        <v>0</v>
      </c>
      <c r="W6" s="31" t="s">
        <v>548</v>
      </c>
      <c r="AB6" s="31" t="str">
        <f>IF(Y6="","",RIGHT(W6,FIND("+",W6)-1))</f>
        <v/>
      </c>
      <c r="AC6" s="31" t="str">
        <f>IF(Y6="","",合并区域(W7:Z7,"+"))</f>
        <v/>
      </c>
      <c r="AF6" s="31">
        <v>107</v>
      </c>
      <c r="AG6" s="18">
        <v>11</v>
      </c>
      <c r="AI6" s="31" t="s">
        <v>488</v>
      </c>
      <c r="AJ6" s="31">
        <v>1</v>
      </c>
      <c r="AK6" s="31">
        <v>2</v>
      </c>
      <c r="AL6" s="31" t="str">
        <f>IFERROR(INDEX($BG$5:$BG$50,MATCH($AK6,BJ$5:BJ$50,0)),"")</f>
        <v/>
      </c>
      <c r="AM6" s="31" t="str">
        <f>IFERROR(INDEX($BG$5:$BG$50,MATCH($AK6,BK$5:BK$50,0)),"")</f>
        <v/>
      </c>
      <c r="AN6" s="31" t="str">
        <f>IFERROR(INDEX($BG$5:$BG$50,MATCH($AK6,BL$5:BL$50,0)),"")</f>
        <v/>
      </c>
      <c r="AO6" s="31" t="str">
        <f>IFERROR(INDEX($BG$5:$BG$50,MATCH($AK6,BM$5:BM$50,0)),"")</f>
        <v/>
      </c>
      <c r="AP6" s="31" t="str">
        <f>IFERROR(INDEX($BG$5:$BG$50,MATCH($AK6,BN$5:BN$50,0)),"")</f>
        <v/>
      </c>
      <c r="AQ6" s="31" t="str">
        <f>IFERROR(INDEX($BG$5:$BG$50,MATCH($AK6,#REF!,0)),"")</f>
        <v/>
      </c>
      <c r="AR6" s="19" t="str">
        <f t="shared" ref="AR6:AR8" si="2">IF(MAX(AL6:AQ6)=0,"",MAX(AL6:AQ6))</f>
        <v/>
      </c>
      <c r="AS6" s="18">
        <v>1</v>
      </c>
      <c r="AT6" s="23" t="str">
        <f t="shared" si="0"/>
        <v>1</v>
      </c>
      <c r="AU6" s="31">
        <v>116</v>
      </c>
      <c r="AV6" s="31" t="s">
        <v>792</v>
      </c>
      <c r="AW6" s="22" t="str">
        <f t="shared" si="1"/>
        <v>116+3+4</v>
      </c>
      <c r="AX6" s="32">
        <f>IF(AY6="",AK7,"")</f>
        <v>3</v>
      </c>
      <c r="AY6" s="32" t="str">
        <f>IFERROR(INDEX($BG$5:$BG$50,MATCH($AK6,$BH$5:$BH$50,0)),"")</f>
        <v/>
      </c>
      <c r="AZ6" s="32" t="str">
        <f t="shared" ref="AZ6:AZ69" si="3">IFERROR(INDEX($AF$5:$AF$14,MATCH($AK6,$AG$5:$AG$14,0)),"")</f>
        <v/>
      </c>
      <c r="BA6" s="32" t="str">
        <f t="shared" ref="BA6:BA69" si="4">IFERROR(INDEX($AF$20:$AF$28,MATCH($AK6,$AG$20:$AG$28,0)),"")</f>
        <v/>
      </c>
      <c r="BB6" s="22" t="str">
        <f t="shared" ref="BB6:BB69" si="5">合并区域(AX6:BA6,"+")</f>
        <v>3</v>
      </c>
      <c r="BD6" s="40"/>
      <c r="BE6" s="20" t="s">
        <v>492</v>
      </c>
      <c r="BF6" s="19">
        <f>IF(BE6&lt;&gt;BE5,MAX(BF5)+1,BF5)</f>
        <v>3</v>
      </c>
      <c r="BG6" s="20">
        <v>117</v>
      </c>
      <c r="BH6" s="22">
        <f>INDEX($AB$6:$AB$104,MATCH($BG6,$Y$6:$Y$104,0))*1</f>
        <v>6</v>
      </c>
      <c r="BI6" s="19" t="str">
        <f>INDEX($AC$6:$AC$104,MATCH($BG6,$Y$6:$Y$104,0))</f>
        <v>7+8+9+118+162</v>
      </c>
      <c r="BJ6" s="31">
        <v>7</v>
      </c>
      <c r="BK6" s="31">
        <v>8</v>
      </c>
      <c r="BL6" s="31">
        <v>9</v>
      </c>
      <c r="BO6" s="33">
        <f t="shared" ref="BO6:BO50" si="6">IF(BJ6="","",BJ6)</f>
        <v>7</v>
      </c>
      <c r="BQ6" s="33" t="str">
        <f t="shared" ref="BQ6:BQ50" si="7">合并区域(BO6:BP6,"+")</f>
        <v>7</v>
      </c>
      <c r="BS6" s="40"/>
      <c r="BZ6" s="33"/>
    </row>
    <row r="7" spans="1:78" x14ac:dyDescent="0.15">
      <c r="C7" s="31" t="s">
        <v>488</v>
      </c>
      <c r="D7" s="31">
        <v>3</v>
      </c>
      <c r="E7" s="31" t="s">
        <v>493</v>
      </c>
      <c r="F7" s="31">
        <v>108</v>
      </c>
      <c r="G7" s="31" t="s">
        <v>494</v>
      </c>
      <c r="H7" s="31">
        <v>118</v>
      </c>
      <c r="I7" s="31" t="s">
        <v>540</v>
      </c>
      <c r="J7" s="31">
        <v>164</v>
      </c>
      <c r="L7" s="31">
        <f>IF(线路设计!B11="","",线路设计!B11)</f>
        <v>1</v>
      </c>
      <c r="M7" s="31">
        <f>IF(线路设计!C11="","",线路设计!C11)</f>
        <v>1</v>
      </c>
      <c r="N7" s="31">
        <f>IF(线路设计!D11="","",线路设计!D11)</f>
        <v>2</v>
      </c>
      <c r="O7" s="31" t="str">
        <f>IF(线路设计!E11="","",线路设计!E11)</f>
        <v/>
      </c>
      <c r="P7" s="31">
        <f>IF(线路设计!F11="","",线路设计!F11)</f>
        <v>1</v>
      </c>
      <c r="Q7" s="31" t="str">
        <f>IF(线路设计!G11="","",线路设计!G11)</f>
        <v/>
      </c>
      <c r="R7" s="31">
        <f>IF(线路设计!H11="","",线路设计!H11)</f>
        <v>2</v>
      </c>
      <c r="S7" s="31" t="str">
        <f>IF(线路设计!I12="","",线路设计!I12)</f>
        <v/>
      </c>
      <c r="U7" s="31">
        <v>1</v>
      </c>
      <c r="V7" s="31">
        <v>1</v>
      </c>
      <c r="W7" s="31" t="s">
        <v>549</v>
      </c>
      <c r="Y7" s="31">
        <v>116</v>
      </c>
      <c r="AB7" s="31" t="str">
        <f>IF(Y7="","",RIGHT(W7,FIND("+",W7)-1))</f>
        <v>4</v>
      </c>
      <c r="AC7" s="31" t="str">
        <f t="shared" ref="AC7:AC26" si="8">IF(Y7="","",合并区域(W8:Z8,"+"))</f>
        <v>5+6+106+117</v>
      </c>
      <c r="AF7" s="31">
        <v>108</v>
      </c>
      <c r="AG7" s="18">
        <v>17</v>
      </c>
      <c r="AI7" s="31" t="s">
        <v>488</v>
      </c>
      <c r="AJ7" s="31">
        <v>2</v>
      </c>
      <c r="AK7" s="31">
        <v>3</v>
      </c>
      <c r="AL7" s="31" t="str">
        <f>IFERROR(INDEX($BG$5:$BG$50,MATCH($AK7,BJ$5:BJ$50,0)),"")</f>
        <v/>
      </c>
      <c r="AM7" s="31" t="str">
        <f>IFERROR(INDEX($BG$5:$BG$50,MATCH($AK7,BK$5:BK$50,0)),"")</f>
        <v/>
      </c>
      <c r="AN7" s="31" t="str">
        <f>IFERROR(INDEX($BG$5:$BG$50,MATCH($AK7,BL$5:BL$50,0)),"")</f>
        <v/>
      </c>
      <c r="AO7" s="31" t="str">
        <f>IFERROR(INDEX($BG$5:$BG$50,MATCH($AK7,BM$5:BM$50,0)),"")</f>
        <v/>
      </c>
      <c r="AP7" s="31" t="str">
        <f>IFERROR(INDEX($BG$5:$BG$50,MATCH($AK7,BN$5:BN$50,0)),"")</f>
        <v/>
      </c>
      <c r="AQ7" s="31" t="str">
        <f>IFERROR(INDEX($BG$5:$BG$50,MATCH($AK7,#REF!,0)),"")</f>
        <v/>
      </c>
      <c r="AR7" s="19" t="str">
        <f t="shared" si="2"/>
        <v/>
      </c>
      <c r="AS7" s="22">
        <f>IF(AR7&lt;&gt;AR6,"",AK6)</f>
        <v>2</v>
      </c>
      <c r="AT7" s="23" t="str">
        <f t="shared" si="0"/>
        <v>2</v>
      </c>
      <c r="AW7" s="22" t="str">
        <f t="shared" si="1"/>
        <v/>
      </c>
      <c r="AX7" s="32">
        <f>IF(AY7="",AK8,"")</f>
        <v>4</v>
      </c>
      <c r="AY7" s="32" t="str">
        <f>IFERROR(INDEX($BG$5:$BG$50,MATCH($AK7,$BH$5:$BH$50,0)),"")</f>
        <v/>
      </c>
      <c r="AZ7" s="32" t="str">
        <f t="shared" si="3"/>
        <v/>
      </c>
      <c r="BA7" s="32" t="str">
        <f t="shared" si="4"/>
        <v/>
      </c>
      <c r="BB7" s="22" t="str">
        <f t="shared" si="5"/>
        <v>4</v>
      </c>
      <c r="BD7" s="40"/>
      <c r="BE7" s="31" t="s">
        <v>494</v>
      </c>
      <c r="BF7" s="19">
        <f t="shared" ref="BF7:BF50" si="9">IF(BE7&lt;&gt;BE6,MAX(BF6)+1,BF6)</f>
        <v>4</v>
      </c>
      <c r="BG7" s="31">
        <v>118</v>
      </c>
      <c r="BH7" s="22">
        <f>INDEX($AB$6:$AB$104,MATCH($BG7,$Y$6:$Y$104,0))*1</f>
        <v>9</v>
      </c>
      <c r="BI7" s="19" t="str">
        <f>INDEX($AC$6:$AC$104,MATCH($BG7,$Y$6:$Y$104,0))</f>
        <v>10+11+12+107+119</v>
      </c>
      <c r="BJ7" s="31">
        <v>10</v>
      </c>
      <c r="BK7" s="31">
        <v>11</v>
      </c>
      <c r="BL7" s="31">
        <v>12</v>
      </c>
      <c r="BO7" s="33">
        <f t="shared" si="6"/>
        <v>10</v>
      </c>
      <c r="BQ7" s="33" t="str">
        <f t="shared" si="7"/>
        <v>10</v>
      </c>
      <c r="BS7" s="40"/>
      <c r="BV7" s="34"/>
      <c r="BY7" s="33"/>
      <c r="BZ7" s="33"/>
    </row>
    <row r="8" spans="1:78" x14ac:dyDescent="0.15">
      <c r="C8" s="31" t="s">
        <v>488</v>
      </c>
      <c r="D8" s="31">
        <v>4</v>
      </c>
      <c r="E8" s="31" t="s">
        <v>495</v>
      </c>
      <c r="F8" s="31">
        <v>109</v>
      </c>
      <c r="G8" s="20" t="s">
        <v>496</v>
      </c>
      <c r="H8" s="20">
        <v>119</v>
      </c>
      <c r="I8" s="31" t="s">
        <v>541</v>
      </c>
      <c r="J8" s="31">
        <v>165</v>
      </c>
      <c r="L8" s="31">
        <f>IF(线路设计!B12="","",线路设计!B12)</f>
        <v>1</v>
      </c>
      <c r="M8" s="31">
        <f>IF(线路设计!C12="","",线路设计!C12)</f>
        <v>2</v>
      </c>
      <c r="N8" s="31">
        <f>IF(线路设计!D12="","",线路设计!D12)</f>
        <v>2</v>
      </c>
      <c r="O8" s="31">
        <f>IF(线路设计!E12="","",线路设计!E12)</f>
        <v>1</v>
      </c>
      <c r="P8" s="31">
        <f>IF(线路设计!F12="","",线路设计!F12)</f>
        <v>1</v>
      </c>
      <c r="Q8" s="31" t="str">
        <f>IF(线路设计!G12="","",线路设计!G12)</f>
        <v/>
      </c>
      <c r="R8" s="31">
        <f>IF(线路设计!H12="","",线路设计!H12)</f>
        <v>2</v>
      </c>
      <c r="S8" s="31" t="str">
        <f>IF(线路设计!I13="","",线路设计!I13)</f>
        <v/>
      </c>
      <c r="U8" s="31">
        <v>1</v>
      </c>
      <c r="V8" s="31">
        <v>2</v>
      </c>
      <c r="W8" s="31" t="s">
        <v>550</v>
      </c>
      <c r="X8" s="31">
        <v>106</v>
      </c>
      <c r="Y8" s="31">
        <v>117</v>
      </c>
      <c r="AB8" s="31" t="str">
        <f t="shared" ref="AB8:AB26" si="10">IF(Y8="","",RIGHT(W8,FIND("+",W8)-1))</f>
        <v>6</v>
      </c>
      <c r="AC8" s="31" t="str">
        <f t="shared" si="8"/>
        <v>7+8+9+118+162</v>
      </c>
      <c r="AF8" s="31">
        <v>109</v>
      </c>
      <c r="AG8" s="18">
        <v>26</v>
      </c>
      <c r="AI8" s="31" t="s">
        <v>488</v>
      </c>
      <c r="AJ8" s="31">
        <v>2</v>
      </c>
      <c r="AK8" s="31">
        <v>4</v>
      </c>
      <c r="AL8" s="31" t="str">
        <f>IFERROR(INDEX($BG$5:$BG$50,MATCH($AK8,BJ$5:BJ$50,0)),"")</f>
        <v/>
      </c>
      <c r="AM8" s="31" t="str">
        <f>IFERROR(INDEX($BG$5:$BG$50,MATCH($AK8,BK$5:BK$50,0)),"")</f>
        <v/>
      </c>
      <c r="AN8" s="31" t="str">
        <f>IFERROR(INDEX($BG$5:$BG$50,MATCH($AK8,BL$5:BL$50,0)),"")</f>
        <v/>
      </c>
      <c r="AO8" s="31" t="str">
        <f>IFERROR(INDEX($BG$5:$BG$50,MATCH($AK8,BM$5:BM$50,0)),"")</f>
        <v/>
      </c>
      <c r="AP8" s="31" t="str">
        <f>IFERROR(INDEX($BG$5:$BG$50,MATCH($AK8,BN$5:BN$50,0)),"")</f>
        <v/>
      </c>
      <c r="AQ8" s="31" t="str">
        <f>IFERROR(INDEX($BG$5:$BG$50,MATCH($AK8,#REF!,0)),"")</f>
        <v/>
      </c>
      <c r="AR8" s="19" t="str">
        <f t="shared" si="2"/>
        <v/>
      </c>
      <c r="AS8" s="22">
        <f>IF(AR8&lt;&gt;AR7,"",AK7)</f>
        <v>3</v>
      </c>
      <c r="AT8" s="23" t="str">
        <f t="shared" si="0"/>
        <v>3</v>
      </c>
      <c r="AW8" s="22" t="str">
        <f t="shared" si="1"/>
        <v/>
      </c>
      <c r="AX8" s="32" t="str">
        <f>IF(AY8="",AK9,"")</f>
        <v/>
      </c>
      <c r="AY8" s="32">
        <f>IFERROR(INDEX($BG$5:$BG$50,MATCH($AK8,$BH$5:$BH$50,0)),"")</f>
        <v>116</v>
      </c>
      <c r="AZ8" s="32" t="str">
        <f t="shared" si="3"/>
        <v/>
      </c>
      <c r="BA8" s="32" t="str">
        <f t="shared" si="4"/>
        <v/>
      </c>
      <c r="BB8" s="22" t="str">
        <f t="shared" si="5"/>
        <v>116</v>
      </c>
      <c r="BD8" s="40"/>
      <c r="BE8" s="20" t="s">
        <v>496</v>
      </c>
      <c r="BF8" s="19">
        <f t="shared" si="9"/>
        <v>5</v>
      </c>
      <c r="BG8" s="20">
        <v>119</v>
      </c>
      <c r="BH8" s="22">
        <f>INDEX($AB$6:$AB$104,MATCH($BG8,$Y$6:$Y$104,0))*1</f>
        <v>12</v>
      </c>
      <c r="BI8" s="19" t="str">
        <f>INDEX($AC$6:$AC$104,MATCH($BG8,$Y$6:$Y$104,0))</f>
        <v>13+14+15+120+163</v>
      </c>
      <c r="BJ8" s="31">
        <v>13</v>
      </c>
      <c r="BK8" s="31">
        <v>14</v>
      </c>
      <c r="BL8" s="31">
        <v>15</v>
      </c>
      <c r="BO8" s="33">
        <f t="shared" si="6"/>
        <v>13</v>
      </c>
      <c r="BQ8" s="33" t="str">
        <f t="shared" si="7"/>
        <v>13</v>
      </c>
      <c r="BS8" s="40"/>
      <c r="BU8" s="34"/>
      <c r="BV8" s="34"/>
      <c r="BY8" s="33"/>
      <c r="BZ8" s="33"/>
    </row>
    <row r="9" spans="1:78" x14ac:dyDescent="0.15">
      <c r="C9" s="20" t="s">
        <v>497</v>
      </c>
      <c r="D9" s="20">
        <v>5</v>
      </c>
      <c r="E9" s="31" t="s">
        <v>498</v>
      </c>
      <c r="F9" s="31">
        <v>110</v>
      </c>
      <c r="G9" s="31" t="s">
        <v>499</v>
      </c>
      <c r="H9" s="31">
        <v>120</v>
      </c>
      <c r="I9" s="31" t="s">
        <v>542</v>
      </c>
      <c r="J9" s="31">
        <v>166</v>
      </c>
      <c r="L9" s="31">
        <f>IF(线路设计!B13="","",线路设计!B13)</f>
        <v>1</v>
      </c>
      <c r="M9" s="31">
        <f>IF(线路设计!C13="","",线路设计!C13)</f>
        <v>3</v>
      </c>
      <c r="N9" s="31">
        <f>IF(线路设计!D13="","",线路设计!D13)</f>
        <v>3</v>
      </c>
      <c r="O9" s="31" t="str">
        <f>IF(线路设计!E13="","",线路设计!E13)</f>
        <v/>
      </c>
      <c r="P9" s="31">
        <f>IF(线路设计!F13="","",线路设计!F13)</f>
        <v>1</v>
      </c>
      <c r="Q9" s="31">
        <f>IF(线路设计!G13="","",线路设计!G13)</f>
        <v>1</v>
      </c>
      <c r="R9" s="31">
        <f>IF(线路设计!H13="","",线路设计!H13)</f>
        <v>3</v>
      </c>
      <c r="S9" s="31" t="str">
        <f>IF(线路设计!I14="","",线路设计!I14)</f>
        <v/>
      </c>
      <c r="U9" s="31">
        <v>1</v>
      </c>
      <c r="V9" s="31">
        <v>3</v>
      </c>
      <c r="W9" s="31" t="s">
        <v>551</v>
      </c>
      <c r="Y9" s="31">
        <v>118</v>
      </c>
      <c r="Z9" s="31">
        <v>162</v>
      </c>
      <c r="AB9" s="31" t="str">
        <f t="shared" si="10"/>
        <v>9</v>
      </c>
      <c r="AC9" s="31" t="str">
        <f t="shared" si="8"/>
        <v>10+11+12+107+119</v>
      </c>
      <c r="AF9" s="31">
        <v>110</v>
      </c>
      <c r="AG9" s="18">
        <v>35</v>
      </c>
      <c r="AI9" s="20" t="s">
        <v>497</v>
      </c>
      <c r="AJ9" s="19">
        <f>IF(AI9&lt;&gt;AI8,MAX($AJ$5:$AJ8)+1,AJ8)</f>
        <v>3</v>
      </c>
      <c r="AK9" s="20">
        <v>5</v>
      </c>
      <c r="AL9" s="31">
        <f>IFERROR(INDEX($BG$5:$BG$50,MATCH($AK9,BJ$5:BJ$50,0)),"")</f>
        <v>116</v>
      </c>
      <c r="AM9" s="31" t="str">
        <f>IFERROR(INDEX($BG$5:$BG$50,MATCH($AK9,BK$5:BK$50,0)),"")</f>
        <v/>
      </c>
      <c r="AN9" s="31" t="str">
        <f>IFERROR(INDEX($BG$5:$BG$50,MATCH($AK9,BL$5:BL$50,0)),"")</f>
        <v/>
      </c>
      <c r="AO9" s="31" t="str">
        <f>IFERROR(INDEX($BG$5:$BG$50,MATCH($AK9,BM$5:BM$50,0)),"")</f>
        <v/>
      </c>
      <c r="AP9" s="31" t="str">
        <f>IFERROR(INDEX($BG$5:$BG$50,MATCH($AK9,BN$5:BN$50,0)),"")</f>
        <v/>
      </c>
      <c r="AQ9" s="31" t="str">
        <f>IFERROR(INDEX($BG$5:$BG$50,MATCH($AK9,#REF!,0)),"")</f>
        <v/>
      </c>
      <c r="AR9" s="19">
        <f>IF(MAX(AL9:AQ9)=0,AR8,MAX(AL9:AQ9))</f>
        <v>116</v>
      </c>
      <c r="AS9" s="22" t="str">
        <f>IF(AR9&lt;&gt;AR8,"",AK8)</f>
        <v/>
      </c>
      <c r="AT9" s="23" t="str">
        <f t="shared" si="0"/>
        <v>116</v>
      </c>
      <c r="AW9" s="22" t="str">
        <f t="shared" si="1"/>
        <v/>
      </c>
      <c r="AX9" s="32">
        <f>IF(AY9="",AK10,"")</f>
        <v>6</v>
      </c>
      <c r="AY9" s="32" t="str">
        <f>IFERROR(INDEX($BG$5:$BG$50,MATCH($AK9,$BH$5:$BH$50,0)),"")</f>
        <v/>
      </c>
      <c r="AZ9" s="32">
        <f t="shared" si="3"/>
        <v>106</v>
      </c>
      <c r="BA9" s="32" t="str">
        <f t="shared" si="4"/>
        <v/>
      </c>
      <c r="BB9" s="22" t="str">
        <f t="shared" si="5"/>
        <v>6+106</v>
      </c>
      <c r="BD9" s="40"/>
      <c r="BE9" s="31" t="s">
        <v>499</v>
      </c>
      <c r="BF9" s="19">
        <f t="shared" si="9"/>
        <v>6</v>
      </c>
      <c r="BG9" s="31">
        <v>120</v>
      </c>
      <c r="BH9" s="22">
        <f>INDEX($AB$6:$AB$104,MATCH($BG9,$Y$6:$Y$104,0))*1</f>
        <v>15</v>
      </c>
      <c r="BI9" s="19" t="str">
        <f>INDEX($AC$6:$AC$104,MATCH($BG9,$Y$6:$Y$104,0))</f>
        <v>16+17+18+19+108+121</v>
      </c>
      <c r="BJ9" s="31">
        <v>16</v>
      </c>
      <c r="BK9" s="31">
        <v>17</v>
      </c>
      <c r="BL9" s="31">
        <v>18</v>
      </c>
      <c r="BM9" s="31">
        <v>19</v>
      </c>
      <c r="BO9" s="33">
        <f t="shared" si="6"/>
        <v>16</v>
      </c>
      <c r="BP9" s="40">
        <v>18</v>
      </c>
      <c r="BQ9" s="33" t="str">
        <f t="shared" si="7"/>
        <v>16+18</v>
      </c>
      <c r="BS9" s="40"/>
      <c r="BU9" s="34"/>
      <c r="BV9" s="34"/>
      <c r="BY9" s="33"/>
      <c r="BZ9" s="33"/>
    </row>
    <row r="10" spans="1:78" x14ac:dyDescent="0.15">
      <c r="C10" s="20" t="s">
        <v>497</v>
      </c>
      <c r="D10" s="20">
        <v>6</v>
      </c>
      <c r="E10" s="31" t="s">
        <v>500</v>
      </c>
      <c r="F10" s="31">
        <v>111</v>
      </c>
      <c r="G10" s="20" t="s">
        <v>501</v>
      </c>
      <c r="H10" s="20">
        <v>121</v>
      </c>
      <c r="I10" s="31" t="s">
        <v>543</v>
      </c>
      <c r="J10" s="31">
        <v>167</v>
      </c>
      <c r="L10" s="31">
        <f>IF(线路设计!B14="","",线路设计!B14)</f>
        <v>1</v>
      </c>
      <c r="M10" s="31">
        <f>IF(线路设计!C14="","",线路设计!C14)</f>
        <v>4</v>
      </c>
      <c r="N10" s="31">
        <f>IF(线路设计!D14="","",线路设计!D14)</f>
        <v>3</v>
      </c>
      <c r="O10" s="31">
        <f>IF(线路设计!E14="","",线路设计!E14)</f>
        <v>1</v>
      </c>
      <c r="P10" s="31">
        <f>IF(线路设计!F14="","",线路设计!F14)</f>
        <v>1</v>
      </c>
      <c r="Q10" s="31" t="str">
        <f>IF(线路设计!G14="","",线路设计!G14)</f>
        <v/>
      </c>
      <c r="R10" s="31">
        <f>IF(线路设计!H14="","",线路设计!H14)</f>
        <v>3</v>
      </c>
      <c r="S10" s="31" t="str">
        <f>IF(线路设计!I15="","",线路设计!I15)</f>
        <v/>
      </c>
      <c r="U10" s="31">
        <v>1</v>
      </c>
      <c r="V10" s="31">
        <v>4</v>
      </c>
      <c r="W10" s="31" t="s">
        <v>552</v>
      </c>
      <c r="X10" s="31">
        <v>107</v>
      </c>
      <c r="Y10" s="31">
        <v>119</v>
      </c>
      <c r="AB10" s="31" t="str">
        <f t="shared" si="10"/>
        <v>12</v>
      </c>
      <c r="AC10" s="31" t="str">
        <f t="shared" si="8"/>
        <v>13+14+15+120+163</v>
      </c>
      <c r="AF10" s="31">
        <v>111</v>
      </c>
      <c r="AG10" s="18">
        <v>46</v>
      </c>
      <c r="AI10" s="20" t="s">
        <v>497</v>
      </c>
      <c r="AJ10" s="19">
        <f>IF(AI10&lt;&gt;AI9,MAX($AJ$5:$AJ9)+1,AJ9)</f>
        <v>3</v>
      </c>
      <c r="AK10" s="20">
        <v>6</v>
      </c>
      <c r="AL10" s="31" t="str">
        <f>IFERROR(INDEX($BG$5:$BG$50,MATCH($AK10,BJ$5:BJ$50,0)),"")</f>
        <v/>
      </c>
      <c r="AM10" s="31">
        <f>IFERROR(INDEX($BG$5:$BG$50,MATCH($AK10,BK$5:BK$50,0)),"")</f>
        <v>116</v>
      </c>
      <c r="AN10" s="31" t="str">
        <f>IFERROR(INDEX($BG$5:$BG$50,MATCH($AK10,BL$5:BL$50,0)),"")</f>
        <v/>
      </c>
      <c r="AO10" s="31" t="str">
        <f>IFERROR(INDEX($BG$5:$BG$50,MATCH($AK10,BM$5:BM$50,0)),"")</f>
        <v/>
      </c>
      <c r="AP10" s="31" t="str">
        <f>IFERROR(INDEX($BG$5:$BG$50,MATCH($AK10,BN$5:BN$50,0)),"")</f>
        <v/>
      </c>
      <c r="AQ10" s="31" t="str">
        <f>IFERROR(INDEX($BG$5:$BG$50,MATCH($AK10,#REF!,0)),"")</f>
        <v/>
      </c>
      <c r="AR10" s="19">
        <f t="shared" ref="AR10:AR73" si="11">IF(MAX(AL10:AQ10)=0,AR9,MAX(AL10:AQ10))</f>
        <v>116</v>
      </c>
      <c r="AS10" s="22">
        <f>IF(AR10&lt;&gt;AR9,"",AK9)</f>
        <v>5</v>
      </c>
      <c r="AT10" s="23" t="str">
        <f t="shared" si="0"/>
        <v>116+5</v>
      </c>
      <c r="AW10" s="22" t="str">
        <f t="shared" si="1"/>
        <v/>
      </c>
      <c r="AX10" s="32" t="str">
        <f>IF(AY10="",AK11,"")</f>
        <v/>
      </c>
      <c r="AY10" s="32">
        <f>IFERROR(INDEX($BG$5:$BG$50,MATCH($AK10,$BH$5:$BH$50,0)),"")</f>
        <v>117</v>
      </c>
      <c r="AZ10" s="32" t="str">
        <f t="shared" si="3"/>
        <v/>
      </c>
      <c r="BA10" s="32" t="str">
        <f t="shared" si="4"/>
        <v/>
      </c>
      <c r="BB10" s="22" t="str">
        <f t="shared" si="5"/>
        <v>117</v>
      </c>
      <c r="BD10" s="40"/>
      <c r="BE10" s="20" t="s">
        <v>501</v>
      </c>
      <c r="BF10" s="19">
        <f t="shared" si="9"/>
        <v>7</v>
      </c>
      <c r="BG10" s="20">
        <v>121</v>
      </c>
      <c r="BH10" s="22">
        <f>INDEX($AB$6:$AB$104,MATCH($BG10,$Y$6:$Y$104,0))*1</f>
        <v>19</v>
      </c>
      <c r="BI10" s="18" t="s">
        <v>805</v>
      </c>
      <c r="BJ10" s="31">
        <v>20</v>
      </c>
      <c r="BK10" s="31">
        <v>21</v>
      </c>
      <c r="BL10" s="31">
        <v>22</v>
      </c>
      <c r="BM10" s="31">
        <v>23</v>
      </c>
      <c r="BO10" s="33">
        <f t="shared" si="6"/>
        <v>20</v>
      </c>
      <c r="BP10" s="31">
        <v>22</v>
      </c>
      <c r="BQ10" s="33" t="str">
        <f t="shared" si="7"/>
        <v>20+22</v>
      </c>
      <c r="BS10" s="40"/>
      <c r="BU10" s="34"/>
      <c r="BV10" s="34"/>
      <c r="BY10" s="33"/>
      <c r="BZ10" s="33"/>
    </row>
    <row r="11" spans="1:78" x14ac:dyDescent="0.15">
      <c r="C11" s="31" t="s">
        <v>502</v>
      </c>
      <c r="D11" s="31">
        <v>7</v>
      </c>
      <c r="E11" s="31" t="s">
        <v>503</v>
      </c>
      <c r="F11" s="31">
        <v>112</v>
      </c>
      <c r="G11" s="31" t="s">
        <v>504</v>
      </c>
      <c r="H11" s="31">
        <v>122</v>
      </c>
      <c r="I11" s="31" t="s">
        <v>544</v>
      </c>
      <c r="J11" s="31">
        <v>168</v>
      </c>
      <c r="L11" s="31">
        <f>IF(线路设计!B15="","",线路设计!B15)</f>
        <v>1</v>
      </c>
      <c r="M11" s="31">
        <f>IF(线路设计!C15="","",线路设计!C15)</f>
        <v>5</v>
      </c>
      <c r="N11" s="31">
        <f>IF(线路设计!D15="","",线路设计!D15)</f>
        <v>3</v>
      </c>
      <c r="O11" s="31" t="str">
        <f>IF(线路设计!E15="","",线路设计!E15)</f>
        <v/>
      </c>
      <c r="P11" s="31">
        <f>IF(线路设计!F15="","",线路设计!F15)</f>
        <v>1</v>
      </c>
      <c r="Q11" s="31">
        <f>IF(线路设计!G15="","",线路设计!G15)</f>
        <v>1</v>
      </c>
      <c r="R11" s="31">
        <f>IF(线路设计!H15="","",线路设计!H15)</f>
        <v>3</v>
      </c>
      <c r="S11" s="31" t="str">
        <f>IF(线路设计!I16="","",线路设计!I16)</f>
        <v/>
      </c>
      <c r="U11" s="31">
        <v>1</v>
      </c>
      <c r="V11" s="31">
        <v>5</v>
      </c>
      <c r="W11" s="31" t="s">
        <v>553</v>
      </c>
      <c r="Y11" s="31">
        <v>120</v>
      </c>
      <c r="Z11" s="31">
        <v>163</v>
      </c>
      <c r="AB11" s="31" t="str">
        <f t="shared" si="10"/>
        <v>15</v>
      </c>
      <c r="AC11" s="31" t="str">
        <f t="shared" si="8"/>
        <v>16+17+18+19+108+121</v>
      </c>
      <c r="AF11" s="31">
        <v>112</v>
      </c>
      <c r="AG11" s="18">
        <v>55</v>
      </c>
      <c r="AI11" s="31" t="s">
        <v>502</v>
      </c>
      <c r="AJ11" s="19">
        <f>IF(AI11&lt;&gt;AI10,MAX($AJ$5:$AJ10)+1,AJ10)</f>
        <v>4</v>
      </c>
      <c r="AK11" s="31">
        <v>7</v>
      </c>
      <c r="AL11" s="31">
        <f>IFERROR(INDEX($BG$5:$BG$50,MATCH($AK11,BJ$5:BJ$50,0)),"")</f>
        <v>117</v>
      </c>
      <c r="AM11" s="31" t="str">
        <f>IFERROR(INDEX($BG$5:$BG$50,MATCH($AK11,BK$5:BK$50,0)),"")</f>
        <v/>
      </c>
      <c r="AN11" s="31" t="str">
        <f>IFERROR(INDEX($BG$5:$BG$50,MATCH($AK11,BL$5:BL$50,0)),"")</f>
        <v/>
      </c>
      <c r="AO11" s="31" t="str">
        <f>IFERROR(INDEX($BG$5:$BG$50,MATCH($AK11,BM$5:BM$50,0)),"")</f>
        <v/>
      </c>
      <c r="AP11" s="31" t="str">
        <f>IFERROR(INDEX($BG$5:$BG$50,MATCH($AK11,BN$5:BN$50,0)),"")</f>
        <v/>
      </c>
      <c r="AQ11" s="31" t="str">
        <f>IFERROR(INDEX($BG$5:$BG$50,MATCH($AK11,#REF!,0)),"")</f>
        <v/>
      </c>
      <c r="AR11" s="19">
        <f t="shared" si="11"/>
        <v>117</v>
      </c>
      <c r="AS11" s="22" t="str">
        <f>IF(AR11&lt;&gt;AR10,"",AK10)</f>
        <v/>
      </c>
      <c r="AT11" s="23" t="str">
        <f t="shared" si="0"/>
        <v>117</v>
      </c>
      <c r="AW11" s="22" t="str">
        <f t="shared" si="1"/>
        <v/>
      </c>
      <c r="AX11" s="32">
        <f>IF(AY11="",AK12,"")</f>
        <v>8</v>
      </c>
      <c r="AY11" s="32" t="str">
        <f>IFERROR(INDEX($BG$5:$BG$50,MATCH($AK11,$BH$5:$BH$50,0)),"")</f>
        <v/>
      </c>
      <c r="AZ11" s="32" t="str">
        <f t="shared" si="3"/>
        <v/>
      </c>
      <c r="BA11" s="32" t="str">
        <f t="shared" si="4"/>
        <v/>
      </c>
      <c r="BB11" s="22" t="str">
        <f t="shared" si="5"/>
        <v>8</v>
      </c>
      <c r="BD11" s="40"/>
      <c r="BE11" s="31" t="s">
        <v>504</v>
      </c>
      <c r="BF11" s="19">
        <f t="shared" si="9"/>
        <v>8</v>
      </c>
      <c r="BG11" s="31">
        <v>122</v>
      </c>
      <c r="BH11" s="22">
        <f>INDEX($AB$6:$AB$104,MATCH($BG11,$Y$6:$Y$104,0))*1</f>
        <v>21</v>
      </c>
      <c r="BI11" s="19" t="str">
        <f>INDEX($AC$6:$AC$104,MATCH($BG11,$Y$6:$Y$104,0))</f>
        <v>24+25+124</v>
      </c>
      <c r="BJ11" s="31">
        <v>24</v>
      </c>
      <c r="BK11" s="31">
        <v>25</v>
      </c>
      <c r="BO11" s="33">
        <f t="shared" si="6"/>
        <v>24</v>
      </c>
      <c r="BQ11" s="33" t="str">
        <f t="shared" si="7"/>
        <v>24</v>
      </c>
      <c r="BS11" s="40"/>
      <c r="BU11" s="34"/>
      <c r="BV11" s="34"/>
      <c r="BY11" s="33"/>
      <c r="BZ11" s="33"/>
    </row>
    <row r="12" spans="1:78" x14ac:dyDescent="0.15">
      <c r="C12" s="31" t="s">
        <v>502</v>
      </c>
      <c r="D12" s="31">
        <v>8</v>
      </c>
      <c r="E12" s="31" t="s">
        <v>505</v>
      </c>
      <c r="F12" s="31">
        <v>113</v>
      </c>
      <c r="G12" s="31" t="s">
        <v>504</v>
      </c>
      <c r="H12" s="31">
        <v>123</v>
      </c>
      <c r="I12" s="31" t="s">
        <v>545</v>
      </c>
      <c r="J12" s="31">
        <v>169</v>
      </c>
      <c r="L12" s="31">
        <f>IF(线路设计!B16="","",线路设计!B16)</f>
        <v>1</v>
      </c>
      <c r="M12" s="31">
        <f>IF(线路设计!C16="","",线路设计!C16)</f>
        <v>6</v>
      </c>
      <c r="N12" s="31">
        <f>IF(线路设计!D16="","",线路设计!D16)</f>
        <v>4</v>
      </c>
      <c r="O12" s="31">
        <f>IF(线路设计!E16="","",线路设计!E16)</f>
        <v>1</v>
      </c>
      <c r="P12" s="31">
        <f>IF(线路设计!F16="","",线路设计!F16)</f>
        <v>1</v>
      </c>
      <c r="Q12" s="31" t="str">
        <f>IF(线路设计!G16="","",线路设计!G16)</f>
        <v/>
      </c>
      <c r="R12" s="31">
        <f>IF(线路设计!H16="","",线路设计!H16)</f>
        <v>3</v>
      </c>
      <c r="S12" s="31" t="str">
        <f>IF(线路设计!I17="","",线路设计!I17)</f>
        <v/>
      </c>
      <c r="U12" s="31">
        <v>1</v>
      </c>
      <c r="V12" s="31">
        <v>6</v>
      </c>
      <c r="W12" s="31" t="s">
        <v>554</v>
      </c>
      <c r="X12" s="31">
        <v>108</v>
      </c>
      <c r="Y12" s="31">
        <v>121</v>
      </c>
      <c r="AB12" s="31" t="str">
        <f t="shared" si="10"/>
        <v>19</v>
      </c>
      <c r="AC12" s="31" t="str">
        <f t="shared" si="8"/>
        <v>20+21+122+164</v>
      </c>
      <c r="AF12" s="31">
        <v>113</v>
      </c>
      <c r="AG12" s="18">
        <v>73</v>
      </c>
      <c r="AI12" s="31" t="s">
        <v>502</v>
      </c>
      <c r="AJ12" s="19">
        <f>IF(AI12&lt;&gt;AI11,MAX($AJ$5:$AJ11)+1,AJ11)</f>
        <v>4</v>
      </c>
      <c r="AK12" s="31">
        <v>8</v>
      </c>
      <c r="AL12" s="31" t="str">
        <f>IFERROR(INDEX($BG$5:$BG$50,MATCH($AK12,BJ$5:BJ$50,0)),"")</f>
        <v/>
      </c>
      <c r="AM12" s="31">
        <f>IFERROR(INDEX($BG$5:$BG$50,MATCH($AK12,BK$5:BK$50,0)),"")</f>
        <v>117</v>
      </c>
      <c r="AN12" s="31" t="str">
        <f>IFERROR(INDEX($BG$5:$BG$50,MATCH($AK12,BL$5:BL$50,0)),"")</f>
        <v/>
      </c>
      <c r="AO12" s="31" t="str">
        <f>IFERROR(INDEX($BG$5:$BG$50,MATCH($AK12,BM$5:BM$50,0)),"")</f>
        <v/>
      </c>
      <c r="AP12" s="31" t="str">
        <f>IFERROR(INDEX($BG$5:$BG$50,MATCH($AK12,BN$5:BN$50,0)),"")</f>
        <v/>
      </c>
      <c r="AQ12" s="31" t="str">
        <f>IFERROR(INDEX($BG$5:$BG$50,MATCH($AK12,#REF!,0)),"")</f>
        <v/>
      </c>
      <c r="AR12" s="19">
        <f t="shared" si="11"/>
        <v>117</v>
      </c>
      <c r="AS12" s="22">
        <f>IF(AR12&lt;&gt;AR11,"",AK11)</f>
        <v>7</v>
      </c>
      <c r="AT12" s="23" t="str">
        <f t="shared" si="0"/>
        <v>117+7</v>
      </c>
      <c r="AW12" s="22" t="str">
        <f t="shared" si="1"/>
        <v/>
      </c>
      <c r="AX12" s="32">
        <f>IF(AY12="",AK13,"")</f>
        <v>9</v>
      </c>
      <c r="AY12" s="32" t="str">
        <f>IFERROR(INDEX($BG$5:$BG$50,MATCH($AK12,$BH$5:$BH$50,0)),"")</f>
        <v/>
      </c>
      <c r="AZ12" s="32" t="str">
        <f t="shared" si="3"/>
        <v/>
      </c>
      <c r="BA12" s="32">
        <f t="shared" si="4"/>
        <v>162</v>
      </c>
      <c r="BB12" s="22" t="str">
        <f t="shared" si="5"/>
        <v>9+162</v>
      </c>
      <c r="BD12" s="40"/>
      <c r="BE12" s="31" t="s">
        <v>504</v>
      </c>
      <c r="BF12" s="19">
        <f t="shared" si="9"/>
        <v>8</v>
      </c>
      <c r="BG12" s="31">
        <v>123</v>
      </c>
      <c r="BH12" s="22">
        <f>INDEX($AB$6:$AB$104,MATCH($BG12,$Y$6:$Y$104,0))*1</f>
        <v>23</v>
      </c>
      <c r="BI12" s="19" t="str">
        <f>INDEX($AC$6:$AC$104,MATCH($BG12,$Y$6:$Y$104,0))</f>
        <v>26+27+109+125</v>
      </c>
      <c r="BJ12" s="31">
        <v>26</v>
      </c>
      <c r="BK12" s="31">
        <v>27</v>
      </c>
      <c r="BO12" s="33">
        <f t="shared" si="6"/>
        <v>26</v>
      </c>
      <c r="BP12" s="40">
        <v>27</v>
      </c>
      <c r="BQ12" s="33" t="str">
        <f t="shared" si="7"/>
        <v>26+27</v>
      </c>
      <c r="BS12" s="40"/>
      <c r="BU12" s="34"/>
      <c r="BV12" s="34"/>
      <c r="BY12" s="33"/>
      <c r="BZ12" s="33"/>
    </row>
    <row r="13" spans="1:78" x14ac:dyDescent="0.15">
      <c r="C13" s="31" t="s">
        <v>502</v>
      </c>
      <c r="D13" s="31">
        <v>9</v>
      </c>
      <c r="E13" s="31" t="s">
        <v>506</v>
      </c>
      <c r="F13" s="31">
        <v>114</v>
      </c>
      <c r="G13" s="20" t="s">
        <v>507</v>
      </c>
      <c r="H13" s="20">
        <v>124</v>
      </c>
      <c r="I13" s="31" t="s">
        <v>546</v>
      </c>
      <c r="J13" s="31">
        <v>170</v>
      </c>
      <c r="L13" s="31">
        <f>IF(线路设计!B17="","",线路设计!B17)</f>
        <v>2</v>
      </c>
      <c r="M13" s="31">
        <f>IF(线路设计!C17="","",线路设计!C17)</f>
        <v>7</v>
      </c>
      <c r="N13" s="31">
        <f>IF(线路设计!D17="","",线路设计!D17)</f>
        <v>2</v>
      </c>
      <c r="O13" s="31" t="str">
        <f>IF(线路设计!E17="","",线路设计!E17)</f>
        <v/>
      </c>
      <c r="P13" s="31">
        <f>IF(线路设计!F17="","",线路设计!F17)</f>
        <v>1</v>
      </c>
      <c r="Q13" s="31">
        <f>IF(线路设计!G17="","",线路设计!G17)</f>
        <v>1</v>
      </c>
      <c r="R13" s="31">
        <f>IF(线路设计!H17="","",线路设计!H17)</f>
        <v>2</v>
      </c>
      <c r="S13" s="31" t="str">
        <f>IF(线路设计!I18="","",线路设计!I18)</f>
        <v/>
      </c>
      <c r="U13" s="31">
        <v>2</v>
      </c>
      <c r="V13" s="31">
        <v>7</v>
      </c>
      <c r="W13" s="31" t="s">
        <v>555</v>
      </c>
      <c r="Y13" s="31">
        <v>122</v>
      </c>
      <c r="Z13" s="31">
        <v>164</v>
      </c>
      <c r="AB13" s="31" t="str">
        <f t="shared" si="10"/>
        <v>21</v>
      </c>
      <c r="AC13" s="31" t="str">
        <f t="shared" si="8"/>
        <v>24+25+124</v>
      </c>
      <c r="AF13" s="31">
        <v>114</v>
      </c>
      <c r="AG13" s="18">
        <v>88</v>
      </c>
      <c r="AI13" s="31" t="s">
        <v>502</v>
      </c>
      <c r="AJ13" s="19">
        <f>IF(AI13&lt;&gt;AI12,MAX($AJ$5:$AJ12)+1,AJ12)</f>
        <v>4</v>
      </c>
      <c r="AK13" s="31">
        <v>9</v>
      </c>
      <c r="AL13" s="31" t="str">
        <f>IFERROR(INDEX($BG$5:$BG$50,MATCH($AK13,BJ$5:BJ$50,0)),"")</f>
        <v/>
      </c>
      <c r="AM13" s="31" t="str">
        <f>IFERROR(INDEX($BG$5:$BG$50,MATCH($AK13,BK$5:BK$50,0)),"")</f>
        <v/>
      </c>
      <c r="AN13" s="31">
        <f>IFERROR(INDEX($BG$5:$BG$50,MATCH($AK13,BL$5:BL$50,0)),"")</f>
        <v>117</v>
      </c>
      <c r="AO13" s="31" t="str">
        <f>IFERROR(INDEX($BG$5:$BG$50,MATCH($AK13,BM$5:BM$50,0)),"")</f>
        <v/>
      </c>
      <c r="AP13" s="31" t="str">
        <f>IFERROR(INDEX($BG$5:$BG$50,MATCH($AK13,BN$5:BN$50,0)),"")</f>
        <v/>
      </c>
      <c r="AQ13" s="31" t="str">
        <f>IFERROR(INDEX($BG$5:$BG$50,MATCH($AK13,#REF!,0)),"")</f>
        <v/>
      </c>
      <c r="AR13" s="19">
        <f t="shared" si="11"/>
        <v>117</v>
      </c>
      <c r="AS13" s="22">
        <f>IF(AR13&lt;&gt;AR12,"",AK12)</f>
        <v>8</v>
      </c>
      <c r="AT13" s="23" t="str">
        <f t="shared" si="0"/>
        <v>117+8</v>
      </c>
      <c r="AW13" s="22" t="str">
        <f t="shared" si="1"/>
        <v/>
      </c>
      <c r="AX13" s="32" t="str">
        <f>IF(AY13="",AK14,"")</f>
        <v/>
      </c>
      <c r="AY13" s="32">
        <f>IFERROR(INDEX($BG$5:$BG$50,MATCH($AK13,$BH$5:$BH$50,0)),"")</f>
        <v>118</v>
      </c>
      <c r="AZ13" s="32" t="str">
        <f t="shared" si="3"/>
        <v/>
      </c>
      <c r="BA13" s="32" t="str">
        <f t="shared" si="4"/>
        <v/>
      </c>
      <c r="BB13" s="22" t="str">
        <f t="shared" si="5"/>
        <v>118</v>
      </c>
      <c r="BD13" s="40"/>
      <c r="BE13" s="20" t="s">
        <v>507</v>
      </c>
      <c r="BF13" s="19">
        <f t="shared" si="9"/>
        <v>9</v>
      </c>
      <c r="BG13" s="20">
        <v>124</v>
      </c>
      <c r="BH13" s="22">
        <f>INDEX($AB$6:$AB$104,MATCH($BG13,$Y$6:$Y$104,0))*1</f>
        <v>25</v>
      </c>
      <c r="BI13" s="19" t="str">
        <f>INDEX($AC$6:$AC$104,MATCH($BG13,$Y$6:$Y$104,0))</f>
        <v>28+29+126</v>
      </c>
      <c r="BJ13" s="31">
        <v>28</v>
      </c>
      <c r="BK13" s="31">
        <v>29</v>
      </c>
      <c r="BO13" s="33">
        <f t="shared" si="6"/>
        <v>28</v>
      </c>
      <c r="BP13" s="40"/>
      <c r="BQ13" s="33" t="str">
        <f t="shared" si="7"/>
        <v>28</v>
      </c>
      <c r="BS13" s="40"/>
      <c r="BU13" s="34"/>
      <c r="BV13" s="34"/>
      <c r="BY13" s="33"/>
      <c r="BZ13" s="33"/>
    </row>
    <row r="14" spans="1:78" x14ac:dyDescent="0.15">
      <c r="C14" s="20" t="s">
        <v>508</v>
      </c>
      <c r="D14" s="20">
        <v>10</v>
      </c>
      <c r="E14" s="31" t="s">
        <v>509</v>
      </c>
      <c r="F14" s="31">
        <v>115</v>
      </c>
      <c r="G14" s="20" t="s">
        <v>507</v>
      </c>
      <c r="H14" s="20">
        <v>125</v>
      </c>
      <c r="L14" s="31">
        <f>IF(线路设计!B18="","",线路设计!B18)</f>
        <v>2</v>
      </c>
      <c r="M14" s="31">
        <f>IF(线路设计!C18="","",线路设计!C18)</f>
        <v>8</v>
      </c>
      <c r="N14" s="31">
        <f>IF(线路设计!D18="","",线路设计!D18)</f>
        <v>2</v>
      </c>
      <c r="O14" s="31" t="str">
        <f>IF(线路设计!E18="","",线路设计!E18)</f>
        <v/>
      </c>
      <c r="P14" s="31">
        <f>IF(线路设计!F18="","",线路设计!F18)</f>
        <v>1</v>
      </c>
      <c r="Q14" s="31" t="str">
        <f>IF(线路设计!G18="","",线路设计!G18)</f>
        <v/>
      </c>
      <c r="R14" s="31">
        <f>IF(线路设计!H18="","",线路设计!H18)</f>
        <v>2</v>
      </c>
      <c r="S14" s="31" t="str">
        <f>IF(线路设计!I19="","",线路设计!I19)</f>
        <v/>
      </c>
      <c r="U14" s="31">
        <v>2</v>
      </c>
      <c r="V14" s="31">
        <v>8</v>
      </c>
      <c r="W14" s="31" t="s">
        <v>556</v>
      </c>
      <c r="Y14" s="31">
        <v>124</v>
      </c>
      <c r="AB14" s="31" t="str">
        <f t="shared" si="10"/>
        <v>25</v>
      </c>
      <c r="AC14" s="31" t="str">
        <f t="shared" si="8"/>
        <v>28+29+126</v>
      </c>
      <c r="AF14" s="31">
        <v>115</v>
      </c>
      <c r="AG14" s="18">
        <v>102</v>
      </c>
      <c r="AI14" s="20" t="s">
        <v>508</v>
      </c>
      <c r="AJ14" s="19">
        <f>IF(AI14&lt;&gt;AI13,MAX($AJ$5:$AJ13)+1,AJ13)</f>
        <v>5</v>
      </c>
      <c r="AK14" s="20">
        <v>10</v>
      </c>
      <c r="AL14" s="31">
        <f>IFERROR(INDEX($BG$5:$BG$50,MATCH($AK14,BJ$5:BJ$50,0)),"")</f>
        <v>118</v>
      </c>
      <c r="AM14" s="31" t="str">
        <f>IFERROR(INDEX($BG$5:$BG$50,MATCH($AK14,BK$5:BK$50,0)),"")</f>
        <v/>
      </c>
      <c r="AN14" s="31" t="str">
        <f>IFERROR(INDEX($BG$5:$BG$50,MATCH($AK14,BL$5:BL$50,0)),"")</f>
        <v/>
      </c>
      <c r="AO14" s="31" t="str">
        <f>IFERROR(INDEX($BG$5:$BG$50,MATCH($AK14,BM$5:BM$50,0)),"")</f>
        <v/>
      </c>
      <c r="AP14" s="31" t="str">
        <f>IFERROR(INDEX($BG$5:$BG$50,MATCH($AK14,BN$5:BN$50,0)),"")</f>
        <v/>
      </c>
      <c r="AQ14" s="31" t="str">
        <f>IFERROR(INDEX($BG$5:$BG$50,MATCH($AK14,#REF!,0)),"")</f>
        <v/>
      </c>
      <c r="AR14" s="19">
        <f t="shared" si="11"/>
        <v>118</v>
      </c>
      <c r="AS14" s="22" t="str">
        <f>IF(AR14&lt;&gt;AR13,"",AK13)</f>
        <v/>
      </c>
      <c r="AT14" s="23" t="str">
        <f t="shared" si="0"/>
        <v>118</v>
      </c>
      <c r="AW14" s="22" t="str">
        <f t="shared" si="1"/>
        <v/>
      </c>
      <c r="AX14" s="32">
        <f>IF(AY14="",AK15,"")</f>
        <v>11</v>
      </c>
      <c r="AY14" s="32" t="str">
        <f>IFERROR(INDEX($BG$5:$BG$50,MATCH($AK14,$BH$5:$BH$50,0)),"")</f>
        <v/>
      </c>
      <c r="AZ14" s="32" t="str">
        <f t="shared" si="3"/>
        <v/>
      </c>
      <c r="BA14" s="32" t="str">
        <f t="shared" si="4"/>
        <v/>
      </c>
      <c r="BB14" s="22" t="str">
        <f t="shared" si="5"/>
        <v>11</v>
      </c>
      <c r="BD14" s="40"/>
      <c r="BE14" s="20" t="s">
        <v>507</v>
      </c>
      <c r="BF14" s="19">
        <f t="shared" si="9"/>
        <v>9</v>
      </c>
      <c r="BG14" s="20">
        <v>125</v>
      </c>
      <c r="BH14" s="22">
        <f>INDEX($AB$6:$AB$104,MATCH($BG14,$Y$6:$Y$104,0))*1</f>
        <v>27</v>
      </c>
      <c r="BI14" s="19" t="str">
        <f>INDEX($AC$6:$AC$104,MATCH($BG14,$Y$6:$Y$104,0))</f>
        <v>30+31+32+127+165</v>
      </c>
      <c r="BJ14" s="31">
        <v>30</v>
      </c>
      <c r="BK14" s="31">
        <v>31</v>
      </c>
      <c r="BL14" s="31">
        <v>32</v>
      </c>
      <c r="BO14" s="33">
        <f t="shared" si="6"/>
        <v>30</v>
      </c>
      <c r="BP14" s="40"/>
      <c r="BQ14" s="33" t="str">
        <f t="shared" si="7"/>
        <v>30</v>
      </c>
      <c r="BS14" s="40"/>
      <c r="BU14" s="34"/>
      <c r="BV14" s="34"/>
      <c r="BY14" s="33"/>
      <c r="BZ14" s="33"/>
    </row>
    <row r="15" spans="1:78" x14ac:dyDescent="0.15">
      <c r="C15" s="20" t="s">
        <v>508</v>
      </c>
      <c r="D15" s="20">
        <v>11</v>
      </c>
      <c r="G15" s="31" t="s">
        <v>510</v>
      </c>
      <c r="H15" s="31">
        <v>126</v>
      </c>
      <c r="L15" s="31">
        <f>IF(线路设计!B19="","",线路设计!B19)</f>
        <v>2</v>
      </c>
      <c r="M15" s="31">
        <f>IF(线路设计!C19="","",线路设计!C19)</f>
        <v>9</v>
      </c>
      <c r="N15" s="31">
        <f>IF(线路设计!D19="","",线路设计!D19)</f>
        <v>2</v>
      </c>
      <c r="O15" s="31" t="str">
        <f>IF(线路设计!E19="","",线路设计!E19)</f>
        <v/>
      </c>
      <c r="P15" s="31">
        <f>IF(线路设计!F19="","",线路设计!F19)</f>
        <v>1</v>
      </c>
      <c r="Q15" s="31" t="str">
        <f>IF(线路设计!G19="","",线路设计!G19)</f>
        <v/>
      </c>
      <c r="R15" s="31">
        <f>IF(线路设计!H19="","",线路设计!H19)</f>
        <v>2</v>
      </c>
      <c r="S15" s="31" t="str">
        <f>IF(线路设计!I20="","",线路设计!I20)</f>
        <v/>
      </c>
      <c r="U15" s="31">
        <v>2</v>
      </c>
      <c r="V15" s="31">
        <v>9</v>
      </c>
      <c r="W15" s="31" t="s">
        <v>557</v>
      </c>
      <c r="Y15" s="31">
        <v>126</v>
      </c>
      <c r="AB15" s="31" t="str">
        <f t="shared" si="10"/>
        <v>29</v>
      </c>
      <c r="AC15" s="31" t="str">
        <f t="shared" si="8"/>
        <v>33+34+128</v>
      </c>
      <c r="AI15" s="20" t="s">
        <v>508</v>
      </c>
      <c r="AJ15" s="19">
        <f>IF(AI15&lt;&gt;AI14,MAX($AJ$5:$AJ14)+1,AJ14)</f>
        <v>5</v>
      </c>
      <c r="AK15" s="20">
        <v>11</v>
      </c>
      <c r="AL15" s="31" t="str">
        <f>IFERROR(INDEX($BG$5:$BG$50,MATCH($AK15,BJ$5:BJ$50,0)),"")</f>
        <v/>
      </c>
      <c r="AM15" s="31">
        <f>IFERROR(INDEX($BG$5:$BG$50,MATCH($AK15,BK$5:BK$50,0)),"")</f>
        <v>118</v>
      </c>
      <c r="AN15" s="31" t="str">
        <f>IFERROR(INDEX($BG$5:$BG$50,MATCH($AK15,BL$5:BL$50,0)),"")</f>
        <v/>
      </c>
      <c r="AO15" s="31" t="str">
        <f>IFERROR(INDEX($BG$5:$BG$50,MATCH($AK15,BM$5:BM$50,0)),"")</f>
        <v/>
      </c>
      <c r="AP15" s="31" t="str">
        <f>IFERROR(INDEX($BG$5:$BG$50,MATCH($AK15,BN$5:BN$50,0)),"")</f>
        <v/>
      </c>
      <c r="AQ15" s="31" t="str">
        <f>IFERROR(INDEX($BG$5:$BG$50,MATCH($AK15,#REF!,0)),"")</f>
        <v/>
      </c>
      <c r="AR15" s="19">
        <f t="shared" si="11"/>
        <v>118</v>
      </c>
      <c r="AS15" s="22">
        <f>IF(AR15&lt;&gt;AR14,"",AK14)</f>
        <v>10</v>
      </c>
      <c r="AT15" s="23" t="str">
        <f t="shared" si="0"/>
        <v>118+10</v>
      </c>
      <c r="AW15" s="22" t="str">
        <f t="shared" si="1"/>
        <v/>
      </c>
      <c r="AX15" s="32">
        <f>IF(AY15="",AK16,"")</f>
        <v>12</v>
      </c>
      <c r="AY15" s="32" t="str">
        <f>IFERROR(INDEX($BG$5:$BG$50,MATCH($AK15,$BH$5:$BH$50,0)),"")</f>
        <v/>
      </c>
      <c r="AZ15" s="32">
        <f t="shared" si="3"/>
        <v>107</v>
      </c>
      <c r="BA15" s="32" t="str">
        <f t="shared" si="4"/>
        <v/>
      </c>
      <c r="BB15" s="22" t="str">
        <f t="shared" si="5"/>
        <v>12+107</v>
      </c>
      <c r="BD15" s="40"/>
      <c r="BE15" s="31" t="s">
        <v>510</v>
      </c>
      <c r="BF15" s="19">
        <f t="shared" si="9"/>
        <v>10</v>
      </c>
      <c r="BG15" s="31">
        <v>126</v>
      </c>
      <c r="BH15" s="22">
        <f>INDEX($AB$6:$AB$104,MATCH($BG15,$Y$6:$Y$104,0))*1</f>
        <v>29</v>
      </c>
      <c r="BI15" s="19" t="str">
        <f>INDEX($AC$6:$AC$104,MATCH($BG15,$Y$6:$Y$104,0))</f>
        <v>33+34+128</v>
      </c>
      <c r="BJ15" s="31">
        <v>33</v>
      </c>
      <c r="BK15" s="31">
        <v>34</v>
      </c>
      <c r="BO15" s="33">
        <f t="shared" si="6"/>
        <v>33</v>
      </c>
      <c r="BP15" s="40"/>
      <c r="BQ15" s="33" t="str">
        <f t="shared" si="7"/>
        <v>33</v>
      </c>
      <c r="BS15" s="40"/>
      <c r="BU15" s="34"/>
      <c r="BV15" s="34"/>
      <c r="BY15" s="33"/>
      <c r="BZ15" s="33"/>
    </row>
    <row r="16" spans="1:78" x14ac:dyDescent="0.15">
      <c r="C16" s="20" t="s">
        <v>508</v>
      </c>
      <c r="D16" s="20">
        <v>12</v>
      </c>
      <c r="G16" s="31" t="s">
        <v>510</v>
      </c>
      <c r="H16" s="31">
        <v>127</v>
      </c>
      <c r="L16" s="31">
        <f>IF(线路设计!B20="","",线路设计!B20)</f>
        <v>2</v>
      </c>
      <c r="M16" s="31">
        <f>IF(线路设计!C20="","",线路设计!C20)</f>
        <v>10</v>
      </c>
      <c r="N16" s="31">
        <f>IF(线路设计!D20="","",线路设计!D20)</f>
        <v>2</v>
      </c>
      <c r="O16" s="31" t="str">
        <f>IF(线路设计!E20="","",线路设计!E20)</f>
        <v/>
      </c>
      <c r="P16" s="31">
        <f>IF(线路设计!F20="","",线路设计!F20)</f>
        <v>1</v>
      </c>
      <c r="Q16" s="31" t="str">
        <f>IF(线路设计!G20="","",线路设计!G20)</f>
        <v/>
      </c>
      <c r="R16" s="31">
        <f>IF(线路设计!H20="","",线路设计!H20)</f>
        <v>2</v>
      </c>
      <c r="S16" s="31" t="str">
        <f>IF(线路设计!I21="","",线路设计!I21)</f>
        <v/>
      </c>
      <c r="U16" s="31">
        <v>2</v>
      </c>
      <c r="V16" s="31">
        <v>10</v>
      </c>
      <c r="W16" s="31" t="s">
        <v>558</v>
      </c>
      <c r="Y16" s="31">
        <v>128</v>
      </c>
      <c r="AB16" s="31" t="str">
        <f t="shared" si="10"/>
        <v>34</v>
      </c>
      <c r="AC16" s="31" t="str">
        <f t="shared" si="8"/>
        <v>38+39+130</v>
      </c>
      <c r="AI16" s="20" t="s">
        <v>508</v>
      </c>
      <c r="AJ16" s="19">
        <f>IF(AI16&lt;&gt;AI15,MAX($AJ$5:$AJ15)+1,AJ15)</f>
        <v>5</v>
      </c>
      <c r="AK16" s="20">
        <v>12</v>
      </c>
      <c r="AL16" s="31" t="str">
        <f>IFERROR(INDEX($BG$5:$BG$50,MATCH($AK16,BJ$5:BJ$50,0)),"")</f>
        <v/>
      </c>
      <c r="AM16" s="31" t="str">
        <f>IFERROR(INDEX($BG$5:$BG$50,MATCH($AK16,BK$5:BK$50,0)),"")</f>
        <v/>
      </c>
      <c r="AN16" s="31">
        <f>IFERROR(INDEX($BG$5:$BG$50,MATCH($AK16,BL$5:BL$50,0)),"")</f>
        <v>118</v>
      </c>
      <c r="AO16" s="31" t="str">
        <f>IFERROR(INDEX($BG$5:$BG$50,MATCH($AK16,BM$5:BM$50,0)),"")</f>
        <v/>
      </c>
      <c r="AP16" s="31" t="str">
        <f>IFERROR(INDEX($BG$5:$BG$50,MATCH($AK16,BN$5:BN$50,0)),"")</f>
        <v/>
      </c>
      <c r="AQ16" s="31" t="str">
        <f>IFERROR(INDEX($BG$5:$BG$50,MATCH($AK16,#REF!,0)),"")</f>
        <v/>
      </c>
      <c r="AR16" s="19">
        <f t="shared" si="11"/>
        <v>118</v>
      </c>
      <c r="AS16" s="22">
        <f>IF(AR16&lt;&gt;AR15,"",AK15)</f>
        <v>11</v>
      </c>
      <c r="AT16" s="23" t="str">
        <f t="shared" si="0"/>
        <v>118+11</v>
      </c>
      <c r="AW16" s="22" t="str">
        <f t="shared" si="1"/>
        <v/>
      </c>
      <c r="AX16" s="40" t="str">
        <f>IF(AY16="",AK17,"")</f>
        <v/>
      </c>
      <c r="AY16" s="32">
        <f>IFERROR(INDEX($BG$5:$BG$50,MATCH($AK16,$BH$5:$BH$50,0)),"")</f>
        <v>119</v>
      </c>
      <c r="AZ16" s="32" t="str">
        <f t="shared" si="3"/>
        <v/>
      </c>
      <c r="BA16" s="32" t="str">
        <f t="shared" si="4"/>
        <v/>
      </c>
      <c r="BB16" s="22" t="str">
        <f t="shared" si="5"/>
        <v>119</v>
      </c>
      <c r="BD16" s="40"/>
      <c r="BE16" s="31" t="s">
        <v>510</v>
      </c>
      <c r="BF16" s="19">
        <f t="shared" si="9"/>
        <v>10</v>
      </c>
      <c r="BG16" s="31">
        <v>127</v>
      </c>
      <c r="BH16" s="22">
        <f>INDEX($AB$6:$AB$104,MATCH($BG16,$Y$6:$Y$104,0))*1</f>
        <v>32</v>
      </c>
      <c r="BI16" s="19" t="str">
        <f>INDEX($AC$6:$AC$104,MATCH($BG16,$Y$6:$Y$104,0))</f>
        <v>35+36+37+110+129</v>
      </c>
      <c r="BJ16" s="31">
        <v>35</v>
      </c>
      <c r="BK16" s="31">
        <v>36</v>
      </c>
      <c r="BL16" s="31">
        <v>37</v>
      </c>
      <c r="BO16" s="33">
        <f t="shared" si="6"/>
        <v>35</v>
      </c>
      <c r="BP16" s="40">
        <v>36</v>
      </c>
      <c r="BQ16" s="33" t="str">
        <f t="shared" si="7"/>
        <v>35+36</v>
      </c>
      <c r="BS16" s="40"/>
      <c r="BU16" s="34"/>
      <c r="BV16" s="34"/>
      <c r="BY16" s="33"/>
      <c r="BZ16" s="33"/>
    </row>
    <row r="17" spans="3:78" x14ac:dyDescent="0.15">
      <c r="C17" s="31" t="s">
        <v>511</v>
      </c>
      <c r="D17" s="31">
        <v>13</v>
      </c>
      <c r="G17" s="20" t="s">
        <v>512</v>
      </c>
      <c r="H17" s="20">
        <v>128</v>
      </c>
      <c r="L17" s="31">
        <f>IF(线路设计!B21="","",线路设计!B21)</f>
        <v>2</v>
      </c>
      <c r="M17" s="31">
        <f>IF(线路设计!C21="","",线路设计!C21)</f>
        <v>11</v>
      </c>
      <c r="N17" s="31">
        <f>IF(线路设计!D21="","",线路设计!D21)</f>
        <v>2</v>
      </c>
      <c r="O17" s="31" t="str">
        <f>IF(线路设计!E21="","",线路设计!E21)</f>
        <v/>
      </c>
      <c r="P17" s="31">
        <f>IF(线路设计!F21="","",线路设计!F21)</f>
        <v>1</v>
      </c>
      <c r="Q17" s="31" t="str">
        <f>IF(线路设计!G21="","",线路设计!G21)</f>
        <v/>
      </c>
      <c r="R17" s="31">
        <f>IF(线路设计!H21="","",线路设计!H21)</f>
        <v>2</v>
      </c>
      <c r="S17" s="31" t="str">
        <f>IF(线路设计!I22="","",线路设计!I22)</f>
        <v/>
      </c>
      <c r="U17" s="31">
        <v>2</v>
      </c>
      <c r="V17" s="31">
        <v>11</v>
      </c>
      <c r="W17" s="31" t="s">
        <v>738</v>
      </c>
      <c r="Y17" s="31">
        <v>130</v>
      </c>
      <c r="AB17" s="31" t="str">
        <f t="shared" si="10"/>
        <v>39</v>
      </c>
      <c r="AC17" s="31" t="str">
        <f t="shared" si="8"/>
        <v>43+44+45+132</v>
      </c>
      <c r="AI17" s="31" t="s">
        <v>511</v>
      </c>
      <c r="AJ17" s="19">
        <f>IF(AI17&lt;&gt;AI16,MAX($AJ$5:$AJ16)+1,AJ16)</f>
        <v>6</v>
      </c>
      <c r="AK17" s="31">
        <v>13</v>
      </c>
      <c r="AL17" s="31">
        <f>IFERROR(INDEX($BG$5:$BG$50,MATCH($AK17,BJ$5:BJ$50,0)),"")</f>
        <v>119</v>
      </c>
      <c r="AM17" s="31" t="str">
        <f>IFERROR(INDEX($BG$5:$BG$50,MATCH($AK17,BK$5:BK$50,0)),"")</f>
        <v/>
      </c>
      <c r="AN17" s="31" t="str">
        <f>IFERROR(INDEX($BG$5:$BG$50,MATCH($AK17,BL$5:BL$50,0)),"")</f>
        <v/>
      </c>
      <c r="AO17" s="31" t="str">
        <f>IFERROR(INDEX($BG$5:$BG$50,MATCH($AK17,BM$5:BM$50,0)),"")</f>
        <v/>
      </c>
      <c r="AP17" s="31" t="str">
        <f>IFERROR(INDEX($BG$5:$BG$50,MATCH($AK17,BN$5:BN$50,0)),"")</f>
        <v/>
      </c>
      <c r="AQ17" s="31" t="str">
        <f>IFERROR(INDEX($BG$5:$BG$50,MATCH($AK17,#REF!,0)),"")</f>
        <v/>
      </c>
      <c r="AR17" s="19">
        <f t="shared" si="11"/>
        <v>119</v>
      </c>
      <c r="AS17" s="22" t="str">
        <f>IF(AR17&lt;&gt;AR16,"",AK16)</f>
        <v/>
      </c>
      <c r="AT17" s="23" t="str">
        <f t="shared" si="0"/>
        <v>119</v>
      </c>
      <c r="AW17" s="22" t="str">
        <f t="shared" si="1"/>
        <v/>
      </c>
      <c r="AX17" s="40">
        <f>IF(AY17="",AK18,"")</f>
        <v>14</v>
      </c>
      <c r="AY17" s="32" t="str">
        <f>IFERROR(INDEX($BG$5:$BG$50,MATCH($AK17,$BH$5:$BH$50,0)),"")</f>
        <v/>
      </c>
      <c r="AZ17" s="32" t="str">
        <f t="shared" si="3"/>
        <v/>
      </c>
      <c r="BA17" s="32" t="str">
        <f t="shared" si="4"/>
        <v/>
      </c>
      <c r="BB17" s="22" t="str">
        <f t="shared" si="5"/>
        <v>14</v>
      </c>
      <c r="BD17" s="40"/>
      <c r="BE17" s="20" t="s">
        <v>512</v>
      </c>
      <c r="BF17" s="19">
        <f t="shared" si="9"/>
        <v>11</v>
      </c>
      <c r="BG17" s="20">
        <v>128</v>
      </c>
      <c r="BH17" s="22">
        <f>INDEX($AB$6:$AB$104,MATCH($BG17,$Y$6:$Y$104,0))*1</f>
        <v>34</v>
      </c>
      <c r="BI17" s="19" t="str">
        <f>INDEX($AC$6:$AC$104,MATCH($BG17,$Y$6:$Y$104,0))</f>
        <v>38+39+130</v>
      </c>
      <c r="BJ17" s="31">
        <v>38</v>
      </c>
      <c r="BK17" s="31">
        <v>39</v>
      </c>
      <c r="BO17" s="33">
        <f t="shared" si="6"/>
        <v>38</v>
      </c>
      <c r="BP17" s="40"/>
      <c r="BQ17" s="33" t="str">
        <f t="shared" si="7"/>
        <v>38</v>
      </c>
      <c r="BS17" s="40"/>
      <c r="BU17" s="34"/>
      <c r="BV17" s="34"/>
      <c r="BY17" s="33"/>
      <c r="BZ17" s="33"/>
    </row>
    <row r="18" spans="3:78" x14ac:dyDescent="0.15">
      <c r="C18" s="31" t="s">
        <v>511</v>
      </c>
      <c r="D18" s="31">
        <v>14</v>
      </c>
      <c r="G18" s="20" t="s">
        <v>512</v>
      </c>
      <c r="H18" s="20">
        <v>129</v>
      </c>
      <c r="L18" s="31">
        <f>IF(线路设计!B22="","",线路设计!B22)</f>
        <v>2</v>
      </c>
      <c r="M18" s="31">
        <f>IF(线路设计!C22="","",线路设计!C22)</f>
        <v>12</v>
      </c>
      <c r="N18" s="31">
        <f>IF(线路设计!D22="","",线路设计!D22)</f>
        <v>3</v>
      </c>
      <c r="O18" s="31" t="str">
        <f>IF(线路设计!E22="","",线路设计!E22)</f>
        <v/>
      </c>
      <c r="P18" s="31">
        <f>IF(线路设计!F22="","",线路设计!F22)</f>
        <v>1</v>
      </c>
      <c r="Q18" s="31" t="str">
        <f>IF(线路设计!G22="","",线路设计!G22)</f>
        <v/>
      </c>
      <c r="R18" s="31">
        <f>IF(线路设计!H22="","",线路设计!H22)</f>
        <v>2</v>
      </c>
      <c r="S18" s="31" t="str">
        <f>IF(线路设计!I23="","",线路设计!I23)</f>
        <v/>
      </c>
      <c r="U18" s="31">
        <v>2</v>
      </c>
      <c r="V18" s="31">
        <v>12</v>
      </c>
      <c r="W18" s="31" t="s">
        <v>559</v>
      </c>
      <c r="Y18" s="31">
        <v>132</v>
      </c>
      <c r="AB18" s="31" t="str">
        <f t="shared" si="10"/>
        <v>45</v>
      </c>
      <c r="AC18" s="31" t="str">
        <f t="shared" si="8"/>
        <v>49+50+134+167</v>
      </c>
      <c r="AI18" s="31" t="s">
        <v>511</v>
      </c>
      <c r="AJ18" s="19">
        <f>IF(AI18&lt;&gt;AI17,MAX($AJ$5:$AJ17)+1,AJ17)</f>
        <v>6</v>
      </c>
      <c r="AK18" s="31">
        <v>14</v>
      </c>
      <c r="AL18" s="31" t="str">
        <f>IFERROR(INDEX($BG$5:$BG$50,MATCH($AK18,BJ$5:BJ$50,0)),"")</f>
        <v/>
      </c>
      <c r="AM18" s="31">
        <f>IFERROR(INDEX($BG$5:$BG$50,MATCH($AK18,BK$5:BK$50,0)),"")</f>
        <v>119</v>
      </c>
      <c r="AN18" s="31" t="str">
        <f>IFERROR(INDEX($BG$5:$BG$50,MATCH($AK18,BL$5:BL$50,0)),"")</f>
        <v/>
      </c>
      <c r="AO18" s="31" t="str">
        <f>IFERROR(INDEX($BG$5:$BG$50,MATCH($AK18,BM$5:BM$50,0)),"")</f>
        <v/>
      </c>
      <c r="AP18" s="31" t="str">
        <f>IFERROR(INDEX($BG$5:$BG$50,MATCH($AK18,BN$5:BN$50,0)),"")</f>
        <v/>
      </c>
      <c r="AQ18" s="31" t="str">
        <f>IFERROR(INDEX($BG$5:$BG$50,MATCH($AK18,#REF!,0)),"")</f>
        <v/>
      </c>
      <c r="AR18" s="19">
        <f t="shared" si="11"/>
        <v>119</v>
      </c>
      <c r="AS18" s="22">
        <f>IF(AR18&lt;&gt;AR17,"",AK17)</f>
        <v>13</v>
      </c>
      <c r="AT18" s="23" t="str">
        <f t="shared" si="0"/>
        <v>119+13</v>
      </c>
      <c r="AW18" s="22" t="str">
        <f t="shared" si="1"/>
        <v/>
      </c>
      <c r="AX18" s="40">
        <f>IF(AY18="",AK19,"")</f>
        <v>15</v>
      </c>
      <c r="AY18" s="32" t="str">
        <f>IFERROR(INDEX($BG$5:$BG$50,MATCH($AK18,$BH$5:$BH$50,0)),"")</f>
        <v/>
      </c>
      <c r="AZ18" s="32" t="str">
        <f t="shared" si="3"/>
        <v/>
      </c>
      <c r="BA18" s="32">
        <f t="shared" si="4"/>
        <v>163</v>
      </c>
      <c r="BB18" s="22" t="str">
        <f t="shared" si="5"/>
        <v>15+163</v>
      </c>
      <c r="BD18" s="40"/>
      <c r="BE18" s="20" t="s">
        <v>512</v>
      </c>
      <c r="BF18" s="19">
        <f t="shared" si="9"/>
        <v>11</v>
      </c>
      <c r="BG18" s="20">
        <v>129</v>
      </c>
      <c r="BH18" s="22">
        <f>INDEX($AB$6:$AB$104,MATCH($BG18,$Y$6:$Y$104,0))*1</f>
        <v>37</v>
      </c>
      <c r="BI18" s="19" t="str">
        <f>INDEX($AC$6:$AC$104,MATCH($BG18,$Y$6:$Y$104,0))</f>
        <v>40+41+42+131+166</v>
      </c>
      <c r="BJ18" s="31">
        <v>40</v>
      </c>
      <c r="BK18" s="31">
        <v>41</v>
      </c>
      <c r="BL18" s="31">
        <v>42</v>
      </c>
      <c r="BO18" s="33">
        <f t="shared" si="6"/>
        <v>40</v>
      </c>
      <c r="BP18" s="40"/>
      <c r="BQ18" s="33" t="str">
        <f t="shared" si="7"/>
        <v>40</v>
      </c>
      <c r="BS18" s="40"/>
      <c r="BU18" s="34"/>
      <c r="BV18" s="34"/>
      <c r="BY18" s="33"/>
      <c r="BZ18" s="33"/>
    </row>
    <row r="19" spans="3:78" x14ac:dyDescent="0.15">
      <c r="C19" s="31" t="s">
        <v>511</v>
      </c>
      <c r="D19" s="31">
        <v>15</v>
      </c>
      <c r="G19" s="31" t="s">
        <v>513</v>
      </c>
      <c r="H19" s="31">
        <v>130</v>
      </c>
      <c r="L19" s="31">
        <f>IF(线路设计!B23="","",线路设计!B23)</f>
        <v>3</v>
      </c>
      <c r="M19" s="31">
        <f>IF(线路设计!C23="","",线路设计!C23)</f>
        <v>13</v>
      </c>
      <c r="N19" s="31">
        <f>IF(线路设计!D23="","",线路设计!D23)</f>
        <v>2</v>
      </c>
      <c r="O19" s="31" t="str">
        <f>IF(线路设计!E23="","",线路设计!E23)</f>
        <v/>
      </c>
      <c r="P19" s="31">
        <f>IF(线路设计!F23="","",线路设计!F23)</f>
        <v>1</v>
      </c>
      <c r="Q19" s="31">
        <f>IF(线路设计!G23="","",线路设计!G23)</f>
        <v>1</v>
      </c>
      <c r="R19" s="31">
        <f>IF(线路设计!H23="","",线路设计!H23)</f>
        <v>2</v>
      </c>
      <c r="S19" s="31" t="str">
        <f>IF(线路设计!I24="","",线路设计!I24)</f>
        <v/>
      </c>
      <c r="U19" s="31">
        <v>3</v>
      </c>
      <c r="V19" s="31">
        <v>13</v>
      </c>
      <c r="W19" s="31" t="s">
        <v>560</v>
      </c>
      <c r="Y19" s="31">
        <v>134</v>
      </c>
      <c r="Z19" s="31">
        <v>167</v>
      </c>
      <c r="AB19" s="31" t="str">
        <f t="shared" si="10"/>
        <v>50</v>
      </c>
      <c r="AC19" s="31" t="str">
        <f t="shared" si="8"/>
        <v>55+56+112+137</v>
      </c>
      <c r="AF19" s="31" t="s">
        <v>745</v>
      </c>
      <c r="AG19" s="31" t="s">
        <v>744</v>
      </c>
      <c r="AI19" s="31" t="s">
        <v>511</v>
      </c>
      <c r="AJ19" s="19">
        <f>IF(AI19&lt;&gt;AI18,MAX($AJ$5:$AJ18)+1,AJ18)</f>
        <v>6</v>
      </c>
      <c r="AK19" s="31">
        <v>15</v>
      </c>
      <c r="AL19" s="31" t="str">
        <f>IFERROR(INDEX($BG$5:$BG$50,MATCH($AK19,BJ$5:BJ$50,0)),"")</f>
        <v/>
      </c>
      <c r="AM19" s="31" t="str">
        <f>IFERROR(INDEX($BG$5:$BG$50,MATCH($AK19,BK$5:BK$50,0)),"")</f>
        <v/>
      </c>
      <c r="AN19" s="31">
        <f>IFERROR(INDEX($BG$5:$BG$50,MATCH($AK19,BL$5:BL$50,0)),"")</f>
        <v>119</v>
      </c>
      <c r="AO19" s="31" t="str">
        <f>IFERROR(INDEX($BG$5:$BG$50,MATCH($AK19,BM$5:BM$50,0)),"")</f>
        <v/>
      </c>
      <c r="AP19" s="31" t="str">
        <f>IFERROR(INDEX($BG$5:$BG$50,MATCH($AK19,BN$5:BN$50,0)),"")</f>
        <v/>
      </c>
      <c r="AQ19" s="31" t="str">
        <f>IFERROR(INDEX($BG$5:$BG$50,MATCH($AK19,#REF!,0)),"")</f>
        <v/>
      </c>
      <c r="AR19" s="19">
        <f t="shared" si="11"/>
        <v>119</v>
      </c>
      <c r="AS19" s="22">
        <f>IF(AR19&lt;&gt;AR18,"",AK18)</f>
        <v>14</v>
      </c>
      <c r="AT19" s="23" t="str">
        <f t="shared" si="0"/>
        <v>119+14</v>
      </c>
      <c r="AW19" s="22" t="str">
        <f t="shared" si="1"/>
        <v/>
      </c>
      <c r="AX19" s="40" t="str">
        <f>IF(AY19="",AK20,"")</f>
        <v/>
      </c>
      <c r="AY19" s="32">
        <f>IFERROR(INDEX($BG$5:$BG$50,MATCH($AK19,$BH$5:$BH$50,0)),"")</f>
        <v>120</v>
      </c>
      <c r="AZ19" s="32" t="str">
        <f t="shared" si="3"/>
        <v/>
      </c>
      <c r="BA19" s="32" t="str">
        <f t="shared" si="4"/>
        <v/>
      </c>
      <c r="BB19" s="22" t="str">
        <f t="shared" si="5"/>
        <v>120</v>
      </c>
      <c r="BD19" s="40"/>
      <c r="BE19" s="31" t="s">
        <v>513</v>
      </c>
      <c r="BF19" s="19">
        <f t="shared" si="9"/>
        <v>12</v>
      </c>
      <c r="BG19" s="31">
        <v>130</v>
      </c>
      <c r="BH19" s="22">
        <f>INDEX($AB$6:$AB$104,MATCH($BG19,$Y$6:$Y$104,0))*1</f>
        <v>39</v>
      </c>
      <c r="BI19" s="19" t="str">
        <f>INDEX($AC$6:$AC$104,MATCH($BG19,$Y$6:$Y$104,0))</f>
        <v>43+44+45+132</v>
      </c>
      <c r="BJ19" s="31">
        <v>43</v>
      </c>
      <c r="BK19" s="31">
        <v>44</v>
      </c>
      <c r="BL19" s="31">
        <v>45</v>
      </c>
      <c r="BO19" s="33">
        <f t="shared" si="6"/>
        <v>43</v>
      </c>
      <c r="BP19" s="40"/>
      <c r="BQ19" s="33" t="str">
        <f t="shared" si="7"/>
        <v>43</v>
      </c>
      <c r="BS19" s="40"/>
      <c r="BU19" s="34"/>
      <c r="BV19" s="34"/>
      <c r="BY19" s="33"/>
      <c r="BZ19" s="33"/>
    </row>
    <row r="20" spans="3:78" x14ac:dyDescent="0.15">
      <c r="C20" s="20" t="s">
        <v>514</v>
      </c>
      <c r="D20" s="20">
        <v>16</v>
      </c>
      <c r="G20" s="31" t="s">
        <v>513</v>
      </c>
      <c r="H20" s="31">
        <v>131</v>
      </c>
      <c r="L20" s="31">
        <f>IF(线路设计!B24="","",线路设计!B24)</f>
        <v>3</v>
      </c>
      <c r="M20" s="31">
        <f>IF(线路设计!C24="","",线路设计!C24)</f>
        <v>14</v>
      </c>
      <c r="N20" s="31">
        <f>IF(线路设计!D24="","",线路设计!D24)</f>
        <v>2</v>
      </c>
      <c r="O20" s="31">
        <f>IF(线路设计!E24="","",线路设计!E24)</f>
        <v>1</v>
      </c>
      <c r="P20" s="31">
        <f>IF(线路设计!F24="","",线路设计!F24)</f>
        <v>1</v>
      </c>
      <c r="Q20" s="31" t="str">
        <f>IF(线路设计!G24="","",线路设计!G24)</f>
        <v/>
      </c>
      <c r="R20" s="31">
        <f>IF(线路设计!H24="","",线路设计!H24)</f>
        <v>2</v>
      </c>
      <c r="S20" s="31" t="str">
        <f>IF(线路设计!I25="","",线路设计!I25)</f>
        <v/>
      </c>
      <c r="U20" s="31">
        <v>3</v>
      </c>
      <c r="V20" s="31">
        <v>14</v>
      </c>
      <c r="W20" s="31" t="s">
        <v>561</v>
      </c>
      <c r="X20" s="31">
        <v>112</v>
      </c>
      <c r="Y20" s="31">
        <v>137</v>
      </c>
      <c r="AB20" s="31" t="str">
        <f t="shared" si="10"/>
        <v>56</v>
      </c>
      <c r="AC20" s="31" t="str">
        <f t="shared" si="8"/>
        <v>61+62+63+140+168</v>
      </c>
      <c r="AF20" s="31">
        <v>162</v>
      </c>
      <c r="AG20" s="18">
        <v>8</v>
      </c>
      <c r="AI20" s="20" t="s">
        <v>514</v>
      </c>
      <c r="AJ20" s="19">
        <f>IF(AI20&lt;&gt;AI19,MAX($AJ$5:$AJ19)+1,AJ19)</f>
        <v>7</v>
      </c>
      <c r="AK20" s="20">
        <v>16</v>
      </c>
      <c r="AL20" s="31">
        <f>IFERROR(INDEX($BG$5:$BG$50,MATCH($AK20,BJ$5:BJ$50,0)),"")</f>
        <v>120</v>
      </c>
      <c r="AM20" s="31" t="str">
        <f>IFERROR(INDEX($BG$5:$BG$50,MATCH($AK20,BK$5:BK$50,0)),"")</f>
        <v/>
      </c>
      <c r="AN20" s="31" t="str">
        <f>IFERROR(INDEX($BG$5:$BG$50,MATCH($AK20,BL$5:BL$50,0)),"")</f>
        <v/>
      </c>
      <c r="AO20" s="31" t="str">
        <f>IFERROR(INDEX($BG$5:$BG$50,MATCH($AK20,BM$5:BM$50,0)),"")</f>
        <v/>
      </c>
      <c r="AP20" s="31" t="str">
        <f>IFERROR(INDEX($BG$5:$BG$50,MATCH($AK20,BN$5:BN$50,0)),"")</f>
        <v/>
      </c>
      <c r="AQ20" s="31" t="str">
        <f>IFERROR(INDEX($BG$5:$BG$50,MATCH($AK20,#REF!,0)),"")</f>
        <v/>
      </c>
      <c r="AR20" s="19">
        <f t="shared" si="11"/>
        <v>120</v>
      </c>
      <c r="AS20" s="22" t="str">
        <f>IF(AR20&lt;&gt;AR19,"",AK19)</f>
        <v/>
      </c>
      <c r="AT20" s="23" t="str">
        <f t="shared" si="0"/>
        <v>120</v>
      </c>
      <c r="AW20" s="22" t="str">
        <f t="shared" si="1"/>
        <v/>
      </c>
      <c r="AX20" s="40">
        <f>IF(AY20="",AK21,"")</f>
        <v>17</v>
      </c>
      <c r="AY20" s="32" t="str">
        <f>IFERROR(INDEX($BG$5:$BG$50,MATCH($AK20,$BH$5:$BH$50,0)),"")</f>
        <v/>
      </c>
      <c r="AZ20" s="32" t="str">
        <f t="shared" si="3"/>
        <v/>
      </c>
      <c r="BA20" s="32" t="str">
        <f t="shared" si="4"/>
        <v/>
      </c>
      <c r="BB20" s="22" t="str">
        <f t="shared" si="5"/>
        <v>17</v>
      </c>
      <c r="BD20" s="40"/>
      <c r="BE20" s="31" t="s">
        <v>513</v>
      </c>
      <c r="BF20" s="19">
        <f t="shared" si="9"/>
        <v>12</v>
      </c>
      <c r="BG20" s="31">
        <v>131</v>
      </c>
      <c r="BH20" s="22">
        <f>INDEX($AB$6:$AB$104,MATCH($BG20,$Y$6:$Y$104,0))*1</f>
        <v>42</v>
      </c>
      <c r="BI20" s="19" t="str">
        <f>INDEX($AC$6:$AC$104,MATCH($BG20,$Y$6:$Y$104,0))</f>
        <v>46+47+48+111+133</v>
      </c>
      <c r="BJ20" s="31">
        <v>46</v>
      </c>
      <c r="BK20" s="31">
        <v>47</v>
      </c>
      <c r="BL20" s="31">
        <v>48</v>
      </c>
      <c r="BO20" s="33">
        <f t="shared" si="6"/>
        <v>46</v>
      </c>
      <c r="BP20" s="40">
        <v>47</v>
      </c>
      <c r="BQ20" s="33" t="str">
        <f t="shared" si="7"/>
        <v>46+47</v>
      </c>
      <c r="BS20" s="40"/>
      <c r="BU20" s="34"/>
      <c r="BV20" s="34"/>
      <c r="BY20" s="33"/>
      <c r="BZ20" s="33"/>
    </row>
    <row r="21" spans="3:78" x14ac:dyDescent="0.15">
      <c r="C21" s="20" t="s">
        <v>514</v>
      </c>
      <c r="D21" s="20">
        <v>17</v>
      </c>
      <c r="G21" s="20" t="s">
        <v>515</v>
      </c>
      <c r="H21" s="20">
        <v>132</v>
      </c>
      <c r="L21" s="31">
        <f>IF(线路设计!B25="","",线路设计!B25)</f>
        <v>3</v>
      </c>
      <c r="M21" s="31">
        <f>IF(线路设计!C25="","",线路设计!C25)</f>
        <v>15</v>
      </c>
      <c r="N21" s="31">
        <f>IF(线路设计!D25="","",线路设计!D25)</f>
        <v>3</v>
      </c>
      <c r="O21" s="31" t="str">
        <f>IF(线路设计!E25="","",线路设计!E25)</f>
        <v/>
      </c>
      <c r="P21" s="31">
        <f>IF(线路设计!F25="","",线路设计!F25)</f>
        <v>1</v>
      </c>
      <c r="Q21" s="31">
        <f>IF(线路设计!G25="","",线路设计!G25)</f>
        <v>1</v>
      </c>
      <c r="R21" s="31">
        <f>IF(线路设计!H25="","",线路设计!H25)</f>
        <v>3</v>
      </c>
      <c r="S21" s="31" t="str">
        <f>IF(线路设计!I26="","",线路设计!I26)</f>
        <v/>
      </c>
      <c r="U21" s="31">
        <v>3</v>
      </c>
      <c r="V21" s="31">
        <v>15</v>
      </c>
      <c r="W21" s="31" t="s">
        <v>562</v>
      </c>
      <c r="Y21" s="31">
        <v>140</v>
      </c>
      <c r="Z21" s="31">
        <v>168</v>
      </c>
      <c r="AB21" s="31" t="str">
        <f t="shared" si="10"/>
        <v>63</v>
      </c>
      <c r="AC21" s="31" t="str">
        <f t="shared" si="8"/>
        <v>68+69+143</v>
      </c>
      <c r="AF21" s="31">
        <v>163</v>
      </c>
      <c r="AG21" s="18">
        <v>14</v>
      </c>
      <c r="AI21" s="20" t="s">
        <v>514</v>
      </c>
      <c r="AJ21" s="19">
        <f>IF(AI21&lt;&gt;AI20,MAX($AJ$5:$AJ20)+1,AJ20)</f>
        <v>7</v>
      </c>
      <c r="AK21" s="20">
        <v>17</v>
      </c>
      <c r="AL21" s="31" t="str">
        <f>IFERROR(INDEX($BG$5:$BG$50,MATCH($AK21,BJ$5:BJ$50,0)),"")</f>
        <v/>
      </c>
      <c r="AM21" s="31">
        <f>IFERROR(INDEX($BG$5:$BG$50,MATCH($AK21,BK$5:BK$50,0)),"")</f>
        <v>120</v>
      </c>
      <c r="AN21" s="31" t="str">
        <f>IFERROR(INDEX($BG$5:$BG$50,MATCH($AK21,BL$5:BL$50,0)),"")</f>
        <v/>
      </c>
      <c r="AO21" s="31" t="str">
        <f>IFERROR(INDEX($BG$5:$BG$50,MATCH($AK21,BM$5:BM$50,0)),"")</f>
        <v/>
      </c>
      <c r="AP21" s="31" t="str">
        <f>IFERROR(INDEX($BG$5:$BG$50,MATCH($AK21,BN$5:BN$50,0)),"")</f>
        <v/>
      </c>
      <c r="AQ21" s="31" t="str">
        <f>IFERROR(INDEX($BG$5:$BG$50,MATCH($AK21,#REF!,0)),"")</f>
        <v/>
      </c>
      <c r="AR21" s="19">
        <f t="shared" si="11"/>
        <v>120</v>
      </c>
      <c r="AS21" s="22">
        <f>IF(AR21&lt;&gt;AR20,"",AK20)</f>
        <v>16</v>
      </c>
      <c r="AT21" s="23" t="str">
        <f t="shared" si="0"/>
        <v>120+16</v>
      </c>
      <c r="AW21" s="22" t="str">
        <f t="shared" si="1"/>
        <v/>
      </c>
      <c r="AX21" s="18"/>
      <c r="AY21" s="32" t="str">
        <f>IFERROR(INDEX($BG$5:$BG$50,MATCH($AK21,$BH$5:$BH$50,0)),"")</f>
        <v/>
      </c>
      <c r="AZ21" s="32">
        <f t="shared" si="3"/>
        <v>108</v>
      </c>
      <c r="BA21" s="32" t="str">
        <f t="shared" si="4"/>
        <v/>
      </c>
      <c r="BB21" s="22" t="str">
        <f t="shared" si="5"/>
        <v>108</v>
      </c>
      <c r="BD21" s="40"/>
      <c r="BE21" s="20" t="s">
        <v>515</v>
      </c>
      <c r="BF21" s="19">
        <f t="shared" si="9"/>
        <v>13</v>
      </c>
      <c r="BG21" s="20">
        <v>132</v>
      </c>
      <c r="BH21" s="22">
        <f>INDEX($AB$6:$AB$104,MATCH($BG21,$Y$6:$Y$104,0))*1</f>
        <v>45</v>
      </c>
      <c r="BI21" s="19" t="str">
        <f>INDEX($AC$6:$AC$104,MATCH($BG21,$Y$6:$Y$104,0))</f>
        <v>49+50+134+167</v>
      </c>
      <c r="BJ21" s="31">
        <v>49</v>
      </c>
      <c r="BK21" s="31">
        <v>50</v>
      </c>
      <c r="BO21" s="33">
        <f t="shared" si="6"/>
        <v>49</v>
      </c>
      <c r="BP21" s="40"/>
      <c r="BQ21" s="33" t="str">
        <f t="shared" si="7"/>
        <v>49</v>
      </c>
      <c r="BS21" s="40"/>
      <c r="BU21" s="34"/>
      <c r="BV21" s="34"/>
      <c r="BY21" s="33"/>
      <c r="BZ21" s="33"/>
    </row>
    <row r="22" spans="3:78" x14ac:dyDescent="0.15">
      <c r="C22" s="20" t="s">
        <v>514</v>
      </c>
      <c r="D22" s="20">
        <v>18</v>
      </c>
      <c r="G22" s="20" t="s">
        <v>515</v>
      </c>
      <c r="H22" s="20">
        <v>133</v>
      </c>
      <c r="L22" s="31">
        <f>IF(线路设计!B26="","",线路设计!B26)</f>
        <v>3</v>
      </c>
      <c r="M22" s="31">
        <f>IF(线路设计!C26="","",线路设计!C26)</f>
        <v>16</v>
      </c>
      <c r="N22" s="31">
        <f>IF(线路设计!D26="","",线路设计!D26)</f>
        <v>2</v>
      </c>
      <c r="O22" s="31" t="str">
        <f>IF(线路设计!E26="","",线路设计!E26)</f>
        <v/>
      </c>
      <c r="P22" s="31">
        <f>IF(线路设计!F26="","",线路设计!F26)</f>
        <v>1</v>
      </c>
      <c r="Q22" s="31" t="str">
        <f>IF(线路设计!G26="","",线路设计!G26)</f>
        <v/>
      </c>
      <c r="R22" s="31">
        <f>IF(线路设计!H26="","",线路设计!H26)</f>
        <v>2</v>
      </c>
      <c r="S22" s="31" t="str">
        <f>IF(线路设计!I27="","",线路设计!I27)</f>
        <v/>
      </c>
      <c r="U22" s="31">
        <v>3</v>
      </c>
      <c r="V22" s="31">
        <v>16</v>
      </c>
      <c r="W22" s="31" t="s">
        <v>563</v>
      </c>
      <c r="Y22" s="31">
        <v>143</v>
      </c>
      <c r="AB22" s="31" t="str">
        <f t="shared" si="10"/>
        <v>69</v>
      </c>
      <c r="AC22" s="31" t="str">
        <f t="shared" si="8"/>
        <v>75+76+146</v>
      </c>
      <c r="AF22" s="31">
        <v>164</v>
      </c>
      <c r="AG22" s="18">
        <v>20</v>
      </c>
      <c r="AI22" s="20" t="s">
        <v>514</v>
      </c>
      <c r="AJ22" s="19">
        <f>IF(AI22&lt;&gt;AI21,MAX($AJ$5:$AJ21)+1,AJ21)</f>
        <v>7</v>
      </c>
      <c r="AK22" s="20">
        <v>18</v>
      </c>
      <c r="AL22" s="31" t="str">
        <f>IFERROR(INDEX($BG$5:$BG$50,MATCH($AK22,BJ$5:BJ$50,0)),"")</f>
        <v/>
      </c>
      <c r="AM22" s="31" t="str">
        <f>IFERROR(INDEX($BG$5:$BG$50,MATCH($AK22,BK$5:BK$50,0)),"")</f>
        <v/>
      </c>
      <c r="AN22" s="31">
        <f>IFERROR(INDEX($BG$5:$BG$50,MATCH($AK22,BL$5:BL$50,0)),"")</f>
        <v>120</v>
      </c>
      <c r="AO22" s="31" t="str">
        <f>IFERROR(INDEX($BG$5:$BG$50,MATCH($AK22,BM$5:BM$50,0)),"")</f>
        <v/>
      </c>
      <c r="AP22" s="31" t="str">
        <f>IFERROR(INDEX($BG$5:$BG$50,MATCH($AK22,BN$5:BN$50,0)),"")</f>
        <v/>
      </c>
      <c r="AQ22" s="31" t="str">
        <f>IFERROR(INDEX($BG$5:$BG$50,MATCH($AK22,#REF!,0)),"")</f>
        <v/>
      </c>
      <c r="AR22" s="19">
        <f t="shared" si="11"/>
        <v>120</v>
      </c>
      <c r="AS22" s="22">
        <f>IF(AR22&lt;&gt;AR21,"",AK21)</f>
        <v>17</v>
      </c>
      <c r="AT22" s="23" t="str">
        <f t="shared" si="0"/>
        <v>120+17</v>
      </c>
      <c r="AW22" s="22" t="str">
        <f t="shared" si="1"/>
        <v/>
      </c>
      <c r="AX22" s="32">
        <f>IF(AY22="",AK23,"")</f>
        <v>19</v>
      </c>
      <c r="AY22" s="32" t="str">
        <f>IFERROR(INDEX($BG$5:$BG$50,MATCH($AK22,$BH$5:$BH$50,0)),"")</f>
        <v/>
      </c>
      <c r="AZ22" s="32" t="str">
        <f t="shared" si="3"/>
        <v/>
      </c>
      <c r="BA22" s="32" t="str">
        <f t="shared" si="4"/>
        <v/>
      </c>
      <c r="BB22" s="22" t="str">
        <f t="shared" si="5"/>
        <v>19</v>
      </c>
      <c r="BD22" s="40"/>
      <c r="BE22" s="20" t="s">
        <v>515</v>
      </c>
      <c r="BF22" s="19">
        <f t="shared" si="9"/>
        <v>13</v>
      </c>
      <c r="BG22" s="20">
        <v>133</v>
      </c>
      <c r="BH22" s="22">
        <f>INDEX($AB$6:$AB$104,MATCH($BG22,$Y$6:$Y$104,0))*1</f>
        <v>48</v>
      </c>
      <c r="BI22" s="18" t="s">
        <v>806</v>
      </c>
      <c r="BJ22" s="31">
        <v>51</v>
      </c>
      <c r="BK22" s="31">
        <v>52</v>
      </c>
      <c r="BL22" s="31">
        <v>53</v>
      </c>
      <c r="BM22" s="31">
        <v>54</v>
      </c>
      <c r="BO22" s="33">
        <f t="shared" si="6"/>
        <v>51</v>
      </c>
      <c r="BP22" s="40">
        <v>53</v>
      </c>
      <c r="BQ22" s="33" t="str">
        <f t="shared" si="7"/>
        <v>51+53</v>
      </c>
      <c r="BS22" s="40"/>
      <c r="BU22" s="34"/>
      <c r="BV22" s="34"/>
      <c r="BY22" s="33"/>
      <c r="BZ22" s="33"/>
    </row>
    <row r="23" spans="3:78" x14ac:dyDescent="0.15">
      <c r="C23" s="20" t="s">
        <v>514</v>
      </c>
      <c r="D23" s="20">
        <v>19</v>
      </c>
      <c r="G23" s="31" t="s">
        <v>516</v>
      </c>
      <c r="H23" s="31">
        <v>134</v>
      </c>
      <c r="L23" s="31">
        <f>IF(线路设计!B27="","",线路设计!B27)</f>
        <v>4</v>
      </c>
      <c r="M23" s="31">
        <f>IF(线路设计!C27="","",线路设计!C27)</f>
        <v>17</v>
      </c>
      <c r="N23" s="31">
        <f>IF(线路设计!D27="","",线路设计!D27)</f>
        <v>2</v>
      </c>
      <c r="O23" s="31" t="str">
        <f>IF(线路设计!E27="","",线路设计!E27)</f>
        <v/>
      </c>
      <c r="P23" s="31">
        <f>IF(线路设计!F27="","",线路设计!F27)</f>
        <v>1</v>
      </c>
      <c r="Q23" s="31" t="str">
        <f>IF(线路设计!G27="","",线路设计!G27)</f>
        <v/>
      </c>
      <c r="R23" s="31">
        <f>IF(线路设计!H27="","",线路设计!H27)</f>
        <v>2</v>
      </c>
      <c r="S23" s="31" t="str">
        <f>IF(线路设计!I28="","",线路设计!I28)</f>
        <v/>
      </c>
      <c r="U23" s="31">
        <v>4</v>
      </c>
      <c r="V23" s="31">
        <v>17</v>
      </c>
      <c r="W23" s="31" t="s">
        <v>564</v>
      </c>
      <c r="Y23" s="31">
        <v>146</v>
      </c>
      <c r="AB23" s="31" t="str">
        <f t="shared" si="10"/>
        <v>76</v>
      </c>
      <c r="AC23" s="31" t="str">
        <f t="shared" si="8"/>
        <v>82+83+150</v>
      </c>
      <c r="AF23" s="31">
        <v>165</v>
      </c>
      <c r="AG23" s="18">
        <v>31</v>
      </c>
      <c r="AI23" s="20" t="s">
        <v>514</v>
      </c>
      <c r="AJ23" s="19">
        <f>IF(AI23&lt;&gt;AI22,MAX($AJ$5:$AJ22)+1,AJ22)</f>
        <v>7</v>
      </c>
      <c r="AK23" s="20">
        <v>19</v>
      </c>
      <c r="AL23" s="31" t="str">
        <f>IFERROR(INDEX($BG$5:$BG$50,MATCH($AK23,BJ$5:BJ$50,0)),"")</f>
        <v/>
      </c>
      <c r="AM23" s="31" t="str">
        <f>IFERROR(INDEX($BG$5:$BG$50,MATCH($AK23,BK$5:BK$50,0)),"")</f>
        <v/>
      </c>
      <c r="AN23" s="31" t="str">
        <f>IFERROR(INDEX($BG$5:$BG$50,MATCH($AK23,BL$5:BL$50,0)),"")</f>
        <v/>
      </c>
      <c r="AO23" s="31">
        <f>IFERROR(INDEX($BG$5:$BG$50,MATCH($AK23,BM$5:BM$50,0)),"")</f>
        <v>120</v>
      </c>
      <c r="AP23" s="31" t="str">
        <f>IFERROR(INDEX($BG$5:$BG$50,MATCH($AK23,BN$5:BN$50,0)),"")</f>
        <v/>
      </c>
      <c r="AQ23" s="31" t="str">
        <f>IFERROR(INDEX($BG$5:$BG$50,MATCH($AK23,#REF!,0)),"")</f>
        <v/>
      </c>
      <c r="AR23" s="19">
        <f t="shared" si="11"/>
        <v>120</v>
      </c>
      <c r="AS23" s="22">
        <f>IF(AR23&lt;&gt;AR22,"",AK22)</f>
        <v>18</v>
      </c>
      <c r="AT23" s="23" t="str">
        <f t="shared" si="0"/>
        <v>120+18</v>
      </c>
      <c r="AW23" s="22" t="str">
        <f t="shared" si="1"/>
        <v/>
      </c>
      <c r="AX23" s="32" t="str">
        <f>IF(AY23="",AK24,"")</f>
        <v/>
      </c>
      <c r="AY23" s="32">
        <f>IFERROR(INDEX($BG$5:$BG$50,MATCH($AK23,$BH$5:$BH$50,0)),"")</f>
        <v>121</v>
      </c>
      <c r="AZ23" s="32" t="str">
        <f t="shared" si="3"/>
        <v/>
      </c>
      <c r="BA23" s="32" t="str">
        <f t="shared" si="4"/>
        <v/>
      </c>
      <c r="BB23" s="22" t="str">
        <f t="shared" si="5"/>
        <v>121</v>
      </c>
      <c r="BD23" s="40"/>
      <c r="BE23" s="31" t="s">
        <v>516</v>
      </c>
      <c r="BF23" s="19">
        <f t="shared" si="9"/>
        <v>14</v>
      </c>
      <c r="BG23" s="31">
        <v>134</v>
      </c>
      <c r="BH23" s="22">
        <f>INDEX($AB$6:$AB$104,MATCH($BG23,$Y$6:$Y$104,0))*1</f>
        <v>50</v>
      </c>
      <c r="BI23" s="19" t="str">
        <f>INDEX($AC$6:$AC$104,MATCH($BG23,$Y$6:$Y$104,0))</f>
        <v>55+56+112+137</v>
      </c>
      <c r="BJ23" s="31">
        <v>55</v>
      </c>
      <c r="BK23" s="31">
        <v>56</v>
      </c>
      <c r="BO23" s="33">
        <f t="shared" si="6"/>
        <v>55</v>
      </c>
      <c r="BP23" s="40">
        <v>56</v>
      </c>
      <c r="BQ23" s="33" t="str">
        <f t="shared" si="7"/>
        <v>55+56</v>
      </c>
      <c r="BS23" s="40"/>
      <c r="BU23" s="34"/>
      <c r="BV23" s="34"/>
      <c r="BY23" s="33"/>
      <c r="BZ23" s="33"/>
    </row>
    <row r="24" spans="3:78" x14ac:dyDescent="0.15">
      <c r="C24" s="31" t="s">
        <v>517</v>
      </c>
      <c r="D24" s="31">
        <v>20</v>
      </c>
      <c r="G24" s="31" t="s">
        <v>516</v>
      </c>
      <c r="H24" s="31">
        <v>135</v>
      </c>
      <c r="L24" s="31">
        <f>IF(线路设计!B28="","",线路设计!B28)</f>
        <v>4</v>
      </c>
      <c r="M24" s="31">
        <f>IF(线路设计!C28="","",线路设计!C28)</f>
        <v>18</v>
      </c>
      <c r="N24" s="31">
        <f>IF(线路设计!D28="","",线路设计!D28)</f>
        <v>2</v>
      </c>
      <c r="O24" s="31" t="str">
        <f>IF(线路设计!E28="","",线路设计!E28)</f>
        <v/>
      </c>
      <c r="P24" s="31">
        <f>IF(线路设计!F28="","",线路设计!F28)</f>
        <v>1</v>
      </c>
      <c r="Q24" s="31" t="str">
        <f>IF(线路设计!G28="","",线路设计!G28)</f>
        <v/>
      </c>
      <c r="R24" s="31">
        <f>IF(线路设计!H28="","",线路设计!H28)</f>
        <v>2</v>
      </c>
      <c r="S24" s="31" t="str">
        <f>IF(线路设计!I29="","",线路设计!I29)</f>
        <v/>
      </c>
      <c r="U24" s="31">
        <v>4</v>
      </c>
      <c r="V24" s="31">
        <v>18</v>
      </c>
      <c r="W24" s="31" t="s">
        <v>565</v>
      </c>
      <c r="Y24" s="31">
        <v>150</v>
      </c>
      <c r="AB24" s="31" t="str">
        <f t="shared" si="10"/>
        <v>83</v>
      </c>
      <c r="AC24" s="31" t="str">
        <f t="shared" si="8"/>
        <v>90+91+154</v>
      </c>
      <c r="AF24" s="31">
        <v>166</v>
      </c>
      <c r="AG24" s="18">
        <v>41</v>
      </c>
      <c r="AI24" s="31" t="s">
        <v>517</v>
      </c>
      <c r="AJ24" s="19">
        <f>IF(AI24&lt;&gt;AI23,MAX($AJ$5:$AJ23)+1,AJ23)</f>
        <v>8</v>
      </c>
      <c r="AK24" s="31">
        <v>20</v>
      </c>
      <c r="AL24" s="31">
        <f>IFERROR(INDEX($BG$5:$BG$50,MATCH($AK24,BJ$5:BJ$50,0)),"")</f>
        <v>121</v>
      </c>
      <c r="AM24" s="31" t="str">
        <f>IFERROR(INDEX($BG$5:$BG$50,MATCH($AK24,BK$5:BK$50,0)),"")</f>
        <v/>
      </c>
      <c r="AN24" s="31" t="str">
        <f>IFERROR(INDEX($BG$5:$BG$50,MATCH($AK24,BL$5:BL$50,0)),"")</f>
        <v/>
      </c>
      <c r="AO24" s="31" t="str">
        <f>IFERROR(INDEX($BG$5:$BG$50,MATCH($AK24,BM$5:BM$50,0)),"")</f>
        <v/>
      </c>
      <c r="AP24" s="31" t="str">
        <f>IFERROR(INDEX($BG$5:$BG$50,MATCH($AK24,BN$5:BN$50,0)),"")</f>
        <v/>
      </c>
      <c r="AQ24" s="31" t="str">
        <f>IFERROR(INDEX($BG$5:$BG$50,MATCH($AK24,#REF!,0)),"")</f>
        <v/>
      </c>
      <c r="AR24" s="19">
        <f t="shared" si="11"/>
        <v>121</v>
      </c>
      <c r="AS24" s="22" t="str">
        <f>IF(AR24&lt;&gt;AR23,"",AK23)</f>
        <v/>
      </c>
      <c r="AT24" s="23" t="str">
        <f t="shared" si="0"/>
        <v>121</v>
      </c>
      <c r="AW24" s="22" t="str">
        <f t="shared" si="1"/>
        <v/>
      </c>
      <c r="AX24" s="32">
        <f>IF(AY24="",AK25,"")</f>
        <v>21</v>
      </c>
      <c r="AY24" s="32" t="str">
        <f>IFERROR(INDEX($BG$5:$BG$50,MATCH($AK24,$BH$5:$BH$50,0)),"")</f>
        <v/>
      </c>
      <c r="AZ24" s="32" t="str">
        <f t="shared" si="3"/>
        <v/>
      </c>
      <c r="BA24" s="32">
        <f t="shared" si="4"/>
        <v>164</v>
      </c>
      <c r="BB24" s="22" t="str">
        <f t="shared" si="5"/>
        <v>21+164</v>
      </c>
      <c r="BD24" s="40"/>
      <c r="BE24" s="31" t="s">
        <v>516</v>
      </c>
      <c r="BF24" s="19">
        <f t="shared" si="9"/>
        <v>14</v>
      </c>
      <c r="BG24" s="31">
        <v>135</v>
      </c>
      <c r="BH24" s="22">
        <f>INDEX($AB$6:$AB$104,MATCH($BG24,$Y$6:$Y$104,0))*1</f>
        <v>52</v>
      </c>
      <c r="BI24" s="19" t="str">
        <f>INDEX($AC$6:$AC$104,MATCH($BG24,$Y$6:$Y$104,0))</f>
        <v>57+58+138</v>
      </c>
      <c r="BJ24" s="31">
        <v>57</v>
      </c>
      <c r="BK24" s="31">
        <v>58</v>
      </c>
      <c r="BO24" s="33">
        <f t="shared" si="6"/>
        <v>57</v>
      </c>
      <c r="BP24" s="40"/>
      <c r="BQ24" s="33" t="str">
        <f t="shared" si="7"/>
        <v>57</v>
      </c>
      <c r="BS24" s="40"/>
      <c r="BU24" s="34"/>
      <c r="BV24" s="34"/>
      <c r="BY24" s="33"/>
      <c r="BZ24" s="33"/>
    </row>
    <row r="25" spans="3:78" x14ac:dyDescent="0.15">
      <c r="C25" s="31" t="s">
        <v>517</v>
      </c>
      <c r="D25" s="31">
        <v>21</v>
      </c>
      <c r="G25" s="31" t="s">
        <v>516</v>
      </c>
      <c r="H25" s="31">
        <v>136</v>
      </c>
      <c r="L25" s="31">
        <f>IF(线路设计!B29="","",线路设计!B29)</f>
        <v>4</v>
      </c>
      <c r="M25" s="31">
        <f>IF(线路设计!C29="","",线路设计!C29)</f>
        <v>19</v>
      </c>
      <c r="N25" s="31">
        <f>IF(线路设计!D29="","",线路设计!D29)</f>
        <v>2</v>
      </c>
      <c r="O25" s="31" t="str">
        <f>IF(线路设计!E29="","",线路设计!E29)</f>
        <v/>
      </c>
      <c r="P25" s="31">
        <f>IF(线路设计!F29="","",线路设计!F29)</f>
        <v>1</v>
      </c>
      <c r="Q25" s="31" t="str">
        <f>IF(线路设计!G29="","",线路设计!G29)</f>
        <v/>
      </c>
      <c r="R25" s="31">
        <f>IF(线路设计!H29="","",线路设计!H29)</f>
        <v>2</v>
      </c>
      <c r="S25" s="31" t="str">
        <f>IF(线路设计!I30="","",线路设计!I30)</f>
        <v/>
      </c>
      <c r="U25" s="31">
        <v>4</v>
      </c>
      <c r="V25" s="31">
        <v>19</v>
      </c>
      <c r="W25" s="31" t="s">
        <v>566</v>
      </c>
      <c r="Y25" s="31">
        <v>154</v>
      </c>
      <c r="AB25" s="31" t="str">
        <f t="shared" si="10"/>
        <v>91</v>
      </c>
      <c r="AC25" s="31" t="str">
        <f t="shared" si="8"/>
        <v>98+99+158</v>
      </c>
      <c r="AF25" s="31">
        <v>167</v>
      </c>
      <c r="AG25" s="18">
        <v>49</v>
      </c>
      <c r="AI25" s="31" t="s">
        <v>517</v>
      </c>
      <c r="AJ25" s="19">
        <f>IF(AI25&lt;&gt;AI24,MAX($AJ$5:$AJ24)+1,AJ24)</f>
        <v>8</v>
      </c>
      <c r="AK25" s="31">
        <v>21</v>
      </c>
      <c r="AL25" s="31" t="str">
        <f>IFERROR(INDEX($BG$5:$BG$50,MATCH($AK25,BJ$5:BJ$50,0)),"")</f>
        <v/>
      </c>
      <c r="AM25" s="31">
        <f>IFERROR(INDEX($BG$5:$BG$50,MATCH($AK25,BK$5:BK$50,0)),"")</f>
        <v>121</v>
      </c>
      <c r="AN25" s="31" t="str">
        <f>IFERROR(INDEX($BG$5:$BG$50,MATCH($AK25,BL$5:BL$50,0)),"")</f>
        <v/>
      </c>
      <c r="AO25" s="31" t="str">
        <f>IFERROR(INDEX($BG$5:$BG$50,MATCH($AK25,BM$5:BM$50,0)),"")</f>
        <v/>
      </c>
      <c r="AP25" s="31" t="str">
        <f>IFERROR(INDEX($BG$5:$BG$50,MATCH($AK25,BN$5:BN$50,0)),"")</f>
        <v/>
      </c>
      <c r="AQ25" s="31" t="str">
        <f>IFERROR(INDEX($BG$5:$BG$50,MATCH($AK25,#REF!,0)),"")</f>
        <v/>
      </c>
      <c r="AR25" s="19">
        <f t="shared" si="11"/>
        <v>121</v>
      </c>
      <c r="AS25" s="22">
        <f>IF(AR25&lt;&gt;AR24,"",AK24)</f>
        <v>20</v>
      </c>
      <c r="AT25" s="23" t="str">
        <f t="shared" si="0"/>
        <v>121+20</v>
      </c>
      <c r="AW25" s="22" t="str">
        <f t="shared" si="1"/>
        <v/>
      </c>
      <c r="AX25" s="32" t="str">
        <f>IF(AY25="",AK26,"")</f>
        <v/>
      </c>
      <c r="AY25" s="32">
        <f>IFERROR(INDEX($BG$5:$BG$50,MATCH($AK25,$BH$5:$BH$50,0)),"")</f>
        <v>122</v>
      </c>
      <c r="AZ25" s="32" t="str">
        <f t="shared" si="3"/>
        <v/>
      </c>
      <c r="BA25" s="32" t="str">
        <f t="shared" si="4"/>
        <v/>
      </c>
      <c r="BB25" s="22" t="str">
        <f t="shared" si="5"/>
        <v>122</v>
      </c>
      <c r="BD25" s="40"/>
      <c r="BE25" s="31" t="s">
        <v>516</v>
      </c>
      <c r="BF25" s="19">
        <f t="shared" si="9"/>
        <v>14</v>
      </c>
      <c r="BG25" s="31">
        <v>136</v>
      </c>
      <c r="BH25" s="22">
        <f>INDEX($AB$6:$AB$104,MATCH($BG25,$Y$6:$Y$104,0))*1</f>
        <v>54</v>
      </c>
      <c r="BI25" s="19" t="str">
        <f>INDEX($AC$6:$AC$104,MATCH($BG25,$Y$6:$Y$104,0))</f>
        <v>59+60+139</v>
      </c>
      <c r="BJ25" s="31">
        <v>59</v>
      </c>
      <c r="BK25" s="31">
        <v>60</v>
      </c>
      <c r="BO25" s="33">
        <f t="shared" si="6"/>
        <v>59</v>
      </c>
      <c r="BP25" s="40"/>
      <c r="BQ25" s="33" t="str">
        <f t="shared" si="7"/>
        <v>59</v>
      </c>
      <c r="BS25" s="40"/>
      <c r="BU25" s="34"/>
      <c r="BV25" s="34"/>
      <c r="BY25" s="33"/>
      <c r="BZ25" s="33"/>
    </row>
    <row r="26" spans="3:78" x14ac:dyDescent="0.15">
      <c r="C26" s="31" t="s">
        <v>517</v>
      </c>
      <c r="D26" s="31">
        <v>22</v>
      </c>
      <c r="G26" s="20" t="s">
        <v>518</v>
      </c>
      <c r="H26" s="20">
        <v>137</v>
      </c>
      <c r="L26" s="31">
        <f>IF(线路设计!B30="","",线路设计!B30)</f>
        <v>4</v>
      </c>
      <c r="M26" s="31">
        <f>IF(线路设计!C30="","",线路设计!C30)</f>
        <v>20</v>
      </c>
      <c r="N26" s="31">
        <f>IF(线路设计!D30="","",线路设计!D30)</f>
        <v>2</v>
      </c>
      <c r="O26" s="31" t="str">
        <f>IF(线路设计!E30="","",线路设计!E30)</f>
        <v/>
      </c>
      <c r="P26" s="31">
        <f>IF(线路设计!F30="","",线路设计!F30)</f>
        <v>1</v>
      </c>
      <c r="Q26" s="31" t="str">
        <f>IF(线路设计!G30="","",线路设计!G30)</f>
        <v/>
      </c>
      <c r="R26" s="31">
        <f>IF(线路设计!H30="","",线路设计!H30)</f>
        <v>2</v>
      </c>
      <c r="U26" s="31">
        <v>4</v>
      </c>
      <c r="V26" s="31">
        <v>20</v>
      </c>
      <c r="W26" s="31" t="s">
        <v>567</v>
      </c>
      <c r="Y26" s="31">
        <v>158</v>
      </c>
      <c r="AB26" s="31" t="str">
        <f t="shared" si="10"/>
        <v>99</v>
      </c>
      <c r="AC26" s="31" t="str">
        <f t="shared" si="8"/>
        <v/>
      </c>
      <c r="AF26" s="31">
        <v>168</v>
      </c>
      <c r="AG26" s="18">
        <v>62</v>
      </c>
      <c r="AI26" s="31" t="s">
        <v>517</v>
      </c>
      <c r="AJ26" s="19">
        <f>IF(AI26&lt;&gt;AI25,MAX($AJ$5:$AJ25)+1,AJ25)</f>
        <v>8</v>
      </c>
      <c r="AK26" s="31">
        <v>22</v>
      </c>
      <c r="AL26" s="31" t="str">
        <f>IFERROR(INDEX($BG$5:$BG$50,MATCH($AK26,BJ$5:BJ$50,0)),"")</f>
        <v/>
      </c>
      <c r="AM26" s="31" t="str">
        <f>IFERROR(INDEX($BG$5:$BG$50,MATCH($AK26,BK$5:BK$50,0)),"")</f>
        <v/>
      </c>
      <c r="AN26" s="31">
        <f>IFERROR(INDEX($BG$5:$BG$50,MATCH($AK26,BL$5:BL$50,0)),"")</f>
        <v>121</v>
      </c>
      <c r="AO26" s="31" t="str">
        <f>IFERROR(INDEX($BG$5:$BG$50,MATCH($AK26,BM$5:BM$50,0)),"")</f>
        <v/>
      </c>
      <c r="AP26" s="31" t="str">
        <f>IFERROR(INDEX($BG$5:$BG$50,MATCH($AK26,BN$5:BN$50,0)),"")</f>
        <v/>
      </c>
      <c r="AQ26" s="31" t="str">
        <f>IFERROR(INDEX($BG$5:$BG$50,MATCH($AK26,#REF!,0)),"")</f>
        <v/>
      </c>
      <c r="AR26" s="19">
        <f t="shared" si="11"/>
        <v>121</v>
      </c>
      <c r="AS26" s="22">
        <f>IF(AR26&lt;&gt;AR25,"",AK25)</f>
        <v>21</v>
      </c>
      <c r="AT26" s="23" t="str">
        <f t="shared" si="0"/>
        <v>121+21</v>
      </c>
      <c r="AW26" s="22" t="str">
        <f t="shared" si="1"/>
        <v/>
      </c>
      <c r="AX26" s="32">
        <f>IF(AY26="",AK27,"")</f>
        <v>23</v>
      </c>
      <c r="AY26" s="32" t="str">
        <f>IFERROR(INDEX($BG$5:$BG$50,MATCH($AK26,$BH$5:$BH$50,0)),"")</f>
        <v/>
      </c>
      <c r="AZ26" s="32" t="str">
        <f t="shared" si="3"/>
        <v/>
      </c>
      <c r="BA26" s="32" t="str">
        <f t="shared" si="4"/>
        <v/>
      </c>
      <c r="BB26" s="22" t="str">
        <f t="shared" si="5"/>
        <v>23</v>
      </c>
      <c r="BD26" s="40"/>
      <c r="BE26" s="20" t="s">
        <v>518</v>
      </c>
      <c r="BF26" s="19">
        <f t="shared" si="9"/>
        <v>15</v>
      </c>
      <c r="BG26" s="20">
        <v>137</v>
      </c>
      <c r="BH26" s="22">
        <f>INDEX($AB$6:$AB$104,MATCH($BG26,$Y$6:$Y$104,0))*1</f>
        <v>56</v>
      </c>
      <c r="BI26" s="19" t="str">
        <f>INDEX($AC$6:$AC$104,MATCH($BG26,$Y$6:$Y$104,0))</f>
        <v>61+62+63+140+168</v>
      </c>
      <c r="BJ26" s="31">
        <v>61</v>
      </c>
      <c r="BK26" s="31">
        <v>62</v>
      </c>
      <c r="BL26" s="31">
        <v>63</v>
      </c>
      <c r="BO26" s="33">
        <f t="shared" si="6"/>
        <v>61</v>
      </c>
      <c r="BP26" s="40"/>
      <c r="BQ26" s="33" t="str">
        <f t="shared" si="7"/>
        <v>61</v>
      </c>
      <c r="BS26" s="40"/>
      <c r="BU26" s="34"/>
      <c r="BV26" s="34"/>
      <c r="BY26" s="33"/>
      <c r="BZ26" s="33"/>
    </row>
    <row r="27" spans="3:78" x14ac:dyDescent="0.15">
      <c r="C27" s="31" t="s">
        <v>517</v>
      </c>
      <c r="D27" s="31">
        <v>23</v>
      </c>
      <c r="G27" s="20" t="s">
        <v>518</v>
      </c>
      <c r="H27" s="20">
        <v>138</v>
      </c>
      <c r="AF27" s="31">
        <v>169</v>
      </c>
      <c r="AG27" s="18">
        <v>79</v>
      </c>
      <c r="AI27" s="31" t="s">
        <v>517</v>
      </c>
      <c r="AJ27" s="19">
        <f>IF(AI27&lt;&gt;AI26,MAX($AJ$5:$AJ26)+1,AJ26)</f>
        <v>8</v>
      </c>
      <c r="AK27" s="31">
        <v>23</v>
      </c>
      <c r="AL27" s="31" t="str">
        <f>IFERROR(INDEX($BG$5:$BG$50,MATCH($AK27,BJ$5:BJ$50,0)),"")</f>
        <v/>
      </c>
      <c r="AM27" s="31" t="str">
        <f>IFERROR(INDEX($BG$5:$BG$50,MATCH($AK27,BK$5:BK$50,0)),"")</f>
        <v/>
      </c>
      <c r="AN27" s="31" t="str">
        <f>IFERROR(INDEX($BG$5:$BG$50,MATCH($AK27,BL$5:BL$50,0)),"")</f>
        <v/>
      </c>
      <c r="AO27" s="31">
        <f>IFERROR(INDEX($BG$5:$BG$50,MATCH($AK27,BM$5:BM$50,0)),"")</f>
        <v>121</v>
      </c>
      <c r="AP27" s="31" t="str">
        <f>IFERROR(INDEX($BG$5:$BG$50,MATCH($AK27,BN$5:BN$50,0)),"")</f>
        <v/>
      </c>
      <c r="AQ27" s="31" t="str">
        <f>IFERROR(INDEX($BG$5:$BG$50,MATCH($AK27,#REF!,0)),"")</f>
        <v/>
      </c>
      <c r="AR27" s="19">
        <f t="shared" si="11"/>
        <v>121</v>
      </c>
      <c r="AS27" s="22">
        <f>IF(AR27&lt;&gt;AR26,"",AK26)</f>
        <v>22</v>
      </c>
      <c r="AT27" s="23" t="str">
        <f t="shared" si="0"/>
        <v>121+22</v>
      </c>
      <c r="AW27" s="22" t="str">
        <f t="shared" si="1"/>
        <v/>
      </c>
      <c r="AX27" s="32" t="str">
        <f>IF(AY27="",AK28,"")</f>
        <v/>
      </c>
      <c r="AY27" s="32">
        <f>IFERROR(INDEX($BG$5:$BG$50,MATCH($AK27,$BH$5:$BH$50,0)),"")</f>
        <v>123</v>
      </c>
      <c r="AZ27" s="32" t="str">
        <f t="shared" si="3"/>
        <v/>
      </c>
      <c r="BA27" s="32" t="str">
        <f t="shared" si="4"/>
        <v/>
      </c>
      <c r="BB27" s="22" t="str">
        <f t="shared" si="5"/>
        <v>123</v>
      </c>
      <c r="BD27" s="40"/>
      <c r="BE27" s="20" t="s">
        <v>518</v>
      </c>
      <c r="BF27" s="19">
        <f t="shared" si="9"/>
        <v>15</v>
      </c>
      <c r="BG27" s="20">
        <v>138</v>
      </c>
      <c r="BH27" s="22">
        <f>INDEX($AB$6:$AB$104,MATCH($BG27,$Y$6:$Y$104,0))*1</f>
        <v>58</v>
      </c>
      <c r="BI27" s="19" t="str">
        <f>INDEX($AC$6:$AC$104,MATCH($BG27,$Y$6:$Y$104,0))</f>
        <v>64+65+141</v>
      </c>
      <c r="BJ27" s="31">
        <v>64</v>
      </c>
      <c r="BK27" s="31">
        <v>65</v>
      </c>
      <c r="BO27" s="33">
        <f t="shared" si="6"/>
        <v>64</v>
      </c>
      <c r="BQ27" s="33" t="str">
        <f t="shared" si="7"/>
        <v>64</v>
      </c>
      <c r="BS27" s="40"/>
      <c r="BU27" s="34"/>
      <c r="BV27" s="34"/>
      <c r="BY27" s="33"/>
      <c r="BZ27" s="33"/>
    </row>
    <row r="28" spans="3:78" x14ac:dyDescent="0.15">
      <c r="C28" s="20" t="s">
        <v>519</v>
      </c>
      <c r="D28" s="20">
        <v>24</v>
      </c>
      <c r="G28" s="20" t="s">
        <v>518</v>
      </c>
      <c r="H28" s="20">
        <v>139</v>
      </c>
      <c r="AF28" s="31">
        <v>170</v>
      </c>
      <c r="AG28" s="18">
        <v>92</v>
      </c>
      <c r="AI28" s="20" t="s">
        <v>519</v>
      </c>
      <c r="AJ28" s="19">
        <f>IF(AI28&lt;&gt;AI27,MAX($AJ$5:$AJ27)+1,AJ27)</f>
        <v>9</v>
      </c>
      <c r="AK28" s="20">
        <v>24</v>
      </c>
      <c r="AL28" s="31">
        <f>IFERROR(INDEX($BG$5:$BG$50,MATCH($AK28,BJ$5:BJ$50,0)),"")</f>
        <v>122</v>
      </c>
      <c r="AM28" s="31" t="str">
        <f>IFERROR(INDEX($BG$5:$BG$50,MATCH($AK28,BK$5:BK$50,0)),"")</f>
        <v/>
      </c>
      <c r="AN28" s="31" t="str">
        <f>IFERROR(INDEX($BG$5:$BG$50,MATCH($AK28,BL$5:BL$50,0)),"")</f>
        <v/>
      </c>
      <c r="AO28" s="31" t="str">
        <f>IFERROR(INDEX($BG$5:$BG$50,MATCH($AK28,BM$5:BM$50,0)),"")</f>
        <v/>
      </c>
      <c r="AP28" s="31" t="str">
        <f>IFERROR(INDEX($BG$5:$BG$50,MATCH($AK28,BN$5:BN$50,0)),"")</f>
        <v/>
      </c>
      <c r="AQ28" s="31" t="str">
        <f>IFERROR(INDEX($BG$5:$BG$50,MATCH($AK28,#REF!,0)),"")</f>
        <v/>
      </c>
      <c r="AR28" s="19">
        <f t="shared" si="11"/>
        <v>122</v>
      </c>
      <c r="AS28" s="22" t="str">
        <f>IF(AR28&lt;&gt;AR27,"",AK27)</f>
        <v/>
      </c>
      <c r="AT28" s="23" t="str">
        <f t="shared" si="0"/>
        <v>122</v>
      </c>
      <c r="AW28" s="22" t="str">
        <f t="shared" si="1"/>
        <v/>
      </c>
      <c r="AX28" s="32">
        <f>IF(AY28="",AK29,"")</f>
        <v>25</v>
      </c>
      <c r="AY28" s="32" t="str">
        <f>IFERROR(INDEX($BG$5:$BG$50,MATCH($AK28,$BH$5:$BH$50,0)),"")</f>
        <v/>
      </c>
      <c r="AZ28" s="32" t="str">
        <f t="shared" si="3"/>
        <v/>
      </c>
      <c r="BA28" s="32" t="str">
        <f t="shared" si="4"/>
        <v/>
      </c>
      <c r="BB28" s="22" t="str">
        <f t="shared" si="5"/>
        <v>25</v>
      </c>
      <c r="BD28" s="40"/>
      <c r="BE28" s="20" t="s">
        <v>518</v>
      </c>
      <c r="BF28" s="19">
        <f t="shared" si="9"/>
        <v>15</v>
      </c>
      <c r="BG28" s="20">
        <v>139</v>
      </c>
      <c r="BH28" s="22">
        <f>INDEX($AB$6:$AB$104,MATCH($BG28,$Y$6:$Y$104,0))*1</f>
        <v>60</v>
      </c>
      <c r="BI28" s="19" t="str">
        <f>INDEX($AC$6:$AC$104,MATCH($BG28,$Y$6:$Y$104,0))</f>
        <v>66+67+142</v>
      </c>
      <c r="BJ28" s="31">
        <v>66</v>
      </c>
      <c r="BK28" s="31">
        <v>67</v>
      </c>
      <c r="BO28" s="33">
        <f t="shared" si="6"/>
        <v>66</v>
      </c>
      <c r="BQ28" s="33" t="str">
        <f t="shared" si="7"/>
        <v>66</v>
      </c>
      <c r="BS28" s="40"/>
      <c r="BU28" s="34"/>
      <c r="BV28" s="34"/>
      <c r="BY28" s="33"/>
      <c r="BZ28" s="33"/>
    </row>
    <row r="29" spans="3:78" x14ac:dyDescent="0.15">
      <c r="C29" s="20" t="s">
        <v>519</v>
      </c>
      <c r="D29" s="20">
        <v>25</v>
      </c>
      <c r="G29" s="31" t="s">
        <v>520</v>
      </c>
      <c r="H29" s="31">
        <v>140</v>
      </c>
      <c r="AI29" s="20" t="s">
        <v>519</v>
      </c>
      <c r="AJ29" s="19">
        <f>IF(AI29&lt;&gt;AI28,MAX($AJ$5:$AJ28)+1,AJ28)</f>
        <v>9</v>
      </c>
      <c r="AK29" s="20">
        <v>25</v>
      </c>
      <c r="AL29" s="31" t="str">
        <f>IFERROR(INDEX($BG$5:$BG$50,MATCH($AK29,BJ$5:BJ$50,0)),"")</f>
        <v/>
      </c>
      <c r="AM29" s="31">
        <f>IFERROR(INDEX($BG$5:$BG$50,MATCH($AK29,BK$5:BK$50,0)),"")</f>
        <v>122</v>
      </c>
      <c r="AN29" s="31" t="str">
        <f>IFERROR(INDEX($BG$5:$BG$50,MATCH($AK29,BL$5:BL$50,0)),"")</f>
        <v/>
      </c>
      <c r="AO29" s="31" t="str">
        <f>IFERROR(INDEX($BG$5:$BG$50,MATCH($AK29,BM$5:BM$50,0)),"")</f>
        <v/>
      </c>
      <c r="AP29" s="31" t="str">
        <f>IFERROR(INDEX($BG$5:$BG$50,MATCH($AK29,BN$5:BN$50,0)),"")</f>
        <v/>
      </c>
      <c r="AQ29" s="31" t="str">
        <f>IFERROR(INDEX($BG$5:$BG$50,MATCH($AK29,#REF!,0)),"")</f>
        <v/>
      </c>
      <c r="AR29" s="19">
        <f t="shared" si="11"/>
        <v>122</v>
      </c>
      <c r="AS29" s="22">
        <f>IF(AR29&lt;&gt;AR28,"",AK28)</f>
        <v>24</v>
      </c>
      <c r="AT29" s="23" t="str">
        <f t="shared" si="0"/>
        <v>122+24</v>
      </c>
      <c r="AW29" s="22" t="str">
        <f t="shared" si="1"/>
        <v/>
      </c>
      <c r="AX29" s="32" t="str">
        <f>IF(AY29="",AK30,"")</f>
        <v/>
      </c>
      <c r="AY29" s="32">
        <f>IFERROR(INDEX($BG$5:$BG$50,MATCH($AK29,$BH$5:$BH$50,0)),"")</f>
        <v>124</v>
      </c>
      <c r="AZ29" s="32" t="str">
        <f t="shared" si="3"/>
        <v/>
      </c>
      <c r="BA29" s="32" t="str">
        <f t="shared" si="4"/>
        <v/>
      </c>
      <c r="BB29" s="22" t="str">
        <f t="shared" si="5"/>
        <v>124</v>
      </c>
      <c r="BD29" s="40"/>
      <c r="BE29" s="31" t="s">
        <v>520</v>
      </c>
      <c r="BF29" s="19">
        <f t="shared" si="9"/>
        <v>16</v>
      </c>
      <c r="BG29" s="31">
        <v>140</v>
      </c>
      <c r="BH29" s="22">
        <f>INDEX($AB$6:$AB$104,MATCH($BG29,$Y$6:$Y$104,0))*1</f>
        <v>63</v>
      </c>
      <c r="BI29" s="19" t="str">
        <f>INDEX($AC$6:$AC$104,MATCH($BG29,$Y$6:$Y$104,0))</f>
        <v>68+69+143</v>
      </c>
      <c r="BJ29" s="31">
        <v>68</v>
      </c>
      <c r="BK29" s="31">
        <v>69</v>
      </c>
      <c r="BO29" s="33">
        <f t="shared" si="6"/>
        <v>68</v>
      </c>
      <c r="BQ29" s="33" t="str">
        <f t="shared" si="7"/>
        <v>68</v>
      </c>
      <c r="BS29" s="40"/>
      <c r="BU29" s="34"/>
      <c r="BV29" s="34"/>
      <c r="BY29" s="33"/>
      <c r="BZ29" s="33"/>
    </row>
    <row r="30" spans="3:78" x14ac:dyDescent="0.15">
      <c r="C30" s="20" t="s">
        <v>519</v>
      </c>
      <c r="D30" s="20">
        <v>26</v>
      </c>
      <c r="G30" s="31" t="s">
        <v>520</v>
      </c>
      <c r="H30" s="31">
        <v>141</v>
      </c>
      <c r="V30" s="31" t="s">
        <v>584</v>
      </c>
      <c r="AI30" s="20" t="s">
        <v>519</v>
      </c>
      <c r="AJ30" s="19">
        <f>IF(AI30&lt;&gt;AI29,MAX($AJ$5:$AJ29)+1,AJ29)</f>
        <v>9</v>
      </c>
      <c r="AK30" s="20">
        <v>26</v>
      </c>
      <c r="AL30" s="31">
        <f>IFERROR(INDEX($BG$5:$BG$50,MATCH($AK30,BJ$5:BJ$50,0)),"")</f>
        <v>123</v>
      </c>
      <c r="AM30" s="31" t="str">
        <f>IFERROR(INDEX($BG$5:$BG$50,MATCH($AK30,BK$5:BK$50,0)),"")</f>
        <v/>
      </c>
      <c r="AN30" s="31" t="str">
        <f>IFERROR(INDEX($BG$5:$BG$50,MATCH($AK30,BL$5:BL$50,0)),"")</f>
        <v/>
      </c>
      <c r="AO30" s="31" t="str">
        <f>IFERROR(INDEX($BG$5:$BG$50,MATCH($AK30,BM$5:BM$50,0)),"")</f>
        <v/>
      </c>
      <c r="AP30" s="31" t="str">
        <f>IFERROR(INDEX($BG$5:$BG$50,MATCH($AK30,BN$5:BN$50,0)),"")</f>
        <v/>
      </c>
      <c r="AQ30" s="31" t="str">
        <f>IFERROR(INDEX($BG$5:$BG$50,MATCH($AK30,#REF!,0)),"")</f>
        <v/>
      </c>
      <c r="AR30" s="19">
        <f t="shared" si="11"/>
        <v>123</v>
      </c>
      <c r="AS30" s="22" t="str">
        <f>IF(AR30&lt;&gt;AR29,"",AK29)</f>
        <v/>
      </c>
      <c r="AT30" s="23" t="str">
        <f t="shared" si="0"/>
        <v>123</v>
      </c>
      <c r="AW30" s="22" t="str">
        <f t="shared" si="1"/>
        <v/>
      </c>
      <c r="AX30" s="18"/>
      <c r="AY30" s="32" t="str">
        <f>IFERROR(INDEX($BG$5:$BG$50,MATCH($AK30,$BH$5:$BH$50,0)),"")</f>
        <v/>
      </c>
      <c r="AZ30" s="32">
        <f t="shared" si="3"/>
        <v>109</v>
      </c>
      <c r="BA30" s="32" t="str">
        <f t="shared" si="4"/>
        <v/>
      </c>
      <c r="BB30" s="22" t="str">
        <f t="shared" si="5"/>
        <v>109</v>
      </c>
      <c r="BD30" s="40"/>
      <c r="BE30" s="31" t="s">
        <v>520</v>
      </c>
      <c r="BF30" s="19">
        <f t="shared" si="9"/>
        <v>16</v>
      </c>
      <c r="BG30" s="31">
        <v>141</v>
      </c>
      <c r="BH30" s="22">
        <f>INDEX($AB$6:$AB$104,MATCH($BG30,$Y$6:$Y$104,0))*1</f>
        <v>65</v>
      </c>
      <c r="BI30" s="19" t="str">
        <f>INDEX($AC$6:$AC$104,MATCH($BG30,$Y$6:$Y$104,0))</f>
        <v>70+71+144</v>
      </c>
      <c r="BJ30" s="31">
        <v>70</v>
      </c>
      <c r="BK30" s="31">
        <v>71</v>
      </c>
      <c r="BO30" s="33">
        <f t="shared" si="6"/>
        <v>70</v>
      </c>
      <c r="BQ30" s="33" t="str">
        <f t="shared" si="7"/>
        <v>70</v>
      </c>
      <c r="BS30" s="40"/>
      <c r="BU30" s="34"/>
      <c r="BV30" s="34"/>
      <c r="BY30" s="33"/>
      <c r="BZ30" s="33"/>
    </row>
    <row r="31" spans="3:78" x14ac:dyDescent="0.15">
      <c r="C31" s="20" t="s">
        <v>519</v>
      </c>
      <c r="D31" s="20">
        <v>27</v>
      </c>
      <c r="G31" s="31" t="s">
        <v>520</v>
      </c>
      <c r="H31" s="31">
        <v>142</v>
      </c>
      <c r="L31" s="31" t="str">
        <f>L5</f>
        <v>开启线路</v>
      </c>
      <c r="M31" s="31" t="s">
        <v>486</v>
      </c>
      <c r="N31" s="31" t="s">
        <v>459</v>
      </c>
      <c r="O31" s="31" t="s">
        <v>460</v>
      </c>
      <c r="P31" s="31" t="s">
        <v>461</v>
      </c>
      <c r="Q31" s="31" t="s">
        <v>462</v>
      </c>
      <c r="R31" s="31" t="s">
        <v>487</v>
      </c>
      <c r="U31" s="31" t="str">
        <f>U5</f>
        <v>开启线路</v>
      </c>
      <c r="V31" s="31" t="s">
        <v>486</v>
      </c>
      <c r="W31" s="31" t="s">
        <v>459</v>
      </c>
      <c r="X31" s="31" t="s">
        <v>460</v>
      </c>
      <c r="Y31" s="31" t="s">
        <v>461</v>
      </c>
      <c r="Z31" s="31" t="s">
        <v>462</v>
      </c>
      <c r="AB31" s="31" t="s">
        <v>761</v>
      </c>
      <c r="AC31" s="31" t="s">
        <v>762</v>
      </c>
      <c r="AI31" s="20" t="s">
        <v>519</v>
      </c>
      <c r="AJ31" s="19">
        <f>IF(AI31&lt;&gt;AI30,MAX($AJ$5:$AJ30)+1,AJ30)</f>
        <v>9</v>
      </c>
      <c r="AK31" s="20">
        <v>27</v>
      </c>
      <c r="AL31" s="31" t="str">
        <f>IFERROR(INDEX($BG$5:$BG$50,MATCH($AK31,BJ$5:BJ$50,0)),"")</f>
        <v/>
      </c>
      <c r="AM31" s="31">
        <f>IFERROR(INDEX($BG$5:$BG$50,MATCH($AK31,BK$5:BK$50,0)),"")</f>
        <v>123</v>
      </c>
      <c r="AN31" s="31" t="str">
        <f>IFERROR(INDEX($BG$5:$BG$50,MATCH($AK31,BL$5:BL$50,0)),"")</f>
        <v/>
      </c>
      <c r="AO31" s="31" t="str">
        <f>IFERROR(INDEX($BG$5:$BG$50,MATCH($AK31,BM$5:BM$50,0)),"")</f>
        <v/>
      </c>
      <c r="AP31" s="31" t="str">
        <f>IFERROR(INDEX($BG$5:$BG$50,MATCH($AK31,BN$5:BN$50,0)),"")</f>
        <v/>
      </c>
      <c r="AQ31" s="31" t="str">
        <f>IFERROR(INDEX($BG$5:$BG$50,MATCH($AK31,#REF!,0)),"")</f>
        <v/>
      </c>
      <c r="AR31" s="19">
        <f t="shared" si="11"/>
        <v>123</v>
      </c>
      <c r="AS31" s="22">
        <f>IF(AR31&lt;&gt;AR30,"",AK30)</f>
        <v>26</v>
      </c>
      <c r="AT31" s="23" t="str">
        <f t="shared" si="0"/>
        <v>123+26</v>
      </c>
      <c r="AW31" s="22" t="str">
        <f t="shared" si="1"/>
        <v/>
      </c>
      <c r="AX31" s="32" t="str">
        <f>IF(AY31="",AK32,"")</f>
        <v/>
      </c>
      <c r="AY31" s="32">
        <f>IFERROR(INDEX($BG$5:$BG$50,MATCH($AK31,$BH$5:$BH$50,0)),"")</f>
        <v>125</v>
      </c>
      <c r="AZ31" s="32" t="str">
        <f t="shared" si="3"/>
        <v/>
      </c>
      <c r="BA31" s="32" t="str">
        <f t="shared" si="4"/>
        <v/>
      </c>
      <c r="BB31" s="22" t="str">
        <f t="shared" si="5"/>
        <v>125</v>
      </c>
      <c r="BD31" s="40"/>
      <c r="BE31" s="31" t="s">
        <v>520</v>
      </c>
      <c r="BF31" s="19">
        <f t="shared" si="9"/>
        <v>16</v>
      </c>
      <c r="BG31" s="31">
        <v>142</v>
      </c>
      <c r="BH31" s="22">
        <f>INDEX($AB$6:$AB$104,MATCH($BG31,$Y$6:$Y$104,0))*1</f>
        <v>67</v>
      </c>
      <c r="BI31" s="19" t="str">
        <f>INDEX($AC$6:$AC$104,MATCH($BG31,$Y$6:$Y$104,0))</f>
        <v>72+73+74+113+145</v>
      </c>
      <c r="BJ31" s="31">
        <v>72</v>
      </c>
      <c r="BK31" s="31">
        <v>73</v>
      </c>
      <c r="BL31" s="31">
        <v>74</v>
      </c>
      <c r="BO31" s="33">
        <f t="shared" si="6"/>
        <v>72</v>
      </c>
      <c r="BQ31" s="33" t="str">
        <f t="shared" si="7"/>
        <v>72</v>
      </c>
      <c r="BS31" s="40"/>
      <c r="BU31" s="34"/>
      <c r="BV31" s="34"/>
      <c r="BY31" s="33"/>
      <c r="BZ31" s="33"/>
    </row>
    <row r="32" spans="3:78" x14ac:dyDescent="0.15">
      <c r="C32" s="31" t="s">
        <v>521</v>
      </c>
      <c r="D32" s="31">
        <v>28</v>
      </c>
      <c r="G32" s="20" t="s">
        <v>522</v>
      </c>
      <c r="H32" s="20">
        <v>143</v>
      </c>
      <c r="L32" s="31">
        <f>L6</f>
        <v>1</v>
      </c>
      <c r="M32" s="31">
        <f>IF(线路设计!J10="","",线路设计!J10)</f>
        <v>0</v>
      </c>
      <c r="N32" s="31" t="str">
        <f>IF(线路设计!K10="","",线路设计!K10)</f>
        <v/>
      </c>
      <c r="O32" s="31" t="str">
        <f>IF(线路设计!L10="","",线路设计!L10)</f>
        <v/>
      </c>
      <c r="P32" s="31" t="str">
        <f>IF(线路设计!M10="","",线路设计!M10)</f>
        <v/>
      </c>
      <c r="Q32" s="31" t="str">
        <f>IF(线路设计!N10="","",线路设计!N10)</f>
        <v/>
      </c>
      <c r="R32" s="31">
        <f>IF(线路设计!O10="","",线路设计!O10)</f>
        <v>0</v>
      </c>
      <c r="U32" s="31">
        <f t="shared" ref="U32:U52" si="12">U6</f>
        <v>1</v>
      </c>
      <c r="V32" s="31">
        <v>0</v>
      </c>
      <c r="AB32" s="31" t="str">
        <f>IF(Y32="","",RIGHT(W32,FIND("+",W32)-1))</f>
        <v/>
      </c>
      <c r="AC32" s="31" t="str">
        <f>IF(Y32="","",合并区域(W33:Z33,"+"))</f>
        <v/>
      </c>
      <c r="AI32" s="31" t="s">
        <v>521</v>
      </c>
      <c r="AJ32" s="19">
        <f>IF(AI32&lt;&gt;AI31,MAX($AJ$5:$AJ31)+1,AJ31)</f>
        <v>10</v>
      </c>
      <c r="AK32" s="31">
        <v>28</v>
      </c>
      <c r="AL32" s="31">
        <f>IFERROR(INDEX($BG$5:$BG$50,MATCH($AK32,BJ$5:BJ$50,0)),"")</f>
        <v>124</v>
      </c>
      <c r="AM32" s="31" t="str">
        <f>IFERROR(INDEX($BG$5:$BG$50,MATCH($AK32,BK$5:BK$50,0)),"")</f>
        <v/>
      </c>
      <c r="AN32" s="31" t="str">
        <f>IFERROR(INDEX($BG$5:$BG$50,MATCH($AK32,BL$5:BL$50,0)),"")</f>
        <v/>
      </c>
      <c r="AO32" s="31" t="str">
        <f>IFERROR(INDEX($BG$5:$BG$50,MATCH($AK32,BM$5:BM$50,0)),"")</f>
        <v/>
      </c>
      <c r="AP32" s="31" t="str">
        <f>IFERROR(INDEX($BG$5:$BG$50,MATCH($AK32,BN$5:BN$50,0)),"")</f>
        <v/>
      </c>
      <c r="AQ32" s="31" t="str">
        <f>IFERROR(INDEX($BG$5:$BG$50,MATCH($AK32,#REF!,0)),"")</f>
        <v/>
      </c>
      <c r="AR32" s="19">
        <f t="shared" si="11"/>
        <v>124</v>
      </c>
      <c r="AS32" s="22" t="str">
        <f>IF(AR32&lt;&gt;AR31,"",AK31)</f>
        <v/>
      </c>
      <c r="AT32" s="23" t="str">
        <f t="shared" si="0"/>
        <v>124</v>
      </c>
      <c r="AW32" s="22" t="str">
        <f t="shared" si="1"/>
        <v/>
      </c>
      <c r="AX32" s="32">
        <f>IF(AY32="",AK33,"")</f>
        <v>29</v>
      </c>
      <c r="AY32" s="32" t="str">
        <f>IFERROR(INDEX($BG$5:$BG$50,MATCH($AK32,$BH$5:$BH$50,0)),"")</f>
        <v/>
      </c>
      <c r="AZ32" s="32" t="str">
        <f t="shared" si="3"/>
        <v/>
      </c>
      <c r="BA32" s="32" t="str">
        <f t="shared" si="4"/>
        <v/>
      </c>
      <c r="BB32" s="22" t="str">
        <f t="shared" si="5"/>
        <v>29</v>
      </c>
      <c r="BD32" s="40"/>
      <c r="BE32" s="20" t="s">
        <v>522</v>
      </c>
      <c r="BF32" s="19">
        <f t="shared" si="9"/>
        <v>17</v>
      </c>
      <c r="BG32" s="20">
        <v>143</v>
      </c>
      <c r="BH32" s="22">
        <f>INDEX($AB$6:$AB$104,MATCH($BG32,$Y$6:$Y$104,0))*1</f>
        <v>69</v>
      </c>
      <c r="BI32" s="18" t="s">
        <v>818</v>
      </c>
      <c r="BJ32" s="31">
        <v>75</v>
      </c>
      <c r="BK32" s="31">
        <v>76</v>
      </c>
      <c r="BL32" s="34">
        <v>77</v>
      </c>
      <c r="BM32" s="34">
        <v>78</v>
      </c>
      <c r="BO32" s="33">
        <f t="shared" si="6"/>
        <v>75</v>
      </c>
      <c r="BP32" s="31">
        <v>77</v>
      </c>
      <c r="BQ32" s="33" t="str">
        <f t="shared" si="7"/>
        <v>75+77</v>
      </c>
      <c r="BS32" s="40"/>
      <c r="BU32" s="34"/>
      <c r="BV32" s="34"/>
      <c r="BY32" s="33"/>
      <c r="BZ32" s="33"/>
    </row>
    <row r="33" spans="3:78" x14ac:dyDescent="0.15">
      <c r="C33" s="31" t="s">
        <v>521</v>
      </c>
      <c r="D33" s="31">
        <v>29</v>
      </c>
      <c r="G33" s="20" t="s">
        <v>522</v>
      </c>
      <c r="H33" s="20">
        <v>144</v>
      </c>
      <c r="L33" s="31">
        <f t="shared" ref="L33:L52" si="13">L7</f>
        <v>1</v>
      </c>
      <c r="M33" s="31">
        <f>IF(线路设计!J11="","",线路设计!J11)</f>
        <v>1</v>
      </c>
      <c r="N33" s="31" t="str">
        <f>IF(线路设计!K11="","",线路设计!K11)</f>
        <v/>
      </c>
      <c r="O33" s="31" t="str">
        <f>IF(线路设计!L11="","",线路设计!L11)</f>
        <v/>
      </c>
      <c r="P33" s="31" t="str">
        <f>IF(线路设计!M11="","",线路设计!M11)</f>
        <v/>
      </c>
      <c r="Q33" s="31" t="str">
        <f>IF(线路设计!N11="","",线路设计!N11)</f>
        <v/>
      </c>
      <c r="R33" s="31">
        <f>IF(线路设计!O11="","",线路设计!O11)</f>
        <v>0</v>
      </c>
      <c r="U33" s="31">
        <f t="shared" si="12"/>
        <v>1</v>
      </c>
      <c r="V33" s="31">
        <v>1</v>
      </c>
      <c r="AB33" s="31" t="str">
        <f t="shared" ref="AB33:AB52" si="14">IF(Y33="","",RIGHT(W33,FIND("+",W33)-1))</f>
        <v/>
      </c>
      <c r="AC33" s="31" t="str">
        <f t="shared" ref="AC33:AC52" si="15">IF(Y33="","",合并区域(W34:Z34,"+"))</f>
        <v/>
      </c>
      <c r="AI33" s="31" t="s">
        <v>521</v>
      </c>
      <c r="AJ33" s="19">
        <f>IF(AI33&lt;&gt;AI32,MAX($AJ$5:$AJ32)+1,AJ32)</f>
        <v>10</v>
      </c>
      <c r="AK33" s="31">
        <v>29</v>
      </c>
      <c r="AL33" s="31" t="str">
        <f>IFERROR(INDEX($BG$5:$BG$50,MATCH($AK33,BJ$5:BJ$50,0)),"")</f>
        <v/>
      </c>
      <c r="AM33" s="31">
        <f>IFERROR(INDEX($BG$5:$BG$50,MATCH($AK33,BK$5:BK$50,0)),"")</f>
        <v>124</v>
      </c>
      <c r="AN33" s="31" t="str">
        <f>IFERROR(INDEX($BG$5:$BG$50,MATCH($AK33,BL$5:BL$50,0)),"")</f>
        <v/>
      </c>
      <c r="AO33" s="31" t="str">
        <f>IFERROR(INDEX($BG$5:$BG$50,MATCH($AK33,BM$5:BM$50,0)),"")</f>
        <v/>
      </c>
      <c r="AP33" s="31" t="str">
        <f>IFERROR(INDEX($BG$5:$BG$50,MATCH($AK33,BN$5:BN$50,0)),"")</f>
        <v/>
      </c>
      <c r="AQ33" s="31" t="str">
        <f>IFERROR(INDEX($BG$5:$BG$50,MATCH($AK33,#REF!,0)),"")</f>
        <v/>
      </c>
      <c r="AR33" s="19">
        <f t="shared" si="11"/>
        <v>124</v>
      </c>
      <c r="AS33" s="22">
        <f>IF(AR33&lt;&gt;AR32,"",AK32)</f>
        <v>28</v>
      </c>
      <c r="AT33" s="23" t="str">
        <f t="shared" si="0"/>
        <v>124+28</v>
      </c>
      <c r="AW33" s="22" t="str">
        <f t="shared" si="1"/>
        <v/>
      </c>
      <c r="AX33" s="32" t="str">
        <f>IF(AY33="",AK34,"")</f>
        <v/>
      </c>
      <c r="AY33" s="32">
        <f>IFERROR(INDEX($BG$5:$BG$50,MATCH($AK33,$BH$5:$BH$50,0)),"")</f>
        <v>126</v>
      </c>
      <c r="AZ33" s="32" t="str">
        <f t="shared" si="3"/>
        <v/>
      </c>
      <c r="BA33" s="32" t="str">
        <f t="shared" si="4"/>
        <v/>
      </c>
      <c r="BB33" s="22" t="str">
        <f t="shared" si="5"/>
        <v>126</v>
      </c>
      <c r="BD33" s="40"/>
      <c r="BE33" s="20" t="s">
        <v>522</v>
      </c>
      <c r="BF33" s="19">
        <f t="shared" si="9"/>
        <v>17</v>
      </c>
      <c r="BG33" s="20">
        <v>144</v>
      </c>
      <c r="BH33" s="22">
        <f>INDEX($AB$6:$AB$104,MATCH($BG33,$Y$6:$Y$104,0))*1</f>
        <v>71</v>
      </c>
      <c r="BI33" s="19" t="str">
        <f>INDEX($AC$6:$AC$104,MATCH($BG33,$Y$6:$Y$104,0))</f>
        <v>79+80+148+169</v>
      </c>
      <c r="BJ33" s="31">
        <v>79</v>
      </c>
      <c r="BK33" s="31">
        <v>80</v>
      </c>
      <c r="BO33" s="33">
        <f t="shared" si="6"/>
        <v>79</v>
      </c>
      <c r="BQ33" s="33" t="str">
        <f t="shared" si="7"/>
        <v>79</v>
      </c>
      <c r="BS33" s="40"/>
      <c r="BU33" s="34"/>
      <c r="BV33" s="34"/>
      <c r="BY33" s="33"/>
      <c r="BZ33" s="33"/>
    </row>
    <row r="34" spans="3:78" x14ac:dyDescent="0.15">
      <c r="C34" s="31" t="s">
        <v>521</v>
      </c>
      <c r="D34" s="31">
        <v>30</v>
      </c>
      <c r="G34" s="20" t="s">
        <v>522</v>
      </c>
      <c r="H34" s="20">
        <v>145</v>
      </c>
      <c r="L34" s="31">
        <f t="shared" si="13"/>
        <v>1</v>
      </c>
      <c r="M34" s="31">
        <f>IF(线路设计!J12="","",线路设计!J12)</f>
        <v>2</v>
      </c>
      <c r="N34" s="31" t="str">
        <f>IF(线路设计!K12="","",线路设计!K12)</f>
        <v/>
      </c>
      <c r="O34" s="31" t="str">
        <f>IF(线路设计!L12="","",线路设计!L12)</f>
        <v/>
      </c>
      <c r="P34" s="31" t="str">
        <f>IF(线路设计!M12="","",线路设计!M12)</f>
        <v/>
      </c>
      <c r="Q34" s="31" t="str">
        <f>IF(线路设计!N12="","",线路设计!N12)</f>
        <v/>
      </c>
      <c r="R34" s="31">
        <f>IF(线路设计!O12="","",线路设计!O12)</f>
        <v>0</v>
      </c>
      <c r="U34" s="31">
        <f t="shared" si="12"/>
        <v>1</v>
      </c>
      <c r="V34" s="31">
        <v>2</v>
      </c>
      <c r="AB34" s="31" t="str">
        <f t="shared" si="14"/>
        <v/>
      </c>
      <c r="AC34" s="31" t="str">
        <f t="shared" si="15"/>
        <v/>
      </c>
      <c r="AI34" s="31" t="s">
        <v>521</v>
      </c>
      <c r="AJ34" s="19">
        <f>IF(AI34&lt;&gt;AI33,MAX($AJ$5:$AJ33)+1,AJ33)</f>
        <v>10</v>
      </c>
      <c r="AK34" s="31">
        <v>30</v>
      </c>
      <c r="AL34" s="31">
        <f>IFERROR(INDEX($BG$5:$BG$50,MATCH($AK34,BJ$5:BJ$50,0)),"")</f>
        <v>125</v>
      </c>
      <c r="AM34" s="31" t="str">
        <f>IFERROR(INDEX($BG$5:$BG$50,MATCH($AK34,BK$5:BK$50,0)),"")</f>
        <v/>
      </c>
      <c r="AN34" s="31" t="str">
        <f>IFERROR(INDEX($BG$5:$BG$50,MATCH($AK34,BL$5:BL$50,0)),"")</f>
        <v/>
      </c>
      <c r="AO34" s="31" t="str">
        <f>IFERROR(INDEX($BG$5:$BG$50,MATCH($AK34,BM$5:BM$50,0)),"")</f>
        <v/>
      </c>
      <c r="AP34" s="31" t="str">
        <f>IFERROR(INDEX($BG$5:$BG$50,MATCH($AK34,BN$5:BN$50,0)),"")</f>
        <v/>
      </c>
      <c r="AQ34" s="31" t="str">
        <f>IFERROR(INDEX($BG$5:$BG$50,MATCH($AK34,#REF!,0)),"")</f>
        <v/>
      </c>
      <c r="AR34" s="19">
        <f t="shared" si="11"/>
        <v>125</v>
      </c>
      <c r="AS34" s="22" t="str">
        <f>IF(AR34&lt;&gt;AR33,"",AK33)</f>
        <v/>
      </c>
      <c r="AT34" s="23" t="str">
        <f t="shared" si="0"/>
        <v>125</v>
      </c>
      <c r="AW34" s="22" t="str">
        <f t="shared" si="1"/>
        <v/>
      </c>
      <c r="AX34" s="32">
        <f>IF(AY34="",AK35,"")</f>
        <v>31</v>
      </c>
      <c r="AY34" s="32" t="str">
        <f>IFERROR(INDEX($BG$5:$BG$50,MATCH($AK34,$BH$5:$BH$50,0)),"")</f>
        <v/>
      </c>
      <c r="AZ34" s="32" t="str">
        <f t="shared" si="3"/>
        <v/>
      </c>
      <c r="BA34" s="32" t="str">
        <f t="shared" si="4"/>
        <v/>
      </c>
      <c r="BB34" s="22" t="str">
        <f t="shared" si="5"/>
        <v>31</v>
      </c>
      <c r="BD34" s="40"/>
      <c r="BE34" s="20" t="s">
        <v>522</v>
      </c>
      <c r="BF34" s="19">
        <f t="shared" si="9"/>
        <v>17</v>
      </c>
      <c r="BG34" s="20">
        <v>145</v>
      </c>
      <c r="BH34" s="22">
        <f>INDEX($AB$6:$AB$104,MATCH($BG34,$Y$6:$Y$104,0))*1</f>
        <v>74</v>
      </c>
      <c r="BI34" s="19" t="str">
        <f>INDEX($AC$6:$AC$104,MATCH($BG34,$Y$6:$Y$104,0))</f>
        <v>81+149</v>
      </c>
      <c r="BJ34" s="31">
        <v>81</v>
      </c>
      <c r="BO34" s="33">
        <f t="shared" si="6"/>
        <v>81</v>
      </c>
      <c r="BQ34" s="33" t="str">
        <f t="shared" si="7"/>
        <v>81</v>
      </c>
      <c r="BS34" s="40"/>
      <c r="BU34" s="34"/>
      <c r="BV34" s="34"/>
      <c r="BY34" s="33"/>
      <c r="BZ34" s="33"/>
    </row>
    <row r="35" spans="3:78" x14ac:dyDescent="0.15">
      <c r="C35" s="31" t="s">
        <v>521</v>
      </c>
      <c r="D35" s="31">
        <v>31</v>
      </c>
      <c r="G35" s="31" t="s">
        <v>523</v>
      </c>
      <c r="H35" s="31">
        <v>146</v>
      </c>
      <c r="L35" s="31">
        <f t="shared" si="13"/>
        <v>1</v>
      </c>
      <c r="M35" s="31">
        <f>IF(线路设计!J13="","",线路设计!J13)</f>
        <v>3</v>
      </c>
      <c r="N35" s="31" t="str">
        <f>IF(线路设计!K13="","",线路设计!K13)</f>
        <v/>
      </c>
      <c r="O35" s="31" t="str">
        <f>IF(线路设计!L13="","",线路设计!L13)</f>
        <v/>
      </c>
      <c r="P35" s="31" t="str">
        <f>IF(线路设计!M13="","",线路设计!M13)</f>
        <v/>
      </c>
      <c r="Q35" s="31" t="str">
        <f>IF(线路设计!N13="","",线路设计!N13)</f>
        <v/>
      </c>
      <c r="R35" s="31">
        <f>IF(线路设计!O13="","",线路设计!O13)</f>
        <v>0</v>
      </c>
      <c r="U35" s="31">
        <f t="shared" si="12"/>
        <v>1</v>
      </c>
      <c r="V35" s="31">
        <v>3</v>
      </c>
      <c r="AB35" s="31" t="str">
        <f t="shared" si="14"/>
        <v/>
      </c>
      <c r="AC35" s="31" t="str">
        <f t="shared" si="15"/>
        <v/>
      </c>
      <c r="AI35" s="31" t="s">
        <v>521</v>
      </c>
      <c r="AJ35" s="19">
        <f>IF(AI35&lt;&gt;AI34,MAX($AJ$5:$AJ34)+1,AJ34)</f>
        <v>10</v>
      </c>
      <c r="AK35" s="31">
        <v>31</v>
      </c>
      <c r="AL35" s="31" t="str">
        <f>IFERROR(INDEX($BG$5:$BG$50,MATCH($AK35,BJ$5:BJ$50,0)),"")</f>
        <v/>
      </c>
      <c r="AM35" s="31">
        <f>IFERROR(INDEX($BG$5:$BG$50,MATCH($AK35,BK$5:BK$50,0)),"")</f>
        <v>125</v>
      </c>
      <c r="AN35" s="31" t="str">
        <f>IFERROR(INDEX($BG$5:$BG$50,MATCH($AK35,BL$5:BL$50,0)),"")</f>
        <v/>
      </c>
      <c r="AO35" s="31" t="str">
        <f>IFERROR(INDEX($BG$5:$BG$50,MATCH($AK35,BM$5:BM$50,0)),"")</f>
        <v/>
      </c>
      <c r="AP35" s="31" t="str">
        <f>IFERROR(INDEX($BG$5:$BG$50,MATCH($AK35,BN$5:BN$50,0)),"")</f>
        <v/>
      </c>
      <c r="AQ35" s="31" t="str">
        <f>IFERROR(INDEX($BG$5:$BG$50,MATCH($AK35,#REF!,0)),"")</f>
        <v/>
      </c>
      <c r="AR35" s="19">
        <f t="shared" si="11"/>
        <v>125</v>
      </c>
      <c r="AS35" s="22">
        <f>IF(AR35&lt;&gt;AR34,"",AK34)</f>
        <v>30</v>
      </c>
      <c r="AT35" s="23" t="str">
        <f t="shared" si="0"/>
        <v>125+30</v>
      </c>
      <c r="AW35" s="22" t="str">
        <f t="shared" si="1"/>
        <v/>
      </c>
      <c r="AX35" s="32">
        <f>IF(AY35="",AK36,"")</f>
        <v>32</v>
      </c>
      <c r="AY35" s="32" t="str">
        <f>IFERROR(INDEX($BG$5:$BG$50,MATCH($AK35,$BH$5:$BH$50,0)),"")</f>
        <v/>
      </c>
      <c r="AZ35" s="32" t="str">
        <f t="shared" si="3"/>
        <v/>
      </c>
      <c r="BA35" s="32">
        <f t="shared" si="4"/>
        <v>165</v>
      </c>
      <c r="BB35" s="22" t="str">
        <f t="shared" si="5"/>
        <v>32+165</v>
      </c>
      <c r="BD35" s="40"/>
      <c r="BE35" s="31" t="s">
        <v>523</v>
      </c>
      <c r="BF35" s="19">
        <f>IF(BE35&lt;&gt;BE34,MAX(BF34)+1,BF34)</f>
        <v>18</v>
      </c>
      <c r="BG35" s="31">
        <v>146</v>
      </c>
      <c r="BH35" s="22">
        <f>INDEX($AB$6:$AB$104,MATCH($BG35,$Y$6:$Y$104,0))*1</f>
        <v>76</v>
      </c>
      <c r="BI35" s="19" t="str">
        <f>INDEX($AC$6:$AC$104,MATCH($BG35,$Y$6:$Y$104,0))</f>
        <v>82+83+150</v>
      </c>
      <c r="BJ35" s="31">
        <v>82</v>
      </c>
      <c r="BK35" s="31">
        <v>83</v>
      </c>
      <c r="BO35" s="33">
        <f t="shared" si="6"/>
        <v>82</v>
      </c>
      <c r="BQ35" s="33" t="str">
        <f t="shared" si="7"/>
        <v>82</v>
      </c>
      <c r="BS35" s="40"/>
      <c r="BU35" s="34"/>
      <c r="BV35" s="34"/>
      <c r="BY35" s="33"/>
      <c r="BZ35" s="33"/>
    </row>
    <row r="36" spans="3:78" x14ac:dyDescent="0.15">
      <c r="C36" s="31" t="s">
        <v>521</v>
      </c>
      <c r="D36" s="31">
        <v>32</v>
      </c>
      <c r="G36" s="31" t="s">
        <v>523</v>
      </c>
      <c r="H36" s="31">
        <v>147</v>
      </c>
      <c r="L36" s="31">
        <f t="shared" si="13"/>
        <v>1</v>
      </c>
      <c r="M36" s="31">
        <f>IF(线路设计!J14="","",线路设计!J14)</f>
        <v>4</v>
      </c>
      <c r="N36" s="31" t="str">
        <f>IF(线路设计!K14="","",线路设计!K14)</f>
        <v/>
      </c>
      <c r="O36" s="31" t="str">
        <f>IF(线路设计!L14="","",线路设计!L14)</f>
        <v/>
      </c>
      <c r="P36" s="31" t="str">
        <f>IF(线路设计!M14="","",线路设计!M14)</f>
        <v/>
      </c>
      <c r="Q36" s="31" t="str">
        <f>IF(线路设计!N14="","",线路设计!N14)</f>
        <v/>
      </c>
      <c r="R36" s="31">
        <f>IF(线路设计!O14="","",线路设计!O14)</f>
        <v>0</v>
      </c>
      <c r="U36" s="31">
        <f t="shared" si="12"/>
        <v>1</v>
      </c>
      <c r="V36" s="31">
        <v>4</v>
      </c>
      <c r="AB36" s="31" t="str">
        <f t="shared" si="14"/>
        <v/>
      </c>
      <c r="AC36" s="31" t="str">
        <f t="shared" si="15"/>
        <v/>
      </c>
      <c r="AI36" s="31" t="s">
        <v>521</v>
      </c>
      <c r="AJ36" s="19">
        <f>IF(AI36&lt;&gt;AI35,MAX($AJ$5:$AJ35)+1,AJ35)</f>
        <v>10</v>
      </c>
      <c r="AK36" s="31">
        <v>32</v>
      </c>
      <c r="AL36" s="31" t="str">
        <f>IFERROR(INDEX($BG$5:$BG$50,MATCH($AK36,BJ$5:BJ$50,0)),"")</f>
        <v/>
      </c>
      <c r="AM36" s="31" t="str">
        <f>IFERROR(INDEX($BG$5:$BG$50,MATCH($AK36,BK$5:BK$50,0)),"")</f>
        <v/>
      </c>
      <c r="AN36" s="31">
        <f>IFERROR(INDEX($BG$5:$BG$50,MATCH($AK36,BL$5:BL$50,0)),"")</f>
        <v>125</v>
      </c>
      <c r="AO36" s="31" t="str">
        <f>IFERROR(INDEX($BG$5:$BG$50,MATCH($AK36,BM$5:BM$50,0)),"")</f>
        <v/>
      </c>
      <c r="AP36" s="31" t="str">
        <f>IFERROR(INDEX($BG$5:$BG$50,MATCH($AK36,BN$5:BN$50,0)),"")</f>
        <v/>
      </c>
      <c r="AQ36" s="31" t="str">
        <f>IFERROR(INDEX($BG$5:$BG$50,MATCH($AK36,#REF!,0)),"")</f>
        <v/>
      </c>
      <c r="AR36" s="19">
        <f t="shared" si="11"/>
        <v>125</v>
      </c>
      <c r="AS36" s="22">
        <f>IF(AR36&lt;&gt;AR35,"",AK35)</f>
        <v>31</v>
      </c>
      <c r="AT36" s="23" t="str">
        <f t="shared" si="0"/>
        <v>125+31</v>
      </c>
      <c r="AW36" s="22" t="str">
        <f t="shared" si="1"/>
        <v/>
      </c>
      <c r="AX36" s="32" t="str">
        <f>IF(AY36="",AK37,"")</f>
        <v/>
      </c>
      <c r="AY36" s="32">
        <f>IFERROR(INDEX($BG$5:$BG$50,MATCH($AK36,$BH$5:$BH$50,0)),"")</f>
        <v>127</v>
      </c>
      <c r="AZ36" s="32" t="str">
        <f t="shared" si="3"/>
        <v/>
      </c>
      <c r="BA36" s="32" t="str">
        <f t="shared" si="4"/>
        <v/>
      </c>
      <c r="BB36" s="22" t="str">
        <f t="shared" si="5"/>
        <v>127</v>
      </c>
      <c r="BD36" s="40"/>
      <c r="BE36" s="31" t="s">
        <v>523</v>
      </c>
      <c r="BF36" s="19">
        <f>IF(BE36&lt;&gt;BE35,MAX(BF35)+1,BF35)</f>
        <v>18</v>
      </c>
      <c r="BG36" s="31">
        <v>147</v>
      </c>
      <c r="BH36" s="22">
        <f>INDEX($AB$6:$AB$104,MATCH($BG36,$Y$6:$Y$104,0))*1</f>
        <v>78</v>
      </c>
      <c r="BI36" s="19" t="str">
        <f>INDEX($AC$6:$AC$104,MATCH($BG36,$Y$6:$Y$104,0))</f>
        <v>84+85+151</v>
      </c>
      <c r="BJ36" s="31">
        <v>84</v>
      </c>
      <c r="BK36" s="31">
        <v>85</v>
      </c>
      <c r="BO36" s="33">
        <f t="shared" si="6"/>
        <v>84</v>
      </c>
      <c r="BQ36" s="33" t="str">
        <f t="shared" si="7"/>
        <v>84</v>
      </c>
      <c r="BS36" s="40"/>
      <c r="BU36" s="34"/>
      <c r="BV36" s="34"/>
      <c r="BY36" s="33"/>
      <c r="BZ36" s="33"/>
    </row>
    <row r="37" spans="3:78" x14ac:dyDescent="0.15">
      <c r="C37" s="20" t="s">
        <v>524</v>
      </c>
      <c r="D37" s="20">
        <v>33</v>
      </c>
      <c r="G37" s="31" t="s">
        <v>523</v>
      </c>
      <c r="H37" s="31">
        <v>148</v>
      </c>
      <c r="L37" s="31">
        <f t="shared" si="13"/>
        <v>1</v>
      </c>
      <c r="M37" s="31">
        <f>IF(线路设计!J15="","",线路设计!J15)</f>
        <v>5</v>
      </c>
      <c r="N37" s="31" t="str">
        <f>IF(线路设计!K15="","",线路设计!K15)</f>
        <v/>
      </c>
      <c r="O37" s="31" t="str">
        <f>IF(线路设计!L15="","",线路设计!L15)</f>
        <v/>
      </c>
      <c r="P37" s="31" t="str">
        <f>IF(线路设计!M15="","",线路设计!M15)</f>
        <v/>
      </c>
      <c r="Q37" s="31" t="str">
        <f>IF(线路设计!N15="","",线路设计!N15)</f>
        <v/>
      </c>
      <c r="R37" s="31">
        <f>IF(线路设计!O15="","",线路设计!O15)</f>
        <v>0</v>
      </c>
      <c r="U37" s="31">
        <f t="shared" si="12"/>
        <v>1</v>
      </c>
      <c r="V37" s="31">
        <v>5</v>
      </c>
      <c r="AB37" s="31" t="str">
        <f t="shared" si="14"/>
        <v/>
      </c>
      <c r="AC37" s="31" t="str">
        <f t="shared" si="15"/>
        <v/>
      </c>
      <c r="AI37" s="20" t="s">
        <v>524</v>
      </c>
      <c r="AJ37" s="19">
        <f>IF(AI37&lt;&gt;AI36,MAX($AJ$5:$AJ36)+1,AJ36)</f>
        <v>11</v>
      </c>
      <c r="AK37" s="20">
        <v>33</v>
      </c>
      <c r="AL37" s="31">
        <f>IFERROR(INDEX($BG$5:$BG$50,MATCH($AK37,BJ$5:BJ$50,0)),"")</f>
        <v>126</v>
      </c>
      <c r="AM37" s="31" t="str">
        <f>IFERROR(INDEX($BG$5:$BG$50,MATCH($AK37,BK$5:BK$50,0)),"")</f>
        <v/>
      </c>
      <c r="AN37" s="31" t="str">
        <f>IFERROR(INDEX($BG$5:$BG$50,MATCH($AK37,BL$5:BL$50,0)),"")</f>
        <v/>
      </c>
      <c r="AO37" s="31" t="str">
        <f>IFERROR(INDEX($BG$5:$BG$50,MATCH($AK37,BM$5:BM$50,0)),"")</f>
        <v/>
      </c>
      <c r="AP37" s="31" t="str">
        <f>IFERROR(INDEX($BG$5:$BG$50,MATCH($AK37,BN$5:BN$50,0)),"")</f>
        <v/>
      </c>
      <c r="AQ37" s="31" t="str">
        <f>IFERROR(INDEX($BG$5:$BG$50,MATCH($AK37,#REF!,0)),"")</f>
        <v/>
      </c>
      <c r="AR37" s="19">
        <f t="shared" si="11"/>
        <v>126</v>
      </c>
      <c r="AS37" s="22" t="str">
        <f>IF(AR37&lt;&gt;AR36,"",AK36)</f>
        <v/>
      </c>
      <c r="AT37" s="23" t="str">
        <f t="shared" ref="AT37:AT68" si="16">合并区域(AR37:AS37,"+")</f>
        <v>126</v>
      </c>
      <c r="AW37" s="22" t="str">
        <f t="shared" ref="AW37:AW68" si="17">合并区域(AU37:AV37,"+")</f>
        <v/>
      </c>
      <c r="AX37" s="32">
        <f>IF(AY37="",AK38,"")</f>
        <v>34</v>
      </c>
      <c r="AY37" s="32" t="str">
        <f>IFERROR(INDEX($BG$5:$BG$50,MATCH($AK37,$BH$5:$BH$50,0)),"")</f>
        <v/>
      </c>
      <c r="AZ37" s="32" t="str">
        <f t="shared" si="3"/>
        <v/>
      </c>
      <c r="BA37" s="32" t="str">
        <f t="shared" si="4"/>
        <v/>
      </c>
      <c r="BB37" s="22" t="str">
        <f t="shared" si="5"/>
        <v>34</v>
      </c>
      <c r="BD37" s="40"/>
      <c r="BE37" s="31" t="s">
        <v>523</v>
      </c>
      <c r="BF37" s="19">
        <f t="shared" si="9"/>
        <v>18</v>
      </c>
      <c r="BG37" s="31">
        <v>148</v>
      </c>
      <c r="BH37" s="22">
        <f>INDEX($AB$6:$AB$104,MATCH($BG37,$Y$6:$Y$104,0))*1</f>
        <v>80</v>
      </c>
      <c r="BI37" s="19" t="str">
        <f>INDEX($AC$6:$AC$104,MATCH($BG37,$Y$6:$Y$104,0))</f>
        <v>80+87+152</v>
      </c>
      <c r="BJ37" s="31">
        <v>86</v>
      </c>
      <c r="BK37" s="31">
        <v>87</v>
      </c>
      <c r="BO37" s="33">
        <f t="shared" si="6"/>
        <v>86</v>
      </c>
      <c r="BQ37" s="33" t="str">
        <f t="shared" si="7"/>
        <v>86</v>
      </c>
      <c r="BS37" s="40"/>
      <c r="BU37" s="34"/>
      <c r="BV37" s="34"/>
      <c r="BY37" s="33"/>
      <c r="BZ37" s="33"/>
    </row>
    <row r="38" spans="3:78" x14ac:dyDescent="0.15">
      <c r="C38" s="20" t="s">
        <v>524</v>
      </c>
      <c r="D38" s="20">
        <v>34</v>
      </c>
      <c r="G38" s="31" t="s">
        <v>523</v>
      </c>
      <c r="H38" s="31">
        <v>149</v>
      </c>
      <c r="L38" s="31">
        <f t="shared" si="13"/>
        <v>1</v>
      </c>
      <c r="M38" s="31">
        <f>IF(线路设计!J16="","",线路设计!J16)</f>
        <v>6</v>
      </c>
      <c r="N38" s="31" t="str">
        <f>IF(线路设计!K16="","",线路设计!K16)</f>
        <v/>
      </c>
      <c r="O38" s="31" t="str">
        <f>IF(线路设计!L16="","",线路设计!L16)</f>
        <v/>
      </c>
      <c r="P38" s="31" t="str">
        <f>IF(线路设计!M16="","",线路设计!M16)</f>
        <v/>
      </c>
      <c r="Q38" s="31" t="str">
        <f>IF(线路设计!N16="","",线路设计!N16)</f>
        <v/>
      </c>
      <c r="R38" s="31">
        <f>IF(线路设计!O16="","",线路设计!O16)</f>
        <v>0</v>
      </c>
      <c r="U38" s="31">
        <f t="shared" si="12"/>
        <v>1</v>
      </c>
      <c r="V38" s="31">
        <v>6</v>
      </c>
      <c r="AB38" s="31" t="str">
        <f t="shared" si="14"/>
        <v/>
      </c>
      <c r="AC38" s="31" t="str">
        <f t="shared" si="15"/>
        <v/>
      </c>
      <c r="AI38" s="20" t="s">
        <v>524</v>
      </c>
      <c r="AJ38" s="19">
        <f>IF(AI38&lt;&gt;AI37,MAX($AJ$5:$AJ37)+1,AJ37)</f>
        <v>11</v>
      </c>
      <c r="AK38" s="20">
        <v>34</v>
      </c>
      <c r="AL38" s="31" t="str">
        <f>IFERROR(INDEX($BG$5:$BG$50,MATCH($AK38,BJ$5:BJ$50,0)),"")</f>
        <v/>
      </c>
      <c r="AM38" s="31">
        <f>IFERROR(INDEX($BG$5:$BG$50,MATCH($AK38,BK$5:BK$50,0)),"")</f>
        <v>126</v>
      </c>
      <c r="AN38" s="31" t="str">
        <f>IFERROR(INDEX($BG$5:$BG$50,MATCH($AK38,BL$5:BL$50,0)),"")</f>
        <v/>
      </c>
      <c r="AO38" s="31" t="str">
        <f>IFERROR(INDEX($BG$5:$BG$50,MATCH($AK38,BM$5:BM$50,0)),"")</f>
        <v/>
      </c>
      <c r="AP38" s="31" t="str">
        <f>IFERROR(INDEX($BG$5:$BG$50,MATCH($AK38,BN$5:BN$50,0)),"")</f>
        <v/>
      </c>
      <c r="AQ38" s="31" t="str">
        <f>IFERROR(INDEX($BG$5:$BG$50,MATCH($AK38,#REF!,0)),"")</f>
        <v/>
      </c>
      <c r="AR38" s="19">
        <f t="shared" si="11"/>
        <v>126</v>
      </c>
      <c r="AS38" s="22">
        <f>IF(AR38&lt;&gt;AR37,"",AK37)</f>
        <v>33</v>
      </c>
      <c r="AT38" s="23" t="str">
        <f t="shared" si="16"/>
        <v>126+33</v>
      </c>
      <c r="AW38" s="22" t="str">
        <f t="shared" si="17"/>
        <v/>
      </c>
      <c r="AX38" s="32" t="str">
        <f>IF(AY38="",AK39,"")</f>
        <v/>
      </c>
      <c r="AY38" s="32">
        <f>IFERROR(INDEX($BG$5:$BG$50,MATCH($AK38,$BH$5:$BH$50,0)),"")</f>
        <v>128</v>
      </c>
      <c r="AZ38" s="32" t="str">
        <f t="shared" si="3"/>
        <v/>
      </c>
      <c r="BA38" s="32" t="str">
        <f t="shared" si="4"/>
        <v/>
      </c>
      <c r="BB38" s="22" t="str">
        <f t="shared" si="5"/>
        <v>128</v>
      </c>
      <c r="BD38" s="40"/>
      <c r="BE38" s="31" t="s">
        <v>523</v>
      </c>
      <c r="BF38" s="19">
        <f t="shared" si="9"/>
        <v>18</v>
      </c>
      <c r="BG38" s="31">
        <v>149</v>
      </c>
      <c r="BH38" s="22">
        <f>INDEX($AB$6:$AB$104,MATCH($BG38,$Y$6:$Y$104,0))*1</f>
        <v>81</v>
      </c>
      <c r="BI38" s="19" t="str">
        <f>INDEX($AC$6:$AC$104,MATCH($BG38,$Y$6:$Y$104,0))</f>
        <v>88+89+114+153</v>
      </c>
      <c r="BJ38" s="31">
        <v>88</v>
      </c>
      <c r="BK38" s="31">
        <v>89</v>
      </c>
      <c r="BO38" s="33">
        <f t="shared" si="6"/>
        <v>88</v>
      </c>
      <c r="BQ38" s="33" t="str">
        <f t="shared" si="7"/>
        <v>88</v>
      </c>
      <c r="BS38" s="40"/>
      <c r="BU38" s="34"/>
      <c r="BV38" s="34"/>
      <c r="BY38" s="33"/>
      <c r="BZ38" s="33"/>
    </row>
    <row r="39" spans="3:78" x14ac:dyDescent="0.15">
      <c r="C39" s="20" t="s">
        <v>524</v>
      </c>
      <c r="D39" s="20">
        <v>35</v>
      </c>
      <c r="G39" s="20" t="s">
        <v>525</v>
      </c>
      <c r="H39" s="20">
        <v>150</v>
      </c>
      <c r="L39" s="31">
        <f t="shared" si="13"/>
        <v>2</v>
      </c>
      <c r="M39" s="31">
        <f>IF(线路设计!J17="","",线路设计!J17)</f>
        <v>7</v>
      </c>
      <c r="N39" s="31">
        <f>IF(线路设计!K17="","",线路设计!K17)</f>
        <v>2</v>
      </c>
      <c r="O39" s="31" t="str">
        <f>IF(线路设计!L17="","",线路设计!L17)</f>
        <v/>
      </c>
      <c r="P39" s="31">
        <f>IF(线路设计!M17="","",线路设计!M17)</f>
        <v>1</v>
      </c>
      <c r="Q39" s="31" t="str">
        <f>IF(线路设计!N17="","",线路设计!N17)</f>
        <v/>
      </c>
      <c r="R39" s="31">
        <f>IF(线路设计!O17="","",线路设计!O17)</f>
        <v>2</v>
      </c>
      <c r="U39" s="31">
        <f t="shared" si="12"/>
        <v>2</v>
      </c>
      <c r="V39" s="31">
        <v>7</v>
      </c>
      <c r="W39" s="31" t="s">
        <v>568</v>
      </c>
      <c r="Y39" s="31">
        <v>123</v>
      </c>
      <c r="AB39" s="31" t="str">
        <f t="shared" si="14"/>
        <v>23</v>
      </c>
      <c r="AC39" s="31" t="str">
        <f t="shared" si="15"/>
        <v>26+27+109+125</v>
      </c>
      <c r="AI39" s="20" t="s">
        <v>524</v>
      </c>
      <c r="AJ39" s="19">
        <f>IF(AI39&lt;&gt;AI38,MAX($AJ$5:$AJ38)+1,AJ38)</f>
        <v>11</v>
      </c>
      <c r="AK39" s="20">
        <v>35</v>
      </c>
      <c r="AL39" s="31">
        <f>IFERROR(INDEX($BG$5:$BG$50,MATCH($AK39,BJ$5:BJ$50,0)),"")</f>
        <v>127</v>
      </c>
      <c r="AM39" s="31" t="str">
        <f>IFERROR(INDEX($BG$5:$BG$50,MATCH($AK39,BK$5:BK$50,0)),"")</f>
        <v/>
      </c>
      <c r="AN39" s="31" t="str">
        <f>IFERROR(INDEX($BG$5:$BG$50,MATCH($AK39,BL$5:BL$50,0)),"")</f>
        <v/>
      </c>
      <c r="AO39" s="31" t="str">
        <f>IFERROR(INDEX($BG$5:$BG$50,MATCH($AK39,BM$5:BM$50,0)),"")</f>
        <v/>
      </c>
      <c r="AP39" s="31" t="str">
        <f>IFERROR(INDEX($BG$5:$BG$50,MATCH($AK39,BN$5:BN$50,0)),"")</f>
        <v/>
      </c>
      <c r="AQ39" s="31" t="str">
        <f>IFERROR(INDEX($BG$5:$BG$50,MATCH($AK39,#REF!,0)),"")</f>
        <v/>
      </c>
      <c r="AR39" s="19">
        <f t="shared" si="11"/>
        <v>127</v>
      </c>
      <c r="AS39" s="22" t="str">
        <f>IF(AR39&lt;&gt;AR38,"",AK38)</f>
        <v/>
      </c>
      <c r="AT39" s="23" t="str">
        <f t="shared" si="16"/>
        <v>127</v>
      </c>
      <c r="AW39" s="22" t="str">
        <f t="shared" si="17"/>
        <v/>
      </c>
      <c r="AX39" s="18"/>
      <c r="AY39" s="32" t="str">
        <f>IFERROR(INDEX($BG$5:$BG$50,MATCH($AK39,$BH$5:$BH$50,0)),"")</f>
        <v/>
      </c>
      <c r="AZ39" s="32">
        <f t="shared" si="3"/>
        <v>110</v>
      </c>
      <c r="BA39" s="32" t="str">
        <f t="shared" si="4"/>
        <v/>
      </c>
      <c r="BB39" s="22" t="str">
        <f t="shared" si="5"/>
        <v>110</v>
      </c>
      <c r="BD39" s="40"/>
      <c r="BE39" s="20" t="s">
        <v>525</v>
      </c>
      <c r="BF39" s="19">
        <f t="shared" si="9"/>
        <v>19</v>
      </c>
      <c r="BG39" s="20">
        <v>150</v>
      </c>
      <c r="BH39" s="22">
        <f>INDEX($AB$6:$AB$104,MATCH($BG39,$Y$6:$Y$104,0))*1</f>
        <v>83</v>
      </c>
      <c r="BI39" s="19" t="str">
        <f>INDEX($AC$6:$AC$104,MATCH($BG39,$Y$6:$Y$104,0))</f>
        <v>90+91+154</v>
      </c>
      <c r="BJ39" s="31">
        <v>90</v>
      </c>
      <c r="BK39" s="31">
        <v>91</v>
      </c>
      <c r="BO39" s="33">
        <f t="shared" si="6"/>
        <v>90</v>
      </c>
      <c r="BQ39" s="33" t="str">
        <f t="shared" si="7"/>
        <v>90</v>
      </c>
      <c r="BS39" s="40"/>
      <c r="BU39" s="34"/>
      <c r="BV39" s="34"/>
      <c r="BY39" s="33"/>
      <c r="BZ39" s="33"/>
    </row>
    <row r="40" spans="3:78" x14ac:dyDescent="0.15">
      <c r="C40" s="20" t="s">
        <v>524</v>
      </c>
      <c r="D40" s="20">
        <v>36</v>
      </c>
      <c r="G40" s="20" t="s">
        <v>525</v>
      </c>
      <c r="H40" s="20">
        <v>151</v>
      </c>
      <c r="L40" s="31">
        <f t="shared" si="13"/>
        <v>2</v>
      </c>
      <c r="M40" s="31">
        <f>IF(线路设计!J18="","",线路设计!J18)</f>
        <v>8</v>
      </c>
      <c r="N40" s="31">
        <f>IF(线路设计!K18="","",线路设计!K18)</f>
        <v>2</v>
      </c>
      <c r="O40" s="31">
        <f>IF(线路设计!L18="","",线路设计!L18)</f>
        <v>1</v>
      </c>
      <c r="P40" s="31">
        <f>IF(线路设计!M18="","",线路设计!M18)</f>
        <v>1</v>
      </c>
      <c r="Q40" s="31" t="str">
        <f>IF(线路设计!N18="","",线路设计!N18)</f>
        <v/>
      </c>
      <c r="R40" s="31">
        <f>IF(线路设计!O18="","",线路设计!O18)</f>
        <v>2</v>
      </c>
      <c r="U40" s="31">
        <f t="shared" si="12"/>
        <v>2</v>
      </c>
      <c r="V40" s="31">
        <v>8</v>
      </c>
      <c r="W40" s="31" t="s">
        <v>569</v>
      </c>
      <c r="X40" s="31">
        <v>109</v>
      </c>
      <c r="Y40" s="31">
        <v>125</v>
      </c>
      <c r="AB40" s="31" t="str">
        <f t="shared" si="14"/>
        <v>27</v>
      </c>
      <c r="AC40" s="31" t="str">
        <f t="shared" si="15"/>
        <v>30+31+32+127+165</v>
      </c>
      <c r="AI40" s="20" t="s">
        <v>524</v>
      </c>
      <c r="AJ40" s="19">
        <f>IF(AI40&lt;&gt;AI39,MAX($AJ$5:$AJ39)+1,AJ39)</f>
        <v>11</v>
      </c>
      <c r="AK40" s="20">
        <v>36</v>
      </c>
      <c r="AL40" s="31" t="str">
        <f>IFERROR(INDEX($BG$5:$BG$50,MATCH($AK40,BJ$5:BJ$50,0)),"")</f>
        <v/>
      </c>
      <c r="AM40" s="31">
        <f>IFERROR(INDEX($BG$5:$BG$50,MATCH($AK40,BK$5:BK$50,0)),"")</f>
        <v>127</v>
      </c>
      <c r="AN40" s="31" t="str">
        <f>IFERROR(INDEX($BG$5:$BG$50,MATCH($AK40,BL$5:BL$50,0)),"")</f>
        <v/>
      </c>
      <c r="AO40" s="31" t="str">
        <f>IFERROR(INDEX($BG$5:$BG$50,MATCH($AK40,BM$5:BM$50,0)),"")</f>
        <v/>
      </c>
      <c r="AP40" s="31" t="str">
        <f>IFERROR(INDEX($BG$5:$BG$50,MATCH($AK40,BN$5:BN$50,0)),"")</f>
        <v/>
      </c>
      <c r="AQ40" s="31" t="str">
        <f>IFERROR(INDEX($BG$5:$BG$50,MATCH($AK40,#REF!,0)),"")</f>
        <v/>
      </c>
      <c r="AR40" s="19">
        <f t="shared" si="11"/>
        <v>127</v>
      </c>
      <c r="AS40" s="22">
        <f>IF(AR40&lt;&gt;AR39,"",AK39)</f>
        <v>35</v>
      </c>
      <c r="AT40" s="23" t="str">
        <f t="shared" si="16"/>
        <v>127+35</v>
      </c>
      <c r="AW40" s="22" t="str">
        <f t="shared" si="17"/>
        <v/>
      </c>
      <c r="AX40" s="32">
        <f>IF(AY40="",AK41,"")</f>
        <v>37</v>
      </c>
      <c r="AY40" s="32" t="str">
        <f>IFERROR(INDEX($BG$5:$BG$50,MATCH($AK40,$BH$5:$BH$50,0)),"")</f>
        <v/>
      </c>
      <c r="AZ40" s="32" t="str">
        <f t="shared" si="3"/>
        <v/>
      </c>
      <c r="BA40" s="32" t="str">
        <f t="shared" si="4"/>
        <v/>
      </c>
      <c r="BB40" s="22" t="str">
        <f t="shared" si="5"/>
        <v>37</v>
      </c>
      <c r="BD40" s="40"/>
      <c r="BE40" s="20" t="s">
        <v>525</v>
      </c>
      <c r="BF40" s="19">
        <f t="shared" si="9"/>
        <v>19</v>
      </c>
      <c r="BG40" s="20">
        <v>151</v>
      </c>
      <c r="BH40" s="22">
        <f>INDEX($AB$6:$AB$104,MATCH($BG40,$Y$6:$Y$104,0))*1</f>
        <v>85</v>
      </c>
      <c r="BI40" s="19" t="str">
        <f>INDEX($AC$6:$AC$104,MATCH($BG40,$Y$6:$Y$104,0))</f>
        <v>92+93+155+170</v>
      </c>
      <c r="BJ40" s="31">
        <v>92</v>
      </c>
      <c r="BK40" s="31">
        <v>93</v>
      </c>
      <c r="BO40" s="33">
        <f t="shared" si="6"/>
        <v>92</v>
      </c>
      <c r="BQ40" s="33" t="str">
        <f t="shared" si="7"/>
        <v>92</v>
      </c>
      <c r="BS40" s="40"/>
      <c r="BU40" s="34"/>
      <c r="BV40" s="34"/>
      <c r="BY40" s="33"/>
      <c r="BZ40" s="33"/>
    </row>
    <row r="41" spans="3:78" x14ac:dyDescent="0.15">
      <c r="C41" s="20" t="s">
        <v>524</v>
      </c>
      <c r="D41" s="20">
        <v>37</v>
      </c>
      <c r="G41" s="20" t="s">
        <v>525</v>
      </c>
      <c r="H41" s="20">
        <v>152</v>
      </c>
      <c r="L41" s="31">
        <f t="shared" si="13"/>
        <v>2</v>
      </c>
      <c r="M41" s="31">
        <f>IF(线路设计!J19="","",线路设计!J19)</f>
        <v>9</v>
      </c>
      <c r="N41" s="31">
        <f>IF(线路设计!K19="","",线路设计!K19)</f>
        <v>3</v>
      </c>
      <c r="O41" s="31" t="str">
        <f>IF(线路设计!L19="","",线路设计!L19)</f>
        <v/>
      </c>
      <c r="P41" s="31">
        <f>IF(线路设计!M19="","",线路设计!M19)</f>
        <v>1</v>
      </c>
      <c r="Q41" s="31">
        <f>IF(线路设计!N19="","",线路设计!N19)</f>
        <v>1</v>
      </c>
      <c r="R41" s="31">
        <f>IF(线路设计!O19="","",线路设计!O19)</f>
        <v>3</v>
      </c>
      <c r="U41" s="31">
        <f t="shared" si="12"/>
        <v>2</v>
      </c>
      <c r="V41" s="31">
        <v>9</v>
      </c>
      <c r="W41" s="31" t="s">
        <v>570</v>
      </c>
      <c r="X41" s="31" t="s">
        <v>547</v>
      </c>
      <c r="Y41" s="31">
        <v>127</v>
      </c>
      <c r="Z41" s="31">
        <v>165</v>
      </c>
      <c r="AB41" s="31" t="str">
        <f t="shared" si="14"/>
        <v>32</v>
      </c>
      <c r="AC41" s="31" t="str">
        <f t="shared" si="15"/>
        <v>35+36+37+110+129</v>
      </c>
      <c r="AI41" s="20" t="s">
        <v>524</v>
      </c>
      <c r="AJ41" s="19">
        <f>IF(AI41&lt;&gt;AI40,MAX($AJ$5:$AJ40)+1,AJ40)</f>
        <v>11</v>
      </c>
      <c r="AK41" s="20">
        <v>37</v>
      </c>
      <c r="AL41" s="31" t="str">
        <f>IFERROR(INDEX($BG$5:$BG$50,MATCH($AK41,BJ$5:BJ$50,0)),"")</f>
        <v/>
      </c>
      <c r="AM41" s="31" t="str">
        <f>IFERROR(INDEX($BG$5:$BG$50,MATCH($AK41,BK$5:BK$50,0)),"")</f>
        <v/>
      </c>
      <c r="AN41" s="31">
        <f>IFERROR(INDEX($BG$5:$BG$50,MATCH($AK41,BL$5:BL$50,0)),"")</f>
        <v>127</v>
      </c>
      <c r="AO41" s="31" t="str">
        <f>IFERROR(INDEX($BG$5:$BG$50,MATCH($AK41,BM$5:BM$50,0)),"")</f>
        <v/>
      </c>
      <c r="AP41" s="31" t="str">
        <f>IFERROR(INDEX($BG$5:$BG$50,MATCH($AK41,BN$5:BN$50,0)),"")</f>
        <v/>
      </c>
      <c r="AQ41" s="31" t="str">
        <f>IFERROR(INDEX($BG$5:$BG$50,MATCH($AK41,#REF!,0)),"")</f>
        <v/>
      </c>
      <c r="AR41" s="19">
        <f t="shared" si="11"/>
        <v>127</v>
      </c>
      <c r="AS41" s="22">
        <f>IF(AR41&lt;&gt;AR40,"",AK40)</f>
        <v>36</v>
      </c>
      <c r="AT41" s="23" t="str">
        <f t="shared" si="16"/>
        <v>127+36</v>
      </c>
      <c r="AW41" s="22" t="str">
        <f t="shared" si="17"/>
        <v/>
      </c>
      <c r="AX41" s="32" t="str">
        <f>IF(AY41="",AK42,"")</f>
        <v/>
      </c>
      <c r="AY41" s="32">
        <f>IFERROR(INDEX($BG$5:$BG$50,MATCH($AK41,$BH$5:$BH$50,0)),"")</f>
        <v>129</v>
      </c>
      <c r="AZ41" s="32" t="str">
        <f t="shared" si="3"/>
        <v/>
      </c>
      <c r="BA41" s="32" t="str">
        <f t="shared" si="4"/>
        <v/>
      </c>
      <c r="BB41" s="22" t="str">
        <f t="shared" si="5"/>
        <v>129</v>
      </c>
      <c r="BD41" s="40"/>
      <c r="BE41" s="20" t="s">
        <v>525</v>
      </c>
      <c r="BF41" s="19">
        <f t="shared" si="9"/>
        <v>19</v>
      </c>
      <c r="BG41" s="20">
        <v>152</v>
      </c>
      <c r="BH41" s="22">
        <f>INDEX($AB$6:$AB$104,MATCH($BG41,$Y$6:$Y$104,0))*1</f>
        <v>87</v>
      </c>
      <c r="BI41" s="19" t="str">
        <f>INDEX($AC$6:$AC$104,MATCH($BG41,$Y$6:$Y$104,0))</f>
        <v>94+95+156</v>
      </c>
      <c r="BJ41" s="31">
        <v>94</v>
      </c>
      <c r="BK41" s="31">
        <v>95</v>
      </c>
      <c r="BO41" s="33">
        <f t="shared" si="6"/>
        <v>94</v>
      </c>
      <c r="BQ41" s="33" t="str">
        <f t="shared" si="7"/>
        <v>94</v>
      </c>
      <c r="BS41" s="40"/>
      <c r="BU41" s="34"/>
      <c r="BV41" s="34"/>
      <c r="BY41" s="33"/>
      <c r="BZ41" s="33"/>
    </row>
    <row r="42" spans="3:78" x14ac:dyDescent="0.15">
      <c r="C42" s="31" t="s">
        <v>526</v>
      </c>
      <c r="D42" s="31">
        <v>38</v>
      </c>
      <c r="G42" s="20" t="s">
        <v>525</v>
      </c>
      <c r="H42" s="20">
        <v>153</v>
      </c>
      <c r="L42" s="31">
        <f t="shared" si="13"/>
        <v>2</v>
      </c>
      <c r="M42" s="31">
        <f>IF(线路设计!J20="","",线路设计!J20)</f>
        <v>10</v>
      </c>
      <c r="N42" s="31">
        <f>IF(线路设计!K20="","",线路设计!K20)</f>
        <v>3</v>
      </c>
      <c r="O42" s="31">
        <f>IF(线路设计!L20="","",线路设计!L20)</f>
        <v>1</v>
      </c>
      <c r="P42" s="31">
        <f>IF(线路设计!M20="","",线路设计!M20)</f>
        <v>1</v>
      </c>
      <c r="Q42" s="31" t="str">
        <f>IF(线路设计!N20="","",线路设计!N20)</f>
        <v/>
      </c>
      <c r="R42" s="31">
        <f>IF(线路设计!O20="","",线路设计!O20)</f>
        <v>3</v>
      </c>
      <c r="U42" s="31">
        <f t="shared" si="12"/>
        <v>2</v>
      </c>
      <c r="V42" s="31">
        <v>10</v>
      </c>
      <c r="W42" s="31" t="s">
        <v>571</v>
      </c>
      <c r="X42" s="31">
        <v>110</v>
      </c>
      <c r="Y42" s="31">
        <v>129</v>
      </c>
      <c r="AB42" s="31" t="str">
        <f t="shared" si="14"/>
        <v>37</v>
      </c>
      <c r="AC42" s="31" t="str">
        <f t="shared" si="15"/>
        <v>40+41+42+131+166</v>
      </c>
      <c r="AI42" s="31" t="s">
        <v>526</v>
      </c>
      <c r="AJ42" s="19">
        <f>IF(AI42&lt;&gt;AI41,MAX($AJ$5:$AJ41)+1,AJ41)</f>
        <v>12</v>
      </c>
      <c r="AK42" s="31">
        <v>38</v>
      </c>
      <c r="AL42" s="31">
        <f>IFERROR(INDEX($BG$5:$BG$50,MATCH($AK42,BJ$5:BJ$50,0)),"")</f>
        <v>128</v>
      </c>
      <c r="AM42" s="31" t="str">
        <f>IFERROR(INDEX($BG$5:$BG$50,MATCH($AK42,BK$5:BK$50,0)),"")</f>
        <v/>
      </c>
      <c r="AN42" s="31" t="str">
        <f>IFERROR(INDEX($BG$5:$BG$50,MATCH($AK42,BL$5:BL$50,0)),"")</f>
        <v/>
      </c>
      <c r="AO42" s="31" t="str">
        <f>IFERROR(INDEX($BG$5:$BG$50,MATCH($AK42,BM$5:BM$50,0)),"")</f>
        <v/>
      </c>
      <c r="AP42" s="31" t="str">
        <f>IFERROR(INDEX($BG$5:$BG$50,MATCH($AK42,BN$5:BN$50,0)),"")</f>
        <v/>
      </c>
      <c r="AQ42" s="31" t="str">
        <f>IFERROR(INDEX($BG$5:$BG$50,MATCH($AK42,#REF!,0)),"")</f>
        <v/>
      </c>
      <c r="AR42" s="19">
        <f t="shared" si="11"/>
        <v>128</v>
      </c>
      <c r="AS42" s="22" t="str">
        <f>IF(AR42&lt;&gt;AR41,"",AK41)</f>
        <v/>
      </c>
      <c r="AT42" s="23" t="str">
        <f t="shared" si="16"/>
        <v>128</v>
      </c>
      <c r="AW42" s="22" t="str">
        <f t="shared" si="17"/>
        <v/>
      </c>
      <c r="AX42" s="32">
        <f>IF(AY42="",AK43,"")</f>
        <v>39</v>
      </c>
      <c r="AY42" s="32" t="str">
        <f>IFERROR(INDEX($BG$5:$BG$50,MATCH($AK42,$BH$5:$BH$50,0)),"")</f>
        <v/>
      </c>
      <c r="AZ42" s="32" t="str">
        <f t="shared" si="3"/>
        <v/>
      </c>
      <c r="BA42" s="32" t="str">
        <f t="shared" si="4"/>
        <v/>
      </c>
      <c r="BB42" s="22" t="str">
        <f t="shared" si="5"/>
        <v>39</v>
      </c>
      <c r="BD42" s="40"/>
      <c r="BE42" s="20" t="s">
        <v>525</v>
      </c>
      <c r="BF42" s="19">
        <f t="shared" si="9"/>
        <v>19</v>
      </c>
      <c r="BG42" s="20">
        <v>153</v>
      </c>
      <c r="BH42" s="22">
        <f>INDEX($AB$6:$AB$104,MATCH($BG42,$Y$6:$Y$104,0))*1</f>
        <v>89</v>
      </c>
      <c r="BI42" s="19" t="str">
        <f>INDEX($AC$6:$AC$104,MATCH($BG42,$Y$6:$Y$104,0))</f>
        <v>96+97+157</v>
      </c>
      <c r="BJ42" s="31">
        <v>96</v>
      </c>
      <c r="BK42" s="31">
        <v>97</v>
      </c>
      <c r="BO42" s="33">
        <f t="shared" si="6"/>
        <v>96</v>
      </c>
      <c r="BQ42" s="33" t="str">
        <f t="shared" si="7"/>
        <v>96</v>
      </c>
      <c r="BS42" s="40"/>
      <c r="BU42" s="34"/>
      <c r="BV42" s="34"/>
      <c r="BY42" s="33"/>
      <c r="BZ42" s="33"/>
    </row>
    <row r="43" spans="3:78" x14ac:dyDescent="0.15">
      <c r="C43" s="31" t="s">
        <v>526</v>
      </c>
      <c r="D43" s="31">
        <v>39</v>
      </c>
      <c r="G43" s="31" t="s">
        <v>527</v>
      </c>
      <c r="H43" s="31">
        <v>154</v>
      </c>
      <c r="L43" s="31">
        <f t="shared" si="13"/>
        <v>2</v>
      </c>
      <c r="M43" s="31">
        <f>IF(线路设计!J21="","",线路设计!J21)</f>
        <v>11</v>
      </c>
      <c r="N43" s="31">
        <f>IF(线路设计!K21="","",线路设计!K21)</f>
        <v>3</v>
      </c>
      <c r="O43" s="31" t="str">
        <f>IF(线路设计!L21="","",线路设计!L21)</f>
        <v/>
      </c>
      <c r="P43" s="31">
        <f>IF(线路设计!M21="","",线路设计!M21)</f>
        <v>1</v>
      </c>
      <c r="Q43" s="31">
        <f>IF(线路设计!N21="","",线路设计!N21)</f>
        <v>1</v>
      </c>
      <c r="R43" s="31">
        <f>IF(线路设计!O21="","",线路设计!O21)</f>
        <v>3</v>
      </c>
      <c r="U43" s="31">
        <f t="shared" si="12"/>
        <v>2</v>
      </c>
      <c r="V43" s="31">
        <v>11</v>
      </c>
      <c r="W43" s="31" t="s">
        <v>739</v>
      </c>
      <c r="X43" s="31" t="s">
        <v>547</v>
      </c>
      <c r="Y43" s="31">
        <v>131</v>
      </c>
      <c r="Z43" s="31">
        <v>166</v>
      </c>
      <c r="AB43" s="31" t="str">
        <f t="shared" si="14"/>
        <v>42</v>
      </c>
      <c r="AC43" s="31" t="str">
        <f t="shared" si="15"/>
        <v>46+47+48+111+133</v>
      </c>
      <c r="AI43" s="31" t="s">
        <v>526</v>
      </c>
      <c r="AJ43" s="19">
        <f>IF(AI43&lt;&gt;AI42,MAX($AJ$5:$AJ42)+1,AJ42)</f>
        <v>12</v>
      </c>
      <c r="AK43" s="31">
        <v>39</v>
      </c>
      <c r="AL43" s="31" t="str">
        <f>IFERROR(INDEX($BG$5:$BG$50,MATCH($AK43,BJ$5:BJ$50,0)),"")</f>
        <v/>
      </c>
      <c r="AM43" s="31">
        <f>IFERROR(INDEX($BG$5:$BG$50,MATCH($AK43,BK$5:BK$50,0)),"")</f>
        <v>128</v>
      </c>
      <c r="AN43" s="31" t="str">
        <f>IFERROR(INDEX($BG$5:$BG$50,MATCH($AK43,BL$5:BL$50,0)),"")</f>
        <v/>
      </c>
      <c r="AO43" s="31" t="str">
        <f>IFERROR(INDEX($BG$5:$BG$50,MATCH($AK43,BM$5:BM$50,0)),"")</f>
        <v/>
      </c>
      <c r="AP43" s="31" t="str">
        <f>IFERROR(INDEX($BG$5:$BG$50,MATCH($AK43,BN$5:BN$50,0)),"")</f>
        <v/>
      </c>
      <c r="AQ43" s="31" t="str">
        <f>IFERROR(INDEX($BG$5:$BG$50,MATCH($AK43,#REF!,0)),"")</f>
        <v/>
      </c>
      <c r="AR43" s="19">
        <f t="shared" si="11"/>
        <v>128</v>
      </c>
      <c r="AS43" s="22">
        <f>IF(AR43&lt;&gt;AR42,"",AK42)</f>
        <v>38</v>
      </c>
      <c r="AT43" s="23" t="str">
        <f t="shared" si="16"/>
        <v>128+38</v>
      </c>
      <c r="AW43" s="22" t="str">
        <f t="shared" si="17"/>
        <v/>
      </c>
      <c r="AX43" s="32" t="str">
        <f>IF(AY43="",AK44,"")</f>
        <v/>
      </c>
      <c r="AY43" s="32">
        <f>IFERROR(INDEX($BG$5:$BG$50,MATCH($AK43,$BH$5:$BH$50,0)),"")</f>
        <v>130</v>
      </c>
      <c r="AZ43" s="32" t="str">
        <f t="shared" si="3"/>
        <v/>
      </c>
      <c r="BA43" s="32" t="str">
        <f t="shared" si="4"/>
        <v/>
      </c>
      <c r="BB43" s="22" t="str">
        <f t="shared" si="5"/>
        <v>130</v>
      </c>
      <c r="BD43" s="40"/>
      <c r="BE43" s="31" t="s">
        <v>527</v>
      </c>
      <c r="BF43" s="19">
        <f t="shared" si="9"/>
        <v>20</v>
      </c>
      <c r="BG43" s="31">
        <v>154</v>
      </c>
      <c r="BH43" s="22">
        <f>INDEX($AB$6:$AB$104,MATCH($BG43,$Y$6:$Y$104,0))*1</f>
        <v>91</v>
      </c>
      <c r="BI43" s="19" t="str">
        <f>INDEX($AC$6:$AC$104,MATCH($BG43,$Y$6:$Y$104,0))</f>
        <v>98+99+158</v>
      </c>
      <c r="BJ43" s="31">
        <v>98</v>
      </c>
      <c r="BK43" s="31">
        <v>99</v>
      </c>
      <c r="BO43" s="33">
        <f t="shared" si="6"/>
        <v>98</v>
      </c>
      <c r="BQ43" s="33" t="str">
        <f t="shared" si="7"/>
        <v>98</v>
      </c>
      <c r="BS43" s="40"/>
      <c r="BU43" s="34"/>
      <c r="BV43" s="34"/>
      <c r="BY43" s="33"/>
      <c r="BZ43" s="33"/>
    </row>
    <row r="44" spans="3:78" x14ac:dyDescent="0.15">
      <c r="C44" s="31" t="s">
        <v>526</v>
      </c>
      <c r="D44" s="31">
        <v>40</v>
      </c>
      <c r="G44" s="31" t="s">
        <v>527</v>
      </c>
      <c r="H44" s="31">
        <v>155</v>
      </c>
      <c r="L44" s="31">
        <f t="shared" si="13"/>
        <v>2</v>
      </c>
      <c r="M44" s="31">
        <f>IF(线路设计!J22="","",线路设计!J22)</f>
        <v>12</v>
      </c>
      <c r="N44" s="31">
        <f>IF(线路设计!K22="","",线路设计!K22)</f>
        <v>3</v>
      </c>
      <c r="O44" s="31">
        <f>IF(线路设计!L22="","",线路设计!L22)</f>
        <v>1</v>
      </c>
      <c r="P44" s="31">
        <f>IF(线路设计!M22="","",线路设计!M22)</f>
        <v>1</v>
      </c>
      <c r="Q44" s="31" t="str">
        <f>IF(线路设计!N22="","",线路设计!N22)</f>
        <v/>
      </c>
      <c r="R44" s="31">
        <f>IF(线路设计!O22="","",线路设计!O22)</f>
        <v>3</v>
      </c>
      <c r="U44" s="31">
        <f t="shared" si="12"/>
        <v>2</v>
      </c>
      <c r="V44" s="31">
        <v>12</v>
      </c>
      <c r="W44" s="31" t="s">
        <v>572</v>
      </c>
      <c r="X44" s="31">
        <v>111</v>
      </c>
      <c r="Y44" s="31">
        <v>133</v>
      </c>
      <c r="AB44" s="31" t="str">
        <f t="shared" si="14"/>
        <v>48</v>
      </c>
      <c r="AC44" s="31" t="str">
        <f t="shared" si="15"/>
        <v>51+52+135</v>
      </c>
      <c r="AI44" s="31" t="s">
        <v>526</v>
      </c>
      <c r="AJ44" s="19">
        <f>IF(AI44&lt;&gt;AI43,MAX($AJ$5:$AJ43)+1,AJ43)</f>
        <v>12</v>
      </c>
      <c r="AK44" s="31">
        <v>40</v>
      </c>
      <c r="AL44" s="31">
        <f>IFERROR(INDEX($BG$5:$BG$50,MATCH($AK44,BJ$5:BJ$50,0)),"")</f>
        <v>129</v>
      </c>
      <c r="AM44" s="31" t="str">
        <f>IFERROR(INDEX($BG$5:$BG$50,MATCH($AK44,BK$5:BK$50,0)),"")</f>
        <v/>
      </c>
      <c r="AN44" s="31" t="str">
        <f>IFERROR(INDEX($BG$5:$BG$50,MATCH($AK44,BL$5:BL$50,0)),"")</f>
        <v/>
      </c>
      <c r="AO44" s="31" t="str">
        <f>IFERROR(INDEX($BG$5:$BG$50,MATCH($AK44,BM$5:BM$50,0)),"")</f>
        <v/>
      </c>
      <c r="AP44" s="31" t="str">
        <f>IFERROR(INDEX($BG$5:$BG$50,MATCH($AK44,BN$5:BN$50,0)),"")</f>
        <v/>
      </c>
      <c r="AQ44" s="31" t="str">
        <f>IFERROR(INDEX($BG$5:$BG$50,MATCH($AK44,#REF!,0)),"")</f>
        <v/>
      </c>
      <c r="AR44" s="19">
        <f t="shared" si="11"/>
        <v>129</v>
      </c>
      <c r="AS44" s="22" t="str">
        <f>IF(AR44&lt;&gt;AR43,"",AK43)</f>
        <v/>
      </c>
      <c r="AT44" s="23" t="str">
        <f t="shared" si="16"/>
        <v>129</v>
      </c>
      <c r="AW44" s="22" t="str">
        <f t="shared" si="17"/>
        <v/>
      </c>
      <c r="AX44" s="32">
        <f>IF(AY44="",AK45,"")</f>
        <v>41</v>
      </c>
      <c r="AY44" s="32" t="str">
        <f>IFERROR(INDEX($BG$5:$BG$50,MATCH($AK44,$BH$5:$BH$50,0)),"")</f>
        <v/>
      </c>
      <c r="AZ44" s="32" t="str">
        <f t="shared" si="3"/>
        <v/>
      </c>
      <c r="BA44" s="32" t="str">
        <f t="shared" si="4"/>
        <v/>
      </c>
      <c r="BB44" s="22" t="str">
        <f t="shared" si="5"/>
        <v>41</v>
      </c>
      <c r="BD44" s="40"/>
      <c r="BE44" s="31" t="s">
        <v>527</v>
      </c>
      <c r="BF44" s="19">
        <f t="shared" si="9"/>
        <v>20</v>
      </c>
      <c r="BG44" s="31">
        <v>155</v>
      </c>
      <c r="BH44" s="22">
        <f>INDEX($AB$6:$AB$104,MATCH($BG44,$Y$6:$Y$104,0))*1</f>
        <v>93</v>
      </c>
      <c r="BI44" s="19" t="str">
        <f>INDEX($AC$6:$AC$104,MATCH($BG44,$Y$6:$Y$104,0))</f>
        <v>100+101+159</v>
      </c>
      <c r="BJ44" s="31">
        <v>100</v>
      </c>
      <c r="BK44" s="31">
        <v>101</v>
      </c>
      <c r="BO44" s="33">
        <f t="shared" si="6"/>
        <v>100</v>
      </c>
      <c r="BQ44" s="33" t="str">
        <f t="shared" si="7"/>
        <v>100</v>
      </c>
      <c r="BS44" s="40"/>
      <c r="BU44" s="34"/>
      <c r="BV44" s="34"/>
      <c r="BY44" s="33"/>
      <c r="BZ44" s="33"/>
    </row>
    <row r="45" spans="3:78" x14ac:dyDescent="0.15">
      <c r="C45" s="31" t="s">
        <v>526</v>
      </c>
      <c r="D45" s="31">
        <v>41</v>
      </c>
      <c r="G45" s="31" t="s">
        <v>527</v>
      </c>
      <c r="H45" s="31">
        <v>156</v>
      </c>
      <c r="L45" s="31">
        <f t="shared" si="13"/>
        <v>3</v>
      </c>
      <c r="M45" s="31">
        <f>IF(线路设计!J23="","",线路设计!J23)</f>
        <v>13</v>
      </c>
      <c r="N45" s="31">
        <f>IF(线路设计!K23="","",线路设计!K23)</f>
        <v>2</v>
      </c>
      <c r="O45" s="31" t="str">
        <f>IF(线路设计!L23="","",线路设计!L23)</f>
        <v/>
      </c>
      <c r="P45" s="31">
        <f>IF(线路设计!M23="","",线路设计!M23)</f>
        <v>1</v>
      </c>
      <c r="Q45" s="31" t="str">
        <f>IF(线路设计!N23="","",线路设计!N23)</f>
        <v/>
      </c>
      <c r="R45" s="31">
        <f>IF(线路设计!O23="","",线路设计!O23)</f>
        <v>2</v>
      </c>
      <c r="U45" s="31">
        <f t="shared" si="12"/>
        <v>3</v>
      </c>
      <c r="V45" s="31">
        <v>13</v>
      </c>
      <c r="W45" s="31" t="s">
        <v>804</v>
      </c>
      <c r="X45" s="31" t="s">
        <v>547</v>
      </c>
      <c r="Y45" s="31">
        <v>135</v>
      </c>
      <c r="AB45" s="31" t="str">
        <f t="shared" si="14"/>
        <v>52</v>
      </c>
      <c r="AC45" s="31" t="str">
        <f t="shared" si="15"/>
        <v>57+58+138</v>
      </c>
      <c r="AI45" s="31" t="s">
        <v>526</v>
      </c>
      <c r="AJ45" s="19">
        <f>IF(AI45&lt;&gt;AI44,MAX($AJ$5:$AJ44)+1,AJ44)</f>
        <v>12</v>
      </c>
      <c r="AK45" s="31">
        <v>41</v>
      </c>
      <c r="AL45" s="31" t="str">
        <f>IFERROR(INDEX($BG$5:$BG$50,MATCH($AK45,BJ$5:BJ$50,0)),"")</f>
        <v/>
      </c>
      <c r="AM45" s="31">
        <f>IFERROR(INDEX($BG$5:$BG$50,MATCH($AK45,BK$5:BK$50,0)),"")</f>
        <v>129</v>
      </c>
      <c r="AN45" s="31" t="str">
        <f>IFERROR(INDEX($BG$5:$BG$50,MATCH($AK45,BL$5:BL$50,0)),"")</f>
        <v/>
      </c>
      <c r="AO45" s="31" t="str">
        <f>IFERROR(INDEX($BG$5:$BG$50,MATCH($AK45,BM$5:BM$50,0)),"")</f>
        <v/>
      </c>
      <c r="AP45" s="31" t="str">
        <f>IFERROR(INDEX($BG$5:$BG$50,MATCH($AK45,BN$5:BN$50,0)),"")</f>
        <v/>
      </c>
      <c r="AQ45" s="31" t="str">
        <f>IFERROR(INDEX($BG$5:$BG$50,MATCH($AK45,#REF!,0)),"")</f>
        <v/>
      </c>
      <c r="AR45" s="19">
        <f t="shared" si="11"/>
        <v>129</v>
      </c>
      <c r="AS45" s="22">
        <f>IF(AR45&lt;&gt;AR44,"",AK44)</f>
        <v>40</v>
      </c>
      <c r="AT45" s="23" t="str">
        <f t="shared" si="16"/>
        <v>129+40</v>
      </c>
      <c r="AW45" s="22" t="str">
        <f t="shared" si="17"/>
        <v/>
      </c>
      <c r="AX45" s="32">
        <f>IF(AY45="",AK46,"")</f>
        <v>42</v>
      </c>
      <c r="AY45" s="32" t="str">
        <f>IFERROR(INDEX($BG$5:$BG$50,MATCH($AK45,$BH$5:$BH$50,0)),"")</f>
        <v/>
      </c>
      <c r="AZ45" s="32" t="str">
        <f t="shared" si="3"/>
        <v/>
      </c>
      <c r="BA45" s="32">
        <f t="shared" si="4"/>
        <v>166</v>
      </c>
      <c r="BB45" s="22" t="str">
        <f t="shared" si="5"/>
        <v>42+166</v>
      </c>
      <c r="BD45" s="40"/>
      <c r="BE45" s="31" t="s">
        <v>527</v>
      </c>
      <c r="BF45" s="19">
        <f t="shared" si="9"/>
        <v>20</v>
      </c>
      <c r="BG45" s="31">
        <v>156</v>
      </c>
      <c r="BH45" s="22">
        <f>INDEX($AB$6:$AB$104,MATCH($BG45,$Y$6:$Y$104,0))*1</f>
        <v>95</v>
      </c>
      <c r="BI45" s="19" t="str">
        <f>INDEX($AC$6:$AC$104,MATCH($BG45,$Y$6:$Y$104,0))</f>
        <v>102+103+115+160</v>
      </c>
      <c r="BJ45" s="31">
        <v>102</v>
      </c>
      <c r="BK45" s="31">
        <v>103</v>
      </c>
      <c r="BO45" s="33">
        <f t="shared" si="6"/>
        <v>102</v>
      </c>
      <c r="BQ45" s="33" t="str">
        <f t="shared" si="7"/>
        <v>102</v>
      </c>
      <c r="BS45" s="40"/>
      <c r="BU45" s="34"/>
      <c r="BV45" s="34"/>
      <c r="BY45" s="33"/>
      <c r="BZ45" s="33"/>
    </row>
    <row r="46" spans="3:78" x14ac:dyDescent="0.15">
      <c r="C46" s="31" t="s">
        <v>526</v>
      </c>
      <c r="D46" s="31">
        <v>42</v>
      </c>
      <c r="G46" s="31" t="s">
        <v>527</v>
      </c>
      <c r="H46" s="31">
        <v>157</v>
      </c>
      <c r="L46" s="31">
        <f t="shared" si="13"/>
        <v>3</v>
      </c>
      <c r="M46" s="31">
        <f>IF(线路设计!J24="","",线路设计!J24)</f>
        <v>14</v>
      </c>
      <c r="N46" s="31">
        <f>IF(线路设计!K24="","",线路设计!K24)</f>
        <v>2</v>
      </c>
      <c r="O46" s="31" t="str">
        <f>IF(线路设计!L24="","",线路设计!L24)</f>
        <v/>
      </c>
      <c r="P46" s="31">
        <f>IF(线路设计!M24="","",线路设计!M24)</f>
        <v>1</v>
      </c>
      <c r="Q46" s="31" t="str">
        <f>IF(线路设计!N24="","",线路设计!N24)</f>
        <v/>
      </c>
      <c r="R46" s="31">
        <f>IF(线路设计!O24="","",线路设计!O24)</f>
        <v>2</v>
      </c>
      <c r="U46" s="31">
        <f t="shared" si="12"/>
        <v>3</v>
      </c>
      <c r="V46" s="31">
        <v>14</v>
      </c>
      <c r="W46" s="31" t="s">
        <v>573</v>
      </c>
      <c r="X46" s="31" t="s">
        <v>547</v>
      </c>
      <c r="Y46" s="31">
        <v>138</v>
      </c>
      <c r="AB46" s="31" t="str">
        <f t="shared" si="14"/>
        <v>58</v>
      </c>
      <c r="AC46" s="31" t="str">
        <f t="shared" si="15"/>
        <v>64+65+141</v>
      </c>
      <c r="AI46" s="31" t="s">
        <v>526</v>
      </c>
      <c r="AJ46" s="19">
        <f>IF(AI46&lt;&gt;AI45,MAX($AJ$5:$AJ45)+1,AJ45)</f>
        <v>12</v>
      </c>
      <c r="AK46" s="31">
        <v>42</v>
      </c>
      <c r="AL46" s="31" t="str">
        <f>IFERROR(INDEX($BG$5:$BG$50,MATCH($AK46,BJ$5:BJ$50,0)),"")</f>
        <v/>
      </c>
      <c r="AM46" s="31" t="str">
        <f>IFERROR(INDEX($BG$5:$BG$50,MATCH($AK46,BK$5:BK$50,0)),"")</f>
        <v/>
      </c>
      <c r="AN46" s="31">
        <f>IFERROR(INDEX($BG$5:$BG$50,MATCH($AK46,BL$5:BL$50,0)),"")</f>
        <v>129</v>
      </c>
      <c r="AO46" s="31" t="str">
        <f>IFERROR(INDEX($BG$5:$BG$50,MATCH($AK46,BM$5:BM$50,0)),"")</f>
        <v/>
      </c>
      <c r="AP46" s="31" t="str">
        <f>IFERROR(INDEX($BG$5:$BG$50,MATCH($AK46,BN$5:BN$50,0)),"")</f>
        <v/>
      </c>
      <c r="AQ46" s="31" t="str">
        <f>IFERROR(INDEX($BG$5:$BG$50,MATCH($AK46,#REF!,0)),"")</f>
        <v/>
      </c>
      <c r="AR46" s="19">
        <f t="shared" si="11"/>
        <v>129</v>
      </c>
      <c r="AS46" s="22">
        <f>IF(AR46&lt;&gt;AR45,"",AK45)</f>
        <v>41</v>
      </c>
      <c r="AT46" s="23" t="str">
        <f t="shared" si="16"/>
        <v>129+41</v>
      </c>
      <c r="AW46" s="22" t="str">
        <f t="shared" si="17"/>
        <v/>
      </c>
      <c r="AX46" s="32" t="str">
        <f>IF(AY46="",AK47,"")</f>
        <v/>
      </c>
      <c r="AY46" s="32">
        <f>IFERROR(INDEX($BG$5:$BG$50,MATCH($AK46,$BH$5:$BH$50,0)),"")</f>
        <v>131</v>
      </c>
      <c r="AZ46" s="32" t="str">
        <f t="shared" si="3"/>
        <v/>
      </c>
      <c r="BA46" s="32" t="str">
        <f t="shared" si="4"/>
        <v/>
      </c>
      <c r="BB46" s="22" t="str">
        <f t="shared" si="5"/>
        <v>131</v>
      </c>
      <c r="BD46" s="40"/>
      <c r="BE46" s="31" t="s">
        <v>527</v>
      </c>
      <c r="BF46" s="19">
        <f t="shared" si="9"/>
        <v>20</v>
      </c>
      <c r="BG46" s="31">
        <v>157</v>
      </c>
      <c r="BH46" s="22">
        <f>INDEX($AB$6:$AB$104,MATCH($BG46,$Y$6:$Y$104,0))*1</f>
        <v>97</v>
      </c>
      <c r="BI46" s="19" t="str">
        <f>INDEX($AC$6:$AC$104,MATCH($BG46,$Y$6:$Y$104,0))</f>
        <v>104+105+161</v>
      </c>
      <c r="BJ46" s="31">
        <v>104</v>
      </c>
      <c r="BK46" s="31">
        <v>105</v>
      </c>
      <c r="BO46" s="33">
        <f t="shared" si="6"/>
        <v>104</v>
      </c>
      <c r="BQ46" s="33" t="str">
        <f t="shared" si="7"/>
        <v>104</v>
      </c>
      <c r="BS46" s="40"/>
      <c r="BU46" s="34"/>
      <c r="BV46" s="34"/>
      <c r="BY46" s="33"/>
      <c r="BZ46" s="33"/>
    </row>
    <row r="47" spans="3:78" x14ac:dyDescent="0.15">
      <c r="C47" s="20" t="s">
        <v>528</v>
      </c>
      <c r="D47" s="20">
        <v>43</v>
      </c>
      <c r="G47" s="20" t="s">
        <v>529</v>
      </c>
      <c r="H47" s="20">
        <v>158</v>
      </c>
      <c r="L47" s="31">
        <f t="shared" si="13"/>
        <v>3</v>
      </c>
      <c r="M47" s="31">
        <f>IF(线路设计!J25="","",线路设计!J25)</f>
        <v>15</v>
      </c>
      <c r="N47" s="31">
        <f>IF(线路设计!K25="","",线路设计!K25)</f>
        <v>2</v>
      </c>
      <c r="O47" s="31" t="str">
        <f>IF(线路设计!L25="","",线路设计!L25)</f>
        <v/>
      </c>
      <c r="P47" s="31">
        <f>IF(线路设计!M25="","",线路设计!M25)</f>
        <v>1</v>
      </c>
      <c r="Q47" s="31" t="str">
        <f>IF(线路设计!N25="","",线路设计!N25)</f>
        <v/>
      </c>
      <c r="R47" s="31">
        <f>IF(线路设计!O25="","",线路设计!O25)</f>
        <v>2</v>
      </c>
      <c r="U47" s="31">
        <f t="shared" si="12"/>
        <v>3</v>
      </c>
      <c r="V47" s="31">
        <v>15</v>
      </c>
      <c r="W47" s="31" t="s">
        <v>574</v>
      </c>
      <c r="X47" s="31" t="s">
        <v>547</v>
      </c>
      <c r="Y47" s="31">
        <v>141</v>
      </c>
      <c r="AB47" s="31" t="str">
        <f t="shared" si="14"/>
        <v>65</v>
      </c>
      <c r="AC47" s="31" t="str">
        <f t="shared" si="15"/>
        <v>70+71+144</v>
      </c>
      <c r="AI47" s="20" t="s">
        <v>528</v>
      </c>
      <c r="AJ47" s="19">
        <f>IF(AI47&lt;&gt;AI46,MAX($AJ$5:$AJ46)+1,AJ46)</f>
        <v>13</v>
      </c>
      <c r="AK47" s="20">
        <v>43</v>
      </c>
      <c r="AL47" s="31">
        <f>IFERROR(INDEX($BG$5:$BG$50,MATCH($AK47,BJ$5:BJ$50,0)),"")</f>
        <v>130</v>
      </c>
      <c r="AM47" s="31" t="str">
        <f>IFERROR(INDEX($BG$5:$BG$50,MATCH($AK47,BK$5:BK$50,0)),"")</f>
        <v/>
      </c>
      <c r="AN47" s="31" t="str">
        <f>IFERROR(INDEX($BG$5:$BG$50,MATCH($AK47,BL$5:BL$50,0)),"")</f>
        <v/>
      </c>
      <c r="AO47" s="31" t="str">
        <f>IFERROR(INDEX($BG$5:$BG$50,MATCH($AK47,BM$5:BM$50,0)),"")</f>
        <v/>
      </c>
      <c r="AP47" s="31" t="str">
        <f>IFERROR(INDEX($BG$5:$BG$50,MATCH($AK47,BN$5:BN$50,0)),"")</f>
        <v/>
      </c>
      <c r="AQ47" s="31" t="str">
        <f>IFERROR(INDEX($BG$5:$BG$50,MATCH($AK47,#REF!,0)),"")</f>
        <v/>
      </c>
      <c r="AR47" s="19">
        <f t="shared" si="11"/>
        <v>130</v>
      </c>
      <c r="AS47" s="22" t="str">
        <f>IF(AR47&lt;&gt;AR46,"",AK46)</f>
        <v/>
      </c>
      <c r="AT47" s="23" t="str">
        <f t="shared" si="16"/>
        <v>130</v>
      </c>
      <c r="AW47" s="22" t="str">
        <f t="shared" si="17"/>
        <v/>
      </c>
      <c r="AX47" s="32">
        <f>IF(AY47="",AK48,"")</f>
        <v>44</v>
      </c>
      <c r="AY47" s="32" t="str">
        <f>IFERROR(INDEX($BG$5:$BG$50,MATCH($AK47,$BH$5:$BH$50,0)),"")</f>
        <v/>
      </c>
      <c r="AZ47" s="32" t="str">
        <f t="shared" si="3"/>
        <v/>
      </c>
      <c r="BA47" s="32" t="str">
        <f t="shared" si="4"/>
        <v/>
      </c>
      <c r="BB47" s="22" t="str">
        <f t="shared" si="5"/>
        <v>44</v>
      </c>
      <c r="BD47" s="40"/>
      <c r="BE47" s="20" t="s">
        <v>529</v>
      </c>
      <c r="BF47" s="19">
        <f t="shared" si="9"/>
        <v>21</v>
      </c>
      <c r="BG47" s="20">
        <v>158</v>
      </c>
      <c r="BH47" s="22">
        <f>INDEX($AB$6:$AB$104,MATCH($BG47,$Y$6:$Y$104,0))*1</f>
        <v>99</v>
      </c>
      <c r="BI47" s="19" t="str">
        <f>INDEX($AC$6:$AC$104,MATCH($BG47,$Y$6:$Y$104,0))</f>
        <v/>
      </c>
      <c r="BO47" s="33" t="str">
        <f t="shared" si="6"/>
        <v/>
      </c>
      <c r="BQ47" s="33" t="str">
        <f t="shared" si="7"/>
        <v/>
      </c>
      <c r="BS47" s="40"/>
      <c r="BU47" s="34"/>
      <c r="BV47" s="34"/>
      <c r="BY47" s="33"/>
      <c r="BZ47" s="33"/>
    </row>
    <row r="48" spans="3:78" x14ac:dyDescent="0.15">
      <c r="C48" s="20" t="s">
        <v>528</v>
      </c>
      <c r="D48" s="20">
        <v>44</v>
      </c>
      <c r="G48" s="20" t="s">
        <v>529</v>
      </c>
      <c r="H48" s="20">
        <v>159</v>
      </c>
      <c r="L48" s="31">
        <f t="shared" si="13"/>
        <v>3</v>
      </c>
      <c r="M48" s="31">
        <f>IF(线路设计!J26="","",线路设计!J26)</f>
        <v>16</v>
      </c>
      <c r="N48" s="31">
        <f>IF(线路设计!K26="","",线路设计!K26)</f>
        <v>2</v>
      </c>
      <c r="O48" s="31" t="str">
        <f>IF(线路设计!L26="","",线路设计!L26)</f>
        <v/>
      </c>
      <c r="P48" s="31">
        <f>IF(线路设计!M26="","",线路设计!M26)</f>
        <v>1</v>
      </c>
      <c r="Q48" s="31" t="str">
        <f>IF(线路设计!N26="","",线路设计!N26)</f>
        <v/>
      </c>
      <c r="R48" s="31">
        <f>IF(线路设计!O26="","",线路设计!O26)</f>
        <v>2</v>
      </c>
      <c r="U48" s="31">
        <f t="shared" si="12"/>
        <v>3</v>
      </c>
      <c r="V48" s="31">
        <v>16</v>
      </c>
      <c r="W48" s="31" t="s">
        <v>740</v>
      </c>
      <c r="Y48" s="31">
        <v>144</v>
      </c>
      <c r="AB48" s="31" t="str">
        <f t="shared" si="14"/>
        <v>71</v>
      </c>
      <c r="AC48" s="31" t="str">
        <f t="shared" si="15"/>
        <v>79+80+148+169</v>
      </c>
      <c r="AI48" s="20" t="s">
        <v>528</v>
      </c>
      <c r="AJ48" s="19">
        <f>IF(AI48&lt;&gt;AI47,MAX($AJ$5:$AJ47)+1,AJ47)</f>
        <v>13</v>
      </c>
      <c r="AK48" s="20">
        <v>44</v>
      </c>
      <c r="AL48" s="31" t="str">
        <f>IFERROR(INDEX($BG$5:$BG$50,MATCH($AK48,BJ$5:BJ$50,0)),"")</f>
        <v/>
      </c>
      <c r="AM48" s="31">
        <f>IFERROR(INDEX($BG$5:$BG$50,MATCH($AK48,BK$5:BK$50,0)),"")</f>
        <v>130</v>
      </c>
      <c r="AN48" s="31" t="str">
        <f>IFERROR(INDEX($BG$5:$BG$50,MATCH($AK48,BL$5:BL$50,0)),"")</f>
        <v/>
      </c>
      <c r="AO48" s="31" t="str">
        <f>IFERROR(INDEX($BG$5:$BG$50,MATCH($AK48,BM$5:BM$50,0)),"")</f>
        <v/>
      </c>
      <c r="AP48" s="31" t="str">
        <f>IFERROR(INDEX($BG$5:$BG$50,MATCH($AK48,BN$5:BN$50,0)),"")</f>
        <v/>
      </c>
      <c r="AQ48" s="31" t="str">
        <f>IFERROR(INDEX($BG$5:$BG$50,MATCH($AK48,#REF!,0)),"")</f>
        <v/>
      </c>
      <c r="AR48" s="19">
        <f t="shared" si="11"/>
        <v>130</v>
      </c>
      <c r="AS48" s="22">
        <f>IF(AR48&lt;&gt;AR47,"",AK47)</f>
        <v>43</v>
      </c>
      <c r="AT48" s="23" t="str">
        <f t="shared" si="16"/>
        <v>130+43</v>
      </c>
      <c r="AW48" s="22" t="str">
        <f t="shared" si="17"/>
        <v/>
      </c>
      <c r="AX48" s="32">
        <f>IF(AY48="",AK49,"")</f>
        <v>45</v>
      </c>
      <c r="AY48" s="32" t="str">
        <f>IFERROR(INDEX($BG$5:$BG$50,MATCH($AK48,$BH$5:$BH$50,0)),"")</f>
        <v/>
      </c>
      <c r="AZ48" s="32" t="str">
        <f t="shared" si="3"/>
        <v/>
      </c>
      <c r="BA48" s="32" t="str">
        <f t="shared" si="4"/>
        <v/>
      </c>
      <c r="BB48" s="22" t="str">
        <f t="shared" si="5"/>
        <v>45</v>
      </c>
      <c r="BD48" s="40"/>
      <c r="BE48" s="20" t="s">
        <v>529</v>
      </c>
      <c r="BF48" s="19">
        <f t="shared" si="9"/>
        <v>21</v>
      </c>
      <c r="BG48" s="20">
        <v>159</v>
      </c>
      <c r="BH48" s="22">
        <f>INDEX($AB$6:$AB$104,MATCH($BG48,$Y$6:$Y$104,0))*1</f>
        <v>101</v>
      </c>
      <c r="BI48" s="19" t="str">
        <f>INDEX($AC$6:$AC$104,MATCH($BG48,$Y$6:$Y$104,0))</f>
        <v/>
      </c>
      <c r="BO48" s="33" t="str">
        <f t="shared" si="6"/>
        <v/>
      </c>
      <c r="BQ48" s="33" t="str">
        <f t="shared" si="7"/>
        <v/>
      </c>
      <c r="BS48" s="40"/>
      <c r="BU48" s="34"/>
      <c r="BV48" s="34"/>
      <c r="BY48" s="33"/>
      <c r="BZ48" s="33"/>
    </row>
    <row r="49" spans="3:78" x14ac:dyDescent="0.15">
      <c r="C49" s="20" t="s">
        <v>528</v>
      </c>
      <c r="D49" s="20">
        <v>45</v>
      </c>
      <c r="G49" s="20" t="s">
        <v>529</v>
      </c>
      <c r="H49" s="20">
        <v>160</v>
      </c>
      <c r="L49" s="31">
        <f t="shared" si="13"/>
        <v>4</v>
      </c>
      <c r="M49" s="31">
        <f>IF(线路设计!J27="","",线路设计!J27)</f>
        <v>17</v>
      </c>
      <c r="N49" s="31">
        <f>IF(线路设计!K27="","",线路设计!K27)</f>
        <v>2</v>
      </c>
      <c r="O49" s="31" t="str">
        <f>IF(线路设计!L27="","",线路设计!L27)</f>
        <v/>
      </c>
      <c r="P49" s="31">
        <f>IF(线路设计!M27="","",线路设计!M27)</f>
        <v>1</v>
      </c>
      <c r="Q49" s="31" t="str">
        <f>IF(线路设计!N27="","",线路设计!N27)</f>
        <v/>
      </c>
      <c r="R49" s="31">
        <f>IF(线路设计!O27="","",线路设计!O27)</f>
        <v>2</v>
      </c>
      <c r="U49" s="31">
        <f t="shared" si="12"/>
        <v>4</v>
      </c>
      <c r="V49" s="31">
        <v>17</v>
      </c>
      <c r="W49" s="31" t="s">
        <v>813</v>
      </c>
      <c r="X49" s="31" t="s">
        <v>547</v>
      </c>
      <c r="Y49" s="31">
        <v>148</v>
      </c>
      <c r="Z49" s="31">
        <v>169</v>
      </c>
      <c r="AB49" s="31" t="str">
        <f t="shared" si="14"/>
        <v>80</v>
      </c>
      <c r="AC49" s="31" t="str">
        <f t="shared" si="15"/>
        <v>80+87+152</v>
      </c>
      <c r="AI49" s="20" t="s">
        <v>528</v>
      </c>
      <c r="AJ49" s="19">
        <f>IF(AI49&lt;&gt;AI48,MAX($AJ$5:$AJ48)+1,AJ48)</f>
        <v>13</v>
      </c>
      <c r="AK49" s="20">
        <v>45</v>
      </c>
      <c r="AL49" s="31" t="str">
        <f>IFERROR(INDEX($BG$5:$BG$50,MATCH($AK49,BJ$5:BJ$50,0)),"")</f>
        <v/>
      </c>
      <c r="AM49" s="31" t="str">
        <f>IFERROR(INDEX($BG$5:$BG$50,MATCH($AK49,BK$5:BK$50,0)),"")</f>
        <v/>
      </c>
      <c r="AN49" s="31">
        <f>IFERROR(INDEX($BG$5:$BG$50,MATCH($AK49,BL$5:BL$50,0)),"")</f>
        <v>130</v>
      </c>
      <c r="AO49" s="31" t="str">
        <f>IFERROR(INDEX($BG$5:$BG$50,MATCH($AK49,BM$5:BM$50,0)),"")</f>
        <v/>
      </c>
      <c r="AP49" s="31" t="str">
        <f>IFERROR(INDEX($BG$5:$BG$50,MATCH($AK49,BN$5:BN$50,0)),"")</f>
        <v/>
      </c>
      <c r="AQ49" s="31" t="str">
        <f>IFERROR(INDEX($BG$5:$BG$50,MATCH($AK49,#REF!,0)),"")</f>
        <v/>
      </c>
      <c r="AR49" s="19">
        <f t="shared" si="11"/>
        <v>130</v>
      </c>
      <c r="AS49" s="22">
        <f>IF(AR49&lt;&gt;AR48,"",AK48)</f>
        <v>44</v>
      </c>
      <c r="AT49" s="23" t="str">
        <f t="shared" si="16"/>
        <v>130+44</v>
      </c>
      <c r="AW49" s="22" t="str">
        <f t="shared" si="17"/>
        <v/>
      </c>
      <c r="AX49" s="32" t="str">
        <f>IF(AY49="",AK50,"")</f>
        <v/>
      </c>
      <c r="AY49" s="32">
        <f>IFERROR(INDEX($BG$5:$BG$50,MATCH($AK49,$BH$5:$BH$50,0)),"")</f>
        <v>132</v>
      </c>
      <c r="AZ49" s="32" t="str">
        <f t="shared" si="3"/>
        <v/>
      </c>
      <c r="BA49" s="32" t="str">
        <f t="shared" si="4"/>
        <v/>
      </c>
      <c r="BB49" s="22" t="str">
        <f t="shared" si="5"/>
        <v>132</v>
      </c>
      <c r="BD49" s="40"/>
      <c r="BE49" s="20" t="s">
        <v>529</v>
      </c>
      <c r="BF49" s="19">
        <f t="shared" si="9"/>
        <v>21</v>
      </c>
      <c r="BG49" s="20">
        <v>160</v>
      </c>
      <c r="BH49" s="22">
        <f>INDEX($AB$6:$AB$104,MATCH($BG49,$Y$6:$Y$104,0))*1</f>
        <v>103</v>
      </c>
      <c r="BI49" s="19" t="str">
        <f>INDEX($AC$6:$AC$104,MATCH($BG49,$Y$6:$Y$104,0))</f>
        <v/>
      </c>
      <c r="BO49" s="33" t="str">
        <f t="shared" si="6"/>
        <v/>
      </c>
      <c r="BQ49" s="33" t="str">
        <f t="shared" si="7"/>
        <v/>
      </c>
      <c r="BS49" s="40"/>
      <c r="BU49" s="34"/>
      <c r="BV49" s="34"/>
      <c r="BY49" s="33"/>
      <c r="BZ49" s="33"/>
    </row>
    <row r="50" spans="3:78" x14ac:dyDescent="0.15">
      <c r="C50" s="20" t="s">
        <v>528</v>
      </c>
      <c r="D50" s="20">
        <v>46</v>
      </c>
      <c r="G50" s="20" t="s">
        <v>529</v>
      </c>
      <c r="H50" s="20">
        <v>161</v>
      </c>
      <c r="L50" s="31">
        <f t="shared" si="13"/>
        <v>4</v>
      </c>
      <c r="M50" s="31">
        <f>IF(线路设计!J28="","",线路设计!J28)</f>
        <v>18</v>
      </c>
      <c r="N50" s="31">
        <f>IF(线路设计!K28="","",线路设计!K28)</f>
        <v>2</v>
      </c>
      <c r="O50" s="31" t="str">
        <f>IF(线路设计!L28="","",线路设计!L28)</f>
        <v/>
      </c>
      <c r="P50" s="31">
        <f>IF(线路设计!M28="","",线路设计!M28)</f>
        <v>1</v>
      </c>
      <c r="Q50" s="31" t="str">
        <f>IF(线路设计!N28="","",线路设计!N28)</f>
        <v/>
      </c>
      <c r="R50" s="31">
        <f>IF(线路设计!O28="","",线路设计!O28)</f>
        <v>2</v>
      </c>
      <c r="U50" s="31">
        <f t="shared" si="12"/>
        <v>4</v>
      </c>
      <c r="V50" s="31">
        <v>18</v>
      </c>
      <c r="W50" s="31" t="s">
        <v>814</v>
      </c>
      <c r="Y50" s="31">
        <v>152</v>
      </c>
      <c r="AB50" s="31" t="str">
        <f t="shared" si="14"/>
        <v>87</v>
      </c>
      <c r="AC50" s="31" t="str">
        <f t="shared" si="15"/>
        <v>94+95+156</v>
      </c>
      <c r="AI50" s="20" t="s">
        <v>528</v>
      </c>
      <c r="AJ50" s="19">
        <f>IF(AI50&lt;&gt;AI49,MAX($AJ$5:$AJ49)+1,AJ49)</f>
        <v>13</v>
      </c>
      <c r="AK50" s="20">
        <v>46</v>
      </c>
      <c r="AL50" s="31">
        <f>IFERROR(INDEX($BG$5:$BG$50,MATCH($AK50,BJ$5:BJ$50,0)),"")</f>
        <v>131</v>
      </c>
      <c r="AM50" s="31" t="str">
        <f>IFERROR(INDEX($BG$5:$BG$50,MATCH($AK50,BK$5:BK$50,0)),"")</f>
        <v/>
      </c>
      <c r="AN50" s="31" t="str">
        <f>IFERROR(INDEX($BG$5:$BG$50,MATCH($AK50,BL$5:BL$50,0)),"")</f>
        <v/>
      </c>
      <c r="AO50" s="31" t="str">
        <f>IFERROR(INDEX($BG$5:$BG$50,MATCH($AK50,BM$5:BM$50,0)),"")</f>
        <v/>
      </c>
      <c r="AP50" s="31" t="str">
        <f>IFERROR(INDEX($BG$5:$BG$50,MATCH($AK50,BN$5:BN$50,0)),"")</f>
        <v/>
      </c>
      <c r="AQ50" s="31" t="str">
        <f>IFERROR(INDEX($BG$5:$BG$50,MATCH($AK50,#REF!,0)),"")</f>
        <v/>
      </c>
      <c r="AR50" s="19">
        <f t="shared" si="11"/>
        <v>131</v>
      </c>
      <c r="AS50" s="22" t="str">
        <f>IF(AR50&lt;&gt;AR49,"",AK49)</f>
        <v/>
      </c>
      <c r="AT50" s="23" t="str">
        <f t="shared" si="16"/>
        <v>131</v>
      </c>
      <c r="AW50" s="22" t="str">
        <f t="shared" si="17"/>
        <v/>
      </c>
      <c r="AX50" s="18"/>
      <c r="AY50" s="32" t="str">
        <f>IFERROR(INDEX($BG$5:$BG$50,MATCH($AK50,$BH$5:$BH$50,0)),"")</f>
        <v/>
      </c>
      <c r="AZ50" s="32">
        <f t="shared" si="3"/>
        <v>111</v>
      </c>
      <c r="BA50" s="32" t="str">
        <f t="shared" si="4"/>
        <v/>
      </c>
      <c r="BB50" s="22" t="str">
        <f t="shared" si="5"/>
        <v>111</v>
      </c>
      <c r="BD50" s="40"/>
      <c r="BE50" s="20" t="s">
        <v>529</v>
      </c>
      <c r="BF50" s="19">
        <f t="shared" si="9"/>
        <v>21</v>
      </c>
      <c r="BG50" s="20">
        <v>161</v>
      </c>
      <c r="BH50" s="22">
        <f>INDEX($AB$6:$AB$104,MATCH($BG50,$Y$6:$Y$104,0))*1</f>
        <v>105</v>
      </c>
      <c r="BI50" s="19" t="str">
        <f>INDEX($AC$6:$AC$104,MATCH($BG50,$Y$6:$Y$104,0))</f>
        <v/>
      </c>
      <c r="BO50" s="33" t="str">
        <f t="shared" si="6"/>
        <v/>
      </c>
      <c r="BQ50" s="33" t="str">
        <f t="shared" si="7"/>
        <v/>
      </c>
      <c r="BS50" s="40"/>
      <c r="BU50" s="34"/>
      <c r="BV50" s="34"/>
      <c r="BY50" s="33"/>
      <c r="BZ50" s="33"/>
    </row>
    <row r="51" spans="3:78" x14ac:dyDescent="0.15">
      <c r="C51" s="20" t="s">
        <v>528</v>
      </c>
      <c r="D51" s="20">
        <v>47</v>
      </c>
      <c r="L51" s="31">
        <f t="shared" si="13"/>
        <v>4</v>
      </c>
      <c r="M51" s="31">
        <f>IF(线路设计!J29="","",线路设计!J29)</f>
        <v>19</v>
      </c>
      <c r="N51" s="31">
        <f>IF(线路设计!K29="","",线路设计!K29)</f>
        <v>2</v>
      </c>
      <c r="O51" s="31" t="str">
        <f>IF(线路设计!L29="","",线路设计!L29)</f>
        <v/>
      </c>
      <c r="P51" s="31">
        <f>IF(线路设计!M29="","",线路设计!M29)</f>
        <v>1</v>
      </c>
      <c r="Q51" s="31">
        <f>IF(线路设计!N29="","",线路设计!N29)</f>
        <v>1</v>
      </c>
      <c r="R51" s="31">
        <f>IF(线路设计!O29="","",线路设计!O29)</f>
        <v>2</v>
      </c>
      <c r="U51" s="31">
        <f t="shared" si="12"/>
        <v>4</v>
      </c>
      <c r="V51" s="31">
        <v>19</v>
      </c>
      <c r="W51" s="31" t="s">
        <v>815</v>
      </c>
      <c r="Y51" s="31">
        <v>156</v>
      </c>
      <c r="AB51" s="31" t="str">
        <f t="shared" si="14"/>
        <v>95</v>
      </c>
      <c r="AC51" s="31" t="str">
        <f t="shared" si="15"/>
        <v>102+103+115+160</v>
      </c>
      <c r="AI51" s="20" t="s">
        <v>528</v>
      </c>
      <c r="AJ51" s="19">
        <f>IF(AI51&lt;&gt;AI50,MAX($AJ$5:$AJ50)+1,AJ50)</f>
        <v>13</v>
      </c>
      <c r="AK51" s="20">
        <v>47</v>
      </c>
      <c r="AL51" s="31" t="str">
        <f>IFERROR(INDEX($BG$5:$BG$50,MATCH($AK51,BJ$5:BJ$50,0)),"")</f>
        <v/>
      </c>
      <c r="AM51" s="31">
        <f>IFERROR(INDEX($BG$5:$BG$50,MATCH($AK51,BK$5:BK$50,0)),"")</f>
        <v>131</v>
      </c>
      <c r="AN51" s="31" t="str">
        <f>IFERROR(INDEX($BG$5:$BG$50,MATCH($AK51,BL$5:BL$50,0)),"")</f>
        <v/>
      </c>
      <c r="AO51" s="31" t="str">
        <f>IFERROR(INDEX($BG$5:$BG$50,MATCH($AK51,BM$5:BM$50,0)),"")</f>
        <v/>
      </c>
      <c r="AP51" s="31" t="str">
        <f>IFERROR(INDEX($BG$5:$BG$50,MATCH($AK51,BN$5:BN$50,0)),"")</f>
        <v/>
      </c>
      <c r="AQ51" s="31" t="str">
        <f>IFERROR(INDEX($BG$5:$BG$50,MATCH($AK51,#REF!,0)),"")</f>
        <v/>
      </c>
      <c r="AR51" s="19">
        <f t="shared" si="11"/>
        <v>131</v>
      </c>
      <c r="AS51" s="22">
        <f>IF(AR51&lt;&gt;AR50,"",AK50)</f>
        <v>46</v>
      </c>
      <c r="AT51" s="23" t="str">
        <f t="shared" si="16"/>
        <v>131+46</v>
      </c>
      <c r="AW51" s="22" t="str">
        <f t="shared" si="17"/>
        <v/>
      </c>
      <c r="AX51" s="32">
        <f>IF(AY51="",AK52,"")</f>
        <v>48</v>
      </c>
      <c r="AY51" s="32" t="str">
        <f>IFERROR(INDEX($BG$5:$BG$50,MATCH($AK51,$BH$5:$BH$50,0)),"")</f>
        <v/>
      </c>
      <c r="AZ51" s="32" t="str">
        <f t="shared" si="3"/>
        <v/>
      </c>
      <c r="BA51" s="32" t="str">
        <f t="shared" si="4"/>
        <v/>
      </c>
      <c r="BB51" s="22" t="str">
        <f t="shared" si="5"/>
        <v>48</v>
      </c>
      <c r="BD51" s="40"/>
      <c r="BU51" s="34"/>
      <c r="BV51" s="34"/>
      <c r="BY51" s="33"/>
      <c r="BZ51" s="33"/>
    </row>
    <row r="52" spans="3:78" x14ac:dyDescent="0.15">
      <c r="C52" s="20" t="s">
        <v>528</v>
      </c>
      <c r="D52" s="20">
        <v>48</v>
      </c>
      <c r="L52" s="31">
        <f t="shared" si="13"/>
        <v>4</v>
      </c>
      <c r="M52" s="31">
        <f>IF(线路设计!J30="","",线路设计!J30)</f>
        <v>20</v>
      </c>
      <c r="N52" s="31">
        <f>IF(线路设计!K30="","",线路设计!K30)</f>
        <v>2</v>
      </c>
      <c r="O52" s="31" t="str">
        <f>IF(线路设计!L30="","",线路设计!L30)</f>
        <v/>
      </c>
      <c r="P52" s="31">
        <f>IF(线路设计!M30="","",线路设计!M30)</f>
        <v>1</v>
      </c>
      <c r="Q52" s="31" t="str">
        <f>IF(线路设计!N30="","",线路设计!N30)</f>
        <v/>
      </c>
      <c r="R52" s="31">
        <f>IF(线路设计!O30="","",线路设计!O30)</f>
        <v>2</v>
      </c>
      <c r="U52" s="31">
        <f t="shared" si="12"/>
        <v>4</v>
      </c>
      <c r="V52" s="31">
        <v>20</v>
      </c>
      <c r="W52" s="21" t="s">
        <v>576</v>
      </c>
      <c r="X52" s="31">
        <v>115</v>
      </c>
      <c r="Y52" s="31">
        <v>160</v>
      </c>
      <c r="AB52" s="31" t="str">
        <f t="shared" si="14"/>
        <v>103</v>
      </c>
      <c r="AC52" s="31" t="str">
        <f t="shared" si="15"/>
        <v/>
      </c>
      <c r="AI52" s="20" t="s">
        <v>528</v>
      </c>
      <c r="AJ52" s="19">
        <f>IF(AI52&lt;&gt;AI51,MAX($AJ$5:$AJ51)+1,AJ51)</f>
        <v>13</v>
      </c>
      <c r="AK52" s="20">
        <v>48</v>
      </c>
      <c r="AL52" s="31" t="str">
        <f>IFERROR(INDEX($BG$5:$BG$50,MATCH($AK52,BJ$5:BJ$50,0)),"")</f>
        <v/>
      </c>
      <c r="AM52" s="31" t="str">
        <f>IFERROR(INDEX($BG$5:$BG$50,MATCH($AK52,BK$5:BK$50,0)),"")</f>
        <v/>
      </c>
      <c r="AN52" s="31">
        <f>IFERROR(INDEX($BG$5:$BG$50,MATCH($AK52,BL$5:BL$50,0)),"")</f>
        <v>131</v>
      </c>
      <c r="AO52" s="31" t="str">
        <f>IFERROR(INDEX($BG$5:$BG$50,MATCH($AK52,BM$5:BM$50,0)),"")</f>
        <v/>
      </c>
      <c r="AP52" s="31" t="str">
        <f>IFERROR(INDEX($BG$5:$BG$50,MATCH($AK52,BN$5:BN$50,0)),"")</f>
        <v/>
      </c>
      <c r="AQ52" s="31" t="str">
        <f>IFERROR(INDEX($BG$5:$BG$50,MATCH($AK52,#REF!,0)),"")</f>
        <v/>
      </c>
      <c r="AR52" s="19">
        <f t="shared" si="11"/>
        <v>131</v>
      </c>
      <c r="AS52" s="22">
        <f>IF(AR52&lt;&gt;AR51,"",AK51)</f>
        <v>47</v>
      </c>
      <c r="AT52" s="23" t="str">
        <f t="shared" si="16"/>
        <v>131+47</v>
      </c>
      <c r="AW52" s="22" t="str">
        <f t="shared" si="17"/>
        <v/>
      </c>
      <c r="AX52" s="32" t="str">
        <f>IF(AY52="",AK53,"")</f>
        <v/>
      </c>
      <c r="AY52" s="32">
        <f>IFERROR(INDEX($BG$5:$BG$50,MATCH($AK52,$BH$5:$BH$50,0)),"")</f>
        <v>133</v>
      </c>
      <c r="AZ52" s="32" t="str">
        <f t="shared" si="3"/>
        <v/>
      </c>
      <c r="BA52" s="32" t="str">
        <f t="shared" si="4"/>
        <v/>
      </c>
      <c r="BB52" s="22" t="str">
        <f t="shared" si="5"/>
        <v>133</v>
      </c>
      <c r="BD52" s="40"/>
      <c r="BU52" s="34"/>
      <c r="BV52" s="34"/>
      <c r="BY52" s="33"/>
      <c r="BZ52" s="33"/>
    </row>
    <row r="53" spans="3:78" x14ac:dyDescent="0.15">
      <c r="C53" s="31" t="s">
        <v>530</v>
      </c>
      <c r="D53" s="31">
        <v>49</v>
      </c>
      <c r="AI53" s="31" t="s">
        <v>530</v>
      </c>
      <c r="AJ53" s="19">
        <f>IF(AI53&lt;&gt;AI52,MAX($AJ$5:$AJ52)+1,AJ52)</f>
        <v>14</v>
      </c>
      <c r="AK53" s="31">
        <v>49</v>
      </c>
      <c r="AL53" s="31">
        <f>IFERROR(INDEX($BG$5:$BG$50,MATCH($AK53,BJ$5:BJ$50,0)),"")</f>
        <v>132</v>
      </c>
      <c r="AM53" s="31" t="str">
        <f>IFERROR(INDEX($BG$5:$BG$50,MATCH($AK53,BK$5:BK$50,0)),"")</f>
        <v/>
      </c>
      <c r="AN53" s="31" t="str">
        <f>IFERROR(INDEX($BG$5:$BG$50,MATCH($AK53,BL$5:BL$50,0)),"")</f>
        <v/>
      </c>
      <c r="AO53" s="31" t="str">
        <f>IFERROR(INDEX($BG$5:$BG$50,MATCH($AK53,BM$5:BM$50,0)),"")</f>
        <v/>
      </c>
      <c r="AP53" s="31" t="str">
        <f>IFERROR(INDEX($BG$5:$BG$50,MATCH($AK53,BN$5:BN$50,0)),"")</f>
        <v/>
      </c>
      <c r="AQ53" s="31" t="str">
        <f>IFERROR(INDEX($BG$5:$BG$50,MATCH($AK53,#REF!,0)),"")</f>
        <v/>
      </c>
      <c r="AR53" s="19">
        <f t="shared" si="11"/>
        <v>132</v>
      </c>
      <c r="AS53" s="22" t="str">
        <f>IF(AR53&lt;&gt;AR52,"",AK52)</f>
        <v/>
      </c>
      <c r="AT53" s="23" t="str">
        <f t="shared" si="16"/>
        <v>132</v>
      </c>
      <c r="AW53" s="22" t="str">
        <f t="shared" si="17"/>
        <v/>
      </c>
      <c r="AX53" s="32">
        <f>IF(AY53="",AK54,"")</f>
        <v>50</v>
      </c>
      <c r="AY53" s="32" t="str">
        <f>IFERROR(INDEX($BG$5:$BG$50,MATCH($AK53,$BH$5:$BH$50,0)),"")</f>
        <v/>
      </c>
      <c r="AZ53" s="32" t="str">
        <f t="shared" si="3"/>
        <v/>
      </c>
      <c r="BA53" s="32">
        <f t="shared" si="4"/>
        <v>167</v>
      </c>
      <c r="BB53" s="22" t="str">
        <f t="shared" si="5"/>
        <v>50+167</v>
      </c>
      <c r="BD53" s="40"/>
      <c r="BU53" s="34"/>
      <c r="BV53" s="34"/>
      <c r="BY53" s="33"/>
      <c r="BZ53" s="33"/>
    </row>
    <row r="54" spans="3:78" x14ac:dyDescent="0.15">
      <c r="C54" s="31" t="s">
        <v>530</v>
      </c>
      <c r="D54" s="31">
        <v>50</v>
      </c>
      <c r="AI54" s="31" t="s">
        <v>530</v>
      </c>
      <c r="AJ54" s="19">
        <f>IF(AI54&lt;&gt;AI53,MAX($AJ$5:$AJ53)+1,AJ53)</f>
        <v>14</v>
      </c>
      <c r="AK54" s="31">
        <v>50</v>
      </c>
      <c r="AL54" s="31" t="str">
        <f>IFERROR(INDEX($BG$5:$BG$50,MATCH($AK54,BJ$5:BJ$50,0)),"")</f>
        <v/>
      </c>
      <c r="AM54" s="31">
        <f>IFERROR(INDEX($BG$5:$BG$50,MATCH($AK54,BK$5:BK$50,0)),"")</f>
        <v>132</v>
      </c>
      <c r="AN54" s="31" t="str">
        <f>IFERROR(INDEX($BG$5:$BG$50,MATCH($AK54,BL$5:BL$50,0)),"")</f>
        <v/>
      </c>
      <c r="AO54" s="31" t="str">
        <f>IFERROR(INDEX($BG$5:$BG$50,MATCH($AK54,BM$5:BM$50,0)),"")</f>
        <v/>
      </c>
      <c r="AP54" s="31" t="str">
        <f>IFERROR(INDEX($BG$5:$BG$50,MATCH($AK54,BN$5:BN$50,0)),"")</f>
        <v/>
      </c>
      <c r="AQ54" s="31" t="str">
        <f>IFERROR(INDEX($BG$5:$BG$50,MATCH($AK54,#REF!,0)),"")</f>
        <v/>
      </c>
      <c r="AR54" s="19">
        <f t="shared" si="11"/>
        <v>132</v>
      </c>
      <c r="AS54" s="22">
        <f>IF(AR54&lt;&gt;AR53,"",AK53)</f>
        <v>49</v>
      </c>
      <c r="AT54" s="23" t="str">
        <f t="shared" si="16"/>
        <v>132+49</v>
      </c>
      <c r="AW54" s="22" t="str">
        <f t="shared" si="17"/>
        <v/>
      </c>
      <c r="AX54" s="32" t="str">
        <f>IF(AY54="",AK55,"")</f>
        <v/>
      </c>
      <c r="AY54" s="32">
        <f>IFERROR(INDEX($BG$5:$BG$50,MATCH($AK54,$BH$5:$BH$50,0)),"")</f>
        <v>134</v>
      </c>
      <c r="AZ54" s="32" t="str">
        <f t="shared" si="3"/>
        <v/>
      </c>
      <c r="BA54" s="32" t="str">
        <f t="shared" si="4"/>
        <v/>
      </c>
      <c r="BB54" s="22" t="str">
        <f t="shared" si="5"/>
        <v>134</v>
      </c>
      <c r="BD54" s="40"/>
      <c r="BU54" s="34"/>
      <c r="BV54" s="34"/>
      <c r="BY54" s="33"/>
      <c r="BZ54" s="33"/>
    </row>
    <row r="55" spans="3:78" x14ac:dyDescent="0.15">
      <c r="C55" s="31" t="s">
        <v>530</v>
      </c>
      <c r="D55" s="31">
        <v>51</v>
      </c>
      <c r="AI55" s="31" t="s">
        <v>530</v>
      </c>
      <c r="AJ55" s="19">
        <f>IF(AI55&lt;&gt;AI54,MAX($AJ$5:$AJ54)+1,AJ54)</f>
        <v>14</v>
      </c>
      <c r="AK55" s="31">
        <v>51</v>
      </c>
      <c r="AL55" s="31">
        <f>IFERROR(INDEX($BG$5:$BG$50,MATCH($AK55,BJ$5:BJ$50,0)),"")</f>
        <v>133</v>
      </c>
      <c r="AM55" s="31" t="str">
        <f>IFERROR(INDEX($BG$5:$BG$50,MATCH($AK55,BK$5:BK$50,0)),"")</f>
        <v/>
      </c>
      <c r="AN55" s="31" t="str">
        <f>IFERROR(INDEX($BG$5:$BG$50,MATCH($AK55,BL$5:BL$50,0)),"")</f>
        <v/>
      </c>
      <c r="AO55" s="31" t="str">
        <f>IFERROR(INDEX($BG$5:$BG$50,MATCH($AK55,BM$5:BM$50,0)),"")</f>
        <v/>
      </c>
      <c r="AP55" s="31" t="str">
        <f>IFERROR(INDEX($BG$5:$BG$50,MATCH($AK55,BN$5:BN$50,0)),"")</f>
        <v/>
      </c>
      <c r="AQ55" s="31" t="str">
        <f>IFERROR(INDEX($BG$5:$BG$50,MATCH($AK55,#REF!,0)),"")</f>
        <v/>
      </c>
      <c r="AR55" s="19">
        <f t="shared" si="11"/>
        <v>133</v>
      </c>
      <c r="AS55" s="22" t="str">
        <f>IF(AR55&lt;&gt;AR54,"",AK54)</f>
        <v/>
      </c>
      <c r="AT55" s="23" t="str">
        <f t="shared" si="16"/>
        <v>133</v>
      </c>
      <c r="AW55" s="22" t="str">
        <f t="shared" si="17"/>
        <v/>
      </c>
      <c r="AX55" s="32">
        <f>IF(AY55="",AK56,"")</f>
        <v>52</v>
      </c>
      <c r="AY55" s="32" t="str">
        <f>IFERROR(INDEX($BG$5:$BG$50,MATCH($AK55,$BH$5:$BH$50,0)),"")</f>
        <v/>
      </c>
      <c r="AZ55" s="32" t="str">
        <f t="shared" si="3"/>
        <v/>
      </c>
      <c r="BA55" s="32" t="str">
        <f t="shared" si="4"/>
        <v/>
      </c>
      <c r="BB55" s="22" t="str">
        <f t="shared" si="5"/>
        <v>52</v>
      </c>
      <c r="BD55" s="40"/>
      <c r="BU55" s="34"/>
      <c r="BV55" s="34"/>
      <c r="BY55" s="33"/>
      <c r="BZ55" s="33"/>
    </row>
    <row r="56" spans="3:78" x14ac:dyDescent="0.15">
      <c r="C56" s="31" t="s">
        <v>530</v>
      </c>
      <c r="D56" s="31">
        <v>52</v>
      </c>
      <c r="V56" s="31" t="s">
        <v>584</v>
      </c>
      <c r="AI56" s="31" t="s">
        <v>530</v>
      </c>
      <c r="AJ56" s="19">
        <f>IF(AI56&lt;&gt;AI55,MAX($AJ$5:$AJ55)+1,AJ55)</f>
        <v>14</v>
      </c>
      <c r="AK56" s="31">
        <v>52</v>
      </c>
      <c r="AL56" s="31" t="str">
        <f>IFERROR(INDEX($BG$5:$BG$50,MATCH($AK56,BJ$5:BJ$50,0)),"")</f>
        <v/>
      </c>
      <c r="AM56" s="31">
        <f>IFERROR(INDEX($BG$5:$BG$50,MATCH($AK56,BK$5:BK$50,0)),"")</f>
        <v>133</v>
      </c>
      <c r="AN56" s="31" t="str">
        <f>IFERROR(INDEX($BG$5:$BG$50,MATCH($AK56,BL$5:BL$50,0)),"")</f>
        <v/>
      </c>
      <c r="AO56" s="31" t="str">
        <f>IFERROR(INDEX($BG$5:$BG$50,MATCH($AK56,BM$5:BM$50,0)),"")</f>
        <v/>
      </c>
      <c r="AP56" s="31" t="str">
        <f>IFERROR(INDEX($BG$5:$BG$50,MATCH($AK56,BN$5:BN$50,0)),"")</f>
        <v/>
      </c>
      <c r="AQ56" s="31" t="str">
        <f>IFERROR(INDEX($BG$5:$BG$50,MATCH($AK56,#REF!,0)),"")</f>
        <v/>
      </c>
      <c r="AR56" s="19">
        <f t="shared" si="11"/>
        <v>133</v>
      </c>
      <c r="AS56" s="22">
        <f>IF(AR56&lt;&gt;AR55,"",AK55)</f>
        <v>51</v>
      </c>
      <c r="AT56" s="23" t="str">
        <f t="shared" si="16"/>
        <v>133+51</v>
      </c>
      <c r="AW56" s="22" t="str">
        <f t="shared" si="17"/>
        <v/>
      </c>
      <c r="AX56" s="32" t="str">
        <f>IF(AY56="",AK57,"")</f>
        <v/>
      </c>
      <c r="AY56" s="32">
        <f>IFERROR(INDEX($BG$5:$BG$50,MATCH($AK56,$BH$5:$BH$50,0)),"")</f>
        <v>135</v>
      </c>
      <c r="AZ56" s="32" t="str">
        <f t="shared" si="3"/>
        <v/>
      </c>
      <c r="BA56" s="32" t="str">
        <f t="shared" si="4"/>
        <v/>
      </c>
      <c r="BB56" s="22" t="str">
        <f t="shared" si="5"/>
        <v>135</v>
      </c>
      <c r="BD56" s="40"/>
      <c r="BU56" s="34"/>
      <c r="BV56" s="34"/>
      <c r="BY56" s="33"/>
      <c r="BZ56" s="33"/>
    </row>
    <row r="57" spans="3:78" x14ac:dyDescent="0.15">
      <c r="C57" s="31" t="s">
        <v>530</v>
      </c>
      <c r="D57" s="31">
        <v>53</v>
      </c>
      <c r="L57" s="31" t="str">
        <f t="shared" ref="L57:L78" si="18">L31</f>
        <v>开启线路</v>
      </c>
      <c r="M57" s="31" t="s">
        <v>486</v>
      </c>
      <c r="N57" s="31" t="s">
        <v>459</v>
      </c>
      <c r="O57" s="31" t="s">
        <v>460</v>
      </c>
      <c r="P57" s="31" t="s">
        <v>461</v>
      </c>
      <c r="Q57" s="31" t="s">
        <v>462</v>
      </c>
      <c r="R57" s="31" t="s">
        <v>487</v>
      </c>
      <c r="U57" s="31" t="str">
        <f>U31</f>
        <v>开启线路</v>
      </c>
      <c r="V57" s="31" t="s">
        <v>486</v>
      </c>
      <c r="W57" s="31" t="s">
        <v>459</v>
      </c>
      <c r="X57" s="31" t="s">
        <v>460</v>
      </c>
      <c r="Y57" s="31" t="s">
        <v>461</v>
      </c>
      <c r="Z57" s="31" t="s">
        <v>462</v>
      </c>
      <c r="AB57" s="31" t="s">
        <v>761</v>
      </c>
      <c r="AC57" s="31" t="s">
        <v>762</v>
      </c>
      <c r="AI57" s="31" t="s">
        <v>530</v>
      </c>
      <c r="AJ57" s="19">
        <f>IF(AI57&lt;&gt;AI56,MAX($AJ$5:$AJ56)+1,AJ56)</f>
        <v>14</v>
      </c>
      <c r="AK57" s="31">
        <v>53</v>
      </c>
      <c r="AL57" s="31" t="str">
        <f>IFERROR(INDEX($BG$5:$BG$50,MATCH($AK57,BJ$5:BJ$50,0)),"")</f>
        <v/>
      </c>
      <c r="AM57" s="31" t="str">
        <f>IFERROR(INDEX($BG$5:$BG$50,MATCH($AK57,BK$5:BK$50,0)),"")</f>
        <v/>
      </c>
      <c r="AN57" s="31">
        <f>IFERROR(INDEX($BG$5:$BG$50,MATCH($AK57,BL$5:BL$50,0)),"")</f>
        <v>133</v>
      </c>
      <c r="AO57" s="31" t="str">
        <f>IFERROR(INDEX($BG$5:$BG$50,MATCH($AK57,BM$5:BM$50,0)),"")</f>
        <v/>
      </c>
      <c r="AP57" s="31" t="str">
        <f>IFERROR(INDEX($BG$5:$BG$50,MATCH($AK57,BN$5:BN$50,0)),"")</f>
        <v/>
      </c>
      <c r="AQ57" s="31" t="str">
        <f>IFERROR(INDEX($BG$5:$BG$50,MATCH($AK57,#REF!,0)),"")</f>
        <v/>
      </c>
      <c r="AR57" s="19">
        <f t="shared" si="11"/>
        <v>133</v>
      </c>
      <c r="AS57" s="22">
        <f>IF(AR57&lt;&gt;AR56,"",AK56)</f>
        <v>52</v>
      </c>
      <c r="AT57" s="23" t="str">
        <f t="shared" si="16"/>
        <v>133+52</v>
      </c>
      <c r="AW57" s="22" t="str">
        <f t="shared" si="17"/>
        <v/>
      </c>
      <c r="AX57" s="32">
        <f>IF(AY57="",AK58,"")</f>
        <v>54</v>
      </c>
      <c r="AY57" s="32" t="str">
        <f>IFERROR(INDEX($BG$5:$BG$50,MATCH($AK57,$BH$5:$BH$50,0)),"")</f>
        <v/>
      </c>
      <c r="AZ57" s="32" t="str">
        <f t="shared" si="3"/>
        <v/>
      </c>
      <c r="BA57" s="32" t="str">
        <f t="shared" si="4"/>
        <v/>
      </c>
      <c r="BB57" s="22" t="str">
        <f t="shared" si="5"/>
        <v>54</v>
      </c>
      <c r="BD57" s="40"/>
      <c r="BU57" s="34"/>
      <c r="BV57" s="34"/>
      <c r="BY57" s="33"/>
      <c r="BZ57" s="33"/>
    </row>
    <row r="58" spans="3:78" x14ac:dyDescent="0.15">
      <c r="C58" s="31" t="s">
        <v>530</v>
      </c>
      <c r="D58" s="31">
        <v>54</v>
      </c>
      <c r="L58" s="31">
        <f t="shared" si="18"/>
        <v>1</v>
      </c>
      <c r="M58" s="31">
        <f>IF(线路设计!Q10="","",线路设计!Q10)</f>
        <v>0</v>
      </c>
      <c r="N58" s="31" t="str">
        <f>IF(线路设计!R10="","",线路设计!R10)</f>
        <v/>
      </c>
      <c r="O58" s="31" t="str">
        <f>IF(线路设计!S10="","",线路设计!S10)</f>
        <v/>
      </c>
      <c r="P58" s="31" t="str">
        <f>IF(线路设计!T10="","",线路设计!T10)</f>
        <v/>
      </c>
      <c r="Q58" s="31" t="str">
        <f>IF(线路设计!U10="","",线路设计!U10)</f>
        <v/>
      </c>
      <c r="R58" s="31">
        <f>IF(线路设计!V10="","",线路设计!V10)</f>
        <v>0</v>
      </c>
      <c r="U58" s="31">
        <f t="shared" ref="U58:U78" si="19">U32</f>
        <v>1</v>
      </c>
      <c r="V58" s="31">
        <v>0</v>
      </c>
      <c r="AB58" s="31" t="str">
        <f>IF(Y58="","",RIGHT(W58,FIND("+",W58)-1))</f>
        <v/>
      </c>
      <c r="AC58" s="31" t="str">
        <f>IF(Y58="","",合并区域(W59:Z59,"+"))</f>
        <v/>
      </c>
      <c r="AI58" s="31" t="s">
        <v>530</v>
      </c>
      <c r="AJ58" s="19">
        <f>IF(AI58&lt;&gt;AI57,MAX($AJ$5:$AJ57)+1,AJ57)</f>
        <v>14</v>
      </c>
      <c r="AK58" s="31">
        <v>54</v>
      </c>
      <c r="AL58" s="31" t="str">
        <f>IFERROR(INDEX($BG$5:$BG$50,MATCH($AK58,BJ$5:BJ$50,0)),"")</f>
        <v/>
      </c>
      <c r="AM58" s="31" t="str">
        <f>IFERROR(INDEX($BG$5:$BG$50,MATCH($AK58,BK$5:BK$50,0)),"")</f>
        <v/>
      </c>
      <c r="AN58" s="31" t="str">
        <f>IFERROR(INDEX($BG$5:$BG$50,MATCH($AK58,BL$5:BL$50,0)),"")</f>
        <v/>
      </c>
      <c r="AO58" s="31">
        <f>IFERROR(INDEX($BG$5:$BG$50,MATCH($AK58,BM$5:BM$50,0)),"")</f>
        <v>133</v>
      </c>
      <c r="AP58" s="31" t="str">
        <f>IFERROR(INDEX($BG$5:$BG$50,MATCH($AK58,BN$5:BN$50,0)),"")</f>
        <v/>
      </c>
      <c r="AQ58" s="31" t="str">
        <f>IFERROR(INDEX($BG$5:$BG$50,MATCH($AK58,#REF!,0)),"")</f>
        <v/>
      </c>
      <c r="AR58" s="19">
        <f t="shared" si="11"/>
        <v>133</v>
      </c>
      <c r="AS58" s="22">
        <f>IF(AR58&lt;&gt;AR57,"",AK57)</f>
        <v>53</v>
      </c>
      <c r="AT58" s="23" t="str">
        <f t="shared" si="16"/>
        <v>133+53</v>
      </c>
      <c r="AW58" s="22" t="str">
        <f t="shared" si="17"/>
        <v/>
      </c>
      <c r="AX58" s="32" t="str">
        <f>IF(AY58="",AK59,"")</f>
        <v/>
      </c>
      <c r="AY58" s="32">
        <f>IFERROR(INDEX($BG$5:$BG$50,MATCH($AK58,$BH$5:$BH$50,0)),"")</f>
        <v>136</v>
      </c>
      <c r="AZ58" s="32" t="str">
        <f t="shared" si="3"/>
        <v/>
      </c>
      <c r="BA58" s="32" t="str">
        <f t="shared" si="4"/>
        <v/>
      </c>
      <c r="BB58" s="22" t="str">
        <f t="shared" si="5"/>
        <v>136</v>
      </c>
      <c r="BD58" s="40"/>
      <c r="BU58" s="34"/>
      <c r="BV58" s="34"/>
      <c r="BY58" s="33"/>
      <c r="BZ58" s="33"/>
    </row>
    <row r="59" spans="3:78" x14ac:dyDescent="0.15">
      <c r="C59" s="20" t="s">
        <v>531</v>
      </c>
      <c r="D59" s="20">
        <v>55</v>
      </c>
      <c r="L59" s="31">
        <f t="shared" si="18"/>
        <v>1</v>
      </c>
      <c r="M59" s="31">
        <f>IF(线路设计!Q11="","",线路设计!Q11)</f>
        <v>1</v>
      </c>
      <c r="N59" s="31" t="str">
        <f>IF(线路设计!R11="","",线路设计!R11)</f>
        <v/>
      </c>
      <c r="O59" s="31" t="str">
        <f>IF(线路设计!S11="","",线路设计!S11)</f>
        <v/>
      </c>
      <c r="P59" s="31" t="str">
        <f>IF(线路设计!T11="","",线路设计!T11)</f>
        <v/>
      </c>
      <c r="Q59" s="31" t="str">
        <f>IF(线路设计!U11="","",线路设计!U11)</f>
        <v/>
      </c>
      <c r="R59" s="31">
        <f>IF(线路设计!V11="","",线路设计!V11)</f>
        <v>0</v>
      </c>
      <c r="U59" s="31">
        <f t="shared" si="19"/>
        <v>1</v>
      </c>
      <c r="V59" s="31">
        <v>1</v>
      </c>
      <c r="AB59" s="31" t="str">
        <f t="shared" ref="AB59:AB78" si="20">IF(Y59="","",RIGHT(W59,FIND("+",W59)-1))</f>
        <v/>
      </c>
      <c r="AC59" s="31" t="str">
        <f t="shared" ref="AC59:AC78" si="21">IF(Y59="","",合并区域(W60:Z60,"+"))</f>
        <v/>
      </c>
      <c r="AI59" s="20" t="s">
        <v>531</v>
      </c>
      <c r="AJ59" s="19">
        <f>IF(AI59&lt;&gt;AI58,MAX($AJ$5:$AJ58)+1,AJ58)</f>
        <v>15</v>
      </c>
      <c r="AK59" s="20">
        <v>55</v>
      </c>
      <c r="AL59" s="31">
        <f>IFERROR(INDEX($BG$5:$BG$50,MATCH($AK59,BJ$5:BJ$50,0)),"")</f>
        <v>134</v>
      </c>
      <c r="AM59" s="31" t="str">
        <f>IFERROR(INDEX($BG$5:$BG$50,MATCH($AK59,BK$5:BK$50,0)),"")</f>
        <v/>
      </c>
      <c r="AN59" s="31" t="str">
        <f>IFERROR(INDEX($BG$5:$BG$50,MATCH($AK59,BL$5:BL$50,0)),"")</f>
        <v/>
      </c>
      <c r="AO59" s="31" t="str">
        <f>IFERROR(INDEX($BG$5:$BG$50,MATCH($AK59,BM$5:BM$50,0)),"")</f>
        <v/>
      </c>
      <c r="AP59" s="31" t="str">
        <f>IFERROR(INDEX($BG$5:$BG$50,MATCH($AK59,BN$5:BN$50,0)),"")</f>
        <v/>
      </c>
      <c r="AQ59" s="31" t="str">
        <f>IFERROR(INDEX($BG$5:$BG$50,MATCH($AK59,#REF!,0)),"")</f>
        <v/>
      </c>
      <c r="AR59" s="19">
        <f t="shared" si="11"/>
        <v>134</v>
      </c>
      <c r="AS59" s="22" t="str">
        <f>IF(AR59&lt;&gt;AR58,"",AK58)</f>
        <v/>
      </c>
      <c r="AT59" s="23" t="str">
        <f t="shared" si="16"/>
        <v>134</v>
      </c>
      <c r="AW59" s="22" t="str">
        <f t="shared" si="17"/>
        <v/>
      </c>
      <c r="AX59" s="18"/>
      <c r="AY59" s="32" t="str">
        <f>IFERROR(INDEX($BG$5:$BG$50,MATCH($AK59,$BH$5:$BH$50,0)),"")</f>
        <v/>
      </c>
      <c r="AZ59" s="32">
        <f t="shared" si="3"/>
        <v>112</v>
      </c>
      <c r="BA59" s="32" t="str">
        <f t="shared" si="4"/>
        <v/>
      </c>
      <c r="BB59" s="22" t="str">
        <f t="shared" si="5"/>
        <v>112</v>
      </c>
      <c r="BD59" s="40"/>
      <c r="BU59" s="34"/>
      <c r="BV59" s="34"/>
      <c r="BY59" s="33"/>
      <c r="BZ59" s="33"/>
    </row>
    <row r="60" spans="3:78" x14ac:dyDescent="0.15">
      <c r="C60" s="20" t="s">
        <v>531</v>
      </c>
      <c r="D60" s="20">
        <v>56</v>
      </c>
      <c r="L60" s="31">
        <f t="shared" si="18"/>
        <v>1</v>
      </c>
      <c r="M60" s="31">
        <f>IF(线路设计!Q12="","",线路设计!Q12)</f>
        <v>2</v>
      </c>
      <c r="N60" s="31" t="str">
        <f>IF(线路设计!R12="","",线路设计!R12)</f>
        <v/>
      </c>
      <c r="O60" s="31" t="str">
        <f>IF(线路设计!S12="","",线路设计!S12)</f>
        <v/>
      </c>
      <c r="P60" s="31" t="str">
        <f>IF(线路设计!T12="","",线路设计!T12)</f>
        <v/>
      </c>
      <c r="Q60" s="31" t="str">
        <f>IF(线路设计!U12="","",线路设计!U12)</f>
        <v/>
      </c>
      <c r="R60" s="31">
        <f>IF(线路设计!V12="","",线路设计!V12)</f>
        <v>0</v>
      </c>
      <c r="U60" s="31">
        <f t="shared" si="19"/>
        <v>1</v>
      </c>
      <c r="V60" s="31">
        <v>2</v>
      </c>
      <c r="AB60" s="31" t="str">
        <f t="shared" si="20"/>
        <v/>
      </c>
      <c r="AC60" s="31" t="str">
        <f t="shared" si="21"/>
        <v/>
      </c>
      <c r="AI60" s="20" t="s">
        <v>531</v>
      </c>
      <c r="AJ60" s="19">
        <f>IF(AI60&lt;&gt;AI59,MAX($AJ$5:$AJ59)+1,AJ59)</f>
        <v>15</v>
      </c>
      <c r="AK60" s="20">
        <v>56</v>
      </c>
      <c r="AL60" s="31" t="str">
        <f>IFERROR(INDEX($BG$5:$BG$50,MATCH($AK60,BJ$5:BJ$50,0)),"")</f>
        <v/>
      </c>
      <c r="AM60" s="31">
        <f>IFERROR(INDEX($BG$5:$BG$50,MATCH($AK60,BK$5:BK$50,0)),"")</f>
        <v>134</v>
      </c>
      <c r="AN60" s="31" t="str">
        <f>IFERROR(INDEX($BG$5:$BG$50,MATCH($AK60,BL$5:BL$50,0)),"")</f>
        <v/>
      </c>
      <c r="AO60" s="31" t="str">
        <f>IFERROR(INDEX($BG$5:$BG$50,MATCH($AK60,BM$5:BM$50,0)),"")</f>
        <v/>
      </c>
      <c r="AP60" s="31" t="str">
        <f>IFERROR(INDEX($BG$5:$BG$50,MATCH($AK60,BN$5:BN$50,0)),"")</f>
        <v/>
      </c>
      <c r="AQ60" s="31" t="str">
        <f>IFERROR(INDEX($BG$5:$BG$50,MATCH($AK60,#REF!,0)),"")</f>
        <v/>
      </c>
      <c r="AR60" s="19">
        <f t="shared" si="11"/>
        <v>134</v>
      </c>
      <c r="AS60" s="22">
        <f>IF(AR60&lt;&gt;AR59,"",AK59)</f>
        <v>55</v>
      </c>
      <c r="AT60" s="23" t="str">
        <f t="shared" si="16"/>
        <v>134+55</v>
      </c>
      <c r="AW60" s="22" t="str">
        <f t="shared" si="17"/>
        <v/>
      </c>
      <c r="AX60" s="32" t="str">
        <f>IF(AY60="",AK61,"")</f>
        <v/>
      </c>
      <c r="AY60" s="32">
        <f>IFERROR(INDEX($BG$5:$BG$50,MATCH($AK60,$BH$5:$BH$50,0)),"")</f>
        <v>137</v>
      </c>
      <c r="AZ60" s="32" t="str">
        <f t="shared" si="3"/>
        <v/>
      </c>
      <c r="BA60" s="32" t="str">
        <f t="shared" si="4"/>
        <v/>
      </c>
      <c r="BB60" s="22" t="str">
        <f t="shared" si="5"/>
        <v>137</v>
      </c>
      <c r="BD60" s="40"/>
      <c r="BU60" s="34"/>
      <c r="BV60" s="34"/>
      <c r="BY60" s="33"/>
      <c r="BZ60" s="33"/>
    </row>
    <row r="61" spans="3:78" x14ac:dyDescent="0.15">
      <c r="C61" s="20" t="s">
        <v>531</v>
      </c>
      <c r="D61" s="20">
        <v>57</v>
      </c>
      <c r="L61" s="31">
        <f t="shared" si="18"/>
        <v>1</v>
      </c>
      <c r="M61" s="31">
        <f>IF(线路设计!Q13="","",线路设计!Q13)</f>
        <v>3</v>
      </c>
      <c r="N61" s="31" t="str">
        <f>IF(线路设计!R13="","",线路设计!R13)</f>
        <v/>
      </c>
      <c r="O61" s="31" t="str">
        <f>IF(线路设计!S13="","",线路设计!S13)</f>
        <v/>
      </c>
      <c r="P61" s="31" t="str">
        <f>IF(线路设计!T13="","",线路设计!T13)</f>
        <v/>
      </c>
      <c r="Q61" s="31" t="str">
        <f>IF(线路设计!U13="","",线路设计!U13)</f>
        <v/>
      </c>
      <c r="R61" s="31">
        <f>IF(线路设计!V13="","",线路设计!V13)</f>
        <v>0</v>
      </c>
      <c r="U61" s="31">
        <f t="shared" si="19"/>
        <v>1</v>
      </c>
      <c r="V61" s="31">
        <v>3</v>
      </c>
      <c r="AB61" s="31" t="str">
        <f t="shared" si="20"/>
        <v/>
      </c>
      <c r="AC61" s="31" t="str">
        <f t="shared" si="21"/>
        <v/>
      </c>
      <c r="AI61" s="20" t="s">
        <v>531</v>
      </c>
      <c r="AJ61" s="19">
        <f>IF(AI61&lt;&gt;AI60,MAX($AJ$5:$AJ60)+1,AJ60)</f>
        <v>15</v>
      </c>
      <c r="AK61" s="20">
        <v>57</v>
      </c>
      <c r="AL61" s="31">
        <f>IFERROR(INDEX($BG$5:$BG$50,MATCH($AK61,BJ$5:BJ$50,0)),"")</f>
        <v>135</v>
      </c>
      <c r="AM61" s="31" t="str">
        <f>IFERROR(INDEX($BG$5:$BG$50,MATCH($AK61,BK$5:BK$50,0)),"")</f>
        <v/>
      </c>
      <c r="AN61" s="31" t="str">
        <f>IFERROR(INDEX($BG$5:$BG$50,MATCH($AK61,BL$5:BL$50,0)),"")</f>
        <v/>
      </c>
      <c r="AO61" s="31" t="str">
        <f>IFERROR(INDEX($BG$5:$BG$50,MATCH($AK61,BM$5:BM$50,0)),"")</f>
        <v/>
      </c>
      <c r="AP61" s="31" t="str">
        <f>IFERROR(INDEX($BG$5:$BG$50,MATCH($AK61,BN$5:BN$50,0)),"")</f>
        <v/>
      </c>
      <c r="AQ61" s="31" t="str">
        <f>IFERROR(INDEX($BG$5:$BG$50,MATCH($AK61,#REF!,0)),"")</f>
        <v/>
      </c>
      <c r="AR61" s="19">
        <f t="shared" si="11"/>
        <v>135</v>
      </c>
      <c r="AS61" s="22" t="str">
        <f>IF(AR61&lt;&gt;AR60,"",AK60)</f>
        <v/>
      </c>
      <c r="AT61" s="23" t="str">
        <f t="shared" si="16"/>
        <v>135</v>
      </c>
      <c r="AW61" s="22" t="str">
        <f t="shared" si="17"/>
        <v/>
      </c>
      <c r="AX61" s="32">
        <f>IF(AY61="",AK62,"")</f>
        <v>58</v>
      </c>
      <c r="AY61" s="32" t="str">
        <f>IFERROR(INDEX($BG$5:$BG$50,MATCH($AK61,$BH$5:$BH$50,0)),"")</f>
        <v/>
      </c>
      <c r="AZ61" s="32" t="str">
        <f t="shared" si="3"/>
        <v/>
      </c>
      <c r="BA61" s="32" t="str">
        <f t="shared" si="4"/>
        <v/>
      </c>
      <c r="BB61" s="22" t="str">
        <f t="shared" si="5"/>
        <v>58</v>
      </c>
      <c r="BD61" s="40"/>
      <c r="BU61" s="34"/>
      <c r="BV61" s="34"/>
      <c r="BY61" s="33"/>
      <c r="BZ61" s="33"/>
    </row>
    <row r="62" spans="3:78" x14ac:dyDescent="0.15">
      <c r="C62" s="20" t="s">
        <v>531</v>
      </c>
      <c r="D62" s="20">
        <v>58</v>
      </c>
      <c r="L62" s="31">
        <f t="shared" si="18"/>
        <v>1</v>
      </c>
      <c r="M62" s="31">
        <f>IF(线路设计!Q14="","",线路设计!Q14)</f>
        <v>4</v>
      </c>
      <c r="N62" s="31" t="str">
        <f>IF(线路设计!R14="","",线路设计!R14)</f>
        <v/>
      </c>
      <c r="O62" s="31" t="str">
        <f>IF(线路设计!S14="","",线路设计!S14)</f>
        <v/>
      </c>
      <c r="P62" s="31" t="str">
        <f>IF(线路设计!T14="","",线路设计!T14)</f>
        <v/>
      </c>
      <c r="Q62" s="31" t="str">
        <f>IF(线路设计!U14="","",线路设计!U14)</f>
        <v/>
      </c>
      <c r="R62" s="31">
        <f>IF(线路设计!V14="","",线路设计!V14)</f>
        <v>0</v>
      </c>
      <c r="U62" s="31">
        <f t="shared" si="19"/>
        <v>1</v>
      </c>
      <c r="V62" s="31">
        <v>4</v>
      </c>
      <c r="AB62" s="31" t="str">
        <f t="shared" si="20"/>
        <v/>
      </c>
      <c r="AC62" s="31" t="str">
        <f t="shared" si="21"/>
        <v/>
      </c>
      <c r="AI62" s="20" t="s">
        <v>531</v>
      </c>
      <c r="AJ62" s="19">
        <f>IF(AI62&lt;&gt;AI61,MAX($AJ$5:$AJ61)+1,AJ61)</f>
        <v>15</v>
      </c>
      <c r="AK62" s="20">
        <v>58</v>
      </c>
      <c r="AL62" s="31" t="str">
        <f>IFERROR(INDEX($BG$5:$BG$50,MATCH($AK62,BJ$5:BJ$50,0)),"")</f>
        <v/>
      </c>
      <c r="AM62" s="31">
        <f>IFERROR(INDEX($BG$5:$BG$50,MATCH($AK62,BK$5:BK$50,0)),"")</f>
        <v>135</v>
      </c>
      <c r="AN62" s="31" t="str">
        <f>IFERROR(INDEX($BG$5:$BG$50,MATCH($AK62,BL$5:BL$50,0)),"")</f>
        <v/>
      </c>
      <c r="AO62" s="31" t="str">
        <f>IFERROR(INDEX($BG$5:$BG$50,MATCH($AK62,BM$5:BM$50,0)),"")</f>
        <v/>
      </c>
      <c r="AP62" s="31" t="str">
        <f>IFERROR(INDEX($BG$5:$BG$50,MATCH($AK62,BN$5:BN$50,0)),"")</f>
        <v/>
      </c>
      <c r="AQ62" s="31" t="str">
        <f>IFERROR(INDEX($BG$5:$BG$50,MATCH($AK62,#REF!,0)),"")</f>
        <v/>
      </c>
      <c r="AR62" s="19">
        <f t="shared" si="11"/>
        <v>135</v>
      </c>
      <c r="AS62" s="22">
        <f>IF(AR62&lt;&gt;AR61,"",AK61)</f>
        <v>57</v>
      </c>
      <c r="AT62" s="23" t="str">
        <f t="shared" si="16"/>
        <v>135+57</v>
      </c>
      <c r="AW62" s="22" t="str">
        <f t="shared" si="17"/>
        <v/>
      </c>
      <c r="AX62" s="32" t="str">
        <f>IF(AY62="",AK63,"")</f>
        <v/>
      </c>
      <c r="AY62" s="32">
        <f>IFERROR(INDEX($BG$5:$BG$50,MATCH($AK62,$BH$5:$BH$50,0)),"")</f>
        <v>138</v>
      </c>
      <c r="AZ62" s="32" t="str">
        <f t="shared" si="3"/>
        <v/>
      </c>
      <c r="BA62" s="32" t="str">
        <f t="shared" si="4"/>
        <v/>
      </c>
      <c r="BB62" s="22" t="str">
        <f t="shared" si="5"/>
        <v>138</v>
      </c>
      <c r="BD62" s="40"/>
      <c r="BU62" s="34"/>
      <c r="BV62" s="34"/>
      <c r="BY62" s="33"/>
      <c r="BZ62" s="33"/>
    </row>
    <row r="63" spans="3:78" x14ac:dyDescent="0.15">
      <c r="C63" s="20" t="s">
        <v>531</v>
      </c>
      <c r="D63" s="20">
        <v>59</v>
      </c>
      <c r="L63" s="31">
        <f t="shared" si="18"/>
        <v>1</v>
      </c>
      <c r="M63" s="31">
        <f>IF(线路设计!Q15="","",线路设计!Q15)</f>
        <v>5</v>
      </c>
      <c r="N63" s="31" t="str">
        <f>IF(线路设计!R15="","",线路设计!R15)</f>
        <v/>
      </c>
      <c r="O63" s="31" t="str">
        <f>IF(线路设计!S15="","",线路设计!S15)</f>
        <v/>
      </c>
      <c r="P63" s="31" t="str">
        <f>IF(线路设计!T15="","",线路设计!T15)</f>
        <v/>
      </c>
      <c r="Q63" s="31" t="str">
        <f>IF(线路设计!U15="","",线路设计!U15)</f>
        <v/>
      </c>
      <c r="R63" s="31">
        <f>IF(线路设计!V15="","",线路设计!V15)</f>
        <v>0</v>
      </c>
      <c r="U63" s="31">
        <f t="shared" si="19"/>
        <v>1</v>
      </c>
      <c r="V63" s="31">
        <v>5</v>
      </c>
      <c r="AB63" s="31" t="str">
        <f t="shared" si="20"/>
        <v/>
      </c>
      <c r="AC63" s="31" t="str">
        <f t="shared" si="21"/>
        <v/>
      </c>
      <c r="AI63" s="20" t="s">
        <v>531</v>
      </c>
      <c r="AJ63" s="19">
        <f>IF(AI63&lt;&gt;AI62,MAX($AJ$5:$AJ62)+1,AJ62)</f>
        <v>15</v>
      </c>
      <c r="AK63" s="20">
        <v>59</v>
      </c>
      <c r="AL63" s="31">
        <f>IFERROR(INDEX($BG$5:$BG$50,MATCH($AK63,BJ$5:BJ$50,0)),"")</f>
        <v>136</v>
      </c>
      <c r="AM63" s="31" t="str">
        <f>IFERROR(INDEX($BG$5:$BG$50,MATCH($AK63,BK$5:BK$50,0)),"")</f>
        <v/>
      </c>
      <c r="AN63" s="31" t="str">
        <f>IFERROR(INDEX($BG$5:$BG$50,MATCH($AK63,BL$5:BL$50,0)),"")</f>
        <v/>
      </c>
      <c r="AO63" s="31" t="str">
        <f>IFERROR(INDEX($BG$5:$BG$50,MATCH($AK63,BM$5:BM$50,0)),"")</f>
        <v/>
      </c>
      <c r="AP63" s="31" t="str">
        <f>IFERROR(INDEX($BG$5:$BG$50,MATCH($AK63,BN$5:BN$50,0)),"")</f>
        <v/>
      </c>
      <c r="AQ63" s="31" t="str">
        <f>IFERROR(INDEX($BG$5:$BG$50,MATCH($AK63,#REF!,0)),"")</f>
        <v/>
      </c>
      <c r="AR63" s="19">
        <f t="shared" si="11"/>
        <v>136</v>
      </c>
      <c r="AS63" s="22" t="str">
        <f>IF(AR63&lt;&gt;AR62,"",AK62)</f>
        <v/>
      </c>
      <c r="AT63" s="23" t="str">
        <f t="shared" si="16"/>
        <v>136</v>
      </c>
      <c r="AW63" s="22" t="str">
        <f t="shared" si="17"/>
        <v/>
      </c>
      <c r="AX63" s="32">
        <f>IF(AY63="",AK64,"")</f>
        <v>60</v>
      </c>
      <c r="AY63" s="32" t="str">
        <f>IFERROR(INDEX($BG$5:$BG$50,MATCH($AK63,$BH$5:$BH$50,0)),"")</f>
        <v/>
      </c>
      <c r="AZ63" s="32" t="str">
        <f t="shared" si="3"/>
        <v/>
      </c>
      <c r="BA63" s="32" t="str">
        <f t="shared" si="4"/>
        <v/>
      </c>
      <c r="BB63" s="22" t="str">
        <f t="shared" si="5"/>
        <v>60</v>
      </c>
      <c r="BD63" s="40"/>
      <c r="BU63" s="34"/>
      <c r="BV63" s="34"/>
      <c r="BY63" s="33"/>
      <c r="BZ63" s="33"/>
    </row>
    <row r="64" spans="3:78" x14ac:dyDescent="0.15">
      <c r="C64" s="20" t="s">
        <v>531</v>
      </c>
      <c r="D64" s="20">
        <v>60</v>
      </c>
      <c r="L64" s="31">
        <f t="shared" si="18"/>
        <v>1</v>
      </c>
      <c r="M64" s="31">
        <f>IF(线路设计!Q16="","",线路设计!Q16)</f>
        <v>6</v>
      </c>
      <c r="N64" s="31" t="str">
        <f>IF(线路设计!R16="","",线路设计!R16)</f>
        <v/>
      </c>
      <c r="O64" s="31" t="str">
        <f>IF(线路设计!S16="","",线路设计!S16)</f>
        <v/>
      </c>
      <c r="P64" s="31" t="str">
        <f>IF(线路设计!T16="","",线路设计!T16)</f>
        <v/>
      </c>
      <c r="Q64" s="31" t="str">
        <f>IF(线路设计!U16="","",线路设计!U16)</f>
        <v/>
      </c>
      <c r="R64" s="31">
        <f>IF(线路设计!V16="","",线路设计!V16)</f>
        <v>0</v>
      </c>
      <c r="U64" s="31">
        <f t="shared" si="19"/>
        <v>1</v>
      </c>
      <c r="V64" s="31">
        <v>6</v>
      </c>
      <c r="AB64" s="31" t="str">
        <f t="shared" si="20"/>
        <v/>
      </c>
      <c r="AC64" s="31" t="str">
        <f t="shared" si="21"/>
        <v/>
      </c>
      <c r="AI64" s="20" t="s">
        <v>531</v>
      </c>
      <c r="AJ64" s="19">
        <f>IF(AI64&lt;&gt;AI63,MAX($AJ$5:$AJ63)+1,AJ63)</f>
        <v>15</v>
      </c>
      <c r="AK64" s="20">
        <v>60</v>
      </c>
      <c r="AL64" s="31" t="str">
        <f>IFERROR(INDEX($BG$5:$BG$50,MATCH($AK64,BJ$5:BJ$50,0)),"")</f>
        <v/>
      </c>
      <c r="AM64" s="31">
        <f>IFERROR(INDEX($BG$5:$BG$50,MATCH($AK64,BK$5:BK$50,0)),"")</f>
        <v>136</v>
      </c>
      <c r="AN64" s="31" t="str">
        <f>IFERROR(INDEX($BG$5:$BG$50,MATCH($AK64,BL$5:BL$50,0)),"")</f>
        <v/>
      </c>
      <c r="AO64" s="31" t="str">
        <f>IFERROR(INDEX($BG$5:$BG$50,MATCH($AK64,BM$5:BM$50,0)),"")</f>
        <v/>
      </c>
      <c r="AP64" s="31" t="str">
        <f>IFERROR(INDEX($BG$5:$BG$50,MATCH($AK64,BN$5:BN$50,0)),"")</f>
        <v/>
      </c>
      <c r="AQ64" s="31" t="str">
        <f>IFERROR(INDEX($BG$5:$BG$50,MATCH($AK64,#REF!,0)),"")</f>
        <v/>
      </c>
      <c r="AR64" s="19">
        <f t="shared" si="11"/>
        <v>136</v>
      </c>
      <c r="AS64" s="22">
        <f>IF(AR64&lt;&gt;AR63,"",AK63)</f>
        <v>59</v>
      </c>
      <c r="AT64" s="23" t="str">
        <f t="shared" si="16"/>
        <v>136+59</v>
      </c>
      <c r="AW64" s="22" t="str">
        <f t="shared" si="17"/>
        <v/>
      </c>
      <c r="AX64" s="32" t="str">
        <f>IF(AY64="",AK65,"")</f>
        <v/>
      </c>
      <c r="AY64" s="32">
        <f>IFERROR(INDEX($BG$5:$BG$50,MATCH($AK64,$BH$5:$BH$50,0)),"")</f>
        <v>139</v>
      </c>
      <c r="AZ64" s="32" t="str">
        <f t="shared" si="3"/>
        <v/>
      </c>
      <c r="BA64" s="32" t="str">
        <f t="shared" si="4"/>
        <v/>
      </c>
      <c r="BB64" s="22" t="str">
        <f t="shared" si="5"/>
        <v>139</v>
      </c>
      <c r="BD64" s="40"/>
      <c r="BU64" s="34"/>
      <c r="BV64" s="34"/>
      <c r="BY64" s="33"/>
      <c r="BZ64" s="33"/>
    </row>
    <row r="65" spans="3:78" x14ac:dyDescent="0.15">
      <c r="C65" s="31" t="s">
        <v>532</v>
      </c>
      <c r="D65" s="31">
        <v>61</v>
      </c>
      <c r="L65" s="31">
        <f t="shared" si="18"/>
        <v>2</v>
      </c>
      <c r="M65" s="31">
        <f>IF(线路设计!Q17="","",线路设计!Q17)</f>
        <v>7</v>
      </c>
      <c r="N65" s="31" t="str">
        <f>IF(线路设计!R17="","",线路设计!R17)</f>
        <v/>
      </c>
      <c r="O65" s="31" t="str">
        <f>IF(线路设计!S17="","",线路设计!S17)</f>
        <v/>
      </c>
      <c r="P65" s="31" t="str">
        <f>IF(线路设计!T17="","",线路设计!T17)</f>
        <v/>
      </c>
      <c r="Q65" s="31" t="str">
        <f>IF(线路设计!U17="","",线路设计!U17)</f>
        <v/>
      </c>
      <c r="R65" s="31">
        <f>IF(线路设计!V17="","",线路设计!V17)</f>
        <v>0</v>
      </c>
      <c r="U65" s="31">
        <f t="shared" si="19"/>
        <v>2</v>
      </c>
      <c r="V65" s="31">
        <v>7</v>
      </c>
      <c r="AB65" s="31" t="str">
        <f t="shared" si="20"/>
        <v/>
      </c>
      <c r="AC65" s="31" t="str">
        <f t="shared" si="21"/>
        <v/>
      </c>
      <c r="AI65" s="31" t="s">
        <v>532</v>
      </c>
      <c r="AJ65" s="19">
        <f>IF(AI65&lt;&gt;AI64,MAX($AJ$5:$AJ64)+1,AJ64)</f>
        <v>16</v>
      </c>
      <c r="AK65" s="31">
        <v>61</v>
      </c>
      <c r="AL65" s="31">
        <f>IFERROR(INDEX($BG$5:$BG$50,MATCH($AK65,BJ$5:BJ$50,0)),"")</f>
        <v>137</v>
      </c>
      <c r="AM65" s="31" t="str">
        <f>IFERROR(INDEX($BG$5:$BG$50,MATCH($AK65,BK$5:BK$50,0)),"")</f>
        <v/>
      </c>
      <c r="AN65" s="31" t="str">
        <f>IFERROR(INDEX($BG$5:$BG$50,MATCH($AK65,BL$5:BL$50,0)),"")</f>
        <v/>
      </c>
      <c r="AO65" s="31" t="str">
        <f>IFERROR(INDEX($BG$5:$BG$50,MATCH($AK65,BM$5:BM$50,0)),"")</f>
        <v/>
      </c>
      <c r="AP65" s="31" t="str">
        <f>IFERROR(INDEX($BG$5:$BG$50,MATCH($AK65,BN$5:BN$50,0)),"")</f>
        <v/>
      </c>
      <c r="AQ65" s="31" t="str">
        <f>IFERROR(INDEX($BG$5:$BG$50,MATCH($AK65,#REF!,0)),"")</f>
        <v/>
      </c>
      <c r="AR65" s="19">
        <f t="shared" si="11"/>
        <v>137</v>
      </c>
      <c r="AS65" s="22" t="str">
        <f>IF(AR65&lt;&gt;AR64,"",AK64)</f>
        <v/>
      </c>
      <c r="AT65" s="23" t="str">
        <f t="shared" si="16"/>
        <v>137</v>
      </c>
      <c r="AW65" s="22" t="str">
        <f t="shared" si="17"/>
        <v/>
      </c>
      <c r="AX65" s="32">
        <f>IF(AY65="",AK66,"")</f>
        <v>62</v>
      </c>
      <c r="AY65" s="32" t="str">
        <f>IFERROR(INDEX($BG$5:$BG$50,MATCH($AK65,$BH$5:$BH$50,0)),"")</f>
        <v/>
      </c>
      <c r="AZ65" s="32" t="str">
        <f t="shared" si="3"/>
        <v/>
      </c>
      <c r="BA65" s="32" t="str">
        <f t="shared" si="4"/>
        <v/>
      </c>
      <c r="BB65" s="22" t="str">
        <f t="shared" si="5"/>
        <v>62</v>
      </c>
      <c r="BD65" s="40"/>
      <c r="BU65" s="34"/>
      <c r="BV65" s="34"/>
      <c r="BY65" s="33"/>
      <c r="BZ65" s="33"/>
    </row>
    <row r="66" spans="3:78" x14ac:dyDescent="0.15">
      <c r="C66" s="31" t="s">
        <v>532</v>
      </c>
      <c r="D66" s="31">
        <v>62</v>
      </c>
      <c r="L66" s="31">
        <f t="shared" si="18"/>
        <v>2</v>
      </c>
      <c r="M66" s="31">
        <f>IF(线路设计!Q18="","",线路设计!Q18)</f>
        <v>8</v>
      </c>
      <c r="N66" s="31" t="str">
        <f>IF(线路设计!R18="","",线路设计!R18)</f>
        <v/>
      </c>
      <c r="O66" s="31" t="str">
        <f>IF(线路设计!S18="","",线路设计!S18)</f>
        <v/>
      </c>
      <c r="P66" s="31" t="str">
        <f>IF(线路设计!T18="","",线路设计!T18)</f>
        <v/>
      </c>
      <c r="Q66" s="31" t="str">
        <f>IF(线路设计!U18="","",线路设计!U18)</f>
        <v/>
      </c>
      <c r="R66" s="31">
        <f>IF(线路设计!V18="","",线路设计!V18)</f>
        <v>0</v>
      </c>
      <c r="U66" s="31">
        <f t="shared" si="19"/>
        <v>2</v>
      </c>
      <c r="V66" s="31">
        <v>8</v>
      </c>
      <c r="AB66" s="31" t="str">
        <f t="shared" si="20"/>
        <v/>
      </c>
      <c r="AC66" s="31" t="str">
        <f t="shared" si="21"/>
        <v/>
      </c>
      <c r="AI66" s="31" t="s">
        <v>532</v>
      </c>
      <c r="AJ66" s="19">
        <f>IF(AI66&lt;&gt;AI65,MAX($AJ$5:$AJ65)+1,AJ65)</f>
        <v>16</v>
      </c>
      <c r="AK66" s="31">
        <v>62</v>
      </c>
      <c r="AL66" s="31" t="str">
        <f>IFERROR(INDEX($BG$5:$BG$50,MATCH($AK66,BJ$5:BJ$50,0)),"")</f>
        <v/>
      </c>
      <c r="AM66" s="31">
        <f>IFERROR(INDEX($BG$5:$BG$50,MATCH($AK66,BK$5:BK$50,0)),"")</f>
        <v>137</v>
      </c>
      <c r="AN66" s="31" t="str">
        <f>IFERROR(INDEX($BG$5:$BG$50,MATCH($AK66,BL$5:BL$50,0)),"")</f>
        <v/>
      </c>
      <c r="AO66" s="31" t="str">
        <f>IFERROR(INDEX($BG$5:$BG$50,MATCH($AK66,BM$5:BM$50,0)),"")</f>
        <v/>
      </c>
      <c r="AP66" s="31" t="str">
        <f>IFERROR(INDEX($BG$5:$BG$50,MATCH($AK66,BN$5:BN$50,0)),"")</f>
        <v/>
      </c>
      <c r="AQ66" s="31" t="str">
        <f>IFERROR(INDEX($BG$5:$BG$50,MATCH($AK66,#REF!,0)),"")</f>
        <v/>
      </c>
      <c r="AR66" s="19">
        <f t="shared" si="11"/>
        <v>137</v>
      </c>
      <c r="AS66" s="22">
        <f>IF(AR66&lt;&gt;AR65,"",AK65)</f>
        <v>61</v>
      </c>
      <c r="AT66" s="23" t="str">
        <f t="shared" si="16"/>
        <v>137+61</v>
      </c>
      <c r="AW66" s="22" t="str">
        <f t="shared" si="17"/>
        <v/>
      </c>
      <c r="AX66" s="32">
        <f>IF(AY66="",AK67,"")</f>
        <v>63</v>
      </c>
      <c r="AY66" s="32" t="str">
        <f>IFERROR(INDEX($BG$5:$BG$50,MATCH($AK66,$BH$5:$BH$50,0)),"")</f>
        <v/>
      </c>
      <c r="AZ66" s="32" t="str">
        <f t="shared" si="3"/>
        <v/>
      </c>
      <c r="BA66" s="32">
        <f t="shared" si="4"/>
        <v>168</v>
      </c>
      <c r="BB66" s="22" t="str">
        <f t="shared" si="5"/>
        <v>63+168</v>
      </c>
      <c r="BD66" s="40"/>
      <c r="BU66" s="34"/>
      <c r="BV66" s="34"/>
      <c r="BY66" s="33"/>
      <c r="BZ66" s="33"/>
    </row>
    <row r="67" spans="3:78" x14ac:dyDescent="0.15">
      <c r="C67" s="31" t="s">
        <v>532</v>
      </c>
      <c r="D67" s="31">
        <v>63</v>
      </c>
      <c r="L67" s="31">
        <f t="shared" si="18"/>
        <v>2</v>
      </c>
      <c r="M67" s="31">
        <f>IF(线路设计!Q19="","",线路设计!Q19)</f>
        <v>9</v>
      </c>
      <c r="N67" s="31" t="str">
        <f>IF(线路设计!R19="","",线路设计!R19)</f>
        <v/>
      </c>
      <c r="O67" s="31" t="str">
        <f>IF(线路设计!S19="","",线路设计!S19)</f>
        <v/>
      </c>
      <c r="P67" s="31" t="str">
        <f>IF(线路设计!T19="","",线路设计!T19)</f>
        <v/>
      </c>
      <c r="Q67" s="31" t="str">
        <f>IF(线路设计!U19="","",线路设计!U19)</f>
        <v/>
      </c>
      <c r="R67" s="31">
        <f>IF(线路设计!V19="","",线路设计!V19)</f>
        <v>0</v>
      </c>
      <c r="U67" s="31">
        <f t="shared" si="19"/>
        <v>2</v>
      </c>
      <c r="V67" s="31">
        <v>9</v>
      </c>
      <c r="AB67" s="31" t="str">
        <f t="shared" si="20"/>
        <v/>
      </c>
      <c r="AC67" s="31" t="str">
        <f t="shared" si="21"/>
        <v/>
      </c>
      <c r="AI67" s="31" t="s">
        <v>532</v>
      </c>
      <c r="AJ67" s="19">
        <f>IF(AI67&lt;&gt;AI66,MAX($AJ$5:$AJ66)+1,AJ66)</f>
        <v>16</v>
      </c>
      <c r="AK67" s="31">
        <v>63</v>
      </c>
      <c r="AL67" s="31" t="str">
        <f>IFERROR(INDEX($BG$5:$BG$50,MATCH($AK67,BJ$5:BJ$50,0)),"")</f>
        <v/>
      </c>
      <c r="AM67" s="31" t="str">
        <f>IFERROR(INDEX($BG$5:$BG$50,MATCH($AK67,BK$5:BK$50,0)),"")</f>
        <v/>
      </c>
      <c r="AN67" s="31">
        <f>IFERROR(INDEX($BG$5:$BG$50,MATCH($AK67,BL$5:BL$50,0)),"")</f>
        <v>137</v>
      </c>
      <c r="AO67" s="31" t="str">
        <f>IFERROR(INDEX($BG$5:$BG$50,MATCH($AK67,BM$5:BM$50,0)),"")</f>
        <v/>
      </c>
      <c r="AP67" s="31" t="str">
        <f>IFERROR(INDEX($BG$5:$BG$50,MATCH($AK67,BN$5:BN$50,0)),"")</f>
        <v/>
      </c>
      <c r="AQ67" s="31" t="str">
        <f>IFERROR(INDEX($BG$5:$BG$50,MATCH($AK67,#REF!,0)),"")</f>
        <v/>
      </c>
      <c r="AR67" s="19">
        <f t="shared" si="11"/>
        <v>137</v>
      </c>
      <c r="AS67" s="22">
        <f>IF(AR67&lt;&gt;AR66,"",AK66)</f>
        <v>62</v>
      </c>
      <c r="AT67" s="23" t="str">
        <f t="shared" si="16"/>
        <v>137+62</v>
      </c>
      <c r="AW67" s="22" t="str">
        <f t="shared" si="17"/>
        <v/>
      </c>
      <c r="AX67" s="32" t="str">
        <f>IF(AY67="",AK68,"")</f>
        <v/>
      </c>
      <c r="AY67" s="32">
        <f>IFERROR(INDEX($BG$5:$BG$50,MATCH($AK67,$BH$5:$BH$50,0)),"")</f>
        <v>140</v>
      </c>
      <c r="AZ67" s="32" t="str">
        <f t="shared" si="3"/>
        <v/>
      </c>
      <c r="BA67" s="32" t="str">
        <f t="shared" si="4"/>
        <v/>
      </c>
      <c r="BB67" s="22" t="str">
        <f t="shared" si="5"/>
        <v>140</v>
      </c>
      <c r="BD67" s="40"/>
      <c r="BU67" s="34"/>
      <c r="BV67" s="34"/>
      <c r="BY67" s="33"/>
      <c r="BZ67" s="33"/>
    </row>
    <row r="68" spans="3:78" x14ac:dyDescent="0.15">
      <c r="C68" s="31" t="s">
        <v>532</v>
      </c>
      <c r="D68" s="31">
        <v>64</v>
      </c>
      <c r="L68" s="31">
        <f t="shared" si="18"/>
        <v>2</v>
      </c>
      <c r="M68" s="31">
        <f>IF(线路设计!Q20="","",线路设计!Q20)</f>
        <v>10</v>
      </c>
      <c r="N68" s="31" t="str">
        <f>IF(线路设计!R20="","",线路设计!R20)</f>
        <v/>
      </c>
      <c r="O68" s="31" t="str">
        <f>IF(线路设计!S20="","",线路设计!S20)</f>
        <v/>
      </c>
      <c r="P68" s="31" t="str">
        <f>IF(线路设计!T20="","",线路设计!T20)</f>
        <v/>
      </c>
      <c r="Q68" s="31" t="str">
        <f>IF(线路设计!U20="","",线路设计!U20)</f>
        <v/>
      </c>
      <c r="R68" s="31">
        <f>IF(线路设计!V20="","",线路设计!V20)</f>
        <v>0</v>
      </c>
      <c r="U68" s="31">
        <f t="shared" si="19"/>
        <v>2</v>
      </c>
      <c r="V68" s="31">
        <v>10</v>
      </c>
      <c r="AB68" s="31" t="str">
        <f t="shared" si="20"/>
        <v/>
      </c>
      <c r="AC68" s="31" t="str">
        <f t="shared" si="21"/>
        <v/>
      </c>
      <c r="AI68" s="31" t="s">
        <v>532</v>
      </c>
      <c r="AJ68" s="19">
        <f>IF(AI68&lt;&gt;AI67,MAX($AJ$5:$AJ67)+1,AJ67)</f>
        <v>16</v>
      </c>
      <c r="AK68" s="31">
        <v>64</v>
      </c>
      <c r="AL68" s="31">
        <f>IFERROR(INDEX($BG$5:$BG$50,MATCH($AK68,BJ$5:BJ$50,0)),"")</f>
        <v>138</v>
      </c>
      <c r="AM68" s="31" t="str">
        <f>IFERROR(INDEX($BG$5:$BG$50,MATCH($AK68,BK$5:BK$50,0)),"")</f>
        <v/>
      </c>
      <c r="AN68" s="31" t="str">
        <f>IFERROR(INDEX($BG$5:$BG$50,MATCH($AK68,BL$5:BL$50,0)),"")</f>
        <v/>
      </c>
      <c r="AO68" s="31" t="str">
        <f>IFERROR(INDEX($BG$5:$BG$50,MATCH($AK68,BM$5:BM$50,0)),"")</f>
        <v/>
      </c>
      <c r="AP68" s="31" t="str">
        <f>IFERROR(INDEX($BG$5:$BG$50,MATCH($AK68,BN$5:BN$50,0)),"")</f>
        <v/>
      </c>
      <c r="AQ68" s="31" t="str">
        <f>IFERROR(INDEX($BG$5:$BG$50,MATCH($AK68,#REF!,0)),"")</f>
        <v/>
      </c>
      <c r="AR68" s="19">
        <f t="shared" si="11"/>
        <v>138</v>
      </c>
      <c r="AS68" s="22" t="str">
        <f>IF(AR68&lt;&gt;AR67,"",AK67)</f>
        <v/>
      </c>
      <c r="AT68" s="23" t="str">
        <f t="shared" si="16"/>
        <v>138</v>
      </c>
      <c r="AW68" s="22" t="str">
        <f t="shared" si="17"/>
        <v/>
      </c>
      <c r="AX68" s="32">
        <f>IF(AY68="",AK69,"")</f>
        <v>65</v>
      </c>
      <c r="AY68" s="32" t="str">
        <f>IFERROR(INDEX($BG$5:$BG$50,MATCH($AK68,$BH$5:$BH$50,0)),"")</f>
        <v/>
      </c>
      <c r="AZ68" s="32" t="str">
        <f t="shared" si="3"/>
        <v/>
      </c>
      <c r="BA68" s="32" t="str">
        <f t="shared" si="4"/>
        <v/>
      </c>
      <c r="BB68" s="22" t="str">
        <f t="shared" si="5"/>
        <v>65</v>
      </c>
      <c r="BD68" s="40"/>
      <c r="BU68" s="34"/>
      <c r="BV68" s="34"/>
      <c r="BY68" s="33"/>
      <c r="BZ68" s="33"/>
    </row>
    <row r="69" spans="3:78" x14ac:dyDescent="0.15">
      <c r="C69" s="31" t="s">
        <v>532</v>
      </c>
      <c r="D69" s="31">
        <v>65</v>
      </c>
      <c r="L69" s="31">
        <f t="shared" si="18"/>
        <v>2</v>
      </c>
      <c r="M69" s="31">
        <f>IF(线路设计!Q21="","",线路设计!Q21)</f>
        <v>11</v>
      </c>
      <c r="N69" s="31" t="str">
        <f>IF(线路设计!R21="","",线路设计!R21)</f>
        <v/>
      </c>
      <c r="O69" s="31" t="str">
        <f>IF(线路设计!S21="","",线路设计!S21)</f>
        <v/>
      </c>
      <c r="P69" s="31" t="str">
        <f>IF(线路设计!T21="","",线路设计!T21)</f>
        <v/>
      </c>
      <c r="Q69" s="31" t="str">
        <f>IF(线路设计!U21="","",线路设计!U21)</f>
        <v/>
      </c>
      <c r="R69" s="31">
        <f>IF(线路设计!V21="","",线路设计!V21)</f>
        <v>0</v>
      </c>
      <c r="U69" s="31">
        <f t="shared" si="19"/>
        <v>2</v>
      </c>
      <c r="V69" s="31">
        <v>11</v>
      </c>
      <c r="AB69" s="31" t="str">
        <f t="shared" si="20"/>
        <v/>
      </c>
      <c r="AC69" s="31" t="str">
        <f t="shared" si="21"/>
        <v/>
      </c>
      <c r="AI69" s="31" t="s">
        <v>532</v>
      </c>
      <c r="AJ69" s="19">
        <f>IF(AI69&lt;&gt;AI68,MAX($AJ$5:$AJ68)+1,AJ68)</f>
        <v>16</v>
      </c>
      <c r="AK69" s="31">
        <v>65</v>
      </c>
      <c r="AL69" s="31" t="str">
        <f>IFERROR(INDEX($BG$5:$BG$50,MATCH($AK69,BJ$5:BJ$50,0)),"")</f>
        <v/>
      </c>
      <c r="AM69" s="31">
        <f>IFERROR(INDEX($BG$5:$BG$50,MATCH($AK69,BK$5:BK$50,0)),"")</f>
        <v>138</v>
      </c>
      <c r="AN69" s="31" t="str">
        <f>IFERROR(INDEX($BG$5:$BG$50,MATCH($AK69,BL$5:BL$50,0)),"")</f>
        <v/>
      </c>
      <c r="AO69" s="31" t="str">
        <f>IFERROR(INDEX($BG$5:$BG$50,MATCH($AK69,BM$5:BM$50,0)),"")</f>
        <v/>
      </c>
      <c r="AP69" s="31" t="str">
        <f>IFERROR(INDEX($BG$5:$BG$50,MATCH($AK69,BN$5:BN$50,0)),"")</f>
        <v/>
      </c>
      <c r="AQ69" s="31" t="str">
        <f>IFERROR(INDEX($BG$5:$BG$50,MATCH($AK69,#REF!,0)),"")</f>
        <v/>
      </c>
      <c r="AR69" s="19">
        <f t="shared" si="11"/>
        <v>138</v>
      </c>
      <c r="AS69" s="22">
        <f>IF(AR69&lt;&gt;AR68,"",AK68)</f>
        <v>64</v>
      </c>
      <c r="AT69" s="23" t="str">
        <f t="shared" ref="AT69:AT100" si="22">合并区域(AR69:AS69,"+")</f>
        <v>138+64</v>
      </c>
      <c r="AW69" s="22" t="str">
        <f t="shared" ref="AW69:AW100" si="23">合并区域(AU69:AV69,"+")</f>
        <v/>
      </c>
      <c r="AX69" s="32" t="str">
        <f>IF(AY69="",AK70,"")</f>
        <v/>
      </c>
      <c r="AY69" s="32">
        <f>IFERROR(INDEX($BG$5:$BG$50,MATCH($AK69,$BH$5:$BH$50,0)),"")</f>
        <v>141</v>
      </c>
      <c r="AZ69" s="32" t="str">
        <f t="shared" si="3"/>
        <v/>
      </c>
      <c r="BA69" s="32" t="str">
        <f t="shared" si="4"/>
        <v/>
      </c>
      <c r="BB69" s="22" t="str">
        <f t="shared" si="5"/>
        <v>141</v>
      </c>
      <c r="BD69" s="40"/>
      <c r="BU69" s="34"/>
      <c r="BV69" s="34"/>
      <c r="BY69" s="33"/>
      <c r="BZ69" s="33"/>
    </row>
    <row r="70" spans="3:78" x14ac:dyDescent="0.15">
      <c r="C70" s="31" t="s">
        <v>532</v>
      </c>
      <c r="D70" s="31">
        <v>66</v>
      </c>
      <c r="L70" s="31">
        <f t="shared" si="18"/>
        <v>2</v>
      </c>
      <c r="M70" s="31">
        <f>IF(线路设计!Q22="","",线路设计!Q22)</f>
        <v>12</v>
      </c>
      <c r="N70" s="31" t="str">
        <f>IF(线路设计!R22="","",线路设计!R22)</f>
        <v/>
      </c>
      <c r="O70" s="31" t="str">
        <f>IF(线路设计!S22="","",线路设计!S22)</f>
        <v/>
      </c>
      <c r="P70" s="31" t="str">
        <f>IF(线路设计!T22="","",线路设计!T22)</f>
        <v/>
      </c>
      <c r="Q70" s="31" t="str">
        <f>IF(线路设计!U22="","",线路设计!U22)</f>
        <v/>
      </c>
      <c r="R70" s="31">
        <f>IF(线路设计!V22="","",线路设计!V22)</f>
        <v>0</v>
      </c>
      <c r="U70" s="31">
        <f t="shared" si="19"/>
        <v>2</v>
      </c>
      <c r="V70" s="31">
        <v>12</v>
      </c>
      <c r="AB70" s="31" t="str">
        <f t="shared" si="20"/>
        <v/>
      </c>
      <c r="AC70" s="31" t="str">
        <f t="shared" si="21"/>
        <v/>
      </c>
      <c r="AI70" s="31" t="s">
        <v>532</v>
      </c>
      <c r="AJ70" s="19">
        <f>IF(AI70&lt;&gt;AI69,MAX($AJ$5:$AJ69)+1,AJ69)</f>
        <v>16</v>
      </c>
      <c r="AK70" s="31">
        <v>66</v>
      </c>
      <c r="AL70" s="31">
        <f>IFERROR(INDEX($BG$5:$BG$50,MATCH($AK70,BJ$5:BJ$50,0)),"")</f>
        <v>139</v>
      </c>
      <c r="AM70" s="31" t="str">
        <f>IFERROR(INDEX($BG$5:$BG$50,MATCH($AK70,BK$5:BK$50,0)),"")</f>
        <v/>
      </c>
      <c r="AN70" s="31" t="str">
        <f>IFERROR(INDEX($BG$5:$BG$50,MATCH($AK70,BL$5:BL$50,0)),"")</f>
        <v/>
      </c>
      <c r="AO70" s="31" t="str">
        <f>IFERROR(INDEX($BG$5:$BG$50,MATCH($AK70,BM$5:BM$50,0)),"")</f>
        <v/>
      </c>
      <c r="AP70" s="31" t="str">
        <f>IFERROR(INDEX($BG$5:$BG$50,MATCH($AK70,BN$5:BN$50,0)),"")</f>
        <v/>
      </c>
      <c r="AQ70" s="31" t="str">
        <f>IFERROR(INDEX($BG$5:$BG$50,MATCH($AK70,#REF!,0)),"")</f>
        <v/>
      </c>
      <c r="AR70" s="19">
        <f t="shared" si="11"/>
        <v>139</v>
      </c>
      <c r="AS70" s="22" t="str">
        <f>IF(AR70&lt;&gt;AR69,"",AK69)</f>
        <v/>
      </c>
      <c r="AT70" s="23" t="str">
        <f t="shared" si="22"/>
        <v>139</v>
      </c>
      <c r="AW70" s="22" t="str">
        <f t="shared" si="23"/>
        <v/>
      </c>
      <c r="AX70" s="32">
        <f>IF(AY70="",AK71,"")</f>
        <v>67</v>
      </c>
      <c r="AY70" s="32" t="str">
        <f>IFERROR(INDEX($BG$5:$BG$50,MATCH($AK70,$BH$5:$BH$50,0)),"")</f>
        <v/>
      </c>
      <c r="AZ70" s="32" t="str">
        <f t="shared" ref="AZ70:AZ109" si="24">IFERROR(INDEX($AF$5:$AF$14,MATCH($AK70,$AG$5:$AG$14,0)),"")</f>
        <v/>
      </c>
      <c r="BA70" s="32" t="str">
        <f t="shared" ref="BA70:BA109" si="25">IFERROR(INDEX($AF$20:$AF$28,MATCH($AK70,$AG$20:$AG$28,0)),"")</f>
        <v/>
      </c>
      <c r="BB70" s="22" t="str">
        <f t="shared" ref="BB70:BB109" si="26">合并区域(AX70:BA70,"+")</f>
        <v>67</v>
      </c>
      <c r="BD70" s="40"/>
      <c r="BU70" s="34"/>
      <c r="BV70" s="34"/>
      <c r="BY70" s="33"/>
      <c r="BZ70" s="33"/>
    </row>
    <row r="71" spans="3:78" x14ac:dyDescent="0.15">
      <c r="C71" s="31" t="s">
        <v>532</v>
      </c>
      <c r="D71" s="31">
        <v>67</v>
      </c>
      <c r="L71" s="31">
        <f t="shared" si="18"/>
        <v>3</v>
      </c>
      <c r="M71" s="31">
        <f>IF(线路设计!Q23="","",线路设计!Q23)</f>
        <v>13</v>
      </c>
      <c r="N71" s="31">
        <f>IF(线路设计!R23="","",线路设计!R23)</f>
        <v>2</v>
      </c>
      <c r="O71" s="31" t="str">
        <f>IF(线路设计!S23="","",线路设计!S23)</f>
        <v/>
      </c>
      <c r="P71" s="31">
        <f>IF(线路设计!T23="","",线路设计!T23)</f>
        <v>1</v>
      </c>
      <c r="Q71" s="31" t="str">
        <f>IF(线路设计!U23="","",线路设计!U23)</f>
        <v/>
      </c>
      <c r="R71" s="31">
        <f>IF(线路设计!V23="","",线路设计!V23)</f>
        <v>2</v>
      </c>
      <c r="U71" s="31">
        <f t="shared" si="19"/>
        <v>3</v>
      </c>
      <c r="V71" s="31">
        <v>13</v>
      </c>
      <c r="W71" s="31" t="s">
        <v>577</v>
      </c>
      <c r="Y71" s="31">
        <v>136</v>
      </c>
      <c r="AB71" s="31" t="str">
        <f t="shared" si="20"/>
        <v>54</v>
      </c>
      <c r="AC71" s="31" t="str">
        <f t="shared" si="21"/>
        <v>59+60+139</v>
      </c>
      <c r="AI71" s="31" t="s">
        <v>532</v>
      </c>
      <c r="AJ71" s="19">
        <f>IF(AI71&lt;&gt;AI70,MAX($AJ$5:$AJ70)+1,AJ70)</f>
        <v>16</v>
      </c>
      <c r="AK71" s="31">
        <v>67</v>
      </c>
      <c r="AL71" s="31" t="str">
        <f>IFERROR(INDEX($BG$5:$BG$50,MATCH($AK71,BJ$5:BJ$50,0)),"")</f>
        <v/>
      </c>
      <c r="AM71" s="31">
        <f>IFERROR(INDEX($BG$5:$BG$50,MATCH($AK71,BK$5:BK$50,0)),"")</f>
        <v>139</v>
      </c>
      <c r="AN71" s="31" t="str">
        <f>IFERROR(INDEX($BG$5:$BG$50,MATCH($AK71,BL$5:BL$50,0)),"")</f>
        <v/>
      </c>
      <c r="AO71" s="31" t="str">
        <f>IFERROR(INDEX($BG$5:$BG$50,MATCH($AK71,BM$5:BM$50,0)),"")</f>
        <v/>
      </c>
      <c r="AP71" s="31" t="str">
        <f>IFERROR(INDEX($BG$5:$BG$50,MATCH($AK71,BN$5:BN$50,0)),"")</f>
        <v/>
      </c>
      <c r="AQ71" s="31" t="str">
        <f>IFERROR(INDEX($BG$5:$BG$50,MATCH($AK71,#REF!,0)),"")</f>
        <v/>
      </c>
      <c r="AR71" s="19">
        <f t="shared" si="11"/>
        <v>139</v>
      </c>
      <c r="AS71" s="22">
        <f>IF(AR71&lt;&gt;AR70,"",AK70)</f>
        <v>66</v>
      </c>
      <c r="AT71" s="23" t="str">
        <f t="shared" si="22"/>
        <v>139+66</v>
      </c>
      <c r="AW71" s="22" t="str">
        <f t="shared" si="23"/>
        <v/>
      </c>
      <c r="AX71" s="32" t="str">
        <f>IF(AY71="",AK72,"")</f>
        <v/>
      </c>
      <c r="AY71" s="32">
        <f>IFERROR(INDEX($BG$5:$BG$50,MATCH($AK71,$BH$5:$BH$50,0)),"")</f>
        <v>142</v>
      </c>
      <c r="AZ71" s="32" t="str">
        <f t="shared" si="24"/>
        <v/>
      </c>
      <c r="BA71" s="32" t="str">
        <f t="shared" si="25"/>
        <v/>
      </c>
      <c r="BB71" s="22" t="str">
        <f t="shared" si="26"/>
        <v>142</v>
      </c>
      <c r="BD71" s="40"/>
      <c r="BU71" s="34"/>
      <c r="BV71" s="34"/>
      <c r="BY71" s="33"/>
      <c r="BZ71" s="33"/>
    </row>
    <row r="72" spans="3:78" x14ac:dyDescent="0.15">
      <c r="C72" s="20" t="s">
        <v>533</v>
      </c>
      <c r="D72" s="20">
        <v>68</v>
      </c>
      <c r="L72" s="31">
        <f t="shared" si="18"/>
        <v>3</v>
      </c>
      <c r="M72" s="31">
        <f>IF(线路设计!Q24="","",线路设计!Q24)</f>
        <v>14</v>
      </c>
      <c r="N72" s="31">
        <f>IF(线路设计!R24="","",线路设计!R24)</f>
        <v>2</v>
      </c>
      <c r="O72" s="31" t="str">
        <f>IF(线路设计!S24="","",线路设计!S24)</f>
        <v/>
      </c>
      <c r="P72" s="31">
        <f>IF(线路设计!T24="","",线路设计!T24)</f>
        <v>1</v>
      </c>
      <c r="Q72" s="31" t="str">
        <f>IF(线路设计!U24="","",线路设计!U24)</f>
        <v/>
      </c>
      <c r="R72" s="31">
        <f>IF(线路设计!V24="","",线路设计!V24)</f>
        <v>2</v>
      </c>
      <c r="U72" s="31">
        <f t="shared" si="19"/>
        <v>3</v>
      </c>
      <c r="V72" s="31">
        <v>14</v>
      </c>
      <c r="W72" s="31" t="s">
        <v>578</v>
      </c>
      <c r="Y72" s="31">
        <v>139</v>
      </c>
      <c r="AB72" s="31" t="str">
        <f t="shared" si="20"/>
        <v>60</v>
      </c>
      <c r="AC72" s="31" t="str">
        <f t="shared" si="21"/>
        <v>66+67+142</v>
      </c>
      <c r="AI72" s="20" t="s">
        <v>533</v>
      </c>
      <c r="AJ72" s="19">
        <f>IF(AI72&lt;&gt;AI71,MAX($AJ$5:$AJ71)+1,AJ71)</f>
        <v>17</v>
      </c>
      <c r="AK72" s="20">
        <v>68</v>
      </c>
      <c r="AL72" s="31">
        <f>IFERROR(INDEX($BG$5:$BG$50,MATCH($AK72,BJ$5:BJ$50,0)),"")</f>
        <v>140</v>
      </c>
      <c r="AM72" s="31" t="str">
        <f>IFERROR(INDEX($BG$5:$BG$50,MATCH($AK72,BK$5:BK$50,0)),"")</f>
        <v/>
      </c>
      <c r="AN72" s="31" t="str">
        <f>IFERROR(INDEX($BG$5:$BG$50,MATCH($AK72,BL$5:BL$50,0)),"")</f>
        <v/>
      </c>
      <c r="AO72" s="31" t="str">
        <f>IFERROR(INDEX($BG$5:$BG$50,MATCH($AK72,BM$5:BM$50,0)),"")</f>
        <v/>
      </c>
      <c r="AP72" s="31" t="str">
        <f>IFERROR(INDEX($BG$5:$BG$50,MATCH($AK72,BN$5:BN$50,0)),"")</f>
        <v/>
      </c>
      <c r="AQ72" s="31" t="str">
        <f>IFERROR(INDEX($BG$5:$BG$50,MATCH($AK72,#REF!,0)),"")</f>
        <v/>
      </c>
      <c r="AR72" s="19">
        <f t="shared" si="11"/>
        <v>140</v>
      </c>
      <c r="AS72" s="22" t="str">
        <f>IF(AR72&lt;&gt;AR71,"",AK71)</f>
        <v/>
      </c>
      <c r="AT72" s="23" t="str">
        <f t="shared" si="22"/>
        <v>140</v>
      </c>
      <c r="AW72" s="22" t="str">
        <f t="shared" si="23"/>
        <v/>
      </c>
      <c r="AX72" s="32">
        <f>IF(AY72="",AK73,"")</f>
        <v>69</v>
      </c>
      <c r="AY72" s="32" t="str">
        <f>IFERROR(INDEX($BG$5:$BG$50,MATCH($AK72,$BH$5:$BH$50,0)),"")</f>
        <v/>
      </c>
      <c r="AZ72" s="32" t="str">
        <f t="shared" si="24"/>
        <v/>
      </c>
      <c r="BA72" s="32" t="str">
        <f t="shared" si="25"/>
        <v/>
      </c>
      <c r="BB72" s="22" t="str">
        <f t="shared" si="26"/>
        <v>69</v>
      </c>
      <c r="BD72" s="40"/>
      <c r="BU72" s="34"/>
      <c r="BV72" s="34"/>
      <c r="BY72" s="33"/>
      <c r="BZ72" s="33"/>
    </row>
    <row r="73" spans="3:78" x14ac:dyDescent="0.15">
      <c r="C73" s="20" t="s">
        <v>533</v>
      </c>
      <c r="D73" s="20">
        <v>69</v>
      </c>
      <c r="L73" s="31">
        <f t="shared" si="18"/>
        <v>3</v>
      </c>
      <c r="M73" s="31">
        <f>IF(线路设计!Q25="","",线路设计!Q25)</f>
        <v>15</v>
      </c>
      <c r="N73" s="31">
        <f>IF(线路设计!R25="","",线路设计!R25)</f>
        <v>2</v>
      </c>
      <c r="O73" s="31" t="str">
        <f>IF(线路设计!S25="","",线路设计!S25)</f>
        <v/>
      </c>
      <c r="P73" s="31">
        <f>IF(线路设计!T25="","",线路设计!T25)</f>
        <v>1</v>
      </c>
      <c r="Q73" s="31" t="str">
        <f>IF(线路设计!U25="","",线路设计!U25)</f>
        <v/>
      </c>
      <c r="R73" s="31">
        <f>IF(线路设计!V25="","",线路设计!V25)</f>
        <v>2</v>
      </c>
      <c r="U73" s="31">
        <f t="shared" si="19"/>
        <v>3</v>
      </c>
      <c r="V73" s="31">
        <v>15</v>
      </c>
      <c r="W73" s="31" t="s">
        <v>579</v>
      </c>
      <c r="Y73" s="31">
        <v>142</v>
      </c>
      <c r="AB73" s="31" t="str">
        <f t="shared" si="20"/>
        <v>67</v>
      </c>
      <c r="AC73" s="31" t="str">
        <f t="shared" si="21"/>
        <v>72+73+74+113+145</v>
      </c>
      <c r="AI73" s="20" t="s">
        <v>533</v>
      </c>
      <c r="AJ73" s="19">
        <f>IF(AI73&lt;&gt;AI72,MAX($AJ$5:$AJ72)+1,AJ72)</f>
        <v>17</v>
      </c>
      <c r="AK73" s="20">
        <v>69</v>
      </c>
      <c r="AL73" s="31" t="str">
        <f>IFERROR(INDEX($BG$5:$BG$50,MATCH($AK73,BJ$5:BJ$50,0)),"")</f>
        <v/>
      </c>
      <c r="AM73" s="31">
        <f>IFERROR(INDEX($BG$5:$BG$50,MATCH($AK73,BK$5:BK$50,0)),"")</f>
        <v>140</v>
      </c>
      <c r="AN73" s="31" t="str">
        <f>IFERROR(INDEX($BG$5:$BG$50,MATCH($AK73,BL$5:BL$50,0)),"")</f>
        <v/>
      </c>
      <c r="AO73" s="31" t="str">
        <f>IFERROR(INDEX($BG$5:$BG$50,MATCH($AK73,BM$5:BM$50,0)),"")</f>
        <v/>
      </c>
      <c r="AP73" s="31" t="str">
        <f>IFERROR(INDEX($BG$5:$BG$50,MATCH($AK73,BN$5:BN$50,0)),"")</f>
        <v/>
      </c>
      <c r="AQ73" s="31" t="str">
        <f>IFERROR(INDEX($BG$5:$BG$50,MATCH($AK73,#REF!,0)),"")</f>
        <v/>
      </c>
      <c r="AR73" s="19">
        <f t="shared" si="11"/>
        <v>140</v>
      </c>
      <c r="AS73" s="22">
        <f>IF(AR73&lt;&gt;AR72,"",AK72)</f>
        <v>68</v>
      </c>
      <c r="AT73" s="23" t="str">
        <f t="shared" si="22"/>
        <v>140+68</v>
      </c>
      <c r="AW73" s="22" t="str">
        <f t="shared" si="23"/>
        <v/>
      </c>
      <c r="AX73" s="32" t="str">
        <f>IF(AY73="",AK74,"")</f>
        <v/>
      </c>
      <c r="AY73" s="32">
        <f>IFERROR(INDEX($BG$5:$BG$50,MATCH($AK73,$BH$5:$BH$50,0)),"")</f>
        <v>143</v>
      </c>
      <c r="AZ73" s="32" t="str">
        <f t="shared" si="24"/>
        <v/>
      </c>
      <c r="BA73" s="32" t="str">
        <f t="shared" si="25"/>
        <v/>
      </c>
      <c r="BB73" s="22" t="str">
        <f t="shared" si="26"/>
        <v>143</v>
      </c>
      <c r="BD73" s="40"/>
      <c r="BU73" s="34"/>
      <c r="BV73" s="34"/>
      <c r="BY73" s="33"/>
      <c r="BZ73" s="33"/>
    </row>
    <row r="74" spans="3:78" x14ac:dyDescent="0.15">
      <c r="C74" s="20" t="s">
        <v>533</v>
      </c>
      <c r="D74" s="20">
        <v>70</v>
      </c>
      <c r="L74" s="31">
        <f t="shared" si="18"/>
        <v>3</v>
      </c>
      <c r="M74" s="31">
        <f>IF(线路设计!Q26="","",线路设计!Q26)</f>
        <v>16</v>
      </c>
      <c r="N74" s="31">
        <f>IF(线路设计!R26="","",线路设计!R26)</f>
        <v>3</v>
      </c>
      <c r="O74" s="31">
        <f>IF(线路设计!S26="","",线路设计!S26)</f>
        <v>1</v>
      </c>
      <c r="P74" s="31">
        <f>IF(线路设计!T26="","",线路设计!T26)</f>
        <v>1</v>
      </c>
      <c r="Q74" s="31" t="str">
        <f>IF(线路设计!U26="","",线路设计!U26)</f>
        <v/>
      </c>
      <c r="R74" s="31">
        <f>IF(线路设计!V26="","",线路设计!V26)</f>
        <v>3</v>
      </c>
      <c r="U74" s="31">
        <f t="shared" si="19"/>
        <v>3</v>
      </c>
      <c r="V74" s="31">
        <v>16</v>
      </c>
      <c r="W74" s="31" t="s">
        <v>741</v>
      </c>
      <c r="X74" s="31">
        <v>113</v>
      </c>
      <c r="Y74" s="31">
        <v>145</v>
      </c>
      <c r="AB74" s="31" t="str">
        <f t="shared" si="20"/>
        <v>74</v>
      </c>
      <c r="AC74" s="31" t="str">
        <f t="shared" si="21"/>
        <v>81+149</v>
      </c>
      <c r="AI74" s="20" t="s">
        <v>533</v>
      </c>
      <c r="AJ74" s="19">
        <f>IF(AI74&lt;&gt;AI73,MAX($AJ$5:$AJ73)+1,AJ73)</f>
        <v>17</v>
      </c>
      <c r="AK74" s="20">
        <v>70</v>
      </c>
      <c r="AL74" s="31">
        <f>IFERROR(INDEX($BG$5:$BG$50,MATCH($AK74,BJ$5:BJ$50,0)),"")</f>
        <v>141</v>
      </c>
      <c r="AM74" s="31" t="str">
        <f>IFERROR(INDEX($BG$5:$BG$50,MATCH($AK74,BK$5:BK$50,0)),"")</f>
        <v/>
      </c>
      <c r="AN74" s="31" t="str">
        <f>IFERROR(INDEX($BG$5:$BG$50,MATCH($AK74,BL$5:BL$50,0)),"")</f>
        <v/>
      </c>
      <c r="AO74" s="31" t="str">
        <f>IFERROR(INDEX($BG$5:$BG$50,MATCH($AK74,BM$5:BM$50,0)),"")</f>
        <v/>
      </c>
      <c r="AP74" s="31" t="str">
        <f>IFERROR(INDEX($BG$5:$BG$50,MATCH($AK74,BN$5:BN$50,0)),"")</f>
        <v/>
      </c>
      <c r="AQ74" s="31" t="str">
        <f>IFERROR(INDEX($BG$5:$BG$50,MATCH($AK74,#REF!,0)),"")</f>
        <v/>
      </c>
      <c r="AR74" s="19">
        <f t="shared" ref="AR74:AR109" si="27">IF(MAX(AL74:AQ74)=0,AR73,MAX(AL74:AQ74))</f>
        <v>141</v>
      </c>
      <c r="AS74" s="22" t="str">
        <f>IF(AR74&lt;&gt;AR73,"",AK73)</f>
        <v/>
      </c>
      <c r="AT74" s="23" t="str">
        <f t="shared" si="22"/>
        <v>141</v>
      </c>
      <c r="AW74" s="22" t="str">
        <f t="shared" si="23"/>
        <v/>
      </c>
      <c r="AX74" s="32">
        <f>IF(AY74="",AK75,"")</f>
        <v>71</v>
      </c>
      <c r="AY74" s="32" t="str">
        <f>IFERROR(INDEX($BG$5:$BG$50,MATCH($AK74,$BH$5:$BH$50,0)),"")</f>
        <v/>
      </c>
      <c r="AZ74" s="32" t="str">
        <f t="shared" si="24"/>
        <v/>
      </c>
      <c r="BA74" s="32" t="str">
        <f t="shared" si="25"/>
        <v/>
      </c>
      <c r="BB74" s="22" t="str">
        <f t="shared" si="26"/>
        <v>71</v>
      </c>
      <c r="BD74" s="40"/>
      <c r="BU74" s="34"/>
      <c r="BV74" s="34"/>
      <c r="BY74" s="33"/>
      <c r="BZ74" s="33"/>
    </row>
    <row r="75" spans="3:78" x14ac:dyDescent="0.15">
      <c r="C75" s="20" t="s">
        <v>533</v>
      </c>
      <c r="D75" s="20">
        <v>71</v>
      </c>
      <c r="L75" s="31">
        <f t="shared" si="18"/>
        <v>4</v>
      </c>
      <c r="M75" s="31">
        <f>IF(线路设计!Q27="","",线路设计!Q27)</f>
        <v>17</v>
      </c>
      <c r="N75" s="31">
        <f>IF(线路设计!R27="","",线路设计!R27)</f>
        <v>2</v>
      </c>
      <c r="O75" s="31" t="str">
        <f>IF(线路设计!S27="","",线路设计!S27)</f>
        <v/>
      </c>
      <c r="P75" s="31">
        <f>IF(线路设计!T27="","",线路设计!T27)</f>
        <v>1</v>
      </c>
      <c r="Q75" s="31">
        <f>IF(线路设计!U27="","",线路设计!U27)</f>
        <v>1</v>
      </c>
      <c r="R75" s="31">
        <f>IF(线路设计!V27="","",线路设计!V27)</f>
        <v>2</v>
      </c>
      <c r="U75" s="31">
        <f t="shared" si="19"/>
        <v>4</v>
      </c>
      <c r="V75" s="31">
        <v>17</v>
      </c>
      <c r="W75" s="31">
        <v>81</v>
      </c>
      <c r="Y75" s="31">
        <v>149</v>
      </c>
      <c r="AB75" s="18">
        <f>W75</f>
        <v>81</v>
      </c>
      <c r="AC75" s="31" t="str">
        <f t="shared" si="21"/>
        <v>88+89+114+153</v>
      </c>
      <c r="AI75" s="20" t="s">
        <v>533</v>
      </c>
      <c r="AJ75" s="19">
        <f>IF(AI75&lt;&gt;AI74,MAX($AJ$5:$AJ74)+1,AJ74)</f>
        <v>17</v>
      </c>
      <c r="AK75" s="20">
        <v>71</v>
      </c>
      <c r="AL75" s="31" t="str">
        <f>IFERROR(INDEX($BG$5:$BG$50,MATCH($AK75,BJ$5:BJ$50,0)),"")</f>
        <v/>
      </c>
      <c r="AM75" s="31">
        <f>IFERROR(INDEX($BG$5:$BG$50,MATCH($AK75,BK$5:BK$50,0)),"")</f>
        <v>141</v>
      </c>
      <c r="AN75" s="31" t="str">
        <f>IFERROR(INDEX($BG$5:$BG$50,MATCH($AK75,BL$5:BL$50,0)),"")</f>
        <v/>
      </c>
      <c r="AO75" s="31" t="str">
        <f>IFERROR(INDEX($BG$5:$BG$50,MATCH($AK75,BM$5:BM$50,0)),"")</f>
        <v/>
      </c>
      <c r="AP75" s="31" t="str">
        <f>IFERROR(INDEX($BG$5:$BG$50,MATCH($AK75,BN$5:BN$50,0)),"")</f>
        <v/>
      </c>
      <c r="AQ75" s="31" t="str">
        <f>IFERROR(INDEX($BG$5:$BG$50,MATCH($AK75,#REF!,0)),"")</f>
        <v/>
      </c>
      <c r="AR75" s="19">
        <f t="shared" si="27"/>
        <v>141</v>
      </c>
      <c r="AS75" s="22">
        <f>IF(AR75&lt;&gt;AR74,"",AK74)</f>
        <v>70</v>
      </c>
      <c r="AT75" s="23" t="str">
        <f t="shared" si="22"/>
        <v>141+70</v>
      </c>
      <c r="AW75" s="22" t="str">
        <f t="shared" si="23"/>
        <v/>
      </c>
      <c r="AX75" s="32" t="str">
        <f>IF(AY75="",AK76,"")</f>
        <v/>
      </c>
      <c r="AY75" s="32">
        <f>IFERROR(INDEX($BG$5:$BG$50,MATCH($AK75,$BH$5:$BH$50,0)),"")</f>
        <v>144</v>
      </c>
      <c r="AZ75" s="32" t="str">
        <f t="shared" si="24"/>
        <v/>
      </c>
      <c r="BA75" s="32" t="str">
        <f t="shared" si="25"/>
        <v/>
      </c>
      <c r="BB75" s="22" t="str">
        <f t="shared" si="26"/>
        <v>144</v>
      </c>
      <c r="BD75" s="40"/>
      <c r="BU75" s="34"/>
      <c r="BV75" s="34"/>
      <c r="BY75" s="33"/>
      <c r="BZ75" s="33"/>
    </row>
    <row r="76" spans="3:78" x14ac:dyDescent="0.15">
      <c r="C76" s="20" t="s">
        <v>533</v>
      </c>
      <c r="D76" s="20">
        <v>72</v>
      </c>
      <c r="L76" s="31">
        <f t="shared" si="18"/>
        <v>4</v>
      </c>
      <c r="M76" s="31">
        <f>IF(线路设计!Q28="","",线路设计!Q28)</f>
        <v>18</v>
      </c>
      <c r="N76" s="31">
        <f>IF(线路设计!R28="","",线路设计!R28)</f>
        <v>2</v>
      </c>
      <c r="O76" s="31" t="str">
        <f>IF(线路设计!S28="","",线路设计!S28)</f>
        <v/>
      </c>
      <c r="P76" s="31">
        <f>IF(线路设计!T28="","",线路设计!T28)</f>
        <v>1</v>
      </c>
      <c r="Q76" s="31" t="str">
        <f>IF(线路设计!U28="","",线路设计!U28)</f>
        <v/>
      </c>
      <c r="R76" s="31">
        <f>IF(线路设计!V28="","",线路设计!V28)</f>
        <v>2</v>
      </c>
      <c r="U76" s="31">
        <f t="shared" si="19"/>
        <v>4</v>
      </c>
      <c r="V76" s="31">
        <v>18</v>
      </c>
      <c r="W76" s="31" t="s">
        <v>816</v>
      </c>
      <c r="X76" s="31">
        <v>114</v>
      </c>
      <c r="Y76" s="31">
        <v>153</v>
      </c>
      <c r="AB76" s="31" t="str">
        <f t="shared" si="20"/>
        <v>89</v>
      </c>
      <c r="AC76" s="31" t="str">
        <f t="shared" si="21"/>
        <v>96+97+157</v>
      </c>
      <c r="AI76" s="20" t="s">
        <v>533</v>
      </c>
      <c r="AJ76" s="19">
        <f>IF(AI76&lt;&gt;AI75,MAX($AJ$5:$AJ75)+1,AJ75)</f>
        <v>17</v>
      </c>
      <c r="AK76" s="20">
        <v>72</v>
      </c>
      <c r="AL76" s="31">
        <f>IFERROR(INDEX($BG$5:$BG$50,MATCH($AK76,BJ$5:BJ$50,0)),"")</f>
        <v>142</v>
      </c>
      <c r="AM76" s="31" t="str">
        <f>IFERROR(INDEX($BG$5:$BG$50,MATCH($AK76,BK$5:BK$50,0)),"")</f>
        <v/>
      </c>
      <c r="AN76" s="31" t="str">
        <f>IFERROR(INDEX($BG$5:$BG$50,MATCH($AK76,BL$5:BL$50,0)),"")</f>
        <v/>
      </c>
      <c r="AO76" s="31" t="str">
        <f>IFERROR(INDEX($BG$5:$BG$50,MATCH($AK76,BM$5:BM$50,0)),"")</f>
        <v/>
      </c>
      <c r="AP76" s="31" t="str">
        <f>IFERROR(INDEX($BG$5:$BG$50,MATCH($AK76,BN$5:BN$50,0)),"")</f>
        <v/>
      </c>
      <c r="AQ76" s="31" t="str">
        <f>IFERROR(INDEX($BG$5:$BG$50,MATCH($AK76,#REF!,0)),"")</f>
        <v/>
      </c>
      <c r="AR76" s="19">
        <f t="shared" si="27"/>
        <v>142</v>
      </c>
      <c r="AS76" s="22" t="str">
        <f>IF(AR76&lt;&gt;AR75,"",AK75)</f>
        <v/>
      </c>
      <c r="AT76" s="23" t="str">
        <f t="shared" si="22"/>
        <v>142</v>
      </c>
      <c r="AW76" s="22" t="str">
        <f t="shared" si="23"/>
        <v/>
      </c>
      <c r="AX76" s="32">
        <f>IF(AY76="",AK77,"")</f>
        <v>73</v>
      </c>
      <c r="AY76" s="32" t="str">
        <f>IFERROR(INDEX($BG$5:$BG$50,MATCH($AK76,$BH$5:$BH$50,0)),"")</f>
        <v/>
      </c>
      <c r="AZ76" s="32" t="str">
        <f t="shared" si="24"/>
        <v/>
      </c>
      <c r="BA76" s="32" t="str">
        <f t="shared" si="25"/>
        <v/>
      </c>
      <c r="BB76" s="22" t="str">
        <f t="shared" si="26"/>
        <v>73</v>
      </c>
      <c r="BD76" s="40"/>
      <c r="BU76" s="34"/>
      <c r="BV76" s="34"/>
      <c r="BY76" s="33"/>
      <c r="BZ76" s="33"/>
    </row>
    <row r="77" spans="3:78" x14ac:dyDescent="0.15">
      <c r="C77" s="20" t="s">
        <v>533</v>
      </c>
      <c r="D77" s="20">
        <v>73</v>
      </c>
      <c r="L77" s="31">
        <f t="shared" si="18"/>
        <v>4</v>
      </c>
      <c r="M77" s="31">
        <f>IF(线路设计!Q29="","",线路设计!Q29)</f>
        <v>19</v>
      </c>
      <c r="N77" s="31">
        <f>IF(线路设计!R29="","",线路设计!R29)</f>
        <v>2</v>
      </c>
      <c r="O77" s="31" t="str">
        <f>IF(线路设计!S29="","",线路设计!S29)</f>
        <v/>
      </c>
      <c r="P77" s="31">
        <f>IF(线路设计!T29="","",线路设计!T29)</f>
        <v>1</v>
      </c>
      <c r="Q77" s="31" t="str">
        <f>IF(线路设计!U29="","",线路设计!U29)</f>
        <v/>
      </c>
      <c r="R77" s="31">
        <f>IF(线路设计!V29="","",线路设计!V29)</f>
        <v>2</v>
      </c>
      <c r="U77" s="31">
        <f t="shared" si="19"/>
        <v>4</v>
      </c>
      <c r="V77" s="31">
        <v>19</v>
      </c>
      <c r="W77" s="31" t="s">
        <v>817</v>
      </c>
      <c r="Y77" s="31">
        <v>157</v>
      </c>
      <c r="AB77" s="31" t="str">
        <f t="shared" si="20"/>
        <v>97</v>
      </c>
      <c r="AC77" s="31" t="str">
        <f t="shared" si="21"/>
        <v>104+105+161</v>
      </c>
      <c r="AI77" s="20" t="s">
        <v>533</v>
      </c>
      <c r="AJ77" s="19">
        <f>IF(AI77&lt;&gt;AI76,MAX($AJ$5:$AJ76)+1,AJ76)</f>
        <v>17</v>
      </c>
      <c r="AK77" s="20">
        <v>73</v>
      </c>
      <c r="AL77" s="31" t="str">
        <f>IFERROR(INDEX($BG$5:$BG$50,MATCH($AK77,BJ$5:BJ$50,0)),"")</f>
        <v/>
      </c>
      <c r="AM77" s="31">
        <f>IFERROR(INDEX($BG$5:$BG$50,MATCH($AK77,BK$5:BK$50,0)),"")</f>
        <v>142</v>
      </c>
      <c r="AN77" s="31" t="str">
        <f>IFERROR(INDEX($BG$5:$BG$50,MATCH($AK77,BL$5:BL$50,0)),"")</f>
        <v/>
      </c>
      <c r="AO77" s="31" t="str">
        <f>IFERROR(INDEX($BG$5:$BG$50,MATCH($AK77,BM$5:BM$50,0)),"")</f>
        <v/>
      </c>
      <c r="AP77" s="31" t="str">
        <f>IFERROR(INDEX($BG$5:$BG$50,MATCH($AK77,BN$5:BN$50,0)),"")</f>
        <v/>
      </c>
      <c r="AQ77" s="31" t="str">
        <f>IFERROR(INDEX($BG$5:$BG$50,MATCH($AK77,#REF!,0)),"")</f>
        <v/>
      </c>
      <c r="AR77" s="19">
        <f t="shared" si="27"/>
        <v>142</v>
      </c>
      <c r="AS77" s="22">
        <f>IF(AR77&lt;&gt;AR76,"",AK76)</f>
        <v>72</v>
      </c>
      <c r="AT77" s="23" t="str">
        <f t="shared" si="22"/>
        <v>142+72</v>
      </c>
      <c r="AW77" s="22" t="str">
        <f t="shared" si="23"/>
        <v/>
      </c>
      <c r="AX77" s="32">
        <f>IF(AY77="",AK78,"")</f>
        <v>74</v>
      </c>
      <c r="AY77" s="32" t="str">
        <f>IFERROR(INDEX($BG$5:$BG$50,MATCH($AK77,$BH$5:$BH$50,0)),"")</f>
        <v/>
      </c>
      <c r="AZ77" s="32">
        <f t="shared" si="24"/>
        <v>113</v>
      </c>
      <c r="BA77" s="32" t="str">
        <f t="shared" si="25"/>
        <v/>
      </c>
      <c r="BB77" s="22" t="str">
        <f t="shared" si="26"/>
        <v>74+113</v>
      </c>
      <c r="BD77" s="40"/>
      <c r="BU77" s="34"/>
      <c r="BV77" s="34"/>
      <c r="BY77" s="33"/>
      <c r="BZ77" s="33"/>
    </row>
    <row r="78" spans="3:78" x14ac:dyDescent="0.15">
      <c r="C78" s="20" t="s">
        <v>533</v>
      </c>
      <c r="D78" s="20">
        <v>74</v>
      </c>
      <c r="L78" s="31">
        <f t="shared" si="18"/>
        <v>4</v>
      </c>
      <c r="M78" s="31">
        <f>IF(线路设计!Q30="","",线路设计!Q30)</f>
        <v>20</v>
      </c>
      <c r="N78" s="31">
        <f>IF(线路设计!R30="","",线路设计!R30)</f>
        <v>2</v>
      </c>
      <c r="O78" s="31">
        <f>IF(线路设计!S30="","",线路设计!S30)</f>
        <v>1</v>
      </c>
      <c r="P78" s="31">
        <f>IF(线路设计!T30="","",线路设计!T30)</f>
        <v>1</v>
      </c>
      <c r="Q78" s="31" t="str">
        <f>IF(线路设计!U30="","",线路设计!U30)</f>
        <v/>
      </c>
      <c r="R78" s="31">
        <f>IF(线路设计!V30="","",线路设计!V30)</f>
        <v>2</v>
      </c>
      <c r="U78" s="31">
        <f t="shared" si="19"/>
        <v>4</v>
      </c>
      <c r="V78" s="31">
        <v>20</v>
      </c>
      <c r="W78" s="21" t="s">
        <v>580</v>
      </c>
      <c r="Y78" s="31">
        <v>161</v>
      </c>
      <c r="AB78" s="31" t="str">
        <f t="shared" si="20"/>
        <v>105</v>
      </c>
      <c r="AC78" s="31" t="str">
        <f t="shared" si="21"/>
        <v/>
      </c>
      <c r="AI78" s="20" t="s">
        <v>533</v>
      </c>
      <c r="AJ78" s="19">
        <f>IF(AI78&lt;&gt;AI77,MAX($AJ$5:$AJ77)+1,AJ77)</f>
        <v>17</v>
      </c>
      <c r="AK78" s="20">
        <v>74</v>
      </c>
      <c r="AL78" s="31" t="str">
        <f>IFERROR(INDEX($BG$5:$BG$50,MATCH($AK78,BJ$5:BJ$50,0)),"")</f>
        <v/>
      </c>
      <c r="AM78" s="31" t="str">
        <f>IFERROR(INDEX($BG$5:$BG$50,MATCH($AK78,BK$5:BK$50,0)),"")</f>
        <v/>
      </c>
      <c r="AN78" s="31">
        <f>IFERROR(INDEX($BG$5:$BG$50,MATCH($AK78,BL$5:BL$50,0)),"")</f>
        <v>142</v>
      </c>
      <c r="AO78" s="31" t="str">
        <f>IFERROR(INDEX($BG$5:$BG$50,MATCH($AK78,BM$5:BM$50,0)),"")</f>
        <v/>
      </c>
      <c r="AP78" s="31" t="str">
        <f>IFERROR(INDEX($BG$5:$BG$50,MATCH($AK78,BN$5:BN$50,0)),"")</f>
        <v/>
      </c>
      <c r="AQ78" s="31" t="str">
        <f>IFERROR(INDEX($BG$5:$BG$50,MATCH($AK78,#REF!,0)),"")</f>
        <v/>
      </c>
      <c r="AR78" s="19">
        <f t="shared" si="27"/>
        <v>142</v>
      </c>
      <c r="AS78" s="22">
        <f>IF(AR78&lt;&gt;AR77,"",AK77)</f>
        <v>73</v>
      </c>
      <c r="AT78" s="23" t="str">
        <f t="shared" si="22"/>
        <v>142+73</v>
      </c>
      <c r="AW78" s="22" t="str">
        <f t="shared" si="23"/>
        <v/>
      </c>
      <c r="AX78" s="32" t="str">
        <f>IF(AY78="",AK79,"")</f>
        <v/>
      </c>
      <c r="AY78" s="32">
        <f>IFERROR(INDEX($BG$5:$BG$50,MATCH($AK78,$BH$5:$BH$50,0)),"")</f>
        <v>145</v>
      </c>
      <c r="AZ78" s="32" t="str">
        <f t="shared" si="24"/>
        <v/>
      </c>
      <c r="BA78" s="32" t="str">
        <f t="shared" si="25"/>
        <v/>
      </c>
      <c r="BB78" s="22" t="str">
        <f t="shared" si="26"/>
        <v>145</v>
      </c>
      <c r="BD78" s="40"/>
      <c r="BU78" s="34"/>
      <c r="BV78" s="34"/>
      <c r="BY78" s="33"/>
      <c r="BZ78" s="33"/>
    </row>
    <row r="79" spans="3:78" x14ac:dyDescent="0.15">
      <c r="C79" s="31" t="s">
        <v>534</v>
      </c>
      <c r="D79" s="31">
        <v>75</v>
      </c>
      <c r="AI79" s="31" t="s">
        <v>534</v>
      </c>
      <c r="AJ79" s="19">
        <f>IF(AI79&lt;&gt;AI78,MAX($AJ$5:$AJ78)+1,AJ78)</f>
        <v>18</v>
      </c>
      <c r="AK79" s="31">
        <v>75</v>
      </c>
      <c r="AL79" s="31">
        <f>IFERROR(INDEX($BG$5:$BG$50,MATCH($AK79,BJ$5:BJ$50,0)),"")</f>
        <v>143</v>
      </c>
      <c r="AM79" s="31" t="str">
        <f>IFERROR(INDEX($BG$5:$BG$50,MATCH($AK79,BK$5:BK$50,0)),"")</f>
        <v/>
      </c>
      <c r="AN79" s="31" t="str">
        <f>IFERROR(INDEX($BG$5:$BG$50,MATCH($AK79,BL$5:BL$50,0)),"")</f>
        <v/>
      </c>
      <c r="AO79" s="31" t="str">
        <f>IFERROR(INDEX($BG$5:$BG$50,MATCH($AK79,BM$5:BM$50,0)),"")</f>
        <v/>
      </c>
      <c r="AP79" s="31" t="str">
        <f>IFERROR(INDEX($BG$5:$BG$50,MATCH($AK79,BN$5:BN$50,0)),"")</f>
        <v/>
      </c>
      <c r="AQ79" s="31" t="str">
        <f>IFERROR(INDEX($BG$5:$BG$50,MATCH($AK79,#REF!,0)),"")</f>
        <v/>
      </c>
      <c r="AR79" s="19">
        <f t="shared" si="27"/>
        <v>143</v>
      </c>
      <c r="AS79" s="22" t="str">
        <f>IF(AR79&lt;&gt;AR78,"",AK78)</f>
        <v/>
      </c>
      <c r="AT79" s="23" t="str">
        <f t="shared" si="22"/>
        <v>143</v>
      </c>
      <c r="AW79" s="22" t="str">
        <f t="shared" si="23"/>
        <v/>
      </c>
      <c r="AX79" s="32">
        <f>IF(AY79="",AK80,"")</f>
        <v>76</v>
      </c>
      <c r="AY79" s="32" t="str">
        <f>IFERROR(INDEX($BG$5:$BG$50,MATCH($AK79,$BH$5:$BH$50,0)),"")</f>
        <v/>
      </c>
      <c r="AZ79" s="32" t="str">
        <f t="shared" si="24"/>
        <v/>
      </c>
      <c r="BA79" s="32" t="str">
        <f t="shared" si="25"/>
        <v/>
      </c>
      <c r="BB79" s="22" t="str">
        <f t="shared" si="26"/>
        <v>76</v>
      </c>
      <c r="BD79" s="40"/>
      <c r="BU79" s="34"/>
      <c r="BV79" s="34"/>
      <c r="BY79" s="33"/>
      <c r="BZ79" s="33"/>
    </row>
    <row r="80" spans="3:78" x14ac:dyDescent="0.15">
      <c r="C80" s="31" t="s">
        <v>534</v>
      </c>
      <c r="D80" s="31">
        <v>76</v>
      </c>
      <c r="AI80" s="31" t="s">
        <v>534</v>
      </c>
      <c r="AJ80" s="19">
        <f>IF(AI80&lt;&gt;AI79,MAX($AJ$5:$AJ79)+1,AJ79)</f>
        <v>18</v>
      </c>
      <c r="AK80" s="31">
        <v>76</v>
      </c>
      <c r="AL80" s="31" t="str">
        <f>IFERROR(INDEX($BG$5:$BG$50,MATCH($AK80,BJ$5:BJ$50,0)),"")</f>
        <v/>
      </c>
      <c r="AM80" s="31">
        <f>IFERROR(INDEX($BG$5:$BG$50,MATCH($AK80,BK$5:BK$50,0)),"")</f>
        <v>143</v>
      </c>
      <c r="AN80" s="31" t="str">
        <f>IFERROR(INDEX($BG$5:$BG$50,MATCH($AK80,BL$5:BL$50,0)),"")</f>
        <v/>
      </c>
      <c r="AO80" s="31" t="str">
        <f>IFERROR(INDEX($BG$5:$BG$50,MATCH($AK80,BM$5:BM$50,0)),"")</f>
        <v/>
      </c>
      <c r="AP80" s="31" t="str">
        <f>IFERROR(INDEX($BG$5:$BG$50,MATCH($AK80,BN$5:BN$50,0)),"")</f>
        <v/>
      </c>
      <c r="AQ80" s="31" t="str">
        <f>IFERROR(INDEX($BG$5:$BG$50,MATCH($AK80,#REF!,0)),"")</f>
        <v/>
      </c>
      <c r="AR80" s="19">
        <f t="shared" si="27"/>
        <v>143</v>
      </c>
      <c r="AS80" s="22">
        <f>IF(AR80&lt;&gt;AR79,"",AK79)</f>
        <v>75</v>
      </c>
      <c r="AT80" s="23" t="str">
        <f t="shared" si="22"/>
        <v>143+75</v>
      </c>
      <c r="AW80" s="22" t="str">
        <f t="shared" si="23"/>
        <v/>
      </c>
      <c r="AX80" s="32" t="str">
        <f>IF(AY80="",AK81,"")</f>
        <v/>
      </c>
      <c r="AY80" s="32">
        <f>IFERROR(INDEX($BG$5:$BG$50,MATCH($AK80,$BH$5:$BH$50,0)),"")</f>
        <v>146</v>
      </c>
      <c r="AZ80" s="32" t="str">
        <f t="shared" si="24"/>
        <v/>
      </c>
      <c r="BA80" s="32" t="str">
        <f t="shared" si="25"/>
        <v/>
      </c>
      <c r="BB80" s="22" t="str">
        <f t="shared" si="26"/>
        <v>146</v>
      </c>
      <c r="BD80" s="40"/>
      <c r="BU80" s="34"/>
      <c r="BV80" s="34"/>
      <c r="BY80" s="33"/>
      <c r="BZ80" s="33"/>
    </row>
    <row r="81" spans="3:78" x14ac:dyDescent="0.15">
      <c r="C81" s="31" t="s">
        <v>534</v>
      </c>
      <c r="D81" s="31">
        <v>77</v>
      </c>
      <c r="AI81" s="31" t="s">
        <v>534</v>
      </c>
      <c r="AJ81" s="19">
        <f>IF(AI81&lt;&gt;AI80,MAX($AJ$5:$AJ80)+1,AJ80)</f>
        <v>18</v>
      </c>
      <c r="AK81" s="31">
        <v>77</v>
      </c>
      <c r="AL81" s="31" t="str">
        <f>IFERROR(INDEX($BG$5:$BG$50,MATCH($AK81,BJ$5:BJ$50,0)),"")</f>
        <v/>
      </c>
      <c r="AM81" s="31" t="str">
        <f>IFERROR(INDEX($BG$5:$BG$50,MATCH($AK81,BK$5:BK$50,0)),"")</f>
        <v/>
      </c>
      <c r="AN81" s="31">
        <f>IFERROR(INDEX($BG$5:$BG$50,MATCH($AK81,BL$5:BL$50,0)),"")</f>
        <v>143</v>
      </c>
      <c r="AO81" s="31" t="str">
        <f>IFERROR(INDEX($BG$5:$BG$50,MATCH($AK81,BM$5:BM$50,0)),"")</f>
        <v/>
      </c>
      <c r="AP81" s="31" t="str">
        <f>IFERROR(INDEX($BG$5:$BG$50,MATCH($AK81,BN$5:BN$50,0)),"")</f>
        <v/>
      </c>
      <c r="AQ81" s="31" t="str">
        <f>IFERROR(INDEX($BG$5:$BG$50,MATCH($AK81,#REF!,0)),"")</f>
        <v/>
      </c>
      <c r="AR81" s="19">
        <f t="shared" si="27"/>
        <v>143</v>
      </c>
      <c r="AS81" s="22">
        <f>IF(AR81&lt;&gt;AR80,"",AK80)</f>
        <v>76</v>
      </c>
      <c r="AT81" s="23" t="str">
        <f t="shared" si="22"/>
        <v>143+76</v>
      </c>
      <c r="AW81" s="22" t="str">
        <f t="shared" si="23"/>
        <v/>
      </c>
      <c r="AX81" s="32">
        <f>IF(AY81="",AK82,"")</f>
        <v>78</v>
      </c>
      <c r="AY81" s="32" t="str">
        <f>IFERROR(INDEX($BG$5:$BG$50,MATCH($AK81,$BH$5:$BH$50,0)),"")</f>
        <v/>
      </c>
      <c r="AZ81" s="32" t="str">
        <f t="shared" si="24"/>
        <v/>
      </c>
      <c r="BA81" s="32" t="str">
        <f t="shared" si="25"/>
        <v/>
      </c>
      <c r="BB81" s="22" t="str">
        <f t="shared" si="26"/>
        <v>78</v>
      </c>
      <c r="BD81" s="40"/>
      <c r="BU81" s="34"/>
      <c r="BV81" s="34"/>
      <c r="BY81" s="33"/>
      <c r="BZ81" s="33"/>
    </row>
    <row r="82" spans="3:78" x14ac:dyDescent="0.15">
      <c r="C82" s="31" t="s">
        <v>534</v>
      </c>
      <c r="D82" s="31">
        <v>78</v>
      </c>
      <c r="V82" s="31" t="s">
        <v>584</v>
      </c>
      <c r="AI82" s="31" t="s">
        <v>534</v>
      </c>
      <c r="AJ82" s="19">
        <f>IF(AI82&lt;&gt;AI81,MAX($AJ$5:$AJ81)+1,AJ81)</f>
        <v>18</v>
      </c>
      <c r="AK82" s="31">
        <v>78</v>
      </c>
      <c r="AL82" s="31" t="str">
        <f>IFERROR(INDEX($BG$5:$BG$50,MATCH($AK82,BJ$5:BJ$50,0)),"")</f>
        <v/>
      </c>
      <c r="AM82" s="31" t="str">
        <f>IFERROR(INDEX($BG$5:$BG$50,MATCH($AK82,BK$5:BK$50,0)),"")</f>
        <v/>
      </c>
      <c r="AN82" s="31" t="str">
        <f>IFERROR(INDEX($BG$5:$BG$50,MATCH($AK82,BL$5:BL$50,0)),"")</f>
        <v/>
      </c>
      <c r="AO82" s="31">
        <f>IFERROR(INDEX($BG$5:$BG$50,MATCH($AK82,BM$5:BM$50,0)),"")</f>
        <v>143</v>
      </c>
      <c r="AP82" s="31" t="str">
        <f>IFERROR(INDEX($BG$5:$BG$50,MATCH($AK82,BN$5:BN$50,0)),"")</f>
        <v/>
      </c>
      <c r="AQ82" s="31" t="str">
        <f>IFERROR(INDEX($BG$5:$BG$50,MATCH($AK82,#REF!,0)),"")</f>
        <v/>
      </c>
      <c r="AR82" s="19">
        <f t="shared" si="27"/>
        <v>143</v>
      </c>
      <c r="AS82" s="22">
        <f>IF(AR82&lt;&gt;AR81,"",AK81)</f>
        <v>77</v>
      </c>
      <c r="AT82" s="23" t="str">
        <f t="shared" si="22"/>
        <v>143+77</v>
      </c>
      <c r="AW82" s="22" t="str">
        <f t="shared" si="23"/>
        <v/>
      </c>
      <c r="AX82" s="32" t="str">
        <f>IF(AY82="",AK83,"")</f>
        <v/>
      </c>
      <c r="AY82" s="32">
        <f>IFERROR(INDEX($BG$5:$BG$50,MATCH($AK82,$BH$5:$BH$50,0)),"")</f>
        <v>147</v>
      </c>
      <c r="AZ82" s="32" t="str">
        <f t="shared" si="24"/>
        <v/>
      </c>
      <c r="BA82" s="32" t="str">
        <f t="shared" si="25"/>
        <v/>
      </c>
      <c r="BB82" s="22" t="str">
        <f t="shared" si="26"/>
        <v>147</v>
      </c>
      <c r="BD82" s="40"/>
      <c r="BU82" s="34"/>
      <c r="BV82" s="34"/>
      <c r="BY82" s="33"/>
      <c r="BZ82" s="33"/>
    </row>
    <row r="83" spans="3:78" x14ac:dyDescent="0.15">
      <c r="C83" s="31" t="s">
        <v>534</v>
      </c>
      <c r="D83" s="31">
        <v>79</v>
      </c>
      <c r="L83" s="31" t="str">
        <f>L57</f>
        <v>开启线路</v>
      </c>
      <c r="M83" s="31" t="s">
        <v>486</v>
      </c>
      <c r="N83" s="31" t="s">
        <v>459</v>
      </c>
      <c r="O83" s="31" t="s">
        <v>460</v>
      </c>
      <c r="P83" s="31" t="s">
        <v>461</v>
      </c>
      <c r="Q83" s="31" t="s">
        <v>462</v>
      </c>
      <c r="R83" s="31" t="s">
        <v>487</v>
      </c>
      <c r="U83" s="31" t="str">
        <f>U57</f>
        <v>开启线路</v>
      </c>
      <c r="V83" s="31" t="s">
        <v>486</v>
      </c>
      <c r="W83" s="31" t="s">
        <v>459</v>
      </c>
      <c r="X83" s="31" t="s">
        <v>460</v>
      </c>
      <c r="Y83" s="31" t="s">
        <v>461</v>
      </c>
      <c r="Z83" s="31" t="s">
        <v>462</v>
      </c>
      <c r="AB83" s="31" t="s">
        <v>761</v>
      </c>
      <c r="AC83" s="31" t="s">
        <v>762</v>
      </c>
      <c r="AI83" s="31" t="s">
        <v>534</v>
      </c>
      <c r="AJ83" s="19">
        <f>IF(AI83&lt;&gt;AI82,MAX($AJ$5:$AJ82)+1,AJ82)</f>
        <v>18</v>
      </c>
      <c r="AK83" s="31">
        <v>79</v>
      </c>
      <c r="AL83" s="31">
        <f>IFERROR(INDEX($BG$5:$BG$50,MATCH($AK83,BJ$5:BJ$50,0)),"")</f>
        <v>144</v>
      </c>
      <c r="AM83" s="31" t="str">
        <f>IFERROR(INDEX($BG$5:$BG$50,MATCH($AK83,BK$5:BK$50,0)),"")</f>
        <v/>
      </c>
      <c r="AN83" s="31" t="str">
        <f>IFERROR(INDEX($BG$5:$BG$50,MATCH($AK83,BL$5:BL$50,0)),"")</f>
        <v/>
      </c>
      <c r="AO83" s="31" t="str">
        <f>IFERROR(INDEX($BG$5:$BG$50,MATCH($AK83,BM$5:BM$50,0)),"")</f>
        <v/>
      </c>
      <c r="AP83" s="31" t="str">
        <f>IFERROR(INDEX($BG$5:$BG$50,MATCH($AK83,BN$5:BN$50,0)),"")</f>
        <v/>
      </c>
      <c r="AQ83" s="31" t="str">
        <f>IFERROR(INDEX($BG$5:$BG$50,MATCH($AK83,#REF!,0)),"")</f>
        <v/>
      </c>
      <c r="AR83" s="19">
        <f t="shared" si="27"/>
        <v>144</v>
      </c>
      <c r="AS83" s="22" t="str">
        <f>IF(AR83&lt;&gt;AR82,"",AK82)</f>
        <v/>
      </c>
      <c r="AT83" s="23" t="str">
        <f t="shared" si="22"/>
        <v>144</v>
      </c>
      <c r="AW83" s="22" t="str">
        <f t="shared" si="23"/>
        <v/>
      </c>
      <c r="AX83" s="32">
        <f>IF(AY83="",AK84,"")</f>
        <v>80</v>
      </c>
      <c r="AY83" s="32" t="str">
        <f>IFERROR(INDEX($BG$5:$BG$50,MATCH($AK83,$BH$5:$BH$50,0)),"")</f>
        <v/>
      </c>
      <c r="AZ83" s="32" t="str">
        <f t="shared" si="24"/>
        <v/>
      </c>
      <c r="BA83" s="32">
        <f>IFERROR(INDEX($AF$20:$AF$28,MATCH($AK83,$AG$20:$AG$28,0)),"")</f>
        <v>169</v>
      </c>
      <c r="BB83" s="22" t="str">
        <f t="shared" si="26"/>
        <v>80+169</v>
      </c>
      <c r="BD83" s="40"/>
      <c r="BU83" s="34"/>
      <c r="BV83" s="34"/>
      <c r="BY83" s="33"/>
      <c r="BZ83" s="33"/>
    </row>
    <row r="84" spans="3:78" x14ac:dyDescent="0.15">
      <c r="C84" s="31" t="s">
        <v>534</v>
      </c>
      <c r="D84" s="31">
        <v>80</v>
      </c>
      <c r="L84" s="31">
        <f>L58</f>
        <v>1</v>
      </c>
      <c r="M84" s="31">
        <f>IF(线路设计!X10="","",线路设计!X10)</f>
        <v>0</v>
      </c>
      <c r="N84" s="31" t="str">
        <f>IF(线路设计!Y10="","",线路设计!Y10)</f>
        <v/>
      </c>
      <c r="O84" s="31" t="str">
        <f>IF(线路设计!Z10="","",线路设计!Z10)</f>
        <v/>
      </c>
      <c r="P84" s="31" t="str">
        <f>IF(线路设计!AA10="","",线路设计!AA10)</f>
        <v/>
      </c>
      <c r="Q84" s="31" t="str">
        <f>IF(线路设计!AB10="","",线路设计!AB10)</f>
        <v/>
      </c>
      <c r="R84" s="31">
        <f>IF(线路设计!AC10="","",线路设计!AC10)</f>
        <v>0</v>
      </c>
      <c r="U84" s="31">
        <f t="shared" ref="U84:U104" si="28">U58</f>
        <v>1</v>
      </c>
      <c r="V84" s="31">
        <v>0</v>
      </c>
      <c r="AB84" s="31" t="str">
        <f>IF(Y84="","",RIGHT(W84,FIND("+",W84)-1))</f>
        <v/>
      </c>
      <c r="AC84" s="31" t="str">
        <f>IF(Y84="","",合并区域(W85:Z85,"+"))</f>
        <v/>
      </c>
      <c r="AI84" s="31" t="s">
        <v>534</v>
      </c>
      <c r="AJ84" s="19">
        <f>IF(AI84&lt;&gt;AI83,MAX($AJ$5:$AJ83)+1,AJ83)</f>
        <v>18</v>
      </c>
      <c r="AK84" s="31">
        <v>80</v>
      </c>
      <c r="AL84" s="31" t="str">
        <f>IFERROR(INDEX($BG$5:$BG$50,MATCH($AK84,BJ$5:BJ$50,0)),"")</f>
        <v/>
      </c>
      <c r="AM84" s="31">
        <f>IFERROR(INDEX($BG$5:$BG$50,MATCH($AK84,BK$5:BK$50,0)),"")</f>
        <v>144</v>
      </c>
      <c r="AN84" s="31" t="str">
        <f>IFERROR(INDEX($BG$5:$BG$50,MATCH($AK84,BL$5:BL$50,0)),"")</f>
        <v/>
      </c>
      <c r="AO84" s="31" t="str">
        <f>IFERROR(INDEX($BG$5:$BG$50,MATCH($AK84,BM$5:BM$50,0)),"")</f>
        <v/>
      </c>
      <c r="AP84" s="31" t="str">
        <f>IFERROR(INDEX($BG$5:$BG$50,MATCH($AK84,BN$5:BN$50,0)),"")</f>
        <v/>
      </c>
      <c r="AQ84" s="31" t="str">
        <f>IFERROR(INDEX($BG$5:$BG$50,MATCH($AK84,#REF!,0)),"")</f>
        <v/>
      </c>
      <c r="AR84" s="19">
        <f t="shared" si="27"/>
        <v>144</v>
      </c>
      <c r="AS84" s="22">
        <f>IF(AR84&lt;&gt;AR83,"",AK83)</f>
        <v>79</v>
      </c>
      <c r="AT84" s="23" t="str">
        <f t="shared" si="22"/>
        <v>144+79</v>
      </c>
      <c r="AW84" s="22" t="str">
        <f t="shared" si="23"/>
        <v/>
      </c>
      <c r="AX84" s="32" t="str">
        <f>IF(AY84="",AK85,"")</f>
        <v/>
      </c>
      <c r="AY84" s="32">
        <f>IFERROR(INDEX($BG$5:$BG$50,MATCH($AK84,$BH$5:$BH$50,0)),"")</f>
        <v>148</v>
      </c>
      <c r="AZ84" s="32" t="str">
        <f t="shared" si="24"/>
        <v/>
      </c>
      <c r="BA84" s="32" t="str">
        <f t="shared" si="25"/>
        <v/>
      </c>
      <c r="BB84" s="22" t="str">
        <f t="shared" si="26"/>
        <v>148</v>
      </c>
      <c r="BD84" s="40"/>
      <c r="BU84" s="34"/>
      <c r="BV84" s="34"/>
      <c r="BY84" s="33"/>
      <c r="BZ84" s="33"/>
    </row>
    <row r="85" spans="3:78" x14ac:dyDescent="0.15">
      <c r="C85" s="31" t="s">
        <v>534</v>
      </c>
      <c r="D85" s="31">
        <v>81</v>
      </c>
      <c r="L85" s="31">
        <f t="shared" ref="L85:L104" si="29">L59</f>
        <v>1</v>
      </c>
      <c r="M85" s="31">
        <f>IF(线路设计!X11="","",线路设计!X11)</f>
        <v>1</v>
      </c>
      <c r="N85" s="31" t="str">
        <f>IF(线路设计!Y11="","",线路设计!Y11)</f>
        <v/>
      </c>
      <c r="O85" s="31" t="str">
        <f>IF(线路设计!Z11="","",线路设计!Z11)</f>
        <v/>
      </c>
      <c r="P85" s="31" t="str">
        <f>IF(线路设计!AA11="","",线路设计!AA11)</f>
        <v/>
      </c>
      <c r="Q85" s="31" t="str">
        <f>IF(线路设计!AB11="","",线路设计!AB11)</f>
        <v/>
      </c>
      <c r="R85" s="31">
        <f>IF(线路设计!AC11="","",线路设计!AC11)</f>
        <v>0</v>
      </c>
      <c r="U85" s="31">
        <f t="shared" si="28"/>
        <v>1</v>
      </c>
      <c r="V85" s="31">
        <v>1</v>
      </c>
      <c r="AB85" s="31" t="str">
        <f t="shared" ref="AB85:AB104" si="30">IF(Y85="","",RIGHT(W85,FIND("+",W85)-1))</f>
        <v/>
      </c>
      <c r="AC85" s="31" t="str">
        <f t="shared" ref="AC85:AC104" si="31">IF(Y85="","",合并区域(W86:Z86,"+"))</f>
        <v/>
      </c>
      <c r="AI85" s="31" t="s">
        <v>534</v>
      </c>
      <c r="AJ85" s="19">
        <f>IF(AI85&lt;&gt;AI84,MAX($AJ$5:$AJ84)+1,AJ84)</f>
        <v>18</v>
      </c>
      <c r="AK85" s="31">
        <v>81</v>
      </c>
      <c r="AL85" s="31">
        <f>IFERROR(INDEX($BG$5:$BG$50,MATCH($AK85,BJ$5:BJ$50,0)),"")</f>
        <v>145</v>
      </c>
      <c r="AM85" s="31" t="str">
        <f>IFERROR(INDEX($BG$5:$BG$50,MATCH($AK85,BK$5:BK$50,0)),"")</f>
        <v/>
      </c>
      <c r="AN85" s="31" t="str">
        <f>IFERROR(INDEX($BG$5:$BG$50,MATCH($AK85,BL$5:BL$50,0)),"")</f>
        <v/>
      </c>
      <c r="AO85" s="31" t="str">
        <f>IFERROR(INDEX($BG$5:$BG$50,MATCH($AK85,BM$5:BM$50,0)),"")</f>
        <v/>
      </c>
      <c r="AP85" s="31" t="str">
        <f>IFERROR(INDEX($BG$5:$BG$50,MATCH($AK85,BN$5:BN$50,0)),"")</f>
        <v/>
      </c>
      <c r="AQ85" s="31" t="str">
        <f>IFERROR(INDEX($BG$5:$BG$50,MATCH($AK85,#REF!,0)),"")</f>
        <v/>
      </c>
      <c r="AR85" s="19">
        <f t="shared" si="27"/>
        <v>145</v>
      </c>
      <c r="AS85" s="22" t="str">
        <f>IF(AR85&lt;&gt;AR84,"",AK84)</f>
        <v/>
      </c>
      <c r="AT85" s="23" t="str">
        <f t="shared" si="22"/>
        <v>145</v>
      </c>
      <c r="AW85" s="22" t="str">
        <f t="shared" si="23"/>
        <v/>
      </c>
      <c r="AX85" s="32" t="str">
        <f>IF(AY85="",AK86,"")</f>
        <v/>
      </c>
      <c r="AY85" s="32">
        <f>IFERROR(INDEX($BG$5:$BG$50,MATCH($AK85,$BH$5:$BH$50,0)),"")</f>
        <v>149</v>
      </c>
      <c r="AZ85" s="32" t="str">
        <f t="shared" si="24"/>
        <v/>
      </c>
      <c r="BA85" s="32" t="str">
        <f t="shared" si="25"/>
        <v/>
      </c>
      <c r="BB85" s="22" t="str">
        <f t="shared" si="26"/>
        <v>149</v>
      </c>
      <c r="BD85" s="40"/>
      <c r="BU85" s="34"/>
      <c r="BV85" s="34"/>
      <c r="BY85" s="33"/>
      <c r="BZ85" s="33"/>
    </row>
    <row r="86" spans="3:78" x14ac:dyDescent="0.15">
      <c r="C86" s="20" t="s">
        <v>535</v>
      </c>
      <c r="D86" s="20">
        <v>82</v>
      </c>
      <c r="L86" s="31">
        <f t="shared" si="29"/>
        <v>1</v>
      </c>
      <c r="M86" s="31">
        <f>IF(线路设计!X12="","",线路设计!X12)</f>
        <v>2</v>
      </c>
      <c r="N86" s="31" t="str">
        <f>IF(线路设计!Y12="","",线路设计!Y12)</f>
        <v/>
      </c>
      <c r="O86" s="31" t="str">
        <f>IF(线路设计!Z12="","",线路设计!Z12)</f>
        <v/>
      </c>
      <c r="P86" s="31" t="str">
        <f>IF(线路设计!AA12="","",线路设计!AA12)</f>
        <v/>
      </c>
      <c r="Q86" s="31" t="str">
        <f>IF(线路设计!AB12="","",线路设计!AB12)</f>
        <v/>
      </c>
      <c r="R86" s="31">
        <f>IF(线路设计!AC12="","",线路设计!AC12)</f>
        <v>0</v>
      </c>
      <c r="U86" s="31">
        <f t="shared" si="28"/>
        <v>1</v>
      </c>
      <c r="V86" s="31">
        <v>2</v>
      </c>
      <c r="AB86" s="31" t="str">
        <f t="shared" si="30"/>
        <v/>
      </c>
      <c r="AC86" s="31" t="str">
        <f t="shared" si="31"/>
        <v/>
      </c>
      <c r="AI86" s="20" t="s">
        <v>535</v>
      </c>
      <c r="AJ86" s="19">
        <f>IF(AI86&lt;&gt;AI85,MAX($AJ$5:$AJ85)+1,AJ85)</f>
        <v>19</v>
      </c>
      <c r="AK86" s="20">
        <v>82</v>
      </c>
      <c r="AL86" s="31">
        <f>IFERROR(INDEX($BG$5:$BG$50,MATCH($AK86,BJ$5:BJ$50,0)),"")</f>
        <v>146</v>
      </c>
      <c r="AM86" s="31" t="str">
        <f>IFERROR(INDEX($BG$5:$BG$50,MATCH($AK86,BK$5:BK$50,0)),"")</f>
        <v/>
      </c>
      <c r="AN86" s="31" t="str">
        <f>IFERROR(INDEX($BG$5:$BG$50,MATCH($AK86,BL$5:BL$50,0)),"")</f>
        <v/>
      </c>
      <c r="AO86" s="31" t="str">
        <f>IFERROR(INDEX($BG$5:$BG$50,MATCH($AK86,BM$5:BM$50,0)),"")</f>
        <v/>
      </c>
      <c r="AP86" s="31" t="str">
        <f>IFERROR(INDEX($BG$5:$BG$50,MATCH($AK86,BN$5:BN$50,0)),"")</f>
        <v/>
      </c>
      <c r="AQ86" s="31" t="str">
        <f>IFERROR(INDEX($BG$5:$BG$50,MATCH($AK86,#REF!,0)),"")</f>
        <v/>
      </c>
      <c r="AR86" s="19">
        <f t="shared" si="27"/>
        <v>146</v>
      </c>
      <c r="AS86" s="22" t="str">
        <f>IF(AR86&lt;&gt;AR85,"",AK85)</f>
        <v/>
      </c>
      <c r="AT86" s="23" t="str">
        <f t="shared" si="22"/>
        <v>146</v>
      </c>
      <c r="AW86" s="22" t="str">
        <f t="shared" si="23"/>
        <v/>
      </c>
      <c r="AX86" s="32">
        <f>IF(AY86="",AK87,"")</f>
        <v>83</v>
      </c>
      <c r="AY86" s="32" t="str">
        <f>IFERROR(INDEX($BG$5:$BG$50,MATCH($AK86,$BH$5:$BH$50,0)),"")</f>
        <v/>
      </c>
      <c r="AZ86" s="32" t="str">
        <f t="shared" si="24"/>
        <v/>
      </c>
      <c r="BA86" s="32" t="str">
        <f t="shared" si="25"/>
        <v/>
      </c>
      <c r="BB86" s="22" t="str">
        <f t="shared" si="26"/>
        <v>83</v>
      </c>
      <c r="BD86" s="40"/>
      <c r="BU86" s="34"/>
      <c r="BV86" s="34"/>
      <c r="BY86" s="33"/>
      <c r="BZ86" s="33"/>
    </row>
    <row r="87" spans="3:78" x14ac:dyDescent="0.15">
      <c r="C87" s="20" t="s">
        <v>535</v>
      </c>
      <c r="D87" s="20">
        <v>83</v>
      </c>
      <c r="L87" s="31">
        <f t="shared" si="29"/>
        <v>1</v>
      </c>
      <c r="M87" s="31">
        <f>IF(线路设计!X13="","",线路设计!X13)</f>
        <v>3</v>
      </c>
      <c r="N87" s="31" t="str">
        <f>IF(线路设计!Y13="","",线路设计!Y13)</f>
        <v/>
      </c>
      <c r="O87" s="31" t="str">
        <f>IF(线路设计!Z13="","",线路设计!Z13)</f>
        <v/>
      </c>
      <c r="P87" s="31" t="str">
        <f>IF(线路设计!AA13="","",线路设计!AA13)</f>
        <v/>
      </c>
      <c r="Q87" s="31" t="str">
        <f>IF(线路设计!AB13="","",线路设计!AB13)</f>
        <v/>
      </c>
      <c r="R87" s="31">
        <f>IF(线路设计!AC13="","",线路设计!AC13)</f>
        <v>0</v>
      </c>
      <c r="U87" s="31">
        <f t="shared" si="28"/>
        <v>1</v>
      </c>
      <c r="V87" s="31">
        <v>3</v>
      </c>
      <c r="AB87" s="31" t="str">
        <f t="shared" si="30"/>
        <v/>
      </c>
      <c r="AC87" s="31" t="str">
        <f t="shared" si="31"/>
        <v/>
      </c>
      <c r="AI87" s="20" t="s">
        <v>535</v>
      </c>
      <c r="AJ87" s="19">
        <f>IF(AI87&lt;&gt;AI86,MAX($AJ$5:$AJ86)+1,AJ86)</f>
        <v>19</v>
      </c>
      <c r="AK87" s="20">
        <v>83</v>
      </c>
      <c r="AL87" s="31" t="str">
        <f>IFERROR(INDEX($BG$5:$BG$50,MATCH($AK87,BJ$5:BJ$50,0)),"")</f>
        <v/>
      </c>
      <c r="AM87" s="31">
        <f>IFERROR(INDEX($BG$5:$BG$50,MATCH($AK87,BK$5:BK$50,0)),"")</f>
        <v>146</v>
      </c>
      <c r="AN87" s="31" t="str">
        <f>IFERROR(INDEX($BG$5:$BG$50,MATCH($AK87,BL$5:BL$50,0)),"")</f>
        <v/>
      </c>
      <c r="AO87" s="31" t="str">
        <f>IFERROR(INDEX($BG$5:$BG$50,MATCH($AK87,BM$5:BM$50,0)),"")</f>
        <v/>
      </c>
      <c r="AP87" s="31" t="str">
        <f>IFERROR(INDEX($BG$5:$BG$50,MATCH($AK87,BN$5:BN$50,0)),"")</f>
        <v/>
      </c>
      <c r="AQ87" s="31" t="str">
        <f>IFERROR(INDEX($BG$5:$BG$50,MATCH($AK87,#REF!,0)),"")</f>
        <v/>
      </c>
      <c r="AR87" s="19">
        <f t="shared" si="27"/>
        <v>146</v>
      </c>
      <c r="AS87" s="22">
        <f>IF(AR87&lt;&gt;AR86,"",AK86)</f>
        <v>82</v>
      </c>
      <c r="AT87" s="23" t="str">
        <f t="shared" si="22"/>
        <v>146+82</v>
      </c>
      <c r="AW87" s="22" t="str">
        <f t="shared" si="23"/>
        <v/>
      </c>
      <c r="AX87" s="32" t="str">
        <f>IF(AY87="",AK88,"")</f>
        <v/>
      </c>
      <c r="AY87" s="32">
        <f>IFERROR(INDEX($BG$5:$BG$50,MATCH($AK87,$BH$5:$BH$50,0)),"")</f>
        <v>150</v>
      </c>
      <c r="AZ87" s="32" t="str">
        <f t="shared" si="24"/>
        <v/>
      </c>
      <c r="BA87" s="32" t="str">
        <f t="shared" si="25"/>
        <v/>
      </c>
      <c r="BB87" s="22" t="str">
        <f t="shared" si="26"/>
        <v>150</v>
      </c>
      <c r="BD87" s="40"/>
      <c r="BU87" s="34"/>
      <c r="BV87" s="34"/>
      <c r="BY87" s="33"/>
      <c r="BZ87" s="33"/>
    </row>
    <row r="88" spans="3:78" x14ac:dyDescent="0.15">
      <c r="C88" s="20" t="s">
        <v>535</v>
      </c>
      <c r="D88" s="20">
        <v>84</v>
      </c>
      <c r="L88" s="31">
        <f t="shared" si="29"/>
        <v>1</v>
      </c>
      <c r="M88" s="31">
        <f>IF(线路设计!X14="","",线路设计!X14)</f>
        <v>4</v>
      </c>
      <c r="N88" s="31" t="str">
        <f>IF(线路设计!Y14="","",线路设计!Y14)</f>
        <v/>
      </c>
      <c r="O88" s="31" t="str">
        <f>IF(线路设计!Z14="","",线路设计!Z14)</f>
        <v/>
      </c>
      <c r="P88" s="31" t="str">
        <f>IF(线路设计!AA14="","",线路设计!AA14)</f>
        <v/>
      </c>
      <c r="Q88" s="31" t="str">
        <f>IF(线路设计!AB14="","",线路设计!AB14)</f>
        <v/>
      </c>
      <c r="R88" s="31">
        <f>IF(线路设计!AC14="","",线路设计!AC14)</f>
        <v>0</v>
      </c>
      <c r="U88" s="31">
        <f t="shared" si="28"/>
        <v>1</v>
      </c>
      <c r="V88" s="31">
        <v>4</v>
      </c>
      <c r="AB88" s="31" t="str">
        <f t="shared" si="30"/>
        <v/>
      </c>
      <c r="AC88" s="31" t="str">
        <f t="shared" si="31"/>
        <v/>
      </c>
      <c r="AI88" s="20" t="s">
        <v>535</v>
      </c>
      <c r="AJ88" s="19">
        <f>IF(AI88&lt;&gt;AI87,MAX($AJ$5:$AJ87)+1,AJ87)</f>
        <v>19</v>
      </c>
      <c r="AK88" s="20">
        <v>84</v>
      </c>
      <c r="AL88" s="31">
        <f>IFERROR(INDEX($BG$5:$BG$50,MATCH($AK88,BJ$5:BJ$50,0)),"")</f>
        <v>147</v>
      </c>
      <c r="AM88" s="31" t="str">
        <f>IFERROR(INDEX($BG$5:$BG$50,MATCH($AK88,BK$5:BK$50,0)),"")</f>
        <v/>
      </c>
      <c r="AN88" s="31" t="str">
        <f>IFERROR(INDEX($BG$5:$BG$50,MATCH($AK88,BL$5:BL$50,0)),"")</f>
        <v/>
      </c>
      <c r="AO88" s="31" t="str">
        <f>IFERROR(INDEX($BG$5:$BG$50,MATCH($AK88,BM$5:BM$50,0)),"")</f>
        <v/>
      </c>
      <c r="AP88" s="31" t="str">
        <f>IFERROR(INDEX($BG$5:$BG$50,MATCH($AK88,BN$5:BN$50,0)),"")</f>
        <v/>
      </c>
      <c r="AQ88" s="31" t="str">
        <f>IFERROR(INDEX($BG$5:$BG$50,MATCH($AK88,#REF!,0)),"")</f>
        <v/>
      </c>
      <c r="AR88" s="19">
        <f t="shared" si="27"/>
        <v>147</v>
      </c>
      <c r="AS88" s="22" t="str">
        <f>IF(AR88&lt;&gt;AR87,"",AK87)</f>
        <v/>
      </c>
      <c r="AT88" s="23" t="str">
        <f t="shared" si="22"/>
        <v>147</v>
      </c>
      <c r="AW88" s="22" t="str">
        <f t="shared" si="23"/>
        <v/>
      </c>
      <c r="AX88" s="32">
        <f>IF(AY88="",AK89,"")</f>
        <v>85</v>
      </c>
      <c r="AY88" s="32" t="str">
        <f>IFERROR(INDEX($BG$5:$BG$50,MATCH($AK88,$BH$5:$BH$50,0)),"")</f>
        <v/>
      </c>
      <c r="AZ88" s="32" t="str">
        <f t="shared" si="24"/>
        <v/>
      </c>
      <c r="BA88" s="32" t="str">
        <f t="shared" si="25"/>
        <v/>
      </c>
      <c r="BB88" s="22" t="str">
        <f t="shared" si="26"/>
        <v>85</v>
      </c>
      <c r="BD88" s="40"/>
      <c r="BU88" s="34"/>
      <c r="BV88" s="34"/>
      <c r="BY88" s="33"/>
      <c r="BZ88" s="33"/>
    </row>
    <row r="89" spans="3:78" x14ac:dyDescent="0.15">
      <c r="C89" s="20" t="s">
        <v>535</v>
      </c>
      <c r="D89" s="20">
        <v>85</v>
      </c>
      <c r="L89" s="31">
        <f t="shared" si="29"/>
        <v>1</v>
      </c>
      <c r="M89" s="31">
        <f>IF(线路设计!X15="","",线路设计!X15)</f>
        <v>5</v>
      </c>
      <c r="N89" s="31" t="str">
        <f>IF(线路设计!Y15="","",线路设计!Y15)</f>
        <v/>
      </c>
      <c r="O89" s="31" t="str">
        <f>IF(线路设计!Z15="","",线路设计!Z15)</f>
        <v/>
      </c>
      <c r="P89" s="31" t="str">
        <f>IF(线路设计!AA15="","",线路设计!AA15)</f>
        <v/>
      </c>
      <c r="Q89" s="31" t="str">
        <f>IF(线路设计!AB15="","",线路设计!AB15)</f>
        <v/>
      </c>
      <c r="R89" s="31">
        <f>IF(线路设计!AC15="","",线路设计!AC15)</f>
        <v>0</v>
      </c>
      <c r="U89" s="31">
        <f t="shared" si="28"/>
        <v>1</v>
      </c>
      <c r="V89" s="31">
        <v>5</v>
      </c>
      <c r="AB89" s="31" t="str">
        <f t="shared" si="30"/>
        <v/>
      </c>
      <c r="AC89" s="31" t="str">
        <f t="shared" si="31"/>
        <v/>
      </c>
      <c r="AI89" s="20" t="s">
        <v>535</v>
      </c>
      <c r="AJ89" s="19">
        <f>IF(AI89&lt;&gt;AI88,MAX($AJ$5:$AJ88)+1,AJ88)</f>
        <v>19</v>
      </c>
      <c r="AK89" s="20">
        <v>85</v>
      </c>
      <c r="AL89" s="31" t="str">
        <f>IFERROR(INDEX($BG$5:$BG$50,MATCH($AK89,BJ$5:BJ$50,0)),"")</f>
        <v/>
      </c>
      <c r="AM89" s="31">
        <f>IFERROR(INDEX($BG$5:$BG$50,MATCH($AK89,BK$5:BK$50,0)),"")</f>
        <v>147</v>
      </c>
      <c r="AN89" s="31" t="str">
        <f>IFERROR(INDEX($BG$5:$BG$50,MATCH($AK89,BL$5:BL$50,0)),"")</f>
        <v/>
      </c>
      <c r="AO89" s="31" t="str">
        <f>IFERROR(INDEX($BG$5:$BG$50,MATCH($AK89,BM$5:BM$50,0)),"")</f>
        <v/>
      </c>
      <c r="AP89" s="31" t="str">
        <f>IFERROR(INDEX($BG$5:$BG$50,MATCH($AK89,BN$5:BN$50,0)),"")</f>
        <v/>
      </c>
      <c r="AQ89" s="31" t="str">
        <f>IFERROR(INDEX($BG$5:$BG$50,MATCH($AK89,#REF!,0)),"")</f>
        <v/>
      </c>
      <c r="AR89" s="19">
        <f t="shared" si="27"/>
        <v>147</v>
      </c>
      <c r="AS89" s="22">
        <f>IF(AR89&lt;&gt;AR88,"",AK88)</f>
        <v>84</v>
      </c>
      <c r="AT89" s="23" t="str">
        <f t="shared" si="22"/>
        <v>147+84</v>
      </c>
      <c r="AW89" s="22" t="str">
        <f t="shared" si="23"/>
        <v/>
      </c>
      <c r="AX89" s="32" t="str">
        <f>IF(AY89="",AK90,"")</f>
        <v/>
      </c>
      <c r="AY89" s="32">
        <f>IFERROR(INDEX($BG$5:$BG$50,MATCH($AK89,$BH$5:$BH$50,0)),"")</f>
        <v>151</v>
      </c>
      <c r="AZ89" s="32" t="str">
        <f t="shared" si="24"/>
        <v/>
      </c>
      <c r="BA89" s="32" t="str">
        <f t="shared" si="25"/>
        <v/>
      </c>
      <c r="BB89" s="22" t="str">
        <f t="shared" si="26"/>
        <v>151</v>
      </c>
      <c r="BD89" s="40"/>
      <c r="BU89" s="34"/>
      <c r="BV89" s="34"/>
      <c r="BY89" s="33"/>
      <c r="BZ89" s="33"/>
    </row>
    <row r="90" spans="3:78" x14ac:dyDescent="0.15">
      <c r="C90" s="20" t="s">
        <v>535</v>
      </c>
      <c r="D90" s="20">
        <v>86</v>
      </c>
      <c r="L90" s="31">
        <f t="shared" si="29"/>
        <v>1</v>
      </c>
      <c r="M90" s="31">
        <f>IF(线路设计!X16="","",线路设计!X16)</f>
        <v>6</v>
      </c>
      <c r="N90" s="31" t="str">
        <f>IF(线路设计!Y16="","",线路设计!Y16)</f>
        <v/>
      </c>
      <c r="O90" s="31" t="str">
        <f>IF(线路设计!Z16="","",线路设计!Z16)</f>
        <v/>
      </c>
      <c r="P90" s="31" t="str">
        <f>IF(线路设计!AA16="","",线路设计!AA16)</f>
        <v/>
      </c>
      <c r="Q90" s="31" t="str">
        <f>IF(线路设计!AB16="","",线路设计!AB16)</f>
        <v/>
      </c>
      <c r="R90" s="31">
        <f>IF(线路设计!AC16="","",线路设计!AC16)</f>
        <v>0</v>
      </c>
      <c r="U90" s="31">
        <f t="shared" si="28"/>
        <v>1</v>
      </c>
      <c r="V90" s="31">
        <v>6</v>
      </c>
      <c r="AB90" s="31" t="str">
        <f t="shared" si="30"/>
        <v/>
      </c>
      <c r="AC90" s="31" t="str">
        <f t="shared" si="31"/>
        <v/>
      </c>
      <c r="AI90" s="20" t="s">
        <v>535</v>
      </c>
      <c r="AJ90" s="19">
        <f>IF(AI90&lt;&gt;AI89,MAX($AJ$5:$AJ89)+1,AJ89)</f>
        <v>19</v>
      </c>
      <c r="AK90" s="20">
        <v>86</v>
      </c>
      <c r="AL90" s="31">
        <f>IFERROR(INDEX($BG$5:$BG$50,MATCH($AK90,BJ$5:BJ$50,0)),"")</f>
        <v>148</v>
      </c>
      <c r="AM90" s="31" t="str">
        <f>IFERROR(INDEX($BG$5:$BG$50,MATCH($AK90,BK$5:BK$50,0)),"")</f>
        <v/>
      </c>
      <c r="AN90" s="31" t="str">
        <f>IFERROR(INDEX($BG$5:$BG$50,MATCH($AK90,BL$5:BL$50,0)),"")</f>
        <v/>
      </c>
      <c r="AO90" s="31" t="str">
        <f>IFERROR(INDEX($BG$5:$BG$50,MATCH($AK90,BM$5:BM$50,0)),"")</f>
        <v/>
      </c>
      <c r="AP90" s="31" t="str">
        <f>IFERROR(INDEX($BG$5:$BG$50,MATCH($AK90,BN$5:BN$50,0)),"")</f>
        <v/>
      </c>
      <c r="AQ90" s="31" t="str">
        <f>IFERROR(INDEX($BG$5:$BG$50,MATCH($AK90,#REF!,0)),"")</f>
        <v/>
      </c>
      <c r="AR90" s="19">
        <f t="shared" si="27"/>
        <v>148</v>
      </c>
      <c r="AS90" s="22" t="str">
        <f>IF(AR90&lt;&gt;AR89,"",AK89)</f>
        <v/>
      </c>
      <c r="AT90" s="23" t="str">
        <f t="shared" si="22"/>
        <v>148</v>
      </c>
      <c r="AW90" s="22" t="str">
        <f t="shared" si="23"/>
        <v/>
      </c>
      <c r="AX90" s="32">
        <f>IF(AY90="",AK91,"")</f>
        <v>87</v>
      </c>
      <c r="AY90" s="32" t="str">
        <f>IFERROR(INDEX($BG$5:$BG$50,MATCH($AK90,$BH$5:$BH$50,0)),"")</f>
        <v/>
      </c>
      <c r="AZ90" s="32" t="str">
        <f>IFERROR(INDEX($AF$5:$AF$14,MATCH($AK90,$AG$5:$AG$14,0)),"")</f>
        <v/>
      </c>
      <c r="BA90" s="32" t="str">
        <f t="shared" si="25"/>
        <v/>
      </c>
      <c r="BB90" s="22" t="str">
        <f t="shared" si="26"/>
        <v>87</v>
      </c>
      <c r="BD90" s="40"/>
      <c r="BU90" s="34"/>
      <c r="BV90" s="34"/>
      <c r="BY90" s="33"/>
      <c r="BZ90" s="33"/>
    </row>
    <row r="91" spans="3:78" x14ac:dyDescent="0.15">
      <c r="C91" s="20" t="s">
        <v>535</v>
      </c>
      <c r="D91" s="20">
        <v>87</v>
      </c>
      <c r="L91" s="31">
        <f t="shared" si="29"/>
        <v>2</v>
      </c>
      <c r="M91" s="31">
        <f>IF(线路设计!X17="","",线路设计!X17)</f>
        <v>7</v>
      </c>
      <c r="N91" s="31" t="str">
        <f>IF(线路设计!Y17="","",线路设计!Y17)</f>
        <v/>
      </c>
      <c r="O91" s="31" t="str">
        <f>IF(线路设计!Z17="","",线路设计!Z17)</f>
        <v/>
      </c>
      <c r="P91" s="31" t="str">
        <f>IF(线路设计!AA17="","",线路设计!AA17)</f>
        <v/>
      </c>
      <c r="Q91" s="31" t="str">
        <f>IF(线路设计!AB17="","",线路设计!AB17)</f>
        <v/>
      </c>
      <c r="R91" s="31">
        <f>IF(线路设计!AC17="","",线路设计!AC17)</f>
        <v>0</v>
      </c>
      <c r="U91" s="31">
        <f t="shared" si="28"/>
        <v>2</v>
      </c>
      <c r="V91" s="31">
        <v>7</v>
      </c>
      <c r="AB91" s="31" t="str">
        <f t="shared" si="30"/>
        <v/>
      </c>
      <c r="AC91" s="31" t="str">
        <f t="shared" si="31"/>
        <v/>
      </c>
      <c r="AI91" s="20" t="s">
        <v>535</v>
      </c>
      <c r="AJ91" s="19">
        <f>IF(AI91&lt;&gt;AI90,MAX($AJ$5:$AJ90)+1,AJ90)</f>
        <v>19</v>
      </c>
      <c r="AK91" s="20">
        <v>87</v>
      </c>
      <c r="AL91" s="31" t="str">
        <f>IFERROR(INDEX($BG$5:$BG$50,MATCH($AK91,BJ$5:BJ$50,0)),"")</f>
        <v/>
      </c>
      <c r="AM91" s="31">
        <f>IFERROR(INDEX($BG$5:$BG$50,MATCH($AK91,BK$5:BK$50,0)),"")</f>
        <v>148</v>
      </c>
      <c r="AN91" s="31" t="str">
        <f>IFERROR(INDEX($BG$5:$BG$50,MATCH($AK91,BL$5:BL$50,0)),"")</f>
        <v/>
      </c>
      <c r="AO91" s="31" t="str">
        <f>IFERROR(INDEX($BG$5:$BG$50,MATCH($AK91,BM$5:BM$50,0)),"")</f>
        <v/>
      </c>
      <c r="AP91" s="31" t="str">
        <f>IFERROR(INDEX($BG$5:$BG$50,MATCH($AK91,BN$5:BN$50,0)),"")</f>
        <v/>
      </c>
      <c r="AQ91" s="31" t="str">
        <f>IFERROR(INDEX($BG$5:$BG$50,MATCH($AK91,#REF!,0)),"")</f>
        <v/>
      </c>
      <c r="AR91" s="19">
        <f t="shared" si="27"/>
        <v>148</v>
      </c>
      <c r="AS91" s="22">
        <f>IF(AR91&lt;&gt;AR90,"",AK90)</f>
        <v>86</v>
      </c>
      <c r="AT91" s="23" t="str">
        <f t="shared" si="22"/>
        <v>148+86</v>
      </c>
      <c r="AW91" s="22" t="str">
        <f t="shared" si="23"/>
        <v/>
      </c>
      <c r="AX91" s="32" t="str">
        <f>IF(AY91="",AK92,"")</f>
        <v/>
      </c>
      <c r="AY91" s="32">
        <f>IFERROR(INDEX($BG$5:$BG$50,MATCH($AK91,$BH$5:$BH$50,0)),"")</f>
        <v>152</v>
      </c>
      <c r="AZ91" s="32" t="str">
        <f t="shared" si="24"/>
        <v/>
      </c>
      <c r="BA91" s="32" t="str">
        <f t="shared" si="25"/>
        <v/>
      </c>
      <c r="BB91" s="22" t="str">
        <f t="shared" si="26"/>
        <v>152</v>
      </c>
      <c r="BD91" s="40"/>
      <c r="BU91" s="34"/>
      <c r="BV91" s="34"/>
      <c r="BY91" s="33"/>
      <c r="BZ91" s="33"/>
    </row>
    <row r="92" spans="3:78" x14ac:dyDescent="0.15">
      <c r="C92" s="20" t="s">
        <v>535</v>
      </c>
      <c r="D92" s="20">
        <v>88</v>
      </c>
      <c r="L92" s="31">
        <f t="shared" si="29"/>
        <v>2</v>
      </c>
      <c r="M92" s="31">
        <f>IF(线路设计!X18="","",线路设计!X18)</f>
        <v>8</v>
      </c>
      <c r="N92" s="31" t="str">
        <f>IF(线路设计!Y18="","",线路设计!Y18)</f>
        <v/>
      </c>
      <c r="O92" s="31" t="str">
        <f>IF(线路设计!Z18="","",线路设计!Z18)</f>
        <v/>
      </c>
      <c r="P92" s="31" t="str">
        <f>IF(线路设计!AA18="","",线路设计!AA18)</f>
        <v/>
      </c>
      <c r="Q92" s="31" t="str">
        <f>IF(线路设计!AB18="","",线路设计!AB18)</f>
        <v/>
      </c>
      <c r="R92" s="31">
        <f>IF(线路设计!AC18="","",线路设计!AC18)</f>
        <v>0</v>
      </c>
      <c r="U92" s="31">
        <f t="shared" si="28"/>
        <v>2</v>
      </c>
      <c r="V92" s="31">
        <v>8</v>
      </c>
      <c r="AB92" s="31" t="str">
        <f t="shared" si="30"/>
        <v/>
      </c>
      <c r="AC92" s="31" t="str">
        <f t="shared" si="31"/>
        <v/>
      </c>
      <c r="AI92" s="20" t="s">
        <v>535</v>
      </c>
      <c r="AJ92" s="19">
        <f>IF(AI92&lt;&gt;AI91,MAX($AJ$5:$AJ91)+1,AJ91)</f>
        <v>19</v>
      </c>
      <c r="AK92" s="20">
        <v>88</v>
      </c>
      <c r="AL92" s="31">
        <f>IFERROR(INDEX($BG$5:$BG$50,MATCH($AK92,BJ$5:BJ$50,0)),"")</f>
        <v>149</v>
      </c>
      <c r="AM92" s="31" t="str">
        <f>IFERROR(INDEX($BG$5:$BG$50,MATCH($AK92,BK$5:BK$50,0)),"")</f>
        <v/>
      </c>
      <c r="AN92" s="31" t="str">
        <f>IFERROR(INDEX($BG$5:$BG$50,MATCH($AK92,BL$5:BL$50,0)),"")</f>
        <v/>
      </c>
      <c r="AO92" s="31" t="str">
        <f>IFERROR(INDEX($BG$5:$BG$50,MATCH($AK92,BM$5:BM$50,0)),"")</f>
        <v/>
      </c>
      <c r="AP92" s="31" t="str">
        <f>IFERROR(INDEX($BG$5:$BG$50,MATCH($AK92,BN$5:BN$50,0)),"")</f>
        <v/>
      </c>
      <c r="AQ92" s="31" t="str">
        <f>IFERROR(INDEX($BG$5:$BG$50,MATCH($AK92,#REF!,0)),"")</f>
        <v/>
      </c>
      <c r="AR92" s="19">
        <f t="shared" si="27"/>
        <v>149</v>
      </c>
      <c r="AS92" s="22" t="str">
        <f>IF(AR92&lt;&gt;AR91,"",AK91)</f>
        <v/>
      </c>
      <c r="AT92" s="23" t="str">
        <f t="shared" si="22"/>
        <v>149</v>
      </c>
      <c r="AW92" s="22" t="str">
        <f t="shared" si="23"/>
        <v/>
      </c>
      <c r="AX92" s="32">
        <f>IF(AY92="",AK93,"")</f>
        <v>89</v>
      </c>
      <c r="AY92" s="32" t="str">
        <f>IFERROR(INDEX($BG$5:$BG$50,MATCH($AK92,$BH$5:$BH$50,0)),"")</f>
        <v/>
      </c>
      <c r="AZ92" s="32">
        <f t="shared" si="24"/>
        <v>114</v>
      </c>
      <c r="BA92" s="32" t="str">
        <f t="shared" si="25"/>
        <v/>
      </c>
      <c r="BB92" s="22" t="str">
        <f t="shared" si="26"/>
        <v>89+114</v>
      </c>
      <c r="BD92" s="40"/>
      <c r="BU92" s="34"/>
      <c r="BV92" s="34"/>
      <c r="BY92" s="33"/>
      <c r="BZ92" s="33"/>
    </row>
    <row r="93" spans="3:78" x14ac:dyDescent="0.15">
      <c r="C93" s="20" t="s">
        <v>535</v>
      </c>
      <c r="D93" s="20">
        <v>89</v>
      </c>
      <c r="L93" s="31">
        <f t="shared" si="29"/>
        <v>2</v>
      </c>
      <c r="M93" s="31">
        <f>IF(线路设计!X19="","",线路设计!X19)</f>
        <v>9</v>
      </c>
      <c r="N93" s="31" t="str">
        <f>IF(线路设计!Y19="","",线路设计!Y19)</f>
        <v/>
      </c>
      <c r="O93" s="31" t="str">
        <f>IF(线路设计!Z19="","",线路设计!Z19)</f>
        <v/>
      </c>
      <c r="P93" s="31" t="str">
        <f>IF(线路设计!AA19="","",线路设计!AA19)</f>
        <v/>
      </c>
      <c r="Q93" s="31" t="str">
        <f>IF(线路设计!AB19="","",线路设计!AB19)</f>
        <v/>
      </c>
      <c r="R93" s="31">
        <f>IF(线路设计!AC19="","",线路设计!AC19)</f>
        <v>0</v>
      </c>
      <c r="U93" s="31">
        <f t="shared" si="28"/>
        <v>2</v>
      </c>
      <c r="V93" s="31">
        <v>9</v>
      </c>
      <c r="AB93" s="31" t="str">
        <f t="shared" si="30"/>
        <v/>
      </c>
      <c r="AC93" s="31" t="str">
        <f t="shared" si="31"/>
        <v/>
      </c>
      <c r="AI93" s="20" t="s">
        <v>535</v>
      </c>
      <c r="AJ93" s="19">
        <f>IF(AI93&lt;&gt;AI92,MAX($AJ$5:$AJ92)+1,AJ92)</f>
        <v>19</v>
      </c>
      <c r="AK93" s="20">
        <v>89</v>
      </c>
      <c r="AL93" s="31" t="str">
        <f>IFERROR(INDEX($BG$5:$BG$50,MATCH($AK93,BJ$5:BJ$50,0)),"")</f>
        <v/>
      </c>
      <c r="AM93" s="31">
        <f>IFERROR(INDEX($BG$5:$BG$50,MATCH($AK93,BK$5:BK$50,0)),"")</f>
        <v>149</v>
      </c>
      <c r="AN93" s="31" t="str">
        <f>IFERROR(INDEX($BG$5:$BG$50,MATCH($AK93,BL$5:BL$50,0)),"")</f>
        <v/>
      </c>
      <c r="AO93" s="31" t="str">
        <f>IFERROR(INDEX($BG$5:$BG$50,MATCH($AK93,BM$5:BM$50,0)),"")</f>
        <v/>
      </c>
      <c r="AP93" s="31" t="str">
        <f>IFERROR(INDEX($BG$5:$BG$50,MATCH($AK93,BN$5:BN$50,0)),"")</f>
        <v/>
      </c>
      <c r="AQ93" s="31" t="str">
        <f>IFERROR(INDEX($BG$5:$BG$50,MATCH($AK93,#REF!,0)),"")</f>
        <v/>
      </c>
      <c r="AR93" s="19">
        <f t="shared" si="27"/>
        <v>149</v>
      </c>
      <c r="AS93" s="22">
        <f>IF(AR93&lt;&gt;AR92,"",AK92)</f>
        <v>88</v>
      </c>
      <c r="AT93" s="23" t="str">
        <f t="shared" si="22"/>
        <v>149+88</v>
      </c>
      <c r="AW93" s="22" t="str">
        <f t="shared" si="23"/>
        <v/>
      </c>
      <c r="AX93" s="32" t="str">
        <f>IF(AY93="",AK94,"")</f>
        <v/>
      </c>
      <c r="AY93" s="32">
        <f>IFERROR(INDEX($BG$5:$BG$50,MATCH($AK93,$BH$5:$BH$50,0)),"")</f>
        <v>153</v>
      </c>
      <c r="AZ93" s="32" t="str">
        <f t="shared" si="24"/>
        <v/>
      </c>
      <c r="BA93" s="32" t="str">
        <f t="shared" si="25"/>
        <v/>
      </c>
      <c r="BB93" s="22" t="str">
        <f t="shared" si="26"/>
        <v>153</v>
      </c>
      <c r="BD93" s="40"/>
      <c r="BU93" s="34"/>
      <c r="BV93" s="34"/>
      <c r="BY93" s="33"/>
      <c r="BZ93" s="33"/>
    </row>
    <row r="94" spans="3:78" x14ac:dyDescent="0.15">
      <c r="C94" s="31" t="s">
        <v>536</v>
      </c>
      <c r="D94" s="31">
        <v>90</v>
      </c>
      <c r="L94" s="31">
        <f t="shared" si="29"/>
        <v>2</v>
      </c>
      <c r="M94" s="31">
        <f>IF(线路设计!X20="","",线路设计!X20)</f>
        <v>10</v>
      </c>
      <c r="N94" s="31" t="str">
        <f>IF(线路设计!Y20="","",线路设计!Y20)</f>
        <v/>
      </c>
      <c r="O94" s="31" t="str">
        <f>IF(线路设计!Z20="","",线路设计!Z20)</f>
        <v/>
      </c>
      <c r="P94" s="31" t="str">
        <f>IF(线路设计!AA20="","",线路设计!AA20)</f>
        <v/>
      </c>
      <c r="Q94" s="31" t="str">
        <f>IF(线路设计!AB20="","",线路设计!AB20)</f>
        <v/>
      </c>
      <c r="R94" s="31">
        <f>IF(线路设计!AC20="","",线路设计!AC20)</f>
        <v>0</v>
      </c>
      <c r="U94" s="31">
        <f t="shared" si="28"/>
        <v>2</v>
      </c>
      <c r="V94" s="31">
        <v>10</v>
      </c>
      <c r="AB94" s="31" t="str">
        <f t="shared" si="30"/>
        <v/>
      </c>
      <c r="AC94" s="31" t="str">
        <f t="shared" si="31"/>
        <v/>
      </c>
      <c r="AI94" s="31" t="s">
        <v>536</v>
      </c>
      <c r="AJ94" s="19">
        <f>IF(AI94&lt;&gt;AI93,MAX($AJ$5:$AJ93)+1,AJ93)</f>
        <v>20</v>
      </c>
      <c r="AK94" s="31">
        <v>90</v>
      </c>
      <c r="AL94" s="31">
        <f>IFERROR(INDEX($BG$5:$BG$50,MATCH($AK94,BJ$5:BJ$50,0)),"")</f>
        <v>150</v>
      </c>
      <c r="AM94" s="31" t="str">
        <f>IFERROR(INDEX($BG$5:$BG$50,MATCH($AK94,BK$5:BK$50,0)),"")</f>
        <v/>
      </c>
      <c r="AN94" s="31" t="str">
        <f>IFERROR(INDEX($BG$5:$BG$50,MATCH($AK94,BL$5:BL$50,0)),"")</f>
        <v/>
      </c>
      <c r="AO94" s="31" t="str">
        <f>IFERROR(INDEX($BG$5:$BG$50,MATCH($AK94,BM$5:BM$50,0)),"")</f>
        <v/>
      </c>
      <c r="AP94" s="31" t="str">
        <f>IFERROR(INDEX($BG$5:$BG$50,MATCH($AK94,BN$5:BN$50,0)),"")</f>
        <v/>
      </c>
      <c r="AQ94" s="31" t="str">
        <f>IFERROR(INDEX($BG$5:$BG$50,MATCH($AK94,#REF!,0)),"")</f>
        <v/>
      </c>
      <c r="AR94" s="19">
        <f t="shared" si="27"/>
        <v>150</v>
      </c>
      <c r="AS94" s="22" t="str">
        <f>IF(AR94&lt;&gt;AR93,"",AK93)</f>
        <v/>
      </c>
      <c r="AT94" s="23" t="str">
        <f t="shared" si="22"/>
        <v>150</v>
      </c>
      <c r="AW94" s="22" t="str">
        <f t="shared" si="23"/>
        <v/>
      </c>
      <c r="AX94" s="32">
        <f>IF(AY94="",AK95,"")</f>
        <v>91</v>
      </c>
      <c r="AY94" s="32" t="str">
        <f>IFERROR(INDEX($BG$5:$BG$50,MATCH($AK94,$BH$5:$BH$50,0)),"")</f>
        <v/>
      </c>
      <c r="AZ94" s="32" t="str">
        <f t="shared" si="24"/>
        <v/>
      </c>
      <c r="BA94" s="32" t="str">
        <f t="shared" si="25"/>
        <v/>
      </c>
      <c r="BB94" s="22" t="str">
        <f t="shared" si="26"/>
        <v>91</v>
      </c>
      <c r="BD94" s="40"/>
      <c r="BU94" s="34"/>
      <c r="BV94" s="34"/>
      <c r="BY94" s="33"/>
      <c r="BZ94" s="33"/>
    </row>
    <row r="95" spans="3:78" x14ac:dyDescent="0.15">
      <c r="C95" s="31" t="s">
        <v>536</v>
      </c>
      <c r="D95" s="31">
        <v>91</v>
      </c>
      <c r="L95" s="31">
        <f t="shared" si="29"/>
        <v>2</v>
      </c>
      <c r="M95" s="31">
        <f>IF(线路设计!X21="","",线路设计!X21)</f>
        <v>11</v>
      </c>
      <c r="N95" s="31" t="str">
        <f>IF(线路设计!Y21="","",线路设计!Y21)</f>
        <v/>
      </c>
      <c r="O95" s="31" t="str">
        <f>IF(线路设计!Z21="","",线路设计!Z21)</f>
        <v/>
      </c>
      <c r="P95" s="31" t="str">
        <f>IF(线路设计!AA21="","",线路设计!AA21)</f>
        <v/>
      </c>
      <c r="Q95" s="31" t="str">
        <f>IF(线路设计!AB21="","",线路设计!AB21)</f>
        <v/>
      </c>
      <c r="R95" s="31">
        <f>IF(线路设计!AC21="","",线路设计!AC21)</f>
        <v>0</v>
      </c>
      <c r="U95" s="31">
        <f t="shared" si="28"/>
        <v>2</v>
      </c>
      <c r="V95" s="31">
        <v>11</v>
      </c>
      <c r="AB95" s="31" t="str">
        <f t="shared" si="30"/>
        <v/>
      </c>
      <c r="AC95" s="31" t="str">
        <f t="shared" si="31"/>
        <v/>
      </c>
      <c r="AI95" s="31" t="s">
        <v>536</v>
      </c>
      <c r="AJ95" s="19">
        <f>IF(AI95&lt;&gt;AI94,MAX($AJ$5:$AJ94)+1,AJ94)</f>
        <v>20</v>
      </c>
      <c r="AK95" s="31">
        <v>91</v>
      </c>
      <c r="AL95" s="31" t="str">
        <f>IFERROR(INDEX($BG$5:$BG$50,MATCH($AK95,BJ$5:BJ$50,0)),"")</f>
        <v/>
      </c>
      <c r="AM95" s="31">
        <f>IFERROR(INDEX($BG$5:$BG$50,MATCH($AK95,BK$5:BK$50,0)),"")</f>
        <v>150</v>
      </c>
      <c r="AN95" s="31" t="str">
        <f>IFERROR(INDEX($BG$5:$BG$50,MATCH($AK95,BL$5:BL$50,0)),"")</f>
        <v/>
      </c>
      <c r="AO95" s="31" t="str">
        <f>IFERROR(INDEX($BG$5:$BG$50,MATCH($AK95,BM$5:BM$50,0)),"")</f>
        <v/>
      </c>
      <c r="AP95" s="31" t="str">
        <f>IFERROR(INDEX($BG$5:$BG$50,MATCH($AK95,BN$5:BN$50,0)),"")</f>
        <v/>
      </c>
      <c r="AQ95" s="31" t="str">
        <f>IFERROR(INDEX($BG$5:$BG$50,MATCH($AK95,#REF!,0)),"")</f>
        <v/>
      </c>
      <c r="AR95" s="19">
        <f t="shared" si="27"/>
        <v>150</v>
      </c>
      <c r="AS95" s="22">
        <f>IF(AR95&lt;&gt;AR94,"",AK94)</f>
        <v>90</v>
      </c>
      <c r="AT95" s="23" t="str">
        <f t="shared" si="22"/>
        <v>150+90</v>
      </c>
      <c r="AW95" s="22" t="str">
        <f t="shared" si="23"/>
        <v/>
      </c>
      <c r="AX95" s="32" t="str">
        <f>IF(AY95="",AK96,"")</f>
        <v/>
      </c>
      <c r="AY95" s="32">
        <f>IFERROR(INDEX($BG$5:$BG$50,MATCH($AK95,$BH$5:$BH$50,0)),"")</f>
        <v>154</v>
      </c>
      <c r="AZ95" s="32" t="str">
        <f t="shared" si="24"/>
        <v/>
      </c>
      <c r="BA95" s="32" t="str">
        <f t="shared" si="25"/>
        <v/>
      </c>
      <c r="BB95" s="22" t="str">
        <f t="shared" si="26"/>
        <v>154</v>
      </c>
      <c r="BD95" s="40"/>
      <c r="BU95" s="34"/>
      <c r="BV95" s="34"/>
      <c r="BY95" s="33"/>
      <c r="BZ95" s="33"/>
    </row>
    <row r="96" spans="3:78" x14ac:dyDescent="0.15">
      <c r="C96" s="31" t="s">
        <v>536</v>
      </c>
      <c r="D96" s="31">
        <v>92</v>
      </c>
      <c r="L96" s="31">
        <f t="shared" si="29"/>
        <v>2</v>
      </c>
      <c r="M96" s="31">
        <f>IF(线路设计!X22="","",线路设计!X22)</f>
        <v>12</v>
      </c>
      <c r="N96" s="31" t="str">
        <f>IF(线路设计!Y22="","",线路设计!Y22)</f>
        <v/>
      </c>
      <c r="O96" s="31" t="str">
        <f>IF(线路设计!Z22="","",线路设计!Z22)</f>
        <v/>
      </c>
      <c r="P96" s="31" t="str">
        <f>IF(线路设计!AA22="","",线路设计!AA22)</f>
        <v/>
      </c>
      <c r="Q96" s="31" t="str">
        <f>IF(线路设计!AB22="","",线路设计!AB22)</f>
        <v/>
      </c>
      <c r="R96" s="31">
        <f>IF(线路设计!AC22="","",线路设计!AC22)</f>
        <v>0</v>
      </c>
      <c r="U96" s="31">
        <f t="shared" si="28"/>
        <v>2</v>
      </c>
      <c r="V96" s="31">
        <v>12</v>
      </c>
      <c r="AB96" s="31" t="str">
        <f t="shared" si="30"/>
        <v/>
      </c>
      <c r="AC96" s="31" t="str">
        <f t="shared" si="31"/>
        <v/>
      </c>
      <c r="AI96" s="31" t="s">
        <v>536</v>
      </c>
      <c r="AJ96" s="19">
        <f>IF(AI96&lt;&gt;AI95,MAX($AJ$5:$AJ95)+1,AJ95)</f>
        <v>20</v>
      </c>
      <c r="AK96" s="31">
        <v>92</v>
      </c>
      <c r="AL96" s="31">
        <f>IFERROR(INDEX($BG$5:$BG$50,MATCH($AK96,BJ$5:BJ$50,0)),"")</f>
        <v>151</v>
      </c>
      <c r="AM96" s="31" t="str">
        <f>IFERROR(INDEX($BG$5:$BG$50,MATCH($AK96,BK$5:BK$50,0)),"")</f>
        <v/>
      </c>
      <c r="AN96" s="31" t="str">
        <f>IFERROR(INDEX($BG$5:$BG$50,MATCH($AK96,BL$5:BL$50,0)),"")</f>
        <v/>
      </c>
      <c r="AO96" s="31" t="str">
        <f>IFERROR(INDEX($BG$5:$BG$50,MATCH($AK96,BM$5:BM$50,0)),"")</f>
        <v/>
      </c>
      <c r="AP96" s="31" t="str">
        <f>IFERROR(INDEX($BG$5:$BG$50,MATCH($AK96,BN$5:BN$50,0)),"")</f>
        <v/>
      </c>
      <c r="AQ96" s="31" t="str">
        <f>IFERROR(INDEX($BG$5:$BG$50,MATCH($AK96,#REF!,0)),"")</f>
        <v/>
      </c>
      <c r="AR96" s="19">
        <f t="shared" si="27"/>
        <v>151</v>
      </c>
      <c r="AS96" s="22" t="str">
        <f>IF(AR96&lt;&gt;AR95,"",AK95)</f>
        <v/>
      </c>
      <c r="AT96" s="23" t="str">
        <f t="shared" si="22"/>
        <v>151</v>
      </c>
      <c r="AW96" s="22" t="str">
        <f t="shared" si="23"/>
        <v/>
      </c>
      <c r="AX96" s="32">
        <f>IF(AY96="",AK97,"")</f>
        <v>93</v>
      </c>
      <c r="AY96" s="32" t="str">
        <f>IFERROR(INDEX($BG$5:$BG$50,MATCH($AK96,$BH$5:$BH$50,0)),"")</f>
        <v/>
      </c>
      <c r="AZ96" s="32" t="str">
        <f t="shared" si="24"/>
        <v/>
      </c>
      <c r="BA96" s="32">
        <f t="shared" si="25"/>
        <v>170</v>
      </c>
      <c r="BB96" s="22" t="str">
        <f t="shared" si="26"/>
        <v>93+170</v>
      </c>
      <c r="BD96" s="40"/>
      <c r="BU96" s="34"/>
      <c r="BV96" s="34"/>
      <c r="BY96" s="33"/>
      <c r="BZ96" s="33"/>
    </row>
    <row r="97" spans="3:78" x14ac:dyDescent="0.15">
      <c r="C97" s="31" t="s">
        <v>536</v>
      </c>
      <c r="D97" s="31">
        <v>93</v>
      </c>
      <c r="L97" s="31">
        <f t="shared" si="29"/>
        <v>3</v>
      </c>
      <c r="M97" s="31">
        <f>IF(线路设计!X23="","",线路设计!X23)</f>
        <v>13</v>
      </c>
      <c r="N97" s="31" t="str">
        <f>IF(线路设计!Y23="","",线路设计!Y23)</f>
        <v/>
      </c>
      <c r="O97" s="31" t="str">
        <f>IF(线路设计!Z23="","",线路设计!Z23)</f>
        <v/>
      </c>
      <c r="P97" s="31" t="str">
        <f>IF(线路设计!AA23="","",线路设计!AA23)</f>
        <v/>
      </c>
      <c r="Q97" s="31" t="str">
        <f>IF(线路设计!AB23="","",线路设计!AB23)</f>
        <v/>
      </c>
      <c r="R97" s="31">
        <f>IF(线路设计!AC23="","",线路设计!AC23)</f>
        <v>0</v>
      </c>
      <c r="U97" s="31">
        <f t="shared" si="28"/>
        <v>3</v>
      </c>
      <c r="V97" s="31">
        <v>13</v>
      </c>
      <c r="AB97" s="31" t="str">
        <f t="shared" si="30"/>
        <v/>
      </c>
      <c r="AC97" s="31" t="str">
        <f t="shared" si="31"/>
        <v/>
      </c>
      <c r="AI97" s="31" t="s">
        <v>536</v>
      </c>
      <c r="AJ97" s="19">
        <f>IF(AI97&lt;&gt;AI96,MAX($AJ$5:$AJ96)+1,AJ96)</f>
        <v>20</v>
      </c>
      <c r="AK97" s="31">
        <v>93</v>
      </c>
      <c r="AL97" s="31" t="str">
        <f>IFERROR(INDEX($BG$5:$BG$50,MATCH($AK97,BJ$5:BJ$50,0)),"")</f>
        <v/>
      </c>
      <c r="AM97" s="31">
        <f>IFERROR(INDEX($BG$5:$BG$50,MATCH($AK97,BK$5:BK$50,0)),"")</f>
        <v>151</v>
      </c>
      <c r="AN97" s="31" t="str">
        <f>IFERROR(INDEX($BG$5:$BG$50,MATCH($AK97,BL$5:BL$50,0)),"")</f>
        <v/>
      </c>
      <c r="AO97" s="31" t="str">
        <f>IFERROR(INDEX($BG$5:$BG$50,MATCH($AK97,BM$5:BM$50,0)),"")</f>
        <v/>
      </c>
      <c r="AP97" s="31" t="str">
        <f>IFERROR(INDEX($BG$5:$BG$50,MATCH($AK97,BN$5:BN$50,0)),"")</f>
        <v/>
      </c>
      <c r="AQ97" s="31" t="str">
        <f>IFERROR(INDEX($BG$5:$BG$50,MATCH($AK97,#REF!,0)),"")</f>
        <v/>
      </c>
      <c r="AR97" s="19">
        <f t="shared" si="27"/>
        <v>151</v>
      </c>
      <c r="AS97" s="22">
        <f>IF(AR97&lt;&gt;AR96,"",AK96)</f>
        <v>92</v>
      </c>
      <c r="AT97" s="23" t="str">
        <f t="shared" si="22"/>
        <v>151+92</v>
      </c>
      <c r="AW97" s="22" t="str">
        <f t="shared" si="23"/>
        <v/>
      </c>
      <c r="AX97" s="32" t="str">
        <f>IF(AY97="",AK98,"")</f>
        <v/>
      </c>
      <c r="AY97" s="32">
        <f>IFERROR(INDEX($BG$5:$BG$50,MATCH($AK97,$BH$5:$BH$50,0)),"")</f>
        <v>155</v>
      </c>
      <c r="AZ97" s="32" t="str">
        <f t="shared" si="24"/>
        <v/>
      </c>
      <c r="BA97" s="32" t="str">
        <f t="shared" si="25"/>
        <v/>
      </c>
      <c r="BB97" s="22" t="str">
        <f t="shared" si="26"/>
        <v>155</v>
      </c>
      <c r="BD97" s="40"/>
      <c r="BU97" s="34"/>
      <c r="BV97" s="34"/>
      <c r="BY97" s="33"/>
      <c r="BZ97" s="33"/>
    </row>
    <row r="98" spans="3:78" x14ac:dyDescent="0.15">
      <c r="C98" s="31" t="s">
        <v>536</v>
      </c>
      <c r="D98" s="31">
        <v>94</v>
      </c>
      <c r="L98" s="31">
        <f t="shared" si="29"/>
        <v>3</v>
      </c>
      <c r="M98" s="31">
        <f>IF(线路设计!X24="","",线路设计!X24)</f>
        <v>14</v>
      </c>
      <c r="N98" s="31" t="str">
        <f>IF(线路设计!Y24="","",线路设计!Y24)</f>
        <v/>
      </c>
      <c r="O98" s="31" t="str">
        <f>IF(线路设计!Z24="","",线路设计!Z24)</f>
        <v/>
      </c>
      <c r="P98" s="31" t="str">
        <f>IF(线路设计!AA24="","",线路设计!AA24)</f>
        <v/>
      </c>
      <c r="Q98" s="31" t="str">
        <f>IF(线路设计!AB24="","",线路设计!AB24)</f>
        <v/>
      </c>
      <c r="R98" s="31">
        <f>IF(线路设计!AC24="","",线路设计!AC24)</f>
        <v>0</v>
      </c>
      <c r="U98" s="31">
        <f t="shared" si="28"/>
        <v>3</v>
      </c>
      <c r="V98" s="31">
        <v>14</v>
      </c>
      <c r="AB98" s="31" t="str">
        <f t="shared" si="30"/>
        <v/>
      </c>
      <c r="AC98" s="31" t="str">
        <f t="shared" si="31"/>
        <v/>
      </c>
      <c r="AI98" s="31" t="s">
        <v>536</v>
      </c>
      <c r="AJ98" s="19">
        <f>IF(AI98&lt;&gt;AI97,MAX($AJ$5:$AJ97)+1,AJ97)</f>
        <v>20</v>
      </c>
      <c r="AK98" s="31">
        <v>94</v>
      </c>
      <c r="AL98" s="31">
        <f>IFERROR(INDEX($BG$5:$BG$50,MATCH($AK98,BJ$5:BJ$50,0)),"")</f>
        <v>152</v>
      </c>
      <c r="AM98" s="31" t="str">
        <f>IFERROR(INDEX($BG$5:$BG$50,MATCH($AK98,BK$5:BK$50,0)),"")</f>
        <v/>
      </c>
      <c r="AN98" s="31" t="str">
        <f>IFERROR(INDEX($BG$5:$BG$50,MATCH($AK98,BL$5:BL$50,0)),"")</f>
        <v/>
      </c>
      <c r="AO98" s="31" t="str">
        <f>IFERROR(INDEX($BG$5:$BG$50,MATCH($AK98,BM$5:BM$50,0)),"")</f>
        <v/>
      </c>
      <c r="AP98" s="31" t="str">
        <f>IFERROR(INDEX($BG$5:$BG$50,MATCH($AK98,BN$5:BN$50,0)),"")</f>
        <v/>
      </c>
      <c r="AQ98" s="31" t="str">
        <f>IFERROR(INDEX($BG$5:$BG$50,MATCH($AK98,#REF!,0)),"")</f>
        <v/>
      </c>
      <c r="AR98" s="19">
        <f t="shared" si="27"/>
        <v>152</v>
      </c>
      <c r="AS98" s="22" t="str">
        <f>IF(AR98&lt;&gt;AR97,"",AK97)</f>
        <v/>
      </c>
      <c r="AT98" s="23" t="str">
        <f t="shared" si="22"/>
        <v>152</v>
      </c>
      <c r="AW98" s="22" t="str">
        <f t="shared" si="23"/>
        <v/>
      </c>
      <c r="AX98" s="32">
        <f>IF(AY98="",AK99,"")</f>
        <v>95</v>
      </c>
      <c r="AY98" s="32" t="str">
        <f>IFERROR(INDEX($BG$5:$BG$50,MATCH($AK98,$BH$5:$BH$50,0)),"")</f>
        <v/>
      </c>
      <c r="AZ98" s="32" t="str">
        <f t="shared" si="24"/>
        <v/>
      </c>
      <c r="BA98" s="32" t="str">
        <f t="shared" si="25"/>
        <v/>
      </c>
      <c r="BB98" s="22" t="str">
        <f t="shared" si="26"/>
        <v>95</v>
      </c>
      <c r="BD98" s="40"/>
      <c r="BU98" s="34"/>
      <c r="BV98" s="34"/>
      <c r="BY98" s="33"/>
      <c r="BZ98" s="33"/>
    </row>
    <row r="99" spans="3:78" x14ac:dyDescent="0.15">
      <c r="C99" s="31" t="s">
        <v>536</v>
      </c>
      <c r="D99" s="31">
        <v>95</v>
      </c>
      <c r="L99" s="31">
        <f t="shared" si="29"/>
        <v>3</v>
      </c>
      <c r="M99" s="31">
        <f>IF(线路设计!X25="","",线路设计!X25)</f>
        <v>15</v>
      </c>
      <c r="N99" s="31" t="str">
        <f>IF(线路设计!Y25="","",线路设计!Y25)</f>
        <v/>
      </c>
      <c r="O99" s="31" t="str">
        <f>IF(线路设计!Z25="","",线路设计!Z25)</f>
        <v/>
      </c>
      <c r="P99" s="31" t="str">
        <f>IF(线路设计!AA25="","",线路设计!AA25)</f>
        <v/>
      </c>
      <c r="Q99" s="31" t="str">
        <f>IF(线路设计!AB25="","",线路设计!AB25)</f>
        <v/>
      </c>
      <c r="R99" s="31">
        <f>IF(线路设计!AC25="","",线路设计!AC25)</f>
        <v>0</v>
      </c>
      <c r="U99" s="31">
        <f t="shared" si="28"/>
        <v>3</v>
      </c>
      <c r="V99" s="31">
        <v>15</v>
      </c>
      <c r="AB99" s="31" t="str">
        <f t="shared" si="30"/>
        <v/>
      </c>
      <c r="AC99" s="31" t="str">
        <f t="shared" si="31"/>
        <v/>
      </c>
      <c r="AI99" s="31" t="s">
        <v>536</v>
      </c>
      <c r="AJ99" s="19">
        <f>IF(AI99&lt;&gt;AI98,MAX($AJ$5:$AJ98)+1,AJ98)</f>
        <v>20</v>
      </c>
      <c r="AK99" s="31">
        <v>95</v>
      </c>
      <c r="AL99" s="31" t="str">
        <f>IFERROR(INDEX($BG$5:$BG$50,MATCH($AK99,BJ$5:BJ$50,0)),"")</f>
        <v/>
      </c>
      <c r="AM99" s="31">
        <f>IFERROR(INDEX($BG$5:$BG$50,MATCH($AK99,BK$5:BK$50,0)),"")</f>
        <v>152</v>
      </c>
      <c r="AN99" s="31" t="str">
        <f>IFERROR(INDEX($BG$5:$BG$50,MATCH($AK99,BL$5:BL$50,0)),"")</f>
        <v/>
      </c>
      <c r="AO99" s="31" t="str">
        <f>IFERROR(INDEX($BG$5:$BG$50,MATCH($AK99,BM$5:BM$50,0)),"")</f>
        <v/>
      </c>
      <c r="AP99" s="31" t="str">
        <f>IFERROR(INDEX($BG$5:$BG$50,MATCH($AK99,BN$5:BN$50,0)),"")</f>
        <v/>
      </c>
      <c r="AQ99" s="31" t="str">
        <f>IFERROR(INDEX($BG$5:$BG$50,MATCH($AK99,#REF!,0)),"")</f>
        <v/>
      </c>
      <c r="AR99" s="19">
        <f t="shared" si="27"/>
        <v>152</v>
      </c>
      <c r="AS99" s="22">
        <f>IF(AR99&lt;&gt;AR98,"",AK98)</f>
        <v>94</v>
      </c>
      <c r="AT99" s="23" t="str">
        <f t="shared" si="22"/>
        <v>152+94</v>
      </c>
      <c r="AW99" s="22" t="str">
        <f t="shared" si="23"/>
        <v/>
      </c>
      <c r="AX99" s="32" t="str">
        <f>IF(AY99="",AK100,"")</f>
        <v/>
      </c>
      <c r="AY99" s="32">
        <f>IFERROR(INDEX($BG$5:$BG$50,MATCH($AK99,$BH$5:$BH$50,0)),"")</f>
        <v>156</v>
      </c>
      <c r="AZ99" s="32" t="str">
        <f t="shared" si="24"/>
        <v/>
      </c>
      <c r="BA99" s="32" t="str">
        <f t="shared" si="25"/>
        <v/>
      </c>
      <c r="BB99" s="22" t="str">
        <f t="shared" si="26"/>
        <v>156</v>
      </c>
      <c r="BD99" s="40"/>
      <c r="BU99" s="34"/>
      <c r="BV99" s="34"/>
      <c r="BY99" s="33"/>
      <c r="BZ99" s="33"/>
    </row>
    <row r="100" spans="3:78" x14ac:dyDescent="0.15">
      <c r="C100" s="31" t="s">
        <v>536</v>
      </c>
      <c r="D100" s="31">
        <v>96</v>
      </c>
      <c r="L100" s="31">
        <f t="shared" si="29"/>
        <v>3</v>
      </c>
      <c r="M100" s="31">
        <f>IF(线路设计!X26="","",线路设计!X26)</f>
        <v>16</v>
      </c>
      <c r="N100" s="31" t="str">
        <f>IF(线路设计!Y26="","",线路设计!Y26)</f>
        <v/>
      </c>
      <c r="O100" s="31" t="str">
        <f>IF(线路设计!Z26="","",线路设计!Z26)</f>
        <v/>
      </c>
      <c r="P100" s="31" t="str">
        <f>IF(线路设计!AA26="","",线路设计!AA26)</f>
        <v/>
      </c>
      <c r="Q100" s="31" t="str">
        <f>IF(线路设计!AB26="","",线路设计!AB26)</f>
        <v/>
      </c>
      <c r="R100" s="31">
        <f>IF(线路设计!AC26="","",线路设计!AC26)</f>
        <v>0</v>
      </c>
      <c r="U100" s="31">
        <f t="shared" si="28"/>
        <v>3</v>
      </c>
      <c r="V100" s="31">
        <v>16</v>
      </c>
      <c r="AB100" s="31" t="str">
        <f t="shared" si="30"/>
        <v/>
      </c>
      <c r="AC100" s="31" t="str">
        <f t="shared" si="31"/>
        <v/>
      </c>
      <c r="AI100" s="31" t="s">
        <v>536</v>
      </c>
      <c r="AJ100" s="19">
        <f>IF(AI100&lt;&gt;AI99,MAX($AJ$5:$AJ99)+1,AJ99)</f>
        <v>20</v>
      </c>
      <c r="AK100" s="31">
        <v>96</v>
      </c>
      <c r="AL100" s="31">
        <f>IFERROR(INDEX($BG$5:$BG$50,MATCH($AK100,BJ$5:BJ$50,0)),"")</f>
        <v>153</v>
      </c>
      <c r="AM100" s="31" t="str">
        <f>IFERROR(INDEX($BG$5:$BG$50,MATCH($AK100,BK$5:BK$50,0)),"")</f>
        <v/>
      </c>
      <c r="AN100" s="31" t="str">
        <f>IFERROR(INDEX($BG$5:$BG$50,MATCH($AK100,BL$5:BL$50,0)),"")</f>
        <v/>
      </c>
      <c r="AO100" s="31" t="str">
        <f>IFERROR(INDEX($BG$5:$BG$50,MATCH($AK100,BM$5:BM$50,0)),"")</f>
        <v/>
      </c>
      <c r="AP100" s="31" t="str">
        <f>IFERROR(INDEX($BG$5:$BG$50,MATCH($AK100,BN$5:BN$50,0)),"")</f>
        <v/>
      </c>
      <c r="AQ100" s="31" t="str">
        <f>IFERROR(INDEX($BG$5:$BG$50,MATCH($AK100,#REF!,0)),"")</f>
        <v/>
      </c>
      <c r="AR100" s="19">
        <f t="shared" si="27"/>
        <v>153</v>
      </c>
      <c r="AS100" s="22" t="str">
        <f>IF(AR100&lt;&gt;AR99,"",AK99)</f>
        <v/>
      </c>
      <c r="AT100" s="23" t="str">
        <f t="shared" si="22"/>
        <v>153</v>
      </c>
      <c r="AW100" s="22" t="str">
        <f t="shared" si="23"/>
        <v/>
      </c>
      <c r="AX100" s="32">
        <f>IF(AY100="",AK101,"")</f>
        <v>97</v>
      </c>
      <c r="AY100" s="32" t="str">
        <f>IFERROR(INDEX($BG$5:$BG$50,MATCH($AK100,$BH$5:$BH$50,0)),"")</f>
        <v/>
      </c>
      <c r="AZ100" s="32" t="str">
        <f t="shared" si="24"/>
        <v/>
      </c>
      <c r="BA100" s="32" t="str">
        <f t="shared" si="25"/>
        <v/>
      </c>
      <c r="BB100" s="22" t="str">
        <f t="shared" si="26"/>
        <v>97</v>
      </c>
      <c r="BD100" s="40"/>
      <c r="BU100" s="34"/>
      <c r="BV100" s="34"/>
      <c r="BY100" s="33"/>
      <c r="BZ100" s="33"/>
    </row>
    <row r="101" spans="3:78" x14ac:dyDescent="0.15">
      <c r="C101" s="31" t="s">
        <v>536</v>
      </c>
      <c r="D101" s="31">
        <v>97</v>
      </c>
      <c r="L101" s="31">
        <f t="shared" si="29"/>
        <v>4</v>
      </c>
      <c r="M101" s="31">
        <f>IF(线路设计!X27="","",线路设计!X27)</f>
        <v>17</v>
      </c>
      <c r="N101" s="31">
        <f>IF(线路设计!Y27="","",线路设计!Y27)</f>
        <v>1</v>
      </c>
      <c r="O101" s="31" t="str">
        <f>IF(线路设计!Z27="","",线路设计!Z27)</f>
        <v/>
      </c>
      <c r="P101" s="31">
        <f>IF(线路设计!AA27="","",线路设计!AA27)</f>
        <v>1</v>
      </c>
      <c r="Q101" s="31" t="str">
        <f>IF(线路设计!AB27="","",线路设计!AB27)</f>
        <v/>
      </c>
      <c r="R101" s="31">
        <f>IF(线路设计!AC27="","",线路设计!AC27)</f>
        <v>1</v>
      </c>
      <c r="U101" s="31">
        <f t="shared" si="28"/>
        <v>4</v>
      </c>
      <c r="V101" s="31">
        <v>17</v>
      </c>
      <c r="W101" s="31" t="s">
        <v>742</v>
      </c>
      <c r="Y101" s="31">
        <v>147</v>
      </c>
      <c r="AB101" s="33" t="str">
        <f t="shared" si="30"/>
        <v>78</v>
      </c>
      <c r="AC101" s="31" t="str">
        <f t="shared" si="31"/>
        <v>84+85+151</v>
      </c>
      <c r="AI101" s="31" t="s">
        <v>536</v>
      </c>
      <c r="AJ101" s="19">
        <f>IF(AI101&lt;&gt;AI100,MAX($AJ$5:$AJ100)+1,AJ100)</f>
        <v>20</v>
      </c>
      <c r="AK101" s="31">
        <v>97</v>
      </c>
      <c r="AL101" s="31" t="str">
        <f>IFERROR(INDEX($BG$5:$BG$50,MATCH($AK101,BJ$5:BJ$50,0)),"")</f>
        <v/>
      </c>
      <c r="AM101" s="31">
        <f>IFERROR(INDEX($BG$5:$BG$50,MATCH($AK101,BK$5:BK$50,0)),"")</f>
        <v>153</v>
      </c>
      <c r="AN101" s="31" t="str">
        <f>IFERROR(INDEX($BG$5:$BG$50,MATCH($AK101,BL$5:BL$50,0)),"")</f>
        <v/>
      </c>
      <c r="AO101" s="31" t="str">
        <f>IFERROR(INDEX($BG$5:$BG$50,MATCH($AK101,BM$5:BM$50,0)),"")</f>
        <v/>
      </c>
      <c r="AP101" s="31" t="str">
        <f>IFERROR(INDEX($BG$5:$BG$50,MATCH($AK101,BN$5:BN$50,0)),"")</f>
        <v/>
      </c>
      <c r="AQ101" s="31" t="str">
        <f>IFERROR(INDEX($BG$5:$BG$50,MATCH($AK101,#REF!,0)),"")</f>
        <v/>
      </c>
      <c r="AR101" s="19">
        <f t="shared" si="27"/>
        <v>153</v>
      </c>
      <c r="AS101" s="22">
        <f>IF(AR101&lt;&gt;AR100,"",AK100)</f>
        <v>96</v>
      </c>
      <c r="AT101" s="23" t="str">
        <f t="shared" ref="AT101:AT109" si="32">合并区域(AR101:AS101,"+")</f>
        <v>153+96</v>
      </c>
      <c r="AW101" s="22" t="str">
        <f t="shared" ref="AW101:AW109" si="33">合并区域(AU101:AV101,"+")</f>
        <v/>
      </c>
      <c r="AX101" s="32" t="str">
        <f>IF(AY101="",AK102,"")</f>
        <v/>
      </c>
      <c r="AY101" s="32">
        <f>IFERROR(INDEX($BG$5:$BG$50,MATCH($AK101,$BH$5:$BH$50,0)),"")</f>
        <v>157</v>
      </c>
      <c r="AZ101" s="32" t="str">
        <f t="shared" si="24"/>
        <v/>
      </c>
      <c r="BA101" s="32" t="str">
        <f t="shared" si="25"/>
        <v/>
      </c>
      <c r="BB101" s="22" t="str">
        <f t="shared" si="26"/>
        <v>157</v>
      </c>
      <c r="BD101" s="40"/>
      <c r="BU101" s="34"/>
      <c r="BV101" s="34"/>
      <c r="BY101" s="33"/>
      <c r="BZ101" s="33"/>
    </row>
    <row r="102" spans="3:78" x14ac:dyDescent="0.15">
      <c r="C102" s="20" t="s">
        <v>537</v>
      </c>
      <c r="D102" s="20">
        <v>98</v>
      </c>
      <c r="L102" s="31">
        <f t="shared" si="29"/>
        <v>4</v>
      </c>
      <c r="M102" s="31">
        <f>IF(线路设计!X28="","",线路设计!X28)</f>
        <v>18</v>
      </c>
      <c r="N102" s="31">
        <f>IF(线路设计!Y28="","",线路设计!Y28)</f>
        <v>2</v>
      </c>
      <c r="O102" s="31">
        <f>IF(线路设计!Z28="","",线路设计!Z28)</f>
        <v>1</v>
      </c>
      <c r="P102" s="31">
        <f>IF(线路设计!AA28="","",线路设计!AA28)</f>
        <v>1</v>
      </c>
      <c r="Q102" s="31" t="str">
        <f>IF(线路设计!AB28="","",线路设计!AB28)</f>
        <v/>
      </c>
      <c r="R102" s="31">
        <f>IF(线路设计!AC28="","",线路设计!AC28)</f>
        <v>2</v>
      </c>
      <c r="U102" s="31">
        <f t="shared" si="28"/>
        <v>4</v>
      </c>
      <c r="V102" s="31">
        <v>18</v>
      </c>
      <c r="W102" s="31" t="s">
        <v>811</v>
      </c>
      <c r="Y102" s="31">
        <v>151</v>
      </c>
      <c r="AB102" s="31" t="str">
        <f t="shared" si="30"/>
        <v>85</v>
      </c>
      <c r="AC102" s="31" t="str">
        <f t="shared" si="31"/>
        <v>92+93+155+170</v>
      </c>
      <c r="AI102" s="20" t="s">
        <v>537</v>
      </c>
      <c r="AJ102" s="19">
        <f>IF(AI102&lt;&gt;AI101,MAX($AJ$5:$AJ101)+1,AJ101)</f>
        <v>21</v>
      </c>
      <c r="AK102" s="20">
        <v>98</v>
      </c>
      <c r="AL102" s="31">
        <f>IFERROR(INDEX($BG$5:$BG$50,MATCH($AK102,BJ$5:BJ$50,0)),"")</f>
        <v>154</v>
      </c>
      <c r="AM102" s="31" t="str">
        <f>IFERROR(INDEX($BG$5:$BG$50,MATCH($AK102,BK$5:BK$50,0)),"")</f>
        <v/>
      </c>
      <c r="AN102" s="31" t="str">
        <f>IFERROR(INDEX($BG$5:$BG$50,MATCH($AK102,BL$5:BL$50,0)),"")</f>
        <v/>
      </c>
      <c r="AO102" s="31" t="str">
        <f>IFERROR(INDEX($BG$5:$BG$50,MATCH($AK102,BM$5:BM$50,0)),"")</f>
        <v/>
      </c>
      <c r="AP102" s="31" t="str">
        <f>IFERROR(INDEX($BG$5:$BG$50,MATCH($AK102,BN$5:BN$50,0)),"")</f>
        <v/>
      </c>
      <c r="AQ102" s="31" t="str">
        <f>IFERROR(INDEX($BG$5:$BG$50,MATCH($AK102,#REF!,0)),"")</f>
        <v/>
      </c>
      <c r="AR102" s="19">
        <f t="shared" si="27"/>
        <v>154</v>
      </c>
      <c r="AS102" s="22" t="str">
        <f>IF(AR102&lt;&gt;AR101,"",AK101)</f>
        <v/>
      </c>
      <c r="AT102" s="23" t="str">
        <f t="shared" si="32"/>
        <v>154</v>
      </c>
      <c r="AW102" s="22" t="str">
        <f t="shared" si="33"/>
        <v/>
      </c>
      <c r="AX102" s="32">
        <f>IF(AY102="",AK103,"")</f>
        <v>99</v>
      </c>
      <c r="AY102" s="32" t="str">
        <f>IFERROR(INDEX($BG$5:$BG$50,MATCH($AK102,$BH$5:$BH$50,0)),"")</f>
        <v/>
      </c>
      <c r="AZ102" s="32" t="str">
        <f t="shared" si="24"/>
        <v/>
      </c>
      <c r="BA102" s="32" t="str">
        <f t="shared" si="25"/>
        <v/>
      </c>
      <c r="BB102" s="22" t="str">
        <f t="shared" si="26"/>
        <v>99</v>
      </c>
      <c r="BD102" s="40"/>
      <c r="BU102" s="34"/>
      <c r="BV102" s="34"/>
      <c r="BY102" s="33"/>
      <c r="BZ102" s="33"/>
    </row>
    <row r="103" spans="3:78" x14ac:dyDescent="0.15">
      <c r="C103" s="20" t="s">
        <v>537</v>
      </c>
      <c r="D103" s="20">
        <v>99</v>
      </c>
      <c r="L103" s="31">
        <f t="shared" si="29"/>
        <v>4</v>
      </c>
      <c r="M103" s="31">
        <f>IF(线路设计!X29="","",线路设计!X29)</f>
        <v>19</v>
      </c>
      <c r="N103" s="31">
        <f>IF(线路设计!Y29="","",线路设计!Y29)</f>
        <v>2</v>
      </c>
      <c r="O103" s="31" t="str">
        <f>IF(线路设计!Z29="","",线路设计!Z29)</f>
        <v/>
      </c>
      <c r="P103" s="31">
        <f>IF(线路设计!AA29="","",线路设计!AA29)</f>
        <v>1</v>
      </c>
      <c r="Q103" s="31" t="str">
        <f>IF(线路设计!AB29="","",线路设计!AB29)</f>
        <v/>
      </c>
      <c r="R103" s="31">
        <f>IF(线路设计!AC29="","",线路设计!AC29)</f>
        <v>2</v>
      </c>
      <c r="U103" s="31">
        <f t="shared" si="28"/>
        <v>4</v>
      </c>
      <c r="V103" s="31">
        <v>19</v>
      </c>
      <c r="W103" s="31" t="s">
        <v>812</v>
      </c>
      <c r="Y103" s="31">
        <v>155</v>
      </c>
      <c r="Z103" s="31">
        <v>170</v>
      </c>
      <c r="AB103" s="31" t="str">
        <f t="shared" si="30"/>
        <v>93</v>
      </c>
      <c r="AC103" s="31" t="str">
        <f t="shared" si="31"/>
        <v>100+101+159</v>
      </c>
      <c r="AI103" s="20" t="s">
        <v>537</v>
      </c>
      <c r="AJ103" s="19">
        <f>IF(AI103&lt;&gt;AI102,MAX($AJ$5:$AJ102)+1,AJ102)</f>
        <v>21</v>
      </c>
      <c r="AK103" s="20">
        <v>99</v>
      </c>
      <c r="AL103" s="31" t="str">
        <f>IFERROR(INDEX($BG$5:$BG$50,MATCH($AK103,BJ$5:BJ$50,0)),"")</f>
        <v/>
      </c>
      <c r="AM103" s="31">
        <f>IFERROR(INDEX($BG$5:$BG$50,MATCH($AK103,BK$5:BK$50,0)),"")</f>
        <v>154</v>
      </c>
      <c r="AN103" s="31" t="str">
        <f>IFERROR(INDEX($BG$5:$BG$50,MATCH($AK103,BL$5:BL$50,0)),"")</f>
        <v/>
      </c>
      <c r="AO103" s="31" t="str">
        <f>IFERROR(INDEX($BG$5:$BG$50,MATCH($AK103,BM$5:BM$50,0)),"")</f>
        <v/>
      </c>
      <c r="AP103" s="31" t="str">
        <f>IFERROR(INDEX($BG$5:$BG$50,MATCH($AK103,BN$5:BN$50,0)),"")</f>
        <v/>
      </c>
      <c r="AQ103" s="31" t="str">
        <f>IFERROR(INDEX($BG$5:$BG$50,MATCH($AK103,#REF!,0)),"")</f>
        <v/>
      </c>
      <c r="AR103" s="19">
        <f t="shared" si="27"/>
        <v>154</v>
      </c>
      <c r="AS103" s="22">
        <f>IF(AR103&lt;&gt;AR102,"",AK102)</f>
        <v>98</v>
      </c>
      <c r="AT103" s="23" t="str">
        <f t="shared" si="32"/>
        <v>154+98</v>
      </c>
      <c r="AW103" s="22" t="str">
        <f t="shared" si="33"/>
        <v/>
      </c>
      <c r="AX103" s="32" t="str">
        <f>IF(AY103="",AK104,"")</f>
        <v/>
      </c>
      <c r="AY103" s="32">
        <f>IFERROR(INDEX($BG$5:$BG$50,MATCH($AK103,$BH$5:$BH$50,0)),"")</f>
        <v>158</v>
      </c>
      <c r="AZ103" s="32" t="str">
        <f t="shared" si="24"/>
        <v/>
      </c>
      <c r="BA103" s="32" t="str">
        <f t="shared" si="25"/>
        <v/>
      </c>
      <c r="BB103" s="22" t="str">
        <f t="shared" si="26"/>
        <v>158</v>
      </c>
      <c r="BD103" s="40"/>
      <c r="BU103" s="34"/>
      <c r="BV103" s="34"/>
      <c r="BY103" s="33"/>
      <c r="BZ103" s="33"/>
    </row>
    <row r="104" spans="3:78" x14ac:dyDescent="0.15">
      <c r="C104" s="20" t="s">
        <v>537</v>
      </c>
      <c r="D104" s="20">
        <v>100</v>
      </c>
      <c r="L104" s="31">
        <f t="shared" si="29"/>
        <v>4</v>
      </c>
      <c r="M104" s="31">
        <f>IF(线路设计!X30="","",线路设计!X30)</f>
        <v>20</v>
      </c>
      <c r="N104" s="31">
        <f>IF(线路设计!Y30="","",线路设计!Y30)</f>
        <v>2</v>
      </c>
      <c r="O104" s="31" t="str">
        <f>IF(线路设计!Z30="","",线路设计!Z30)</f>
        <v/>
      </c>
      <c r="P104" s="31">
        <f>IF(线路设计!AA30="","",线路设计!AA30)</f>
        <v>1</v>
      </c>
      <c r="Q104" s="31" t="str">
        <f>IF(线路设计!AB30="","",线路设计!AB30)</f>
        <v/>
      </c>
      <c r="R104" s="31">
        <f>IF(线路设计!AC30="","",线路设计!AC30)</f>
        <v>2</v>
      </c>
      <c r="U104" s="31">
        <f t="shared" si="28"/>
        <v>4</v>
      </c>
      <c r="V104" s="31">
        <v>20</v>
      </c>
      <c r="W104" s="21" t="s">
        <v>575</v>
      </c>
      <c r="Y104" s="31">
        <v>159</v>
      </c>
      <c r="AB104" s="31" t="str">
        <f t="shared" si="30"/>
        <v>101</v>
      </c>
      <c r="AC104" s="31" t="str">
        <f t="shared" si="31"/>
        <v/>
      </c>
      <c r="AI104" s="20" t="s">
        <v>537</v>
      </c>
      <c r="AJ104" s="19">
        <f>IF(AI104&lt;&gt;AI103,MAX($AJ$5:$AJ103)+1,AJ103)</f>
        <v>21</v>
      </c>
      <c r="AK104" s="20">
        <v>100</v>
      </c>
      <c r="AL104" s="31">
        <f>IFERROR(INDEX($BG$5:$BG$50,MATCH($AK104,BJ$5:BJ$50,0)),"")</f>
        <v>155</v>
      </c>
      <c r="AM104" s="31" t="str">
        <f>IFERROR(INDEX($BG$5:$BG$50,MATCH($AK104,BK$5:BK$50,0)),"")</f>
        <v/>
      </c>
      <c r="AN104" s="31" t="str">
        <f>IFERROR(INDEX($BG$5:$BG$50,MATCH($AK104,BL$5:BL$50,0)),"")</f>
        <v/>
      </c>
      <c r="AO104" s="31" t="str">
        <f>IFERROR(INDEX($BG$5:$BG$50,MATCH($AK104,BM$5:BM$50,0)),"")</f>
        <v/>
      </c>
      <c r="AP104" s="31" t="str">
        <f>IFERROR(INDEX($BG$5:$BG$50,MATCH($AK104,BN$5:BN$50,0)),"")</f>
        <v/>
      </c>
      <c r="AQ104" s="31" t="str">
        <f>IFERROR(INDEX($BG$5:$BG$50,MATCH($AK104,#REF!,0)),"")</f>
        <v/>
      </c>
      <c r="AR104" s="19">
        <f t="shared" si="27"/>
        <v>155</v>
      </c>
      <c r="AS104" s="22" t="str">
        <f>IF(AR104&lt;&gt;AR103,"",AK103)</f>
        <v/>
      </c>
      <c r="AT104" s="23" t="str">
        <f t="shared" si="32"/>
        <v>155</v>
      </c>
      <c r="AW104" s="22" t="str">
        <f t="shared" si="33"/>
        <v/>
      </c>
      <c r="AX104" s="32">
        <f>IF(AY104="",AK105,"")</f>
        <v>101</v>
      </c>
      <c r="AY104" s="32" t="str">
        <f>IFERROR(INDEX($BG$5:$BG$50,MATCH($AK104,$BH$5:$BH$50,0)),"")</f>
        <v/>
      </c>
      <c r="AZ104" s="32" t="str">
        <f t="shared" si="24"/>
        <v/>
      </c>
      <c r="BA104" s="32" t="str">
        <f t="shared" si="25"/>
        <v/>
      </c>
      <c r="BB104" s="22" t="str">
        <f t="shared" si="26"/>
        <v>101</v>
      </c>
      <c r="BD104" s="40"/>
      <c r="BU104" s="34"/>
      <c r="BV104" s="34"/>
      <c r="BY104" s="33"/>
      <c r="BZ104" s="33"/>
    </row>
    <row r="105" spans="3:78" x14ac:dyDescent="0.15">
      <c r="C105" s="20" t="s">
        <v>537</v>
      </c>
      <c r="D105" s="20">
        <v>101</v>
      </c>
      <c r="AI105" s="20" t="s">
        <v>537</v>
      </c>
      <c r="AJ105" s="19">
        <f>IF(AI105&lt;&gt;AI104,MAX($AJ$5:$AJ104)+1,AJ104)</f>
        <v>21</v>
      </c>
      <c r="AK105" s="20">
        <v>101</v>
      </c>
      <c r="AL105" s="31" t="str">
        <f>IFERROR(INDEX($BG$5:$BG$50,MATCH($AK105,BJ$5:BJ$50,0)),"")</f>
        <v/>
      </c>
      <c r="AM105" s="31">
        <f>IFERROR(INDEX($BG$5:$BG$50,MATCH($AK105,BK$5:BK$50,0)),"")</f>
        <v>155</v>
      </c>
      <c r="AN105" s="31" t="str">
        <f>IFERROR(INDEX($BG$5:$BG$50,MATCH($AK105,BL$5:BL$50,0)),"")</f>
        <v/>
      </c>
      <c r="AO105" s="31" t="str">
        <f>IFERROR(INDEX($BG$5:$BG$50,MATCH($AK105,BM$5:BM$50,0)),"")</f>
        <v/>
      </c>
      <c r="AP105" s="31" t="str">
        <f>IFERROR(INDEX($BG$5:$BG$50,MATCH($AK105,BN$5:BN$50,0)),"")</f>
        <v/>
      </c>
      <c r="AQ105" s="31" t="str">
        <f>IFERROR(INDEX($BG$5:$BG$50,MATCH($AK105,#REF!,0)),"")</f>
        <v/>
      </c>
      <c r="AR105" s="19">
        <f t="shared" si="27"/>
        <v>155</v>
      </c>
      <c r="AS105" s="22">
        <f>IF(AR105&lt;&gt;AR104,"",AK104)</f>
        <v>100</v>
      </c>
      <c r="AT105" s="23" t="str">
        <f t="shared" si="32"/>
        <v>155+100</v>
      </c>
      <c r="AW105" s="22" t="str">
        <f t="shared" si="33"/>
        <v/>
      </c>
      <c r="AX105" s="32" t="str">
        <f>IF(AY105="",AK106,"")</f>
        <v/>
      </c>
      <c r="AY105" s="32">
        <f>IFERROR(INDEX($BG$5:$BG$50,MATCH($AK105,$BH$5:$BH$50,0)),"")</f>
        <v>159</v>
      </c>
      <c r="AZ105" s="32" t="str">
        <f t="shared" si="24"/>
        <v/>
      </c>
      <c r="BA105" s="32" t="str">
        <f t="shared" si="25"/>
        <v/>
      </c>
      <c r="BB105" s="22" t="str">
        <f t="shared" si="26"/>
        <v>159</v>
      </c>
      <c r="BD105" s="40"/>
      <c r="BU105" s="34"/>
      <c r="BV105" s="34"/>
      <c r="BY105" s="33"/>
      <c r="BZ105" s="33"/>
    </row>
    <row r="106" spans="3:78" x14ac:dyDescent="0.15">
      <c r="C106" s="20" t="s">
        <v>537</v>
      </c>
      <c r="D106" s="20">
        <v>102</v>
      </c>
      <c r="AI106" s="20" t="s">
        <v>537</v>
      </c>
      <c r="AJ106" s="19">
        <f>IF(AI106&lt;&gt;AI105,MAX($AJ$5:$AJ105)+1,AJ105)</f>
        <v>21</v>
      </c>
      <c r="AK106" s="20">
        <v>102</v>
      </c>
      <c r="AL106" s="31">
        <f>IFERROR(INDEX($BG$5:$BG$50,MATCH($AK106,BJ$5:BJ$50,0)),"")</f>
        <v>156</v>
      </c>
      <c r="AM106" s="31" t="str">
        <f>IFERROR(INDEX($BG$5:$BG$50,MATCH($AK106,BK$5:BK$50,0)),"")</f>
        <v/>
      </c>
      <c r="AN106" s="31" t="str">
        <f>IFERROR(INDEX($BG$5:$BG$50,MATCH($AK106,BL$5:BL$50,0)),"")</f>
        <v/>
      </c>
      <c r="AO106" s="31" t="str">
        <f>IFERROR(INDEX($BG$5:$BG$50,MATCH($AK106,BM$5:BM$50,0)),"")</f>
        <v/>
      </c>
      <c r="AP106" s="31" t="str">
        <f>IFERROR(INDEX($BG$5:$BG$50,MATCH($AK106,BN$5:BN$50,0)),"")</f>
        <v/>
      </c>
      <c r="AQ106" s="31" t="str">
        <f>IFERROR(INDEX($BG$5:$BG$50,MATCH($AK106,#REF!,0)),"")</f>
        <v/>
      </c>
      <c r="AR106" s="19">
        <f t="shared" si="27"/>
        <v>156</v>
      </c>
      <c r="AS106" s="22" t="str">
        <f>IF(AR106&lt;&gt;AR105,"",AK105)</f>
        <v/>
      </c>
      <c r="AT106" s="23" t="str">
        <f t="shared" si="32"/>
        <v>156</v>
      </c>
      <c r="AW106" s="22" t="str">
        <f t="shared" si="33"/>
        <v/>
      </c>
      <c r="AX106" s="32">
        <f>IF(AY106="",AK107,"")</f>
        <v>103</v>
      </c>
      <c r="AY106" s="32" t="str">
        <f>IFERROR(INDEX($BG$5:$BG$50,MATCH($AK106,$BH$5:$BH$50,0)),"")</f>
        <v/>
      </c>
      <c r="AZ106" s="32">
        <f t="shared" si="24"/>
        <v>115</v>
      </c>
      <c r="BA106" s="32" t="str">
        <f t="shared" si="25"/>
        <v/>
      </c>
      <c r="BB106" s="22" t="str">
        <f t="shared" si="26"/>
        <v>103+115</v>
      </c>
      <c r="BD106" s="40"/>
      <c r="BU106" s="34"/>
      <c r="BV106" s="34"/>
      <c r="BY106" s="33"/>
      <c r="BZ106" s="33"/>
    </row>
    <row r="107" spans="3:78" x14ac:dyDescent="0.15">
      <c r="C107" s="20" t="s">
        <v>537</v>
      </c>
      <c r="D107" s="20">
        <v>103</v>
      </c>
      <c r="AI107" s="20" t="s">
        <v>537</v>
      </c>
      <c r="AJ107" s="19">
        <f>IF(AI107&lt;&gt;AI106,MAX($AJ$5:$AJ106)+1,AJ106)</f>
        <v>21</v>
      </c>
      <c r="AK107" s="20">
        <v>103</v>
      </c>
      <c r="AL107" s="31" t="str">
        <f>IFERROR(INDEX($BG$5:$BG$50,MATCH($AK107,BJ$5:BJ$50,0)),"")</f>
        <v/>
      </c>
      <c r="AM107" s="31">
        <f>IFERROR(INDEX($BG$5:$BG$50,MATCH($AK107,BK$5:BK$50,0)),"")</f>
        <v>156</v>
      </c>
      <c r="AN107" s="31" t="str">
        <f>IFERROR(INDEX($BG$5:$BG$50,MATCH($AK107,BL$5:BL$50,0)),"")</f>
        <v/>
      </c>
      <c r="AO107" s="31" t="str">
        <f>IFERROR(INDEX($BG$5:$BG$50,MATCH($AK107,BM$5:BM$50,0)),"")</f>
        <v/>
      </c>
      <c r="AP107" s="31" t="str">
        <f>IFERROR(INDEX($BG$5:$BG$50,MATCH($AK107,BN$5:BN$50,0)),"")</f>
        <v/>
      </c>
      <c r="AQ107" s="31" t="str">
        <f>IFERROR(INDEX($BG$5:$BG$50,MATCH($AK107,#REF!,0)),"")</f>
        <v/>
      </c>
      <c r="AR107" s="19">
        <f t="shared" si="27"/>
        <v>156</v>
      </c>
      <c r="AS107" s="22">
        <f>IF(AR107&lt;&gt;AR106,"",AK106)</f>
        <v>102</v>
      </c>
      <c r="AT107" s="23" t="str">
        <f t="shared" si="32"/>
        <v>156+102</v>
      </c>
      <c r="AW107" s="22" t="str">
        <f t="shared" si="33"/>
        <v/>
      </c>
      <c r="AX107" s="32" t="str">
        <f>IF(AY107="",AK108,"")</f>
        <v/>
      </c>
      <c r="AY107" s="32">
        <f>IFERROR(INDEX($BG$5:$BG$50,MATCH($AK107,$BH$5:$BH$50,0)),"")</f>
        <v>160</v>
      </c>
      <c r="AZ107" s="32" t="str">
        <f t="shared" si="24"/>
        <v/>
      </c>
      <c r="BA107" s="32" t="str">
        <f t="shared" si="25"/>
        <v/>
      </c>
      <c r="BB107" s="22" t="str">
        <f t="shared" si="26"/>
        <v>160</v>
      </c>
      <c r="BD107" s="40"/>
      <c r="BU107" s="34"/>
      <c r="BV107" s="34"/>
      <c r="BY107" s="33"/>
      <c r="BZ107" s="33"/>
    </row>
    <row r="108" spans="3:78" x14ac:dyDescent="0.15">
      <c r="C108" s="20" t="s">
        <v>537</v>
      </c>
      <c r="D108" s="20">
        <v>104</v>
      </c>
      <c r="AI108" s="20" t="s">
        <v>537</v>
      </c>
      <c r="AJ108" s="19">
        <f>IF(AI108&lt;&gt;AI107,MAX($AJ$5:$AJ107)+1,AJ107)</f>
        <v>21</v>
      </c>
      <c r="AK108" s="20">
        <v>104</v>
      </c>
      <c r="AL108" s="31">
        <f>IFERROR(INDEX($BG$5:$BG$50,MATCH($AK108,BJ$5:BJ$50,0)),"")</f>
        <v>157</v>
      </c>
      <c r="AM108" s="31" t="str">
        <f>IFERROR(INDEX($BG$5:$BG$50,MATCH($AK108,BK$5:BK$50,0)),"")</f>
        <v/>
      </c>
      <c r="AN108" s="31" t="str">
        <f>IFERROR(INDEX($BG$5:$BG$50,MATCH($AK108,BL$5:BL$50,0)),"")</f>
        <v/>
      </c>
      <c r="AO108" s="31" t="str">
        <f>IFERROR(INDEX($BG$5:$BG$50,MATCH($AK108,BM$5:BM$50,0)),"")</f>
        <v/>
      </c>
      <c r="AP108" s="31" t="str">
        <f>IFERROR(INDEX($BG$5:$BG$50,MATCH($AK108,BN$5:BN$50,0)),"")</f>
        <v/>
      </c>
      <c r="AQ108" s="31" t="str">
        <f>IFERROR(INDEX($BG$5:$BG$50,MATCH($AK108,#REF!,0)),"")</f>
        <v/>
      </c>
      <c r="AR108" s="19">
        <f t="shared" si="27"/>
        <v>157</v>
      </c>
      <c r="AS108" s="22" t="str">
        <f>IF(AR108&lt;&gt;AR107,"",AK107)</f>
        <v/>
      </c>
      <c r="AT108" s="23" t="str">
        <f t="shared" si="32"/>
        <v>157</v>
      </c>
      <c r="AW108" s="22" t="str">
        <f t="shared" si="33"/>
        <v/>
      </c>
      <c r="AX108" s="32">
        <f>IF(AY108="",AK109,"")</f>
        <v>105</v>
      </c>
      <c r="AY108" s="32" t="str">
        <f>IFERROR(INDEX($BG$5:$BG$50,MATCH($AK108,$BH$5:$BH$50,0)),"")</f>
        <v/>
      </c>
      <c r="AZ108" s="32" t="str">
        <f t="shared" si="24"/>
        <v/>
      </c>
      <c r="BA108" s="32" t="str">
        <f t="shared" si="25"/>
        <v/>
      </c>
      <c r="BB108" s="22" t="str">
        <f t="shared" si="26"/>
        <v>105</v>
      </c>
      <c r="BD108" s="40"/>
      <c r="BU108" s="34"/>
      <c r="BV108" s="34"/>
      <c r="BY108" s="33"/>
      <c r="BZ108" s="33"/>
    </row>
    <row r="109" spans="3:78" x14ac:dyDescent="0.15">
      <c r="C109" s="20" t="s">
        <v>537</v>
      </c>
      <c r="D109" s="20">
        <v>105</v>
      </c>
      <c r="AI109" s="20" t="s">
        <v>537</v>
      </c>
      <c r="AJ109" s="19">
        <f>IF(AI109&lt;&gt;AI108,MAX($AJ$5:$AJ108)+1,AJ108)</f>
        <v>21</v>
      </c>
      <c r="AK109" s="20">
        <v>105</v>
      </c>
      <c r="AL109" s="31" t="str">
        <f>IFERROR(INDEX($BG$5:$BG$50,MATCH($AK109,BJ$5:BJ$50,0)),"")</f>
        <v/>
      </c>
      <c r="AM109" s="31">
        <f>IFERROR(INDEX($BG$5:$BG$50,MATCH($AK109,BK$5:BK$50,0)),"")</f>
        <v>157</v>
      </c>
      <c r="AN109" s="31" t="str">
        <f>IFERROR(INDEX($BG$5:$BG$50,MATCH($AK109,BL$5:BL$50,0)),"")</f>
        <v/>
      </c>
      <c r="AO109" s="31" t="str">
        <f>IFERROR(INDEX($BG$5:$BG$50,MATCH($AK109,BM$5:BM$50,0)),"")</f>
        <v/>
      </c>
      <c r="AP109" s="31" t="str">
        <f>IFERROR(INDEX($BG$5:$BG$50,MATCH($AK109,BN$5:BN$50,0)),"")</f>
        <v/>
      </c>
      <c r="AQ109" s="31" t="str">
        <f>IFERROR(INDEX($BG$5:$BG$50,MATCH($AK109,#REF!,0)),"")</f>
        <v/>
      </c>
      <c r="AR109" s="19">
        <f t="shared" si="27"/>
        <v>157</v>
      </c>
      <c r="AS109" s="22">
        <f>IF(AR109&lt;&gt;AR108,"",AK108)</f>
        <v>104</v>
      </c>
      <c r="AT109" s="23" t="str">
        <f t="shared" si="32"/>
        <v>157+104</v>
      </c>
      <c r="AW109" s="22" t="str">
        <f t="shared" si="33"/>
        <v/>
      </c>
      <c r="AX109" s="32" t="str">
        <f>IF(AY109="",AK110,"")</f>
        <v/>
      </c>
      <c r="AY109" s="32">
        <f>IFERROR(INDEX($BG$5:$BG$50,MATCH($AK109,$BH$5:$BH$50,0)),"")</f>
        <v>161</v>
      </c>
      <c r="AZ109" s="32" t="str">
        <f t="shared" si="24"/>
        <v/>
      </c>
      <c r="BA109" s="32" t="str">
        <f t="shared" si="25"/>
        <v/>
      </c>
      <c r="BB109" s="22" t="str">
        <f t="shared" si="26"/>
        <v>161</v>
      </c>
      <c r="BD109" s="40"/>
      <c r="BU109" s="34"/>
      <c r="BV109" s="34"/>
      <c r="BY109" s="33"/>
      <c r="BZ109" s="33"/>
    </row>
    <row r="110" spans="3:78" x14ac:dyDescent="0.15">
      <c r="BU110" s="34"/>
      <c r="BV110" s="34"/>
      <c r="BY110" s="33"/>
      <c r="BZ110" s="33"/>
    </row>
    <row r="111" spans="3:78" x14ac:dyDescent="0.15">
      <c r="BY111" s="33"/>
      <c r="BZ111" s="33"/>
    </row>
    <row r="112" spans="3:78" x14ac:dyDescent="0.15">
      <c r="BY112" s="33"/>
      <c r="BZ112" s="33"/>
    </row>
    <row r="113" spans="77:78" x14ac:dyDescent="0.15">
      <c r="BY113" s="33"/>
      <c r="BZ113" s="33"/>
    </row>
    <row r="114" spans="77:78" x14ac:dyDescent="0.15">
      <c r="BY114" s="33"/>
      <c r="BZ114" s="33"/>
    </row>
    <row r="115" spans="77:78" x14ac:dyDescent="0.15">
      <c r="BY115" s="33"/>
      <c r="BZ115" s="33"/>
    </row>
    <row r="116" spans="77:78" x14ac:dyDescent="0.15">
      <c r="BY116" s="33"/>
      <c r="BZ116" s="33"/>
    </row>
    <row r="117" spans="77:78" x14ac:dyDescent="0.15">
      <c r="BY117" s="33"/>
      <c r="BZ117" s="33"/>
    </row>
    <row r="118" spans="77:78" x14ac:dyDescent="0.15">
      <c r="BY118" s="33"/>
      <c r="BZ118" s="33"/>
    </row>
    <row r="119" spans="77:78" x14ac:dyDescent="0.15">
      <c r="BY119" s="33"/>
      <c r="BZ119" s="33"/>
    </row>
    <row r="120" spans="77:78" x14ac:dyDescent="0.15">
      <c r="BY120" s="33"/>
      <c r="BZ120" s="33"/>
    </row>
    <row r="121" spans="77:78" x14ac:dyDescent="0.15">
      <c r="BY121" s="33"/>
      <c r="BZ121" s="33"/>
    </row>
    <row r="122" spans="77:78" x14ac:dyDescent="0.15">
      <c r="BY122" s="33"/>
      <c r="BZ122" s="33"/>
    </row>
    <row r="123" spans="77:78" x14ac:dyDescent="0.15">
      <c r="BY123" s="33"/>
      <c r="BZ123" s="33"/>
    </row>
    <row r="124" spans="77:78" x14ac:dyDescent="0.15">
      <c r="BY124" s="33"/>
      <c r="BZ124" s="33"/>
    </row>
    <row r="125" spans="77:78" x14ac:dyDescent="0.15">
      <c r="BY125" s="33"/>
      <c r="BZ125" s="33"/>
    </row>
    <row r="126" spans="77:78" x14ac:dyDescent="0.15">
      <c r="BY126" s="33"/>
      <c r="BZ126" s="33"/>
    </row>
    <row r="127" spans="77:78" x14ac:dyDescent="0.15">
      <c r="BY127" s="33"/>
      <c r="BZ127" s="33"/>
    </row>
    <row r="128" spans="77:78" x14ac:dyDescent="0.15">
      <c r="BY128" s="33"/>
      <c r="BZ128" s="33"/>
    </row>
    <row r="129" spans="77:78" x14ac:dyDescent="0.15">
      <c r="BY129" s="33"/>
      <c r="BZ129" s="33"/>
    </row>
    <row r="130" spans="77:78" x14ac:dyDescent="0.15">
      <c r="BY130" s="33"/>
      <c r="BZ130" s="33"/>
    </row>
    <row r="131" spans="77:78" x14ac:dyDescent="0.15">
      <c r="BY131" s="33"/>
      <c r="BZ131" s="33"/>
    </row>
    <row r="132" spans="77:78" x14ac:dyDescent="0.15">
      <c r="BY132" s="33"/>
      <c r="BZ132" s="33"/>
    </row>
    <row r="133" spans="77:78" x14ac:dyDescent="0.15">
      <c r="BY133" s="33"/>
      <c r="BZ133" s="33"/>
    </row>
    <row r="134" spans="77:78" x14ac:dyDescent="0.15">
      <c r="BY134" s="33"/>
      <c r="BZ134" s="33"/>
    </row>
    <row r="135" spans="77:78" x14ac:dyDescent="0.15">
      <c r="BY135" s="33"/>
      <c r="BZ135" s="33"/>
    </row>
    <row r="136" spans="77:78" x14ac:dyDescent="0.15">
      <c r="BY136" s="33"/>
      <c r="BZ136" s="33"/>
    </row>
    <row r="137" spans="77:78" x14ac:dyDescent="0.15">
      <c r="BY137" s="33"/>
      <c r="BZ137" s="33"/>
    </row>
    <row r="138" spans="77:78" x14ac:dyDescent="0.15">
      <c r="BY138" s="33"/>
      <c r="BZ138" s="33"/>
    </row>
    <row r="139" spans="77:78" x14ac:dyDescent="0.15">
      <c r="BY139" s="33"/>
      <c r="BZ139" s="33"/>
    </row>
    <row r="140" spans="77:78" x14ac:dyDescent="0.15">
      <c r="BY140" s="33"/>
      <c r="BZ140" s="33"/>
    </row>
    <row r="141" spans="77:78" x14ac:dyDescent="0.15">
      <c r="BY141" s="33"/>
      <c r="BZ141" s="33"/>
    </row>
    <row r="142" spans="77:78" x14ac:dyDescent="0.15">
      <c r="BY142" s="33"/>
      <c r="BZ142" s="33"/>
    </row>
    <row r="143" spans="77:78" x14ac:dyDescent="0.15">
      <c r="BY143" s="33"/>
      <c r="BZ143" s="33"/>
    </row>
    <row r="144" spans="77:78" x14ac:dyDescent="0.15">
      <c r="BY144" s="33"/>
      <c r="BZ144" s="33"/>
    </row>
    <row r="145" spans="77:78" x14ac:dyDescent="0.15">
      <c r="BY145" s="33"/>
      <c r="BZ145" s="33"/>
    </row>
    <row r="146" spans="77:78" x14ac:dyDescent="0.15">
      <c r="BY146" s="33"/>
      <c r="BZ146" s="33"/>
    </row>
    <row r="147" spans="77:78" x14ac:dyDescent="0.15">
      <c r="BY147" s="33"/>
      <c r="BZ147" s="33"/>
    </row>
    <row r="148" spans="77:78" x14ac:dyDescent="0.15">
      <c r="BY148" s="33"/>
      <c r="BZ148" s="33"/>
    </row>
    <row r="149" spans="77:78" x14ac:dyDescent="0.15">
      <c r="BY149" s="33"/>
      <c r="BZ149" s="33"/>
    </row>
    <row r="150" spans="77:78" x14ac:dyDescent="0.15">
      <c r="BY150" s="33"/>
      <c r="BZ150" s="33"/>
    </row>
    <row r="151" spans="77:78" x14ac:dyDescent="0.15">
      <c r="BY151" s="33"/>
      <c r="BZ151" s="33"/>
    </row>
    <row r="152" spans="77:78" x14ac:dyDescent="0.15">
      <c r="BY152" s="33"/>
      <c r="BZ152" s="33"/>
    </row>
    <row r="153" spans="77:78" x14ac:dyDescent="0.15">
      <c r="BY153" s="33"/>
      <c r="BZ153" s="33"/>
    </row>
    <row r="154" spans="77:78" x14ac:dyDescent="0.15">
      <c r="BY154" s="33"/>
      <c r="BZ154" s="33"/>
    </row>
    <row r="155" spans="77:78" x14ac:dyDescent="0.15">
      <c r="BY155" s="33"/>
      <c r="BZ155" s="33"/>
    </row>
    <row r="156" spans="77:78" x14ac:dyDescent="0.15">
      <c r="BY156" s="33"/>
      <c r="BZ156" s="33"/>
    </row>
    <row r="157" spans="77:78" x14ac:dyDescent="0.15">
      <c r="BY157" s="33"/>
      <c r="BZ157" s="33"/>
    </row>
    <row r="158" spans="77:78" x14ac:dyDescent="0.15">
      <c r="BY158" s="33"/>
      <c r="BZ158" s="33"/>
    </row>
    <row r="159" spans="77:78" x14ac:dyDescent="0.15">
      <c r="BY159" s="33"/>
      <c r="BZ159" s="33"/>
    </row>
    <row r="160" spans="77:78" x14ac:dyDescent="0.15">
      <c r="BY160" s="33"/>
      <c r="BZ160" s="33"/>
    </row>
    <row r="161" spans="77:78" x14ac:dyDescent="0.15">
      <c r="BY161" s="33"/>
      <c r="BZ161" s="33"/>
    </row>
    <row r="162" spans="77:78" x14ac:dyDescent="0.15">
      <c r="BY162" s="33"/>
      <c r="BZ162" s="33"/>
    </row>
    <row r="163" spans="77:78" x14ac:dyDescent="0.15">
      <c r="BY163" s="33"/>
      <c r="BZ163" s="33"/>
    </row>
    <row r="164" spans="77:78" x14ac:dyDescent="0.15">
      <c r="BY164" s="33"/>
      <c r="BZ164" s="33"/>
    </row>
    <row r="165" spans="77:78" x14ac:dyDescent="0.15">
      <c r="BY165" s="33"/>
      <c r="BZ165" s="33"/>
    </row>
    <row r="166" spans="77:78" x14ac:dyDescent="0.15">
      <c r="BY166" s="33"/>
      <c r="BZ166" s="33"/>
    </row>
    <row r="167" spans="77:78" x14ac:dyDescent="0.15">
      <c r="BY167" s="33"/>
      <c r="BZ167" s="33"/>
    </row>
    <row r="168" spans="77:78" x14ac:dyDescent="0.15">
      <c r="BY168" s="33"/>
      <c r="BZ168" s="33"/>
    </row>
    <row r="169" spans="77:78" x14ac:dyDescent="0.15">
      <c r="BY169" s="33"/>
      <c r="BZ169" s="33"/>
    </row>
    <row r="170" spans="77:78" x14ac:dyDescent="0.15">
      <c r="BY170" s="33"/>
      <c r="BZ170" s="33"/>
    </row>
    <row r="171" spans="77:78" x14ac:dyDescent="0.15">
      <c r="BY171" s="33"/>
      <c r="BZ171" s="33"/>
    </row>
    <row r="172" spans="77:78" x14ac:dyDescent="0.15">
      <c r="BY172" s="33"/>
      <c r="BZ172" s="33"/>
    </row>
    <row r="173" spans="77:78" x14ac:dyDescent="0.15">
      <c r="BY173" s="33"/>
      <c r="BZ173" s="33"/>
    </row>
    <row r="174" spans="77:78" x14ac:dyDescent="0.15">
      <c r="BY174" s="33"/>
      <c r="BZ174" s="33"/>
    </row>
  </sheetData>
  <mergeCells count="5">
    <mergeCell ref="BJ3:BN3"/>
    <mergeCell ref="AL3:AR3"/>
    <mergeCell ref="AU3:AW3"/>
    <mergeCell ref="AX3:BB3"/>
    <mergeCell ref="BO3:BQ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EC262-9058-4610-B1A2-44B4BD6F057B}">
  <sheetPr codeName="Sheet5"/>
  <dimension ref="B1:EA720"/>
  <sheetViews>
    <sheetView topLeftCell="BA1" workbookViewId="0">
      <selection activeCell="BF48" sqref="BF48"/>
    </sheetView>
  </sheetViews>
  <sheetFormatPr defaultColWidth="6.625" defaultRowHeight="11.25" x14ac:dyDescent="0.15"/>
  <cols>
    <col min="1" max="1" width="6.625" style="13"/>
    <col min="2" max="3" width="6.625" style="15"/>
    <col min="4" max="4" width="9.125" style="15" bestFit="1" customWidth="1"/>
    <col min="5" max="6" width="6.625" style="15"/>
    <col min="7" max="8" width="6.625" style="13"/>
    <col min="9" max="9" width="6.625" style="15"/>
    <col min="10" max="14" width="6.625" style="13"/>
    <col min="15" max="15" width="6.625" style="15"/>
    <col min="16" max="16" width="6.625" style="14"/>
    <col min="17" max="23" width="6.625" style="35"/>
    <col min="24" max="26" width="6.625" style="14"/>
    <col min="27" max="27" width="6.625" style="15"/>
    <col min="28" max="28" width="6.625" style="14"/>
    <col min="29" max="29" width="6.625" style="13"/>
    <col min="30" max="30" width="6.625" style="14"/>
    <col min="31" max="48" width="6.625" style="35"/>
    <col min="49" max="49" width="6.625" style="28" customWidth="1"/>
    <col min="50" max="50" width="6.625" style="14"/>
    <col min="51" max="56" width="6.625" style="15"/>
    <col min="57" max="57" width="6.625" style="35"/>
    <col min="58" max="58" width="6.625" style="15"/>
    <col min="59" max="61" width="6.625" style="35"/>
    <col min="62" max="63" width="6.625" style="15"/>
    <col min="64" max="64" width="6.625" style="14"/>
    <col min="65" max="67" width="6.625" style="14" customWidth="1"/>
    <col min="68" max="68" width="6.625" style="13" customWidth="1"/>
    <col min="69" max="69" width="6.625" style="14" customWidth="1"/>
    <col min="70" max="78" width="6.625" style="35" customWidth="1"/>
    <col min="79" max="79" width="6.625" style="15" customWidth="1"/>
    <col min="80" max="84" width="6.625" style="14" customWidth="1"/>
    <col min="85" max="93" width="6.625" style="35" customWidth="1"/>
    <col min="94" max="94" width="6.625" style="15" customWidth="1"/>
    <col min="95" max="96" width="6.625" style="14" customWidth="1"/>
    <col min="97" max="97" width="6.625" style="13" customWidth="1"/>
    <col min="98" max="99" width="6.625" style="14" customWidth="1"/>
    <col min="100" max="108" width="6.625" style="35" customWidth="1"/>
    <col min="109" max="112" width="6.625" style="14" customWidth="1"/>
    <col min="113" max="113" width="6.625" style="13" customWidth="1"/>
    <col min="114" max="114" width="38" style="14" customWidth="1"/>
    <col min="115" max="115" width="15.5" style="14" customWidth="1"/>
    <col min="116" max="121" width="6.625" style="14"/>
    <col min="122" max="16384" width="6.625" style="13"/>
  </cols>
  <sheetData>
    <row r="1" spans="2:131" x14ac:dyDescent="0.15">
      <c r="G1" s="13" t="s">
        <v>769</v>
      </c>
      <c r="M1" s="13" t="s">
        <v>773</v>
      </c>
      <c r="S1" s="35" t="s">
        <v>819</v>
      </c>
      <c r="Y1" s="14" t="s">
        <v>774</v>
      </c>
      <c r="AE1" s="35" t="s">
        <v>820</v>
      </c>
      <c r="AK1" s="35" t="s">
        <v>821</v>
      </c>
      <c r="AQ1" s="35" t="s">
        <v>822</v>
      </c>
      <c r="AY1" s="14" t="s">
        <v>776</v>
      </c>
    </row>
    <row r="2" spans="2:131" x14ac:dyDescent="0.15">
      <c r="BM2" s="49" t="s">
        <v>785</v>
      </c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 t="s">
        <v>783</v>
      </c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 t="s">
        <v>784</v>
      </c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</row>
    <row r="3" spans="2:131" x14ac:dyDescent="0.15">
      <c r="B3" s="15" t="s">
        <v>1008</v>
      </c>
      <c r="C3" s="15" t="s">
        <v>771</v>
      </c>
      <c r="D3" s="15" t="s">
        <v>772</v>
      </c>
      <c r="G3" s="15" t="s">
        <v>765</v>
      </c>
      <c r="H3" s="15" t="s">
        <v>766</v>
      </c>
      <c r="I3" s="15" t="s">
        <v>775</v>
      </c>
      <c r="J3" s="15" t="s">
        <v>767</v>
      </c>
      <c r="M3" s="15" t="s">
        <v>765</v>
      </c>
      <c r="N3" s="15" t="s">
        <v>766</v>
      </c>
      <c r="O3" s="15" t="s">
        <v>775</v>
      </c>
      <c r="P3" s="15" t="s">
        <v>767</v>
      </c>
      <c r="S3" s="35" t="s">
        <v>581</v>
      </c>
      <c r="T3" s="35" t="s">
        <v>766</v>
      </c>
      <c r="U3" s="35" t="s">
        <v>771</v>
      </c>
      <c r="V3" s="35" t="s">
        <v>767</v>
      </c>
      <c r="Y3" s="15" t="s">
        <v>765</v>
      </c>
      <c r="Z3" s="15" t="s">
        <v>766</v>
      </c>
      <c r="AA3" s="15" t="s">
        <v>775</v>
      </c>
      <c r="AB3" s="15" t="s">
        <v>767</v>
      </c>
      <c r="AE3" s="35" t="s">
        <v>581</v>
      </c>
      <c r="AF3" s="35" t="s">
        <v>766</v>
      </c>
      <c r="AG3" s="35" t="s">
        <v>771</v>
      </c>
      <c r="AH3" s="35" t="s">
        <v>767</v>
      </c>
      <c r="AK3" s="35" t="s">
        <v>581</v>
      </c>
      <c r="AL3" s="35" t="s">
        <v>766</v>
      </c>
      <c r="AM3" s="35" t="s">
        <v>771</v>
      </c>
      <c r="AN3" s="35" t="s">
        <v>767</v>
      </c>
      <c r="AQ3" s="35" t="s">
        <v>581</v>
      </c>
      <c r="AR3" s="35" t="s">
        <v>766</v>
      </c>
      <c r="AS3" s="35" t="s">
        <v>771</v>
      </c>
      <c r="AT3" s="35" t="s">
        <v>767</v>
      </c>
      <c r="AY3" s="15" t="s">
        <v>770</v>
      </c>
      <c r="AZ3" s="15" t="s">
        <v>771</v>
      </c>
      <c r="BA3" s="15" t="s">
        <v>782</v>
      </c>
      <c r="BB3" s="15" t="s">
        <v>786</v>
      </c>
      <c r="BC3" s="15" t="s">
        <v>778</v>
      </c>
      <c r="BD3" s="15" t="s">
        <v>779</v>
      </c>
      <c r="BE3" s="35" t="s">
        <v>1009</v>
      </c>
      <c r="BF3" s="15" t="s">
        <v>780</v>
      </c>
      <c r="BG3" s="35" t="s">
        <v>1012</v>
      </c>
      <c r="BH3" s="35" t="s">
        <v>1010</v>
      </c>
      <c r="BI3" s="35" t="s">
        <v>1011</v>
      </c>
      <c r="BJ3" s="15" t="s">
        <v>781</v>
      </c>
      <c r="BL3" s="14" t="s">
        <v>777</v>
      </c>
      <c r="BM3" s="14">
        <v>1</v>
      </c>
      <c r="BN3" s="15">
        <v>2</v>
      </c>
      <c r="BO3" s="15">
        <v>3</v>
      </c>
      <c r="BP3" s="15">
        <v>4</v>
      </c>
      <c r="BQ3" s="15">
        <v>5</v>
      </c>
      <c r="BR3" s="35">
        <v>6</v>
      </c>
      <c r="BS3" s="35">
        <v>7</v>
      </c>
      <c r="BT3" s="35">
        <v>8</v>
      </c>
      <c r="BU3" s="35">
        <v>9</v>
      </c>
      <c r="BV3" s="35">
        <v>10</v>
      </c>
      <c r="BW3" s="35">
        <v>11</v>
      </c>
      <c r="BX3" s="35">
        <v>12</v>
      </c>
      <c r="BY3" s="35">
        <v>13</v>
      </c>
      <c r="BZ3" s="35">
        <v>14</v>
      </c>
      <c r="CA3" s="35">
        <v>15</v>
      </c>
      <c r="CB3" s="15">
        <v>1</v>
      </c>
      <c r="CC3" s="15">
        <v>2</v>
      </c>
      <c r="CD3" s="15">
        <v>3</v>
      </c>
      <c r="CE3" s="15">
        <v>4</v>
      </c>
      <c r="CF3" s="15">
        <v>5</v>
      </c>
      <c r="CG3" s="35">
        <v>6</v>
      </c>
      <c r="CH3" s="35">
        <v>7</v>
      </c>
      <c r="CI3" s="35">
        <v>8</v>
      </c>
      <c r="CJ3" s="35">
        <v>9</v>
      </c>
      <c r="CK3" s="35">
        <v>10</v>
      </c>
      <c r="CL3" s="35">
        <v>11</v>
      </c>
      <c r="CM3" s="35">
        <v>12</v>
      </c>
      <c r="CN3" s="35">
        <v>13</v>
      </c>
      <c r="CO3" s="35">
        <v>14</v>
      </c>
      <c r="CP3" s="35">
        <v>15</v>
      </c>
      <c r="CQ3" s="15">
        <v>1</v>
      </c>
      <c r="CR3" s="15">
        <v>2</v>
      </c>
      <c r="CS3" s="15">
        <v>3</v>
      </c>
      <c r="CT3" s="15">
        <v>4</v>
      </c>
      <c r="CU3" s="15">
        <v>5</v>
      </c>
      <c r="CV3" s="35">
        <v>6</v>
      </c>
      <c r="CW3" s="35">
        <v>7</v>
      </c>
      <c r="CX3" s="35">
        <v>8</v>
      </c>
      <c r="CY3" s="35">
        <v>9</v>
      </c>
      <c r="CZ3" s="35">
        <v>10</v>
      </c>
      <c r="DA3" s="35">
        <v>11</v>
      </c>
      <c r="DB3" s="35">
        <v>12</v>
      </c>
      <c r="DC3" s="35">
        <v>13</v>
      </c>
      <c r="DD3" s="35">
        <v>14</v>
      </c>
      <c r="DE3" s="35">
        <v>15</v>
      </c>
      <c r="DF3" s="14" t="s">
        <v>791</v>
      </c>
      <c r="DG3" s="14" t="s">
        <v>788</v>
      </c>
      <c r="DH3" s="14" t="s">
        <v>789</v>
      </c>
      <c r="DI3" s="13" t="s">
        <v>790</v>
      </c>
      <c r="DJ3" s="14" t="s">
        <v>787</v>
      </c>
    </row>
    <row r="4" spans="2:131" x14ac:dyDescent="0.15">
      <c r="B4" s="15">
        <v>1</v>
      </c>
      <c r="C4" s="15" t="s">
        <v>7</v>
      </c>
      <c r="D4" s="15">
        <v>4</v>
      </c>
      <c r="G4" s="25" t="s">
        <v>768</v>
      </c>
      <c r="H4" s="25">
        <v>1</v>
      </c>
      <c r="I4" s="26" t="s">
        <v>351</v>
      </c>
      <c r="J4" s="26">
        <f>INDEX($D$4:$D$720,MATCH(I4,$C$4:$C$720,0))</f>
        <v>169</v>
      </c>
      <c r="M4" s="25" t="s">
        <v>768</v>
      </c>
      <c r="N4" s="25">
        <v>1</v>
      </c>
      <c r="O4" s="26" t="s">
        <v>324</v>
      </c>
      <c r="P4" s="26">
        <f>INDEX($D$4:$D$720,MATCH(O4,$C$4:$C$720,0))</f>
        <v>155</v>
      </c>
      <c r="Q4" s="26"/>
      <c r="R4" s="26"/>
      <c r="S4" s="25" t="s">
        <v>768</v>
      </c>
      <c r="T4" s="25">
        <v>1</v>
      </c>
      <c r="U4" s="26" t="s">
        <v>825</v>
      </c>
      <c r="V4" s="26">
        <f>INDEX($D$4:$D$720,MATCH(U4,$C$4:$C$720,0))</f>
        <v>115</v>
      </c>
      <c r="W4" s="26"/>
      <c r="Y4" s="25" t="s">
        <v>768</v>
      </c>
      <c r="Z4" s="25">
        <v>1</v>
      </c>
      <c r="AA4" s="26" t="s">
        <v>120</v>
      </c>
      <c r="AB4" s="26">
        <f>INDEX($D$4:$D$720,MATCH(AA4,$C$4:$C$720,0))</f>
        <v>56</v>
      </c>
      <c r="AE4" s="25" t="s">
        <v>768</v>
      </c>
      <c r="AF4" s="25">
        <v>1</v>
      </c>
      <c r="AG4" s="26" t="s">
        <v>862</v>
      </c>
      <c r="AH4" s="26">
        <f>INDEX($D$4:$D$720,MATCH(AG4,$C$4:$C$720,0))</f>
        <v>76</v>
      </c>
      <c r="AK4" s="25" t="s">
        <v>768</v>
      </c>
      <c r="AL4" s="25">
        <v>1</v>
      </c>
      <c r="AM4" s="26" t="s">
        <v>918</v>
      </c>
      <c r="AN4" s="26">
        <f>INDEX($D$4:$D$720,MATCH(AM4,$C$4:$C$720,0))</f>
        <v>125</v>
      </c>
      <c r="AQ4" s="25" t="s">
        <v>768</v>
      </c>
      <c r="AR4" s="25">
        <v>1</v>
      </c>
      <c r="AS4" s="26" t="s">
        <v>306</v>
      </c>
      <c r="AT4" s="26">
        <f>INDEX($D$4:$D$720,MATCH(AS4,$C$4:$C$720,0))</f>
        <v>146</v>
      </c>
      <c r="AY4" s="15">
        <f>B4</f>
        <v>1</v>
      </c>
      <c r="AZ4" s="15" t="str">
        <f>C4</f>
        <v>800+574</v>
      </c>
      <c r="BA4" s="15">
        <f>D4</f>
        <v>4</v>
      </c>
      <c r="BB4" s="15">
        <f>COUNTIF($BA$4:$BA4,$BA4)</f>
        <v>1</v>
      </c>
      <c r="BC4" s="15" t="str">
        <f>IFERROR(IF(LEFT(INDEX($G$4:$G$173,MATCH($AZ4,$I$4:$I$173,0)),1)="精","营",LEFT(INDEX($G$4:$G$173,MATCH($AZ4,$I$4:$I$173,0)),1)),"")</f>
        <v/>
      </c>
      <c r="BD4" s="35" t="str">
        <f>IFERROR(IF(LEFT(INDEX($M$4:$M$173,MATCH($AZ4,$O$4:$O$173,0)),1)="精","营",LEFT(INDEX($M$4:$M$173,MATCH($AZ4,$O$4:$O$173,0)),1)),"")</f>
        <v>村</v>
      </c>
      <c r="BE4" s="35" t="str">
        <f>IFERROR(IF(LEFT(INDEX($S$4:$S$173,MATCH($AZ4,$U$4:$U$173,0)),1)="精","营",LEFT(INDEX($S$4:$S$173,MATCH($AZ4,$U$4:$U$173,0)),1)),"")</f>
        <v>村</v>
      </c>
      <c r="BF4" s="35" t="str">
        <f>IFERROR(IF(LEFT(INDEX($Y$4:$Y$173,MATCH($AZ4,$AA$4:$AA$173,0)),1)="精","营",LEFT(INDEX($Y$4:$Y$173,MATCH($AZ4,$AA$4:$AA$173,0)),1)),"")</f>
        <v/>
      </c>
      <c r="BG4" s="35" t="str">
        <f>IFERROR(IF(LEFT(INDEX($AE$4:$AE$173,MATCH($AZ4,$AG$4:$AG$173,0)),1)="精","营",LEFT(INDEX($AE$4:$AE$173,MATCH($AZ4,$AG$4:$AG$173,0)),1)),"")</f>
        <v/>
      </c>
      <c r="BH4" s="35" t="str">
        <f>IFERROR(IF(LEFT(INDEX($AK$4:$AK$173,MATCH($AZ4,$AM$4:$AM$173,0)),1)="精","营",LEFT(INDEX($AK$4:$AK$173,MATCH($AZ4,$AM$4:$AM$173,0)),1)),"")</f>
        <v/>
      </c>
      <c r="BI4" s="35" t="str">
        <f>IFERROR(IF(LEFT(INDEX($AQ$4:$AQ$173,MATCH($AZ4,$AS$4:$AS$173,0)),1)="精","营",LEFT(INDEX($AQ$4:$AQ$173,MATCH($AZ4,$AS$4:$AS$173,0)),1)),"")</f>
        <v/>
      </c>
      <c r="BJ4" s="29" t="str">
        <f>IF(BC4&lt;&gt;"",BC4,IF(BD4&lt;&gt;"",BD4,IF(BE4&lt;&gt;"",BE4,IF(BF4&lt;&gt;"",BF4,IF(BG4&lt;&gt;"",BG4,IF(BH4&lt;&gt;"",BH4,IF(BI4&lt;&gt;"",BI4,"")))))))</f>
        <v>村</v>
      </c>
      <c r="BL4" s="14">
        <v>1</v>
      </c>
      <c r="BM4" s="14" t="str">
        <f>IFERROR(INDEX($AZ$4:$AZ$1000,MATCH(SUMIFS($AY$4:$AY$1000,$BA$4:$BA$1000,$BL4,$BB$4:$BB$1000,BM$3,$BJ$4:$BJ$1000,"村"),$AY$4:$AY$1000,0)),"")</f>
        <v>877+390</v>
      </c>
      <c r="BN4" s="39" t="str">
        <f t="shared" ref="BN4:CA9" si="0">IFERROR(INDEX($AZ$4:$AZ$1000,MATCH(SUMIFS($AY$4:$AY$1000,$BA$4:$BA$1000,$BL4,$BB$4:$BB$1000,BN$3,$BJ$4:$BJ$1000,"村"),$AY$4:$AY$1000,0)),"")</f>
        <v>853+375</v>
      </c>
      <c r="BO4" s="39" t="str">
        <f t="shared" si="0"/>
        <v/>
      </c>
      <c r="BP4" s="39" t="str">
        <f t="shared" si="0"/>
        <v/>
      </c>
      <c r="BQ4" s="39" t="str">
        <f t="shared" si="0"/>
        <v/>
      </c>
      <c r="BR4" s="39" t="str">
        <f t="shared" si="0"/>
        <v/>
      </c>
      <c r="BS4" s="39" t="str">
        <f t="shared" si="0"/>
        <v/>
      </c>
      <c r="BT4" s="39" t="str">
        <f t="shared" si="0"/>
        <v/>
      </c>
      <c r="BU4" s="39" t="str">
        <f t="shared" si="0"/>
        <v/>
      </c>
      <c r="BV4" s="39" t="str">
        <f t="shared" si="0"/>
        <v/>
      </c>
      <c r="BW4" s="39" t="str">
        <f t="shared" si="0"/>
        <v/>
      </c>
      <c r="BX4" s="39" t="str">
        <f t="shared" si="0"/>
        <v/>
      </c>
      <c r="BY4" s="39" t="str">
        <f t="shared" si="0"/>
        <v/>
      </c>
      <c r="BZ4" s="39" t="str">
        <f t="shared" si="0"/>
        <v/>
      </c>
      <c r="CA4" s="39" t="str">
        <f t="shared" si="0"/>
        <v/>
      </c>
      <c r="CB4" s="39" t="str">
        <f>IFERROR(INDEX($AZ$4:$AZ$1000,MATCH(SUMIFS($AY$4:$AY$1000,$BA$4:$BA$1000,$BL4,$BB$4:$BB$1000,CB$3,$BJ$4:$BJ$1000,"县"),$AY$4:$AY$1000,0)),"")</f>
        <v/>
      </c>
      <c r="CC4" s="39" t="str">
        <f t="shared" ref="CC4:CP19" si="1">IFERROR(INDEX($AZ$4:$AZ$1000,MATCH(SUMIFS($AY$4:$AY$1000,$BA$4:$BA$1000,$BL4,$BB$4:$BB$1000,CC$3,$BJ$4:$BJ$1000,"县"),$AY$4:$AY$1000,0)),"")</f>
        <v/>
      </c>
      <c r="CD4" s="39" t="str">
        <f t="shared" si="1"/>
        <v/>
      </c>
      <c r="CE4" s="39" t="str">
        <f t="shared" si="1"/>
        <v/>
      </c>
      <c r="CF4" s="39" t="str">
        <f t="shared" si="1"/>
        <v/>
      </c>
      <c r="CG4" s="39" t="str">
        <f t="shared" si="1"/>
        <v/>
      </c>
      <c r="CH4" s="39" t="str">
        <f t="shared" si="1"/>
        <v/>
      </c>
      <c r="CI4" s="39" t="str">
        <f t="shared" si="1"/>
        <v/>
      </c>
      <c r="CJ4" s="39" t="str">
        <f t="shared" si="1"/>
        <v/>
      </c>
      <c r="CK4" s="39" t="str">
        <f t="shared" si="1"/>
        <v/>
      </c>
      <c r="CL4" s="39" t="str">
        <f t="shared" si="1"/>
        <v/>
      </c>
      <c r="CM4" s="39" t="str">
        <f t="shared" si="1"/>
        <v/>
      </c>
      <c r="CN4" s="39" t="str">
        <f t="shared" si="1"/>
        <v/>
      </c>
      <c r="CO4" s="39" t="str">
        <f t="shared" si="1"/>
        <v/>
      </c>
      <c r="CP4" s="39" t="str">
        <f t="shared" si="1"/>
        <v/>
      </c>
      <c r="CQ4" s="39" t="str">
        <f>IFERROR(INDEX($AZ$4:$AZ$1000,MATCH(SUMIFS($AY$4:$AY$1000,$BA$4:$BA$1000,$BL4,$BB$4:$BB$1000,CQ$3,$BJ$4:$BJ$1000,"营"),$AY$4:$AY$1000,0)),"")</f>
        <v/>
      </c>
      <c r="CR4" s="39" t="str">
        <f t="shared" ref="CR4:DE19" si="2">IFERROR(INDEX($AZ$4:$AZ$1000,MATCH(SUMIFS($AY$4:$AY$1000,$BA$4:$BA$1000,$BL4,$BB$4:$BB$1000,CR$3,$BJ$4:$BJ$1000,"营"),$AY$4:$AY$1000,0)),"")</f>
        <v/>
      </c>
      <c r="CS4" s="39" t="str">
        <f t="shared" si="2"/>
        <v/>
      </c>
      <c r="CT4" s="39" t="str">
        <f t="shared" si="2"/>
        <v/>
      </c>
      <c r="CU4" s="39" t="str">
        <f t="shared" si="2"/>
        <v/>
      </c>
      <c r="CV4" s="39" t="str">
        <f t="shared" si="2"/>
        <v/>
      </c>
      <c r="CW4" s="39" t="str">
        <f t="shared" si="2"/>
        <v/>
      </c>
      <c r="CX4" s="39" t="str">
        <f t="shared" si="2"/>
        <v/>
      </c>
      <c r="CY4" s="39" t="str">
        <f t="shared" si="2"/>
        <v/>
      </c>
      <c r="CZ4" s="39" t="str">
        <f t="shared" si="2"/>
        <v/>
      </c>
      <c r="DA4" s="39" t="str">
        <f t="shared" si="2"/>
        <v/>
      </c>
      <c r="DB4" s="39" t="str">
        <f t="shared" si="2"/>
        <v/>
      </c>
      <c r="DC4" s="39" t="str">
        <f t="shared" si="2"/>
        <v/>
      </c>
      <c r="DD4" s="39" t="str">
        <f t="shared" si="2"/>
        <v/>
      </c>
      <c r="DE4" s="39" t="str">
        <f t="shared" si="2"/>
        <v/>
      </c>
      <c r="DF4" s="14" t="str">
        <f>(15-COUNTIF(BM4:CA4,""))&amp;"+"&amp;15-COUNTIF(CB4:CP4,"")&amp;"+"&amp;15-COUNTIF(CQ4:DE4,"")</f>
        <v>2+0+0</v>
      </c>
      <c r="DG4" s="14" t="str">
        <f t="shared" ref="DG4" si="3">IF(合并区域(BM4:CA4,"|")="","0+0",合并区域(BM4:CA4,"|"))</f>
        <v>877+390|853+375</v>
      </c>
      <c r="DH4" s="30" t="str">
        <f t="shared" ref="DH4" si="4">IF(合并区域(CB4:CP4,"|")="","0+0",合并区域(CB4:CP4,"|"))</f>
        <v>0+0</v>
      </c>
      <c r="DI4" s="30" t="str">
        <f t="shared" ref="DI4" si="5">IF(合并区域(CQ4:DE4,"|")="","0+0",合并区域(CQ4:DE4,"|"))</f>
        <v>0+0</v>
      </c>
      <c r="DJ4" s="14" t="str">
        <f>合并区域(DF4:DI4,"|")</f>
        <v>2+0+0|877+390|853+375|0+0|0+0</v>
      </c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</row>
    <row r="5" spans="2:131" x14ac:dyDescent="0.15">
      <c r="B5" s="15">
        <v>2</v>
      </c>
      <c r="C5" s="15" t="s">
        <v>8</v>
      </c>
      <c r="D5" s="15">
        <v>4</v>
      </c>
      <c r="G5" s="25" t="s">
        <v>488</v>
      </c>
      <c r="H5" s="25">
        <v>2</v>
      </c>
      <c r="I5" s="26" t="s">
        <v>348</v>
      </c>
      <c r="J5" s="26">
        <f t="shared" ref="J5:J68" si="6">INDEX($D$4:$D$720,MATCH(I5,$C$4:$C$720,0))</f>
        <v>167</v>
      </c>
      <c r="M5" s="25" t="s">
        <v>488</v>
      </c>
      <c r="N5" s="25">
        <v>2</v>
      </c>
      <c r="O5" s="26" t="s">
        <v>197</v>
      </c>
      <c r="P5" s="26">
        <f t="shared" ref="P5:P68" si="7">INDEX($D$4:$D$720,MATCH(O5,$C$4:$C$720,0))</f>
        <v>94</v>
      </c>
      <c r="Q5" s="26"/>
      <c r="R5" s="26"/>
      <c r="S5" s="25" t="s">
        <v>488</v>
      </c>
      <c r="T5" s="25">
        <v>2</v>
      </c>
      <c r="U5" s="26" t="s">
        <v>826</v>
      </c>
      <c r="V5" s="26">
        <f t="shared" ref="V5:V68" si="8">INDEX($D$4:$D$720,MATCH(U5,$C$4:$C$720,0))</f>
        <v>115</v>
      </c>
      <c r="W5" s="26"/>
      <c r="Y5" s="25" t="s">
        <v>488</v>
      </c>
      <c r="Z5" s="25">
        <v>2</v>
      </c>
      <c r="AA5" s="26" t="s">
        <v>121</v>
      </c>
      <c r="AB5" s="26">
        <f t="shared" ref="AB5:AB68" si="9">INDEX($D$4:$D$720,MATCH(AA5,$C$4:$C$720,0))</f>
        <v>56</v>
      </c>
      <c r="AE5" s="25" t="s">
        <v>488</v>
      </c>
      <c r="AF5" s="25">
        <v>2</v>
      </c>
      <c r="AG5" s="26" t="s">
        <v>863</v>
      </c>
      <c r="AH5" s="26">
        <f t="shared" ref="AH5:AH68" si="10">INDEX($D$4:$D$720,MATCH(AG5,$C$4:$C$720,0))</f>
        <v>76</v>
      </c>
      <c r="AK5" s="25" t="s">
        <v>488</v>
      </c>
      <c r="AL5" s="25">
        <v>2</v>
      </c>
      <c r="AM5" s="26" t="s">
        <v>261</v>
      </c>
      <c r="AN5" s="26">
        <f t="shared" ref="AN5:AN68" si="11">INDEX($D$4:$D$720,MATCH(AM5,$C$4:$C$720,0))</f>
        <v>125</v>
      </c>
      <c r="AQ5" s="25" t="s">
        <v>488</v>
      </c>
      <c r="AR5" s="25">
        <v>2</v>
      </c>
      <c r="AS5" s="26" t="s">
        <v>985</v>
      </c>
      <c r="AT5" s="26">
        <f t="shared" ref="AT5:AT68" si="12">INDEX($D$4:$D$720,MATCH(AS5,$C$4:$C$720,0))</f>
        <v>146</v>
      </c>
      <c r="AX5" s="15"/>
      <c r="AY5" s="35">
        <f t="shared" ref="AY5:AY68" si="13">B5</f>
        <v>2</v>
      </c>
      <c r="AZ5" s="35" t="str">
        <f t="shared" ref="AZ5:AZ68" si="14">C5</f>
        <v>803+541</v>
      </c>
      <c r="BA5" s="35">
        <f t="shared" ref="BA5:BA68" si="15">D5</f>
        <v>4</v>
      </c>
      <c r="BB5" s="38">
        <f>COUNTIF($BA$4:$BA5,$BA5)</f>
        <v>2</v>
      </c>
      <c r="BC5" s="36" t="str">
        <f t="shared" ref="BC5:BC68" si="16">IFERROR(IF(LEFT(INDEX($G$4:$G$173,MATCH($AZ5,$I$4:$I$173,0)),1)="精","营",LEFT(INDEX($G$4:$G$173,MATCH($AZ5,$I$4:$I$173,0)),1)),"")</f>
        <v/>
      </c>
      <c r="BD5" s="36" t="str">
        <f t="shared" ref="BD5:BD68" si="17">IFERROR(IF(LEFT(INDEX($M$4:$M$173,MATCH($AZ5,$O$4:$O$173,0)),1)="精","营",LEFT(INDEX($M$4:$M$173,MATCH($AZ5,$O$4:$O$173,0)),1)),"")</f>
        <v>村</v>
      </c>
      <c r="BE5" s="36" t="str">
        <f t="shared" ref="BE5:BE68" si="18">IFERROR(IF(LEFT(INDEX($S$4:$S$173,MATCH($AZ5,$U$4:$U$173,0)),1)="精","营",LEFT(INDEX($S$4:$S$173,MATCH($AZ5,$U$4:$U$173,0)),1)),"")</f>
        <v/>
      </c>
      <c r="BF5" s="36" t="str">
        <f t="shared" ref="BF5:BF68" si="19">IFERROR(IF(LEFT(INDEX($Y$4:$Y$173,MATCH($AZ5,$AA$4:$AA$173,0)),1)="精","营",LEFT(INDEX($Y$4:$Y$173,MATCH($AZ5,$AA$4:$AA$173,0)),1)),"")</f>
        <v/>
      </c>
      <c r="BG5" s="36" t="str">
        <f t="shared" ref="BG5:BG68" si="20">IFERROR(IF(LEFT(INDEX($AE$4:$AE$173,MATCH($AZ5,$AG$4:$AG$173,0)),1)="精","营",LEFT(INDEX($AE$4:$AE$173,MATCH($AZ5,$AG$4:$AG$173,0)),1)),"")</f>
        <v/>
      </c>
      <c r="BH5" s="36" t="str">
        <f t="shared" ref="BH5:BH68" si="21">IFERROR(IF(LEFT(INDEX($AK$4:$AK$173,MATCH($AZ5,$AM$4:$AM$173,0)),1)="精","营",LEFT(INDEX($AK$4:$AK$173,MATCH($AZ5,$AM$4:$AM$173,0)),1)),"")</f>
        <v/>
      </c>
      <c r="BI5" s="36" t="str">
        <f t="shared" ref="BI5:BI68" si="22">IFERROR(IF(LEFT(INDEX($AQ$4:$AQ$173,MATCH($AZ5,$AS$4:$AS$173,0)),1)="精","营",LEFT(INDEX($AQ$4:$AQ$173,MATCH($AZ5,$AS$4:$AS$173,0)),1)),"")</f>
        <v/>
      </c>
      <c r="BJ5" s="29" t="str">
        <f t="shared" ref="BJ5:BJ68" si="23">IF(BC5&lt;&gt;"",BC5,IF(BD5&lt;&gt;"",BD5,IF(BE5&lt;&gt;"",BE5,IF(BF5&lt;&gt;"",BF5,IF(BG5&lt;&gt;"",BG5,IF(BH5&lt;&gt;"",BH5,IF(BI5&lt;&gt;"",BI5,"")))))))</f>
        <v>村</v>
      </c>
      <c r="BL5" s="14">
        <v>2</v>
      </c>
      <c r="BM5" s="39" t="str">
        <f t="shared" ref="BM5:CA25" si="24">IFERROR(INDEX($AZ$4:$AZ$1000,MATCH(SUMIFS($AY$4:$AY$1000,$BA$4:$BA$1000,$BL5,$BB$4:$BB$1000,BM$3,$BJ$4:$BJ$1000,"村"),$AY$4:$AY$1000,0)),"")</f>
        <v>832+509</v>
      </c>
      <c r="BN5" s="39" t="str">
        <f t="shared" si="0"/>
        <v/>
      </c>
      <c r="BO5" s="39" t="str">
        <f t="shared" si="0"/>
        <v/>
      </c>
      <c r="BP5" s="39" t="str">
        <f t="shared" si="0"/>
        <v/>
      </c>
      <c r="BQ5" s="39" t="str">
        <f t="shared" si="0"/>
        <v/>
      </c>
      <c r="BR5" s="39" t="str">
        <f t="shared" si="0"/>
        <v/>
      </c>
      <c r="BS5" s="39" t="str">
        <f t="shared" si="0"/>
        <v/>
      </c>
      <c r="BT5" s="39" t="str">
        <f t="shared" si="0"/>
        <v/>
      </c>
      <c r="BU5" s="39" t="str">
        <f t="shared" si="0"/>
        <v/>
      </c>
      <c r="BV5" s="39" t="str">
        <f t="shared" si="0"/>
        <v/>
      </c>
      <c r="BW5" s="39" t="str">
        <f t="shared" si="0"/>
        <v/>
      </c>
      <c r="BX5" s="39" t="str">
        <f t="shared" si="0"/>
        <v/>
      </c>
      <c r="BY5" s="39" t="str">
        <f t="shared" si="0"/>
        <v/>
      </c>
      <c r="BZ5" s="39" t="str">
        <f t="shared" si="0"/>
        <v/>
      </c>
      <c r="CA5" s="39" t="str">
        <f t="shared" si="0"/>
        <v/>
      </c>
      <c r="CB5" s="39" t="str">
        <f t="shared" ref="CB5:CP35" si="25">IFERROR(INDEX($AZ$4:$AZ$1000,MATCH(SUMIFS($AY$4:$AY$1000,$BA$4:$BA$1000,$BL5,$BB$4:$BB$1000,CB$3,$BJ$4:$BJ$1000,"县"),$AY$4:$AY$1000,0)),"")</f>
        <v/>
      </c>
      <c r="CC5" s="39" t="str">
        <f t="shared" si="1"/>
        <v/>
      </c>
      <c r="CD5" s="39" t="str">
        <f t="shared" si="1"/>
        <v/>
      </c>
      <c r="CE5" s="39" t="str">
        <f t="shared" si="1"/>
        <v/>
      </c>
      <c r="CF5" s="39" t="str">
        <f t="shared" si="1"/>
        <v/>
      </c>
      <c r="CG5" s="39" t="str">
        <f t="shared" si="1"/>
        <v/>
      </c>
      <c r="CH5" s="39" t="str">
        <f t="shared" si="1"/>
        <v/>
      </c>
      <c r="CI5" s="39" t="str">
        <f t="shared" si="1"/>
        <v/>
      </c>
      <c r="CJ5" s="39" t="str">
        <f t="shared" si="1"/>
        <v/>
      </c>
      <c r="CK5" s="39" t="str">
        <f t="shared" si="1"/>
        <v/>
      </c>
      <c r="CL5" s="39" t="str">
        <f t="shared" si="1"/>
        <v/>
      </c>
      <c r="CM5" s="39" t="str">
        <f t="shared" si="1"/>
        <v/>
      </c>
      <c r="CN5" s="39" t="str">
        <f t="shared" si="1"/>
        <v/>
      </c>
      <c r="CO5" s="39" t="str">
        <f t="shared" si="1"/>
        <v/>
      </c>
      <c r="CP5" s="39" t="str">
        <f t="shared" si="1"/>
        <v/>
      </c>
      <c r="CQ5" s="39" t="str">
        <f t="shared" ref="CQ5:DE35" si="26">IFERROR(INDEX($AZ$4:$AZ$1000,MATCH(SUMIFS($AY$4:$AY$1000,$BA$4:$BA$1000,$BL5,$BB$4:$BB$1000,CQ$3,$BJ$4:$BJ$1000,"营"),$AY$4:$AY$1000,0)),"")</f>
        <v/>
      </c>
      <c r="CR5" s="39" t="str">
        <f t="shared" si="2"/>
        <v>846+467</v>
      </c>
      <c r="CS5" s="39" t="str">
        <f t="shared" si="2"/>
        <v/>
      </c>
      <c r="CT5" s="39" t="str">
        <f t="shared" si="2"/>
        <v/>
      </c>
      <c r="CU5" s="39" t="str">
        <f t="shared" si="2"/>
        <v/>
      </c>
      <c r="CV5" s="39" t="str">
        <f t="shared" si="2"/>
        <v/>
      </c>
      <c r="CW5" s="39" t="str">
        <f t="shared" si="2"/>
        <v/>
      </c>
      <c r="CX5" s="39" t="str">
        <f t="shared" si="2"/>
        <v/>
      </c>
      <c r="CY5" s="39" t="str">
        <f t="shared" si="2"/>
        <v/>
      </c>
      <c r="CZ5" s="39" t="str">
        <f t="shared" si="2"/>
        <v/>
      </c>
      <c r="DA5" s="39" t="str">
        <f t="shared" si="2"/>
        <v/>
      </c>
      <c r="DB5" s="39" t="str">
        <f t="shared" si="2"/>
        <v/>
      </c>
      <c r="DC5" s="39" t="str">
        <f t="shared" si="2"/>
        <v/>
      </c>
      <c r="DD5" s="39" t="str">
        <f t="shared" si="2"/>
        <v/>
      </c>
      <c r="DE5" s="39" t="str">
        <f t="shared" si="2"/>
        <v/>
      </c>
      <c r="DF5" s="37" t="str">
        <f t="shared" ref="DF5:DF68" si="27">(15-COUNTIF(BM5:CA5,""))&amp;"+"&amp;15-COUNTIF(CB5:CP5,"")&amp;"+"&amp;15-COUNTIF(CQ5:DE5,"")</f>
        <v>1+0+1</v>
      </c>
      <c r="DG5" s="37" t="str">
        <f t="shared" ref="DG5:DG68" si="28">IF(合并区域(BM5:CA5,"|")="","0+0",合并区域(BM5:CA5,"|"))</f>
        <v>832+509</v>
      </c>
      <c r="DH5" s="37" t="str">
        <f t="shared" ref="DH5:DH68" si="29">IF(合并区域(CB5:CP5,"|")="","0+0",合并区域(CB5:CP5,"|"))</f>
        <v>0+0</v>
      </c>
      <c r="DI5" s="37" t="str">
        <f t="shared" ref="DI5:DI68" si="30">IF(合并区域(CQ5:DE5,"|")="","0+0",合并区域(CQ5:DE5,"|"))</f>
        <v>846+467</v>
      </c>
      <c r="DJ5" s="37" t="str">
        <f t="shared" ref="DJ5:DJ68" si="31">合并区域(DF5:DI5,"|")</f>
        <v>1+0+1|832+509|0+0|846+467</v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</row>
    <row r="6" spans="2:131" x14ac:dyDescent="0.15">
      <c r="B6" s="15">
        <v>3</v>
      </c>
      <c r="C6" s="15" t="s">
        <v>689</v>
      </c>
      <c r="D6" s="15">
        <v>5</v>
      </c>
      <c r="G6" s="25" t="s">
        <v>488</v>
      </c>
      <c r="H6" s="25">
        <v>3</v>
      </c>
      <c r="I6" s="26" t="s">
        <v>347</v>
      </c>
      <c r="J6" s="26">
        <f t="shared" si="6"/>
        <v>167</v>
      </c>
      <c r="M6" s="25" t="s">
        <v>488</v>
      </c>
      <c r="N6" s="25">
        <v>3</v>
      </c>
      <c r="O6" s="26" t="s">
        <v>194</v>
      </c>
      <c r="P6" s="26">
        <f t="shared" si="7"/>
        <v>92</v>
      </c>
      <c r="Q6" s="26"/>
      <c r="R6" s="26"/>
      <c r="S6" s="25" t="s">
        <v>488</v>
      </c>
      <c r="T6" s="25">
        <v>3</v>
      </c>
      <c r="U6" s="26" t="s">
        <v>827</v>
      </c>
      <c r="V6" s="26">
        <f t="shared" si="8"/>
        <v>114</v>
      </c>
      <c r="W6" s="26"/>
      <c r="Y6" s="25" t="s">
        <v>488</v>
      </c>
      <c r="Z6" s="25">
        <v>3</v>
      </c>
      <c r="AA6" s="26" t="s">
        <v>123</v>
      </c>
      <c r="AB6" s="26">
        <f t="shared" si="9"/>
        <v>57</v>
      </c>
      <c r="AE6" s="25" t="s">
        <v>488</v>
      </c>
      <c r="AF6" s="25">
        <v>3</v>
      </c>
      <c r="AG6" s="26" t="s">
        <v>864</v>
      </c>
      <c r="AH6" s="26">
        <f t="shared" si="10"/>
        <v>74</v>
      </c>
      <c r="AK6" s="25" t="s">
        <v>488</v>
      </c>
      <c r="AL6" s="25">
        <v>3</v>
      </c>
      <c r="AM6" s="26" t="s">
        <v>264</v>
      </c>
      <c r="AN6" s="26">
        <f t="shared" si="11"/>
        <v>126</v>
      </c>
      <c r="AQ6" s="25" t="s">
        <v>488</v>
      </c>
      <c r="AR6" s="25">
        <v>3</v>
      </c>
      <c r="AS6" s="26" t="s">
        <v>982</v>
      </c>
      <c r="AT6" s="26">
        <f t="shared" si="12"/>
        <v>147</v>
      </c>
      <c r="AX6" s="15"/>
      <c r="AY6" s="35">
        <f t="shared" si="13"/>
        <v>3</v>
      </c>
      <c r="AZ6" s="35" t="str">
        <f t="shared" si="14"/>
        <v>777+510</v>
      </c>
      <c r="BA6" s="35">
        <f t="shared" si="15"/>
        <v>5</v>
      </c>
      <c r="BB6" s="38">
        <f>COUNTIF($BA$4:$BA6,$BA6)</f>
        <v>1</v>
      </c>
      <c r="BC6" s="36" t="str">
        <f t="shared" si="16"/>
        <v/>
      </c>
      <c r="BD6" s="36" t="str">
        <f t="shared" si="17"/>
        <v>营</v>
      </c>
      <c r="BE6" s="36" t="str">
        <f t="shared" si="18"/>
        <v>营</v>
      </c>
      <c r="BF6" s="36" t="str">
        <f t="shared" si="19"/>
        <v/>
      </c>
      <c r="BG6" s="36" t="str">
        <f t="shared" si="20"/>
        <v/>
      </c>
      <c r="BH6" s="36" t="str">
        <f t="shared" si="21"/>
        <v/>
      </c>
      <c r="BI6" s="36" t="str">
        <f t="shared" si="22"/>
        <v/>
      </c>
      <c r="BJ6" s="29" t="str">
        <f t="shared" si="23"/>
        <v>营</v>
      </c>
      <c r="BL6" s="15">
        <v>3</v>
      </c>
      <c r="BM6" s="39" t="str">
        <f t="shared" si="24"/>
        <v/>
      </c>
      <c r="BN6" s="39" t="str">
        <f t="shared" si="0"/>
        <v/>
      </c>
      <c r="BO6" s="39" t="str">
        <f t="shared" si="0"/>
        <v/>
      </c>
      <c r="BP6" s="39" t="str">
        <f t="shared" si="0"/>
        <v/>
      </c>
      <c r="BQ6" s="39" t="str">
        <f t="shared" si="0"/>
        <v/>
      </c>
      <c r="BR6" s="39" t="str">
        <f t="shared" si="0"/>
        <v/>
      </c>
      <c r="BS6" s="39" t="str">
        <f t="shared" si="0"/>
        <v/>
      </c>
      <c r="BT6" s="39" t="str">
        <f t="shared" si="0"/>
        <v/>
      </c>
      <c r="BU6" s="39" t="str">
        <f t="shared" si="0"/>
        <v/>
      </c>
      <c r="BV6" s="39" t="str">
        <f t="shared" si="0"/>
        <v/>
      </c>
      <c r="BW6" s="39" t="str">
        <f t="shared" si="0"/>
        <v/>
      </c>
      <c r="BX6" s="39" t="str">
        <f t="shared" si="0"/>
        <v/>
      </c>
      <c r="BY6" s="39" t="str">
        <f t="shared" si="0"/>
        <v/>
      </c>
      <c r="BZ6" s="39" t="str">
        <f t="shared" si="0"/>
        <v/>
      </c>
      <c r="CA6" s="39" t="str">
        <f t="shared" si="0"/>
        <v/>
      </c>
      <c r="CB6" s="39" t="str">
        <f t="shared" si="25"/>
        <v/>
      </c>
      <c r="CC6" s="39" t="str">
        <f t="shared" si="1"/>
        <v/>
      </c>
      <c r="CD6" s="39" t="str">
        <f t="shared" si="1"/>
        <v/>
      </c>
      <c r="CE6" s="39" t="str">
        <f t="shared" si="1"/>
        <v/>
      </c>
      <c r="CF6" s="39" t="str">
        <f t="shared" si="1"/>
        <v/>
      </c>
      <c r="CG6" s="39" t="str">
        <f t="shared" si="1"/>
        <v/>
      </c>
      <c r="CH6" s="39" t="str">
        <f t="shared" si="1"/>
        <v/>
      </c>
      <c r="CI6" s="39" t="str">
        <f t="shared" si="1"/>
        <v/>
      </c>
      <c r="CJ6" s="39" t="str">
        <f t="shared" si="1"/>
        <v/>
      </c>
      <c r="CK6" s="39" t="str">
        <f t="shared" si="1"/>
        <v/>
      </c>
      <c r="CL6" s="39" t="str">
        <f t="shared" si="1"/>
        <v/>
      </c>
      <c r="CM6" s="39" t="str">
        <f t="shared" si="1"/>
        <v/>
      </c>
      <c r="CN6" s="39" t="str">
        <f t="shared" si="1"/>
        <v/>
      </c>
      <c r="CO6" s="39" t="str">
        <f t="shared" si="1"/>
        <v/>
      </c>
      <c r="CP6" s="39" t="str">
        <f t="shared" si="1"/>
        <v/>
      </c>
      <c r="CQ6" s="39" t="str">
        <f t="shared" si="26"/>
        <v/>
      </c>
      <c r="CR6" s="39" t="str">
        <f t="shared" si="2"/>
        <v/>
      </c>
      <c r="CS6" s="39" t="str">
        <f t="shared" si="2"/>
        <v/>
      </c>
      <c r="CT6" s="39" t="str">
        <f t="shared" si="2"/>
        <v/>
      </c>
      <c r="CU6" s="39" t="str">
        <f t="shared" si="2"/>
        <v/>
      </c>
      <c r="CV6" s="39" t="str">
        <f t="shared" si="2"/>
        <v/>
      </c>
      <c r="CW6" s="39" t="str">
        <f t="shared" si="2"/>
        <v/>
      </c>
      <c r="CX6" s="39" t="str">
        <f t="shared" si="2"/>
        <v/>
      </c>
      <c r="CY6" s="39" t="str">
        <f t="shared" si="2"/>
        <v/>
      </c>
      <c r="CZ6" s="39" t="str">
        <f t="shared" si="2"/>
        <v/>
      </c>
      <c r="DA6" s="39" t="str">
        <f t="shared" si="2"/>
        <v/>
      </c>
      <c r="DB6" s="39" t="str">
        <f t="shared" si="2"/>
        <v/>
      </c>
      <c r="DC6" s="39" t="str">
        <f t="shared" si="2"/>
        <v/>
      </c>
      <c r="DD6" s="39" t="str">
        <f t="shared" si="2"/>
        <v/>
      </c>
      <c r="DE6" s="39" t="str">
        <f t="shared" si="2"/>
        <v/>
      </c>
      <c r="DF6" s="37" t="str">
        <f t="shared" si="27"/>
        <v>0+0+0</v>
      </c>
      <c r="DG6" s="37" t="str">
        <f t="shared" si="28"/>
        <v>0+0</v>
      </c>
      <c r="DH6" s="37" t="str">
        <f t="shared" si="29"/>
        <v>0+0</v>
      </c>
      <c r="DI6" s="37" t="str">
        <f t="shared" si="30"/>
        <v>0+0</v>
      </c>
      <c r="DJ6" s="37" t="str">
        <f t="shared" si="31"/>
        <v>0+0+0|0+0|0+0|0+0</v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</row>
    <row r="7" spans="2:131" x14ac:dyDescent="0.15">
      <c r="B7" s="15">
        <v>4</v>
      </c>
      <c r="C7" s="15" t="s">
        <v>27</v>
      </c>
      <c r="D7" s="15">
        <v>11</v>
      </c>
      <c r="G7" s="25" t="s">
        <v>488</v>
      </c>
      <c r="H7" s="25">
        <v>4</v>
      </c>
      <c r="I7" s="26" t="s">
        <v>344</v>
      </c>
      <c r="J7" s="26">
        <f t="shared" si="6"/>
        <v>165</v>
      </c>
      <c r="M7" s="25" t="s">
        <v>488</v>
      </c>
      <c r="N7" s="25">
        <v>4</v>
      </c>
      <c r="O7" s="26" t="s">
        <v>198</v>
      </c>
      <c r="P7" s="26">
        <f t="shared" si="7"/>
        <v>94</v>
      </c>
      <c r="Q7" s="26"/>
      <c r="R7" s="26"/>
      <c r="S7" s="25" t="s">
        <v>488</v>
      </c>
      <c r="T7" s="25">
        <v>4</v>
      </c>
      <c r="U7" s="26" t="s">
        <v>828</v>
      </c>
      <c r="V7" s="26">
        <f t="shared" si="8"/>
        <v>114</v>
      </c>
      <c r="W7" s="26"/>
      <c r="Y7" s="25" t="s">
        <v>488</v>
      </c>
      <c r="Z7" s="25">
        <v>4</v>
      </c>
      <c r="AA7" s="26" t="s">
        <v>122</v>
      </c>
      <c r="AB7" s="26">
        <f t="shared" si="9"/>
        <v>57</v>
      </c>
      <c r="AE7" s="25" t="s">
        <v>488</v>
      </c>
      <c r="AF7" s="25">
        <v>4</v>
      </c>
      <c r="AG7" s="26" t="s">
        <v>842</v>
      </c>
      <c r="AH7" s="26">
        <f t="shared" si="10"/>
        <v>73</v>
      </c>
      <c r="AK7" s="25" t="s">
        <v>488</v>
      </c>
      <c r="AL7" s="25">
        <v>4</v>
      </c>
      <c r="AM7" s="26" t="s">
        <v>908</v>
      </c>
      <c r="AN7" s="26">
        <f t="shared" si="11"/>
        <v>80</v>
      </c>
      <c r="AQ7" s="25" t="s">
        <v>488</v>
      </c>
      <c r="AR7" s="25">
        <v>4</v>
      </c>
      <c r="AS7" s="26" t="s">
        <v>310</v>
      </c>
      <c r="AT7" s="26">
        <f t="shared" si="12"/>
        <v>148</v>
      </c>
      <c r="AX7" s="15"/>
      <c r="AY7" s="35">
        <f t="shared" si="13"/>
        <v>4</v>
      </c>
      <c r="AZ7" s="35" t="str">
        <f t="shared" si="14"/>
        <v>775+347</v>
      </c>
      <c r="BA7" s="35">
        <f t="shared" si="15"/>
        <v>11</v>
      </c>
      <c r="BB7" s="38">
        <f>COUNTIF($BA$4:$BA7,$BA7)</f>
        <v>1</v>
      </c>
      <c r="BC7" s="36" t="str">
        <f t="shared" si="16"/>
        <v/>
      </c>
      <c r="BD7" s="36" t="str">
        <f t="shared" si="17"/>
        <v/>
      </c>
      <c r="BE7" s="36" t="str">
        <f t="shared" si="18"/>
        <v>村</v>
      </c>
      <c r="BF7" s="36" t="str">
        <f t="shared" si="19"/>
        <v>村</v>
      </c>
      <c r="BG7" s="36" t="str">
        <f t="shared" si="20"/>
        <v/>
      </c>
      <c r="BH7" s="36" t="str">
        <f t="shared" si="21"/>
        <v/>
      </c>
      <c r="BI7" s="36" t="str">
        <f t="shared" si="22"/>
        <v/>
      </c>
      <c r="BJ7" s="29" t="str">
        <f t="shared" si="23"/>
        <v>村</v>
      </c>
      <c r="BL7" s="15">
        <v>4</v>
      </c>
      <c r="BM7" s="39" t="str">
        <f t="shared" si="24"/>
        <v>800+574</v>
      </c>
      <c r="BN7" s="39" t="str">
        <f t="shared" si="0"/>
        <v>803+541</v>
      </c>
      <c r="BO7" s="39" t="str">
        <f t="shared" si="0"/>
        <v/>
      </c>
      <c r="BP7" s="39" t="str">
        <f t="shared" si="0"/>
        <v/>
      </c>
      <c r="BQ7" s="39" t="str">
        <f t="shared" si="0"/>
        <v/>
      </c>
      <c r="BR7" s="39" t="str">
        <f t="shared" si="0"/>
        <v/>
      </c>
      <c r="BS7" s="39" t="str">
        <f t="shared" si="0"/>
        <v/>
      </c>
      <c r="BT7" s="39" t="str">
        <f t="shared" si="0"/>
        <v/>
      </c>
      <c r="BU7" s="39" t="str">
        <f t="shared" si="0"/>
        <v/>
      </c>
      <c r="BV7" s="39" t="str">
        <f t="shared" si="0"/>
        <v/>
      </c>
      <c r="BW7" s="39" t="str">
        <f t="shared" si="0"/>
        <v/>
      </c>
      <c r="BX7" s="39" t="str">
        <f t="shared" si="0"/>
        <v/>
      </c>
      <c r="BY7" s="39" t="str">
        <f t="shared" si="0"/>
        <v/>
      </c>
      <c r="BZ7" s="39" t="str">
        <f t="shared" si="0"/>
        <v/>
      </c>
      <c r="CA7" s="39" t="str">
        <f t="shared" si="0"/>
        <v/>
      </c>
      <c r="CB7" s="39" t="str">
        <f t="shared" si="25"/>
        <v/>
      </c>
      <c r="CC7" s="39" t="str">
        <f t="shared" si="1"/>
        <v/>
      </c>
      <c r="CD7" s="39" t="str">
        <f t="shared" si="1"/>
        <v/>
      </c>
      <c r="CE7" s="39" t="str">
        <f t="shared" si="1"/>
        <v/>
      </c>
      <c r="CF7" s="39" t="str">
        <f t="shared" si="1"/>
        <v/>
      </c>
      <c r="CG7" s="39" t="str">
        <f t="shared" si="1"/>
        <v/>
      </c>
      <c r="CH7" s="39" t="str">
        <f t="shared" si="1"/>
        <v/>
      </c>
      <c r="CI7" s="39" t="str">
        <f t="shared" si="1"/>
        <v/>
      </c>
      <c r="CJ7" s="39" t="str">
        <f t="shared" si="1"/>
        <v/>
      </c>
      <c r="CK7" s="39" t="str">
        <f t="shared" si="1"/>
        <v/>
      </c>
      <c r="CL7" s="39" t="str">
        <f t="shared" si="1"/>
        <v/>
      </c>
      <c r="CM7" s="39" t="str">
        <f t="shared" si="1"/>
        <v/>
      </c>
      <c r="CN7" s="39" t="str">
        <f t="shared" si="1"/>
        <v/>
      </c>
      <c r="CO7" s="39" t="str">
        <f t="shared" si="1"/>
        <v/>
      </c>
      <c r="CP7" s="39" t="str">
        <f t="shared" si="1"/>
        <v/>
      </c>
      <c r="CQ7" s="39" t="str">
        <f t="shared" si="26"/>
        <v/>
      </c>
      <c r="CR7" s="39" t="str">
        <f t="shared" si="2"/>
        <v/>
      </c>
      <c r="CS7" s="39" t="str">
        <f t="shared" si="2"/>
        <v/>
      </c>
      <c r="CT7" s="39" t="str">
        <f t="shared" si="2"/>
        <v/>
      </c>
      <c r="CU7" s="39" t="str">
        <f t="shared" si="2"/>
        <v/>
      </c>
      <c r="CV7" s="39" t="str">
        <f t="shared" si="2"/>
        <v/>
      </c>
      <c r="CW7" s="39" t="str">
        <f t="shared" si="2"/>
        <v/>
      </c>
      <c r="CX7" s="39" t="str">
        <f t="shared" si="2"/>
        <v/>
      </c>
      <c r="CY7" s="39" t="str">
        <f t="shared" si="2"/>
        <v/>
      </c>
      <c r="CZ7" s="39" t="str">
        <f t="shared" si="2"/>
        <v/>
      </c>
      <c r="DA7" s="39" t="str">
        <f t="shared" si="2"/>
        <v/>
      </c>
      <c r="DB7" s="39" t="str">
        <f t="shared" si="2"/>
        <v/>
      </c>
      <c r="DC7" s="39" t="str">
        <f t="shared" si="2"/>
        <v/>
      </c>
      <c r="DD7" s="39" t="str">
        <f t="shared" si="2"/>
        <v/>
      </c>
      <c r="DE7" s="39" t="str">
        <f t="shared" si="2"/>
        <v/>
      </c>
      <c r="DF7" s="37" t="str">
        <f t="shared" si="27"/>
        <v>2+0+0</v>
      </c>
      <c r="DG7" s="37" t="str">
        <f t="shared" si="28"/>
        <v>800+574|803+541</v>
      </c>
      <c r="DH7" s="37" t="str">
        <f t="shared" si="29"/>
        <v>0+0</v>
      </c>
      <c r="DI7" s="37" t="str">
        <f t="shared" si="30"/>
        <v>0+0</v>
      </c>
      <c r="DJ7" s="37" t="str">
        <f t="shared" si="31"/>
        <v>2+0+0|800+574|803+541|0+0|0+0</v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</row>
    <row r="8" spans="2:131" x14ac:dyDescent="0.15">
      <c r="B8" s="15">
        <v>5</v>
      </c>
      <c r="C8" s="15" t="s">
        <v>396</v>
      </c>
      <c r="D8" s="15">
        <v>11</v>
      </c>
      <c r="G8" s="27" t="s">
        <v>497</v>
      </c>
      <c r="H8" s="27">
        <v>5</v>
      </c>
      <c r="I8" s="26" t="s">
        <v>343</v>
      </c>
      <c r="J8" s="26">
        <f t="shared" si="6"/>
        <v>165</v>
      </c>
      <c r="M8" s="27" t="s">
        <v>497</v>
      </c>
      <c r="N8" s="27">
        <v>5</v>
      </c>
      <c r="O8" s="26" t="s">
        <v>323</v>
      </c>
      <c r="P8" s="26">
        <f t="shared" si="7"/>
        <v>155</v>
      </c>
      <c r="Q8" s="26"/>
      <c r="R8" s="26"/>
      <c r="S8" s="27" t="s">
        <v>497</v>
      </c>
      <c r="T8" s="27">
        <v>5</v>
      </c>
      <c r="U8" s="26" t="s">
        <v>830</v>
      </c>
      <c r="V8" s="26">
        <f t="shared" si="8"/>
        <v>113</v>
      </c>
      <c r="W8" s="26"/>
      <c r="Y8" s="27" t="s">
        <v>497</v>
      </c>
      <c r="Z8" s="27">
        <v>5</v>
      </c>
      <c r="AA8" s="26" t="s">
        <v>125</v>
      </c>
      <c r="AB8" s="26">
        <f t="shared" si="9"/>
        <v>58</v>
      </c>
      <c r="AE8" s="27" t="s">
        <v>497</v>
      </c>
      <c r="AF8" s="27">
        <v>5</v>
      </c>
      <c r="AG8" s="26" t="s">
        <v>866</v>
      </c>
      <c r="AH8" s="26">
        <f t="shared" si="10"/>
        <v>75</v>
      </c>
      <c r="AK8" s="27" t="s">
        <v>497</v>
      </c>
      <c r="AL8" s="27">
        <v>5</v>
      </c>
      <c r="AM8" s="26" t="s">
        <v>1016</v>
      </c>
      <c r="AN8" s="26">
        <f t="shared" si="11"/>
        <v>125</v>
      </c>
      <c r="AQ8" s="27" t="s">
        <v>497</v>
      </c>
      <c r="AR8" s="27">
        <v>5</v>
      </c>
      <c r="AS8" s="26" t="s">
        <v>314</v>
      </c>
      <c r="AT8" s="26">
        <f t="shared" si="12"/>
        <v>150</v>
      </c>
      <c r="AX8" s="15"/>
      <c r="AY8" s="35">
        <f t="shared" si="13"/>
        <v>5</v>
      </c>
      <c r="AZ8" s="35" t="str">
        <f t="shared" si="14"/>
        <v>799+354</v>
      </c>
      <c r="BA8" s="35">
        <f t="shared" si="15"/>
        <v>11</v>
      </c>
      <c r="BB8" s="38">
        <f>COUNTIF($BA$4:$BA8,$BA8)</f>
        <v>2</v>
      </c>
      <c r="BC8" s="36" t="str">
        <f t="shared" si="16"/>
        <v/>
      </c>
      <c r="BD8" s="36" t="str">
        <f t="shared" si="17"/>
        <v/>
      </c>
      <c r="BE8" s="36" t="str">
        <f t="shared" si="18"/>
        <v>营</v>
      </c>
      <c r="BF8" s="36" t="str">
        <f t="shared" si="19"/>
        <v>营</v>
      </c>
      <c r="BG8" s="36" t="str">
        <f t="shared" si="20"/>
        <v/>
      </c>
      <c r="BH8" s="36" t="str">
        <f t="shared" si="21"/>
        <v/>
      </c>
      <c r="BI8" s="36" t="str">
        <f t="shared" si="22"/>
        <v/>
      </c>
      <c r="BJ8" s="29" t="str">
        <f t="shared" si="23"/>
        <v>营</v>
      </c>
      <c r="BL8" s="15">
        <v>5</v>
      </c>
      <c r="BM8" s="39" t="str">
        <f t="shared" si="24"/>
        <v/>
      </c>
      <c r="BN8" s="39" t="str">
        <f t="shared" si="0"/>
        <v/>
      </c>
      <c r="BO8" s="39" t="str">
        <f t="shared" si="0"/>
        <v/>
      </c>
      <c r="BP8" s="39" t="str">
        <f t="shared" si="0"/>
        <v/>
      </c>
      <c r="BQ8" s="39" t="str">
        <f t="shared" si="0"/>
        <v/>
      </c>
      <c r="BR8" s="39" t="str">
        <f t="shared" si="0"/>
        <v/>
      </c>
      <c r="BS8" s="39" t="str">
        <f t="shared" si="0"/>
        <v/>
      </c>
      <c r="BT8" s="39" t="str">
        <f t="shared" si="0"/>
        <v/>
      </c>
      <c r="BU8" s="39" t="str">
        <f t="shared" si="0"/>
        <v/>
      </c>
      <c r="BV8" s="39" t="str">
        <f t="shared" si="0"/>
        <v/>
      </c>
      <c r="BW8" s="39" t="str">
        <f t="shared" si="0"/>
        <v/>
      </c>
      <c r="BX8" s="39" t="str">
        <f t="shared" si="0"/>
        <v/>
      </c>
      <c r="BY8" s="39" t="str">
        <f t="shared" si="0"/>
        <v/>
      </c>
      <c r="BZ8" s="39" t="str">
        <f t="shared" si="0"/>
        <v/>
      </c>
      <c r="CA8" s="39" t="str">
        <f t="shared" si="0"/>
        <v/>
      </c>
      <c r="CB8" s="39" t="str">
        <f t="shared" si="25"/>
        <v/>
      </c>
      <c r="CC8" s="39" t="str">
        <f t="shared" si="1"/>
        <v/>
      </c>
      <c r="CD8" s="39" t="str">
        <f t="shared" si="1"/>
        <v/>
      </c>
      <c r="CE8" s="39" t="str">
        <f t="shared" si="1"/>
        <v/>
      </c>
      <c r="CF8" s="39" t="str">
        <f t="shared" si="1"/>
        <v/>
      </c>
      <c r="CG8" s="39" t="str">
        <f t="shared" si="1"/>
        <v/>
      </c>
      <c r="CH8" s="39" t="str">
        <f t="shared" si="1"/>
        <v/>
      </c>
      <c r="CI8" s="39" t="str">
        <f t="shared" si="1"/>
        <v/>
      </c>
      <c r="CJ8" s="39" t="str">
        <f t="shared" si="1"/>
        <v/>
      </c>
      <c r="CK8" s="39" t="str">
        <f t="shared" si="1"/>
        <v/>
      </c>
      <c r="CL8" s="39" t="str">
        <f t="shared" si="1"/>
        <v/>
      </c>
      <c r="CM8" s="39" t="str">
        <f t="shared" si="1"/>
        <v/>
      </c>
      <c r="CN8" s="39" t="str">
        <f t="shared" si="1"/>
        <v/>
      </c>
      <c r="CO8" s="39" t="str">
        <f t="shared" si="1"/>
        <v/>
      </c>
      <c r="CP8" s="39" t="str">
        <f t="shared" si="1"/>
        <v/>
      </c>
      <c r="CQ8" s="39" t="str">
        <f t="shared" si="26"/>
        <v>777+510</v>
      </c>
      <c r="CR8" s="39" t="str">
        <f t="shared" si="2"/>
        <v/>
      </c>
      <c r="CS8" s="39" t="str">
        <f t="shared" si="2"/>
        <v/>
      </c>
      <c r="CT8" s="39" t="str">
        <f t="shared" si="2"/>
        <v/>
      </c>
      <c r="CU8" s="39" t="str">
        <f t="shared" si="2"/>
        <v/>
      </c>
      <c r="CV8" s="39" t="str">
        <f t="shared" si="2"/>
        <v/>
      </c>
      <c r="CW8" s="39" t="str">
        <f t="shared" si="2"/>
        <v/>
      </c>
      <c r="CX8" s="39" t="str">
        <f t="shared" si="2"/>
        <v/>
      </c>
      <c r="CY8" s="39" t="str">
        <f t="shared" si="2"/>
        <v/>
      </c>
      <c r="CZ8" s="39" t="str">
        <f t="shared" si="2"/>
        <v/>
      </c>
      <c r="DA8" s="39" t="str">
        <f t="shared" si="2"/>
        <v/>
      </c>
      <c r="DB8" s="39" t="str">
        <f t="shared" si="2"/>
        <v/>
      </c>
      <c r="DC8" s="39" t="str">
        <f t="shared" si="2"/>
        <v/>
      </c>
      <c r="DD8" s="39" t="str">
        <f t="shared" si="2"/>
        <v/>
      </c>
      <c r="DE8" s="39" t="str">
        <f t="shared" si="2"/>
        <v/>
      </c>
      <c r="DF8" s="37" t="str">
        <f t="shared" si="27"/>
        <v>0+0+1</v>
      </c>
      <c r="DG8" s="37" t="str">
        <f t="shared" si="28"/>
        <v>0+0</v>
      </c>
      <c r="DH8" s="37" t="str">
        <f t="shared" si="29"/>
        <v>0+0</v>
      </c>
      <c r="DI8" s="37" t="str">
        <f t="shared" si="30"/>
        <v>777+510</v>
      </c>
      <c r="DJ8" s="37" t="str">
        <f t="shared" si="31"/>
        <v>0+0+1|0+0|0+0|777+510</v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</row>
    <row r="9" spans="2:131" x14ac:dyDescent="0.15">
      <c r="B9" s="15">
        <v>6</v>
      </c>
      <c r="C9" s="15" t="s">
        <v>32</v>
      </c>
      <c r="D9" s="15">
        <v>13</v>
      </c>
      <c r="G9" s="27" t="s">
        <v>497</v>
      </c>
      <c r="H9" s="27">
        <v>6</v>
      </c>
      <c r="I9" s="26" t="s">
        <v>342</v>
      </c>
      <c r="J9" s="26">
        <f t="shared" si="6"/>
        <v>164</v>
      </c>
      <c r="M9" s="27" t="s">
        <v>497</v>
      </c>
      <c r="N9" s="27">
        <v>6</v>
      </c>
      <c r="O9" s="26" t="s">
        <v>325</v>
      </c>
      <c r="P9" s="26">
        <f t="shared" si="7"/>
        <v>156</v>
      </c>
      <c r="Q9" s="26"/>
      <c r="R9" s="26"/>
      <c r="S9" s="27" t="s">
        <v>497</v>
      </c>
      <c r="T9" s="27">
        <v>6</v>
      </c>
      <c r="U9" s="26" t="s">
        <v>7</v>
      </c>
      <c r="V9" s="26">
        <f t="shared" si="8"/>
        <v>4</v>
      </c>
      <c r="W9" s="26"/>
      <c r="Y9" s="27" t="s">
        <v>497</v>
      </c>
      <c r="Z9" s="27">
        <v>6</v>
      </c>
      <c r="AA9" s="26" t="s">
        <v>111</v>
      </c>
      <c r="AB9" s="26">
        <f t="shared" si="9"/>
        <v>52</v>
      </c>
      <c r="AE9" s="27" t="s">
        <v>497</v>
      </c>
      <c r="AF9" s="27">
        <v>6</v>
      </c>
      <c r="AG9" s="26" t="s">
        <v>967</v>
      </c>
      <c r="AH9" s="26">
        <f t="shared" si="10"/>
        <v>73</v>
      </c>
      <c r="AK9" s="27" t="s">
        <v>497</v>
      </c>
      <c r="AL9" s="27">
        <v>6</v>
      </c>
      <c r="AM9" s="26" t="s">
        <v>909</v>
      </c>
      <c r="AN9" s="26">
        <f t="shared" si="11"/>
        <v>80</v>
      </c>
      <c r="AQ9" s="27" t="s">
        <v>497</v>
      </c>
      <c r="AR9" s="27">
        <v>6</v>
      </c>
      <c r="AS9" s="26" t="s">
        <v>986</v>
      </c>
      <c r="AT9" s="26">
        <f t="shared" si="12"/>
        <v>149</v>
      </c>
      <c r="AX9" s="15"/>
      <c r="AY9" s="35">
        <f t="shared" si="13"/>
        <v>6</v>
      </c>
      <c r="AZ9" s="35" t="str">
        <f t="shared" si="14"/>
        <v>759+537</v>
      </c>
      <c r="BA9" s="35">
        <f t="shared" si="15"/>
        <v>13</v>
      </c>
      <c r="BB9" s="38">
        <f>COUNTIF($BA$4:$BA9,$BA9)</f>
        <v>1</v>
      </c>
      <c r="BC9" s="36" t="str">
        <f t="shared" si="16"/>
        <v/>
      </c>
      <c r="BD9" s="36" t="str">
        <f t="shared" si="17"/>
        <v>村</v>
      </c>
      <c r="BE9" s="36" t="str">
        <f t="shared" si="18"/>
        <v>村</v>
      </c>
      <c r="BF9" s="36" t="str">
        <f t="shared" si="19"/>
        <v/>
      </c>
      <c r="BG9" s="36" t="str">
        <f t="shared" si="20"/>
        <v/>
      </c>
      <c r="BH9" s="36" t="str">
        <f t="shared" si="21"/>
        <v/>
      </c>
      <c r="BI9" s="36" t="str">
        <f t="shared" si="22"/>
        <v/>
      </c>
      <c r="BJ9" s="29" t="str">
        <f t="shared" si="23"/>
        <v>村</v>
      </c>
      <c r="BL9" s="15">
        <v>6</v>
      </c>
      <c r="BM9" s="39" t="str">
        <f t="shared" si="24"/>
        <v/>
      </c>
      <c r="BN9" s="39" t="str">
        <f t="shared" si="0"/>
        <v/>
      </c>
      <c r="BO9" s="39" t="str">
        <f t="shared" si="0"/>
        <v/>
      </c>
      <c r="BP9" s="39" t="str">
        <f t="shared" si="0"/>
        <v/>
      </c>
      <c r="BQ9" s="39" t="str">
        <f t="shared" si="0"/>
        <v/>
      </c>
      <c r="BR9" s="39" t="str">
        <f t="shared" si="0"/>
        <v/>
      </c>
      <c r="BS9" s="39" t="str">
        <f t="shared" si="0"/>
        <v/>
      </c>
      <c r="BT9" s="39" t="str">
        <f t="shared" si="0"/>
        <v/>
      </c>
      <c r="BU9" s="39" t="str">
        <f t="shared" si="0"/>
        <v/>
      </c>
      <c r="BV9" s="39" t="str">
        <f t="shared" si="0"/>
        <v/>
      </c>
      <c r="BW9" s="39" t="str">
        <f t="shared" si="0"/>
        <v/>
      </c>
      <c r="BX9" s="39" t="str">
        <f t="shared" si="0"/>
        <v/>
      </c>
      <c r="BY9" s="39" t="str">
        <f t="shared" si="0"/>
        <v/>
      </c>
      <c r="BZ9" s="39" t="str">
        <f t="shared" si="0"/>
        <v/>
      </c>
      <c r="CA9" s="39" t="str">
        <f t="shared" si="0"/>
        <v/>
      </c>
      <c r="CB9" s="39" t="str">
        <f t="shared" si="25"/>
        <v/>
      </c>
      <c r="CC9" s="39" t="str">
        <f t="shared" si="1"/>
        <v/>
      </c>
      <c r="CD9" s="39" t="str">
        <f t="shared" si="1"/>
        <v/>
      </c>
      <c r="CE9" s="39" t="str">
        <f t="shared" si="1"/>
        <v/>
      </c>
      <c r="CF9" s="39" t="str">
        <f t="shared" si="1"/>
        <v/>
      </c>
      <c r="CG9" s="39" t="str">
        <f t="shared" si="1"/>
        <v/>
      </c>
      <c r="CH9" s="39" t="str">
        <f t="shared" si="1"/>
        <v/>
      </c>
      <c r="CI9" s="39" t="str">
        <f t="shared" si="1"/>
        <v/>
      </c>
      <c r="CJ9" s="39" t="str">
        <f t="shared" si="1"/>
        <v/>
      </c>
      <c r="CK9" s="39" t="str">
        <f t="shared" si="1"/>
        <v/>
      </c>
      <c r="CL9" s="39" t="str">
        <f t="shared" si="1"/>
        <v/>
      </c>
      <c r="CM9" s="39" t="str">
        <f t="shared" si="1"/>
        <v/>
      </c>
      <c r="CN9" s="39" t="str">
        <f t="shared" si="1"/>
        <v/>
      </c>
      <c r="CO9" s="39" t="str">
        <f t="shared" si="1"/>
        <v/>
      </c>
      <c r="CP9" s="39" t="str">
        <f t="shared" si="1"/>
        <v/>
      </c>
      <c r="CQ9" s="39" t="str">
        <f t="shared" si="26"/>
        <v/>
      </c>
      <c r="CR9" s="39" t="str">
        <f t="shared" si="2"/>
        <v/>
      </c>
      <c r="CS9" s="39" t="str">
        <f t="shared" si="2"/>
        <v/>
      </c>
      <c r="CT9" s="39" t="str">
        <f t="shared" si="2"/>
        <v/>
      </c>
      <c r="CU9" s="39" t="str">
        <f t="shared" si="2"/>
        <v/>
      </c>
      <c r="CV9" s="39" t="str">
        <f t="shared" si="2"/>
        <v/>
      </c>
      <c r="CW9" s="39" t="str">
        <f t="shared" si="2"/>
        <v/>
      </c>
      <c r="CX9" s="39" t="str">
        <f t="shared" si="2"/>
        <v/>
      </c>
      <c r="CY9" s="39" t="str">
        <f t="shared" si="2"/>
        <v/>
      </c>
      <c r="CZ9" s="39" t="str">
        <f t="shared" si="2"/>
        <v/>
      </c>
      <c r="DA9" s="39" t="str">
        <f t="shared" si="2"/>
        <v/>
      </c>
      <c r="DB9" s="39" t="str">
        <f t="shared" si="2"/>
        <v/>
      </c>
      <c r="DC9" s="39" t="str">
        <f t="shared" si="2"/>
        <v/>
      </c>
      <c r="DD9" s="39" t="str">
        <f t="shared" si="2"/>
        <v/>
      </c>
      <c r="DE9" s="39" t="str">
        <f t="shared" si="2"/>
        <v/>
      </c>
      <c r="DF9" s="37" t="str">
        <f t="shared" si="27"/>
        <v>0+0+0</v>
      </c>
      <c r="DG9" s="37" t="str">
        <f t="shared" si="28"/>
        <v>0+0</v>
      </c>
      <c r="DH9" s="37" t="str">
        <f t="shared" si="29"/>
        <v>0+0</v>
      </c>
      <c r="DI9" s="37" t="str">
        <f t="shared" si="30"/>
        <v>0+0</v>
      </c>
      <c r="DJ9" s="37" t="str">
        <f t="shared" si="31"/>
        <v>0+0+0|0+0|0+0|0+0</v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</row>
    <row r="10" spans="2:131" x14ac:dyDescent="0.15">
      <c r="B10" s="15">
        <v>7</v>
      </c>
      <c r="C10" s="15" t="s">
        <v>33</v>
      </c>
      <c r="D10" s="15">
        <v>13</v>
      </c>
      <c r="G10" s="25" t="s">
        <v>502</v>
      </c>
      <c r="H10" s="25">
        <v>7</v>
      </c>
      <c r="I10" s="26" t="s">
        <v>341</v>
      </c>
      <c r="J10" s="26">
        <f t="shared" si="6"/>
        <v>164</v>
      </c>
      <c r="M10" s="25" t="s">
        <v>502</v>
      </c>
      <c r="N10" s="25">
        <v>7</v>
      </c>
      <c r="O10" s="26" t="s">
        <v>315</v>
      </c>
      <c r="P10" s="26">
        <f t="shared" si="7"/>
        <v>150</v>
      </c>
      <c r="Q10" s="26"/>
      <c r="R10" s="26"/>
      <c r="S10" s="25" t="s">
        <v>502</v>
      </c>
      <c r="T10" s="25">
        <v>7</v>
      </c>
      <c r="U10" s="26" t="s">
        <v>209</v>
      </c>
      <c r="V10" s="26">
        <f t="shared" si="8"/>
        <v>100</v>
      </c>
      <c r="W10" s="26"/>
      <c r="Y10" s="25" t="s">
        <v>502</v>
      </c>
      <c r="Z10" s="25">
        <v>7</v>
      </c>
      <c r="AA10" s="26" t="s">
        <v>109</v>
      </c>
      <c r="AB10" s="26">
        <f t="shared" si="9"/>
        <v>51</v>
      </c>
      <c r="AE10" s="25" t="s">
        <v>502</v>
      </c>
      <c r="AF10" s="25">
        <v>7</v>
      </c>
      <c r="AG10" s="26" t="s">
        <v>844</v>
      </c>
      <c r="AH10" s="26">
        <f t="shared" si="10"/>
        <v>72</v>
      </c>
      <c r="AK10" s="25" t="s">
        <v>502</v>
      </c>
      <c r="AL10" s="25">
        <v>7</v>
      </c>
      <c r="AM10" s="26" t="s">
        <v>910</v>
      </c>
      <c r="AN10" s="26">
        <f t="shared" si="11"/>
        <v>125</v>
      </c>
      <c r="AQ10" s="25" t="s">
        <v>502</v>
      </c>
      <c r="AR10" s="25">
        <v>7</v>
      </c>
      <c r="AS10" s="26" t="s">
        <v>987</v>
      </c>
      <c r="AT10" s="26">
        <f t="shared" si="12"/>
        <v>149</v>
      </c>
      <c r="AX10" s="15"/>
      <c r="AY10" s="35">
        <f t="shared" si="13"/>
        <v>7</v>
      </c>
      <c r="AZ10" s="35" t="str">
        <f t="shared" si="14"/>
        <v>788+530</v>
      </c>
      <c r="BA10" s="35">
        <f t="shared" si="15"/>
        <v>13</v>
      </c>
      <c r="BB10" s="38">
        <f>COUNTIF($BA$4:$BA10,$BA10)</f>
        <v>2</v>
      </c>
      <c r="BC10" s="36" t="str">
        <f t="shared" si="16"/>
        <v/>
      </c>
      <c r="BD10" s="36" t="str">
        <f t="shared" si="17"/>
        <v>村</v>
      </c>
      <c r="BE10" s="36" t="str">
        <f t="shared" si="18"/>
        <v>村</v>
      </c>
      <c r="BF10" s="36" t="str">
        <f t="shared" si="19"/>
        <v/>
      </c>
      <c r="BG10" s="36" t="str">
        <f t="shared" si="20"/>
        <v/>
      </c>
      <c r="BH10" s="36" t="str">
        <f t="shared" si="21"/>
        <v/>
      </c>
      <c r="BI10" s="36" t="str">
        <f t="shared" si="22"/>
        <v/>
      </c>
      <c r="BJ10" s="29" t="str">
        <f t="shared" si="23"/>
        <v>村</v>
      </c>
      <c r="BL10" s="15">
        <v>7</v>
      </c>
      <c r="BM10" s="39" t="str">
        <f t="shared" si="24"/>
        <v/>
      </c>
      <c r="BN10" s="39" t="str">
        <f t="shared" si="24"/>
        <v/>
      </c>
      <c r="BO10" s="39" t="str">
        <f t="shared" si="24"/>
        <v/>
      </c>
      <c r="BP10" s="39" t="str">
        <f t="shared" si="24"/>
        <v/>
      </c>
      <c r="BQ10" s="39" t="str">
        <f t="shared" si="24"/>
        <v/>
      </c>
      <c r="BR10" s="39" t="str">
        <f t="shared" si="24"/>
        <v/>
      </c>
      <c r="BS10" s="39" t="str">
        <f t="shared" si="24"/>
        <v/>
      </c>
      <c r="BT10" s="39" t="str">
        <f t="shared" si="24"/>
        <v/>
      </c>
      <c r="BU10" s="39" t="str">
        <f t="shared" si="24"/>
        <v/>
      </c>
      <c r="BV10" s="39" t="str">
        <f t="shared" si="24"/>
        <v/>
      </c>
      <c r="BW10" s="39" t="str">
        <f t="shared" si="24"/>
        <v/>
      </c>
      <c r="BX10" s="39" t="str">
        <f t="shared" si="24"/>
        <v/>
      </c>
      <c r="BY10" s="39" t="str">
        <f t="shared" si="24"/>
        <v/>
      </c>
      <c r="BZ10" s="39" t="str">
        <f t="shared" si="24"/>
        <v/>
      </c>
      <c r="CA10" s="39" t="str">
        <f t="shared" si="24"/>
        <v/>
      </c>
      <c r="CB10" s="39" t="str">
        <f t="shared" si="25"/>
        <v/>
      </c>
      <c r="CC10" s="39" t="str">
        <f t="shared" si="1"/>
        <v/>
      </c>
      <c r="CD10" s="39" t="str">
        <f t="shared" si="1"/>
        <v/>
      </c>
      <c r="CE10" s="39" t="str">
        <f t="shared" si="1"/>
        <v/>
      </c>
      <c r="CF10" s="39" t="str">
        <f t="shared" si="1"/>
        <v/>
      </c>
      <c r="CG10" s="39" t="str">
        <f t="shared" si="1"/>
        <v/>
      </c>
      <c r="CH10" s="39" t="str">
        <f t="shared" si="1"/>
        <v/>
      </c>
      <c r="CI10" s="39" t="str">
        <f t="shared" si="1"/>
        <v/>
      </c>
      <c r="CJ10" s="39" t="str">
        <f t="shared" si="1"/>
        <v/>
      </c>
      <c r="CK10" s="39" t="str">
        <f t="shared" si="1"/>
        <v/>
      </c>
      <c r="CL10" s="39" t="str">
        <f t="shared" si="1"/>
        <v/>
      </c>
      <c r="CM10" s="39" t="str">
        <f t="shared" si="1"/>
        <v/>
      </c>
      <c r="CN10" s="39" t="str">
        <f t="shared" si="1"/>
        <v/>
      </c>
      <c r="CO10" s="39" t="str">
        <f t="shared" si="1"/>
        <v/>
      </c>
      <c r="CP10" s="39" t="str">
        <f t="shared" si="1"/>
        <v/>
      </c>
      <c r="CQ10" s="39" t="str">
        <f t="shared" si="26"/>
        <v/>
      </c>
      <c r="CR10" s="39" t="str">
        <f t="shared" si="2"/>
        <v/>
      </c>
      <c r="CS10" s="39" t="str">
        <f t="shared" si="2"/>
        <v/>
      </c>
      <c r="CT10" s="39" t="str">
        <f t="shared" si="2"/>
        <v/>
      </c>
      <c r="CU10" s="39" t="str">
        <f t="shared" si="2"/>
        <v/>
      </c>
      <c r="CV10" s="39" t="str">
        <f t="shared" si="2"/>
        <v/>
      </c>
      <c r="CW10" s="39" t="str">
        <f t="shared" si="2"/>
        <v/>
      </c>
      <c r="CX10" s="39" t="str">
        <f t="shared" si="2"/>
        <v/>
      </c>
      <c r="CY10" s="39" t="str">
        <f t="shared" si="2"/>
        <v/>
      </c>
      <c r="CZ10" s="39" t="str">
        <f t="shared" si="2"/>
        <v/>
      </c>
      <c r="DA10" s="39" t="str">
        <f t="shared" si="2"/>
        <v/>
      </c>
      <c r="DB10" s="39" t="str">
        <f t="shared" si="2"/>
        <v/>
      </c>
      <c r="DC10" s="39" t="str">
        <f t="shared" si="2"/>
        <v/>
      </c>
      <c r="DD10" s="39" t="str">
        <f t="shared" si="2"/>
        <v/>
      </c>
      <c r="DE10" s="39" t="str">
        <f t="shared" si="2"/>
        <v/>
      </c>
      <c r="DF10" s="37" t="str">
        <f t="shared" si="27"/>
        <v>0+0+0</v>
      </c>
      <c r="DG10" s="37" t="str">
        <f t="shared" si="28"/>
        <v>0+0</v>
      </c>
      <c r="DH10" s="37" t="str">
        <f t="shared" si="29"/>
        <v>0+0</v>
      </c>
      <c r="DI10" s="37" t="str">
        <f t="shared" si="30"/>
        <v>0+0</v>
      </c>
      <c r="DJ10" s="37" t="str">
        <f t="shared" si="31"/>
        <v>0+0+0|0+0|0+0|0+0</v>
      </c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</row>
    <row r="11" spans="2:131" x14ac:dyDescent="0.15">
      <c r="B11" s="15">
        <v>8</v>
      </c>
      <c r="C11" s="15" t="s">
        <v>589</v>
      </c>
      <c r="D11" s="15">
        <v>13</v>
      </c>
      <c r="G11" s="25" t="s">
        <v>502</v>
      </c>
      <c r="H11" s="25">
        <v>8</v>
      </c>
      <c r="I11" s="26" t="s">
        <v>339</v>
      </c>
      <c r="J11" s="26">
        <f t="shared" si="6"/>
        <v>163</v>
      </c>
      <c r="M11" s="25" t="s">
        <v>502</v>
      </c>
      <c r="N11" s="25">
        <v>8</v>
      </c>
      <c r="O11" s="26" t="s">
        <v>314</v>
      </c>
      <c r="P11" s="26">
        <f t="shared" si="7"/>
        <v>150</v>
      </c>
      <c r="Q11" s="26"/>
      <c r="R11" s="26"/>
      <c r="S11" s="25" t="s">
        <v>502</v>
      </c>
      <c r="T11" s="25">
        <v>8</v>
      </c>
      <c r="U11" s="26" t="s">
        <v>210</v>
      </c>
      <c r="V11" s="26">
        <f t="shared" si="8"/>
        <v>100</v>
      </c>
      <c r="W11" s="26"/>
      <c r="Y11" s="25" t="s">
        <v>502</v>
      </c>
      <c r="Z11" s="25">
        <v>8</v>
      </c>
      <c r="AA11" s="26" t="s">
        <v>110</v>
      </c>
      <c r="AB11" s="26">
        <f t="shared" si="9"/>
        <v>51</v>
      </c>
      <c r="AE11" s="25" t="s">
        <v>502</v>
      </c>
      <c r="AF11" s="25">
        <v>8</v>
      </c>
      <c r="AG11" s="26" t="s">
        <v>867</v>
      </c>
      <c r="AH11" s="26">
        <f t="shared" si="10"/>
        <v>78</v>
      </c>
      <c r="AK11" s="25" t="s">
        <v>502</v>
      </c>
      <c r="AL11" s="25">
        <v>8</v>
      </c>
      <c r="AM11" s="26" t="s">
        <v>913</v>
      </c>
      <c r="AN11" s="26">
        <f t="shared" si="11"/>
        <v>124</v>
      </c>
      <c r="AQ11" s="25" t="s">
        <v>502</v>
      </c>
      <c r="AR11" s="25">
        <v>8</v>
      </c>
      <c r="AS11" s="26" t="s">
        <v>311</v>
      </c>
      <c r="AT11" s="26">
        <f t="shared" si="12"/>
        <v>148</v>
      </c>
      <c r="AX11" s="15"/>
      <c r="AY11" s="35">
        <f t="shared" si="13"/>
        <v>8</v>
      </c>
      <c r="AZ11" s="35" t="str">
        <f t="shared" si="14"/>
        <v>775+532</v>
      </c>
      <c r="BA11" s="35">
        <f t="shared" si="15"/>
        <v>13</v>
      </c>
      <c r="BB11" s="38">
        <f>COUNTIF($BA$4:$BA11,$BA11)</f>
        <v>3</v>
      </c>
      <c r="BC11" s="36" t="str">
        <f t="shared" si="16"/>
        <v/>
      </c>
      <c r="BD11" s="36" t="str">
        <f t="shared" si="17"/>
        <v>营</v>
      </c>
      <c r="BE11" s="36" t="str">
        <f t="shared" si="18"/>
        <v>营</v>
      </c>
      <c r="BF11" s="36" t="str">
        <f t="shared" si="19"/>
        <v/>
      </c>
      <c r="BG11" s="36" t="str">
        <f t="shared" si="20"/>
        <v/>
      </c>
      <c r="BH11" s="36" t="str">
        <f t="shared" si="21"/>
        <v/>
      </c>
      <c r="BI11" s="36" t="str">
        <f t="shared" si="22"/>
        <v/>
      </c>
      <c r="BJ11" s="29" t="str">
        <f t="shared" si="23"/>
        <v>营</v>
      </c>
      <c r="BL11" s="15">
        <v>8</v>
      </c>
      <c r="BM11" s="39" t="str">
        <f t="shared" si="24"/>
        <v/>
      </c>
      <c r="BN11" s="39" t="str">
        <f t="shared" si="24"/>
        <v/>
      </c>
      <c r="BO11" s="39" t="str">
        <f t="shared" si="24"/>
        <v/>
      </c>
      <c r="BP11" s="39" t="str">
        <f t="shared" si="24"/>
        <v/>
      </c>
      <c r="BQ11" s="39" t="str">
        <f t="shared" si="24"/>
        <v/>
      </c>
      <c r="BR11" s="39" t="str">
        <f t="shared" si="24"/>
        <v/>
      </c>
      <c r="BS11" s="39" t="str">
        <f t="shared" si="24"/>
        <v/>
      </c>
      <c r="BT11" s="39" t="str">
        <f t="shared" si="24"/>
        <v/>
      </c>
      <c r="BU11" s="39" t="str">
        <f t="shared" si="24"/>
        <v/>
      </c>
      <c r="BV11" s="39" t="str">
        <f t="shared" si="24"/>
        <v/>
      </c>
      <c r="BW11" s="39" t="str">
        <f t="shared" si="24"/>
        <v/>
      </c>
      <c r="BX11" s="39" t="str">
        <f t="shared" si="24"/>
        <v/>
      </c>
      <c r="BY11" s="39" t="str">
        <f t="shared" si="24"/>
        <v/>
      </c>
      <c r="BZ11" s="39" t="str">
        <f t="shared" si="24"/>
        <v/>
      </c>
      <c r="CA11" s="39" t="str">
        <f t="shared" si="24"/>
        <v/>
      </c>
      <c r="CB11" s="39" t="str">
        <f t="shared" si="25"/>
        <v/>
      </c>
      <c r="CC11" s="39" t="str">
        <f t="shared" si="1"/>
        <v/>
      </c>
      <c r="CD11" s="39" t="str">
        <f t="shared" si="1"/>
        <v/>
      </c>
      <c r="CE11" s="39" t="str">
        <f t="shared" si="1"/>
        <v/>
      </c>
      <c r="CF11" s="39" t="str">
        <f t="shared" si="1"/>
        <v/>
      </c>
      <c r="CG11" s="39" t="str">
        <f t="shared" si="1"/>
        <v/>
      </c>
      <c r="CH11" s="39" t="str">
        <f t="shared" si="1"/>
        <v/>
      </c>
      <c r="CI11" s="39" t="str">
        <f t="shared" si="1"/>
        <v/>
      </c>
      <c r="CJ11" s="39" t="str">
        <f t="shared" si="1"/>
        <v/>
      </c>
      <c r="CK11" s="39" t="str">
        <f t="shared" si="1"/>
        <v/>
      </c>
      <c r="CL11" s="39" t="str">
        <f t="shared" si="1"/>
        <v/>
      </c>
      <c r="CM11" s="39" t="str">
        <f t="shared" si="1"/>
        <v/>
      </c>
      <c r="CN11" s="39" t="str">
        <f t="shared" si="1"/>
        <v/>
      </c>
      <c r="CO11" s="39" t="str">
        <f t="shared" si="1"/>
        <v/>
      </c>
      <c r="CP11" s="39" t="str">
        <f t="shared" si="1"/>
        <v/>
      </c>
      <c r="CQ11" s="39" t="str">
        <f t="shared" si="26"/>
        <v/>
      </c>
      <c r="CR11" s="39" t="str">
        <f t="shared" si="2"/>
        <v/>
      </c>
      <c r="CS11" s="39" t="str">
        <f t="shared" si="2"/>
        <v/>
      </c>
      <c r="CT11" s="39" t="str">
        <f t="shared" si="2"/>
        <v/>
      </c>
      <c r="CU11" s="39" t="str">
        <f t="shared" si="2"/>
        <v/>
      </c>
      <c r="CV11" s="39" t="str">
        <f t="shared" si="2"/>
        <v/>
      </c>
      <c r="CW11" s="39" t="str">
        <f t="shared" si="2"/>
        <v/>
      </c>
      <c r="CX11" s="39" t="str">
        <f t="shared" si="2"/>
        <v/>
      </c>
      <c r="CY11" s="39" t="str">
        <f t="shared" si="2"/>
        <v/>
      </c>
      <c r="CZ11" s="39" t="str">
        <f t="shared" si="2"/>
        <v/>
      </c>
      <c r="DA11" s="39" t="str">
        <f t="shared" si="2"/>
        <v/>
      </c>
      <c r="DB11" s="39" t="str">
        <f t="shared" si="2"/>
        <v/>
      </c>
      <c r="DC11" s="39" t="str">
        <f t="shared" si="2"/>
        <v/>
      </c>
      <c r="DD11" s="39" t="str">
        <f t="shared" si="2"/>
        <v/>
      </c>
      <c r="DE11" s="39" t="str">
        <f t="shared" si="2"/>
        <v/>
      </c>
      <c r="DF11" s="37" t="str">
        <f t="shared" si="27"/>
        <v>0+0+0</v>
      </c>
      <c r="DG11" s="37" t="str">
        <f t="shared" si="28"/>
        <v>0+0</v>
      </c>
      <c r="DH11" s="37" t="str">
        <f t="shared" si="29"/>
        <v>0+0</v>
      </c>
      <c r="DI11" s="37" t="str">
        <f t="shared" si="30"/>
        <v>0+0</v>
      </c>
      <c r="DJ11" s="37" t="str">
        <f t="shared" si="31"/>
        <v>0+0+0|0+0|0+0|0+0</v>
      </c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</row>
    <row r="12" spans="2:131" x14ac:dyDescent="0.15">
      <c r="B12" s="15">
        <v>9</v>
      </c>
      <c r="C12" s="15" t="s">
        <v>34</v>
      </c>
      <c r="D12" s="15">
        <v>14</v>
      </c>
      <c r="G12" s="25" t="s">
        <v>502</v>
      </c>
      <c r="H12" s="25">
        <v>9</v>
      </c>
      <c r="I12" s="26" t="s">
        <v>346</v>
      </c>
      <c r="J12" s="26">
        <f t="shared" si="6"/>
        <v>166</v>
      </c>
      <c r="M12" s="25" t="s">
        <v>502</v>
      </c>
      <c r="N12" s="25">
        <v>9</v>
      </c>
      <c r="O12" s="26" t="s">
        <v>196</v>
      </c>
      <c r="P12" s="26">
        <f t="shared" si="7"/>
        <v>93</v>
      </c>
      <c r="Q12" s="26"/>
      <c r="R12" s="26"/>
      <c r="S12" s="25" t="s">
        <v>502</v>
      </c>
      <c r="T12" s="25">
        <v>9</v>
      </c>
      <c r="U12" s="26" t="s">
        <v>221</v>
      </c>
      <c r="V12" s="26">
        <f t="shared" si="8"/>
        <v>106</v>
      </c>
      <c r="W12" s="26"/>
      <c r="Y12" s="25" t="s">
        <v>502</v>
      </c>
      <c r="Z12" s="25">
        <v>9</v>
      </c>
      <c r="AA12" s="26" t="s">
        <v>108</v>
      </c>
      <c r="AB12" s="26">
        <f t="shared" si="9"/>
        <v>50</v>
      </c>
      <c r="AE12" s="25" t="s">
        <v>502</v>
      </c>
      <c r="AF12" s="25">
        <v>9</v>
      </c>
      <c r="AG12" s="26" t="s">
        <v>869</v>
      </c>
      <c r="AH12" s="26">
        <f t="shared" si="10"/>
        <v>78</v>
      </c>
      <c r="AK12" s="25" t="s">
        <v>502</v>
      </c>
      <c r="AL12" s="25">
        <v>9</v>
      </c>
      <c r="AM12" s="26" t="s">
        <v>914</v>
      </c>
      <c r="AN12" s="26">
        <f t="shared" si="11"/>
        <v>124</v>
      </c>
      <c r="AQ12" s="25" t="s">
        <v>502</v>
      </c>
      <c r="AR12" s="25">
        <v>9</v>
      </c>
      <c r="AS12" s="26" t="s">
        <v>988</v>
      </c>
      <c r="AT12" s="26">
        <f t="shared" si="12"/>
        <v>137</v>
      </c>
      <c r="AX12" s="15"/>
      <c r="AY12" s="35">
        <f t="shared" si="13"/>
        <v>9</v>
      </c>
      <c r="AZ12" s="35" t="str">
        <f t="shared" si="14"/>
        <v>724+509</v>
      </c>
      <c r="BA12" s="35">
        <f t="shared" si="15"/>
        <v>14</v>
      </c>
      <c r="BB12" s="38">
        <f>COUNTIF($BA$4:$BA12,$BA12)</f>
        <v>1</v>
      </c>
      <c r="BC12" s="36" t="str">
        <f t="shared" si="16"/>
        <v/>
      </c>
      <c r="BD12" s="36" t="str">
        <f t="shared" si="17"/>
        <v>村</v>
      </c>
      <c r="BE12" s="36" t="str">
        <f t="shared" si="18"/>
        <v>村</v>
      </c>
      <c r="BF12" s="36" t="str">
        <f t="shared" si="19"/>
        <v>村</v>
      </c>
      <c r="BG12" s="36" t="str">
        <f t="shared" si="20"/>
        <v/>
      </c>
      <c r="BH12" s="36" t="str">
        <f t="shared" si="21"/>
        <v/>
      </c>
      <c r="BI12" s="36" t="str">
        <f t="shared" si="22"/>
        <v/>
      </c>
      <c r="BJ12" s="29" t="str">
        <f t="shared" si="23"/>
        <v>村</v>
      </c>
      <c r="BL12" s="15">
        <v>9</v>
      </c>
      <c r="BM12" s="39" t="str">
        <f t="shared" si="24"/>
        <v/>
      </c>
      <c r="BN12" s="39" t="str">
        <f t="shared" si="24"/>
        <v/>
      </c>
      <c r="BO12" s="39" t="str">
        <f t="shared" si="24"/>
        <v/>
      </c>
      <c r="BP12" s="39" t="str">
        <f t="shared" si="24"/>
        <v/>
      </c>
      <c r="BQ12" s="39" t="str">
        <f t="shared" si="24"/>
        <v/>
      </c>
      <c r="BR12" s="39" t="str">
        <f t="shared" si="24"/>
        <v/>
      </c>
      <c r="BS12" s="39" t="str">
        <f t="shared" si="24"/>
        <v/>
      </c>
      <c r="BT12" s="39" t="str">
        <f t="shared" si="24"/>
        <v/>
      </c>
      <c r="BU12" s="39" t="str">
        <f t="shared" si="24"/>
        <v/>
      </c>
      <c r="BV12" s="39" t="str">
        <f t="shared" si="24"/>
        <v/>
      </c>
      <c r="BW12" s="39" t="str">
        <f t="shared" si="24"/>
        <v/>
      </c>
      <c r="BX12" s="39" t="str">
        <f t="shared" si="24"/>
        <v/>
      </c>
      <c r="BY12" s="39" t="str">
        <f t="shared" si="24"/>
        <v/>
      </c>
      <c r="BZ12" s="39" t="str">
        <f t="shared" si="24"/>
        <v/>
      </c>
      <c r="CA12" s="39" t="str">
        <f t="shared" si="24"/>
        <v/>
      </c>
      <c r="CB12" s="39" t="str">
        <f t="shared" si="25"/>
        <v/>
      </c>
      <c r="CC12" s="39" t="str">
        <f t="shared" si="1"/>
        <v/>
      </c>
      <c r="CD12" s="39" t="str">
        <f t="shared" si="1"/>
        <v/>
      </c>
      <c r="CE12" s="39" t="str">
        <f t="shared" si="1"/>
        <v/>
      </c>
      <c r="CF12" s="39" t="str">
        <f t="shared" si="1"/>
        <v/>
      </c>
      <c r="CG12" s="39" t="str">
        <f t="shared" si="1"/>
        <v/>
      </c>
      <c r="CH12" s="39" t="str">
        <f t="shared" si="1"/>
        <v/>
      </c>
      <c r="CI12" s="39" t="str">
        <f t="shared" si="1"/>
        <v/>
      </c>
      <c r="CJ12" s="39" t="str">
        <f t="shared" si="1"/>
        <v/>
      </c>
      <c r="CK12" s="39" t="str">
        <f t="shared" si="1"/>
        <v/>
      </c>
      <c r="CL12" s="39" t="str">
        <f t="shared" si="1"/>
        <v/>
      </c>
      <c r="CM12" s="39" t="str">
        <f t="shared" si="1"/>
        <v/>
      </c>
      <c r="CN12" s="39" t="str">
        <f t="shared" si="1"/>
        <v/>
      </c>
      <c r="CO12" s="39" t="str">
        <f t="shared" si="1"/>
        <v/>
      </c>
      <c r="CP12" s="39" t="str">
        <f t="shared" si="1"/>
        <v/>
      </c>
      <c r="CQ12" s="39" t="str">
        <f t="shared" si="26"/>
        <v/>
      </c>
      <c r="CR12" s="39" t="str">
        <f t="shared" si="2"/>
        <v/>
      </c>
      <c r="CS12" s="39" t="str">
        <f t="shared" si="2"/>
        <v/>
      </c>
      <c r="CT12" s="39" t="str">
        <f t="shared" si="2"/>
        <v/>
      </c>
      <c r="CU12" s="39" t="str">
        <f t="shared" si="2"/>
        <v/>
      </c>
      <c r="CV12" s="39" t="str">
        <f t="shared" si="2"/>
        <v/>
      </c>
      <c r="CW12" s="39" t="str">
        <f t="shared" si="2"/>
        <v/>
      </c>
      <c r="CX12" s="39" t="str">
        <f t="shared" si="2"/>
        <v/>
      </c>
      <c r="CY12" s="39" t="str">
        <f t="shared" si="2"/>
        <v/>
      </c>
      <c r="CZ12" s="39" t="str">
        <f t="shared" si="2"/>
        <v/>
      </c>
      <c r="DA12" s="39" t="str">
        <f t="shared" si="2"/>
        <v/>
      </c>
      <c r="DB12" s="39" t="str">
        <f t="shared" si="2"/>
        <v/>
      </c>
      <c r="DC12" s="39" t="str">
        <f t="shared" si="2"/>
        <v/>
      </c>
      <c r="DD12" s="39" t="str">
        <f t="shared" si="2"/>
        <v/>
      </c>
      <c r="DE12" s="39" t="str">
        <f t="shared" si="2"/>
        <v/>
      </c>
      <c r="DF12" s="37" t="str">
        <f t="shared" si="27"/>
        <v>0+0+0</v>
      </c>
      <c r="DG12" s="37" t="str">
        <f t="shared" si="28"/>
        <v>0+0</v>
      </c>
      <c r="DH12" s="37" t="str">
        <f t="shared" si="29"/>
        <v>0+0</v>
      </c>
      <c r="DI12" s="37" t="str">
        <f t="shared" si="30"/>
        <v>0+0</v>
      </c>
      <c r="DJ12" s="37" t="str">
        <f t="shared" si="31"/>
        <v>0+0+0|0+0|0+0|0+0</v>
      </c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</row>
    <row r="13" spans="2:131" x14ac:dyDescent="0.15">
      <c r="B13" s="15">
        <v>10</v>
      </c>
      <c r="C13" s="15" t="s">
        <v>35</v>
      </c>
      <c r="D13" s="15">
        <v>14</v>
      </c>
      <c r="G13" s="27" t="s">
        <v>508</v>
      </c>
      <c r="H13" s="27">
        <v>10</v>
      </c>
      <c r="I13" s="26" t="s">
        <v>350</v>
      </c>
      <c r="J13" s="26">
        <f t="shared" si="6"/>
        <v>168</v>
      </c>
      <c r="M13" s="27" t="s">
        <v>508</v>
      </c>
      <c r="N13" s="27">
        <v>10</v>
      </c>
      <c r="O13" s="26" t="s">
        <v>195</v>
      </c>
      <c r="P13" s="26">
        <f t="shared" si="7"/>
        <v>93</v>
      </c>
      <c r="Q13" s="26"/>
      <c r="R13" s="26"/>
      <c r="S13" s="27" t="s">
        <v>508</v>
      </c>
      <c r="T13" s="27">
        <v>10</v>
      </c>
      <c r="U13" s="26" t="s">
        <v>226</v>
      </c>
      <c r="V13" s="26">
        <f t="shared" si="8"/>
        <v>108</v>
      </c>
      <c r="W13" s="26"/>
      <c r="Y13" s="27" t="s">
        <v>508</v>
      </c>
      <c r="Z13" s="27">
        <v>10</v>
      </c>
      <c r="AA13" s="26" t="s">
        <v>107</v>
      </c>
      <c r="AB13" s="26">
        <f t="shared" si="9"/>
        <v>50</v>
      </c>
      <c r="AE13" s="27" t="s">
        <v>508</v>
      </c>
      <c r="AF13" s="27">
        <v>10</v>
      </c>
      <c r="AG13" s="26" t="s">
        <v>871</v>
      </c>
      <c r="AH13" s="26">
        <f t="shared" si="10"/>
        <v>123</v>
      </c>
      <c r="AK13" s="27" t="s">
        <v>508</v>
      </c>
      <c r="AL13" s="27">
        <v>10</v>
      </c>
      <c r="AM13" s="26" t="s">
        <v>268</v>
      </c>
      <c r="AN13" s="26">
        <f t="shared" si="11"/>
        <v>128</v>
      </c>
      <c r="AQ13" s="27" t="s">
        <v>508</v>
      </c>
      <c r="AR13" s="27">
        <v>10</v>
      </c>
      <c r="AS13" s="26" t="s">
        <v>287</v>
      </c>
      <c r="AT13" s="26">
        <f t="shared" si="12"/>
        <v>137</v>
      </c>
      <c r="AX13" s="15"/>
      <c r="AY13" s="35">
        <f t="shared" si="13"/>
        <v>10</v>
      </c>
      <c r="AZ13" s="35" t="str">
        <f t="shared" si="14"/>
        <v>761+496</v>
      </c>
      <c r="BA13" s="35">
        <f t="shared" si="15"/>
        <v>14</v>
      </c>
      <c r="BB13" s="38">
        <f>COUNTIF($BA$4:$BA13,$BA13)</f>
        <v>2</v>
      </c>
      <c r="BC13" s="36" t="str">
        <f t="shared" si="16"/>
        <v/>
      </c>
      <c r="BD13" s="36" t="str">
        <f t="shared" si="17"/>
        <v>村</v>
      </c>
      <c r="BE13" s="36" t="str">
        <f t="shared" si="18"/>
        <v>村</v>
      </c>
      <c r="BF13" s="36" t="str">
        <f t="shared" si="19"/>
        <v/>
      </c>
      <c r="BG13" s="36" t="str">
        <f t="shared" si="20"/>
        <v/>
      </c>
      <c r="BH13" s="36" t="str">
        <f t="shared" si="21"/>
        <v/>
      </c>
      <c r="BI13" s="36" t="str">
        <f t="shared" si="22"/>
        <v/>
      </c>
      <c r="BJ13" s="29" t="str">
        <f t="shared" si="23"/>
        <v>村</v>
      </c>
      <c r="BL13" s="15">
        <v>10</v>
      </c>
      <c r="BM13" s="39" t="str">
        <f t="shared" si="24"/>
        <v/>
      </c>
      <c r="BN13" s="39" t="str">
        <f t="shared" si="24"/>
        <v/>
      </c>
      <c r="BO13" s="39" t="str">
        <f t="shared" si="24"/>
        <v/>
      </c>
      <c r="BP13" s="39" t="str">
        <f t="shared" si="24"/>
        <v/>
      </c>
      <c r="BQ13" s="39" t="str">
        <f t="shared" si="24"/>
        <v/>
      </c>
      <c r="BR13" s="39" t="str">
        <f t="shared" si="24"/>
        <v/>
      </c>
      <c r="BS13" s="39" t="str">
        <f t="shared" si="24"/>
        <v/>
      </c>
      <c r="BT13" s="39" t="str">
        <f t="shared" si="24"/>
        <v/>
      </c>
      <c r="BU13" s="39" t="str">
        <f t="shared" si="24"/>
        <v/>
      </c>
      <c r="BV13" s="39" t="str">
        <f t="shared" si="24"/>
        <v/>
      </c>
      <c r="BW13" s="39" t="str">
        <f t="shared" si="24"/>
        <v/>
      </c>
      <c r="BX13" s="39" t="str">
        <f t="shared" si="24"/>
        <v/>
      </c>
      <c r="BY13" s="39" t="str">
        <f t="shared" si="24"/>
        <v/>
      </c>
      <c r="BZ13" s="39" t="str">
        <f t="shared" si="24"/>
        <v/>
      </c>
      <c r="CA13" s="39" t="str">
        <f t="shared" si="24"/>
        <v/>
      </c>
      <c r="CB13" s="39" t="str">
        <f t="shared" si="25"/>
        <v/>
      </c>
      <c r="CC13" s="39" t="str">
        <f t="shared" si="1"/>
        <v/>
      </c>
      <c r="CD13" s="39" t="str">
        <f t="shared" si="1"/>
        <v/>
      </c>
      <c r="CE13" s="39" t="str">
        <f t="shared" si="1"/>
        <v/>
      </c>
      <c r="CF13" s="39" t="str">
        <f t="shared" si="1"/>
        <v/>
      </c>
      <c r="CG13" s="39" t="str">
        <f t="shared" si="1"/>
        <v/>
      </c>
      <c r="CH13" s="39" t="str">
        <f t="shared" si="1"/>
        <v/>
      </c>
      <c r="CI13" s="39" t="str">
        <f t="shared" si="1"/>
        <v/>
      </c>
      <c r="CJ13" s="39" t="str">
        <f t="shared" si="1"/>
        <v/>
      </c>
      <c r="CK13" s="39" t="str">
        <f t="shared" si="1"/>
        <v/>
      </c>
      <c r="CL13" s="39" t="str">
        <f t="shared" si="1"/>
        <v/>
      </c>
      <c r="CM13" s="39" t="str">
        <f t="shared" si="1"/>
        <v/>
      </c>
      <c r="CN13" s="39" t="str">
        <f t="shared" si="1"/>
        <v/>
      </c>
      <c r="CO13" s="39" t="str">
        <f t="shared" si="1"/>
        <v/>
      </c>
      <c r="CP13" s="39" t="str">
        <f t="shared" si="1"/>
        <v/>
      </c>
      <c r="CQ13" s="39" t="str">
        <f t="shared" si="26"/>
        <v/>
      </c>
      <c r="CR13" s="39" t="str">
        <f t="shared" si="2"/>
        <v/>
      </c>
      <c r="CS13" s="39" t="str">
        <f t="shared" si="2"/>
        <v/>
      </c>
      <c r="CT13" s="39" t="str">
        <f t="shared" si="2"/>
        <v/>
      </c>
      <c r="CU13" s="39" t="str">
        <f t="shared" si="2"/>
        <v/>
      </c>
      <c r="CV13" s="39" t="str">
        <f t="shared" si="2"/>
        <v/>
      </c>
      <c r="CW13" s="39" t="str">
        <f t="shared" si="2"/>
        <v/>
      </c>
      <c r="CX13" s="39" t="str">
        <f t="shared" si="2"/>
        <v/>
      </c>
      <c r="CY13" s="39" t="str">
        <f t="shared" si="2"/>
        <v/>
      </c>
      <c r="CZ13" s="39" t="str">
        <f t="shared" si="2"/>
        <v/>
      </c>
      <c r="DA13" s="39" t="str">
        <f t="shared" si="2"/>
        <v/>
      </c>
      <c r="DB13" s="39" t="str">
        <f t="shared" si="2"/>
        <v/>
      </c>
      <c r="DC13" s="39" t="str">
        <f t="shared" si="2"/>
        <v/>
      </c>
      <c r="DD13" s="39" t="str">
        <f t="shared" si="2"/>
        <v/>
      </c>
      <c r="DE13" s="39" t="str">
        <f t="shared" si="2"/>
        <v/>
      </c>
      <c r="DF13" s="37" t="str">
        <f t="shared" si="27"/>
        <v>0+0+0</v>
      </c>
      <c r="DG13" s="37" t="str">
        <f t="shared" si="28"/>
        <v>0+0</v>
      </c>
      <c r="DH13" s="37" t="str">
        <f t="shared" si="29"/>
        <v>0+0</v>
      </c>
      <c r="DI13" s="37" t="str">
        <f t="shared" si="30"/>
        <v>0+0</v>
      </c>
      <c r="DJ13" s="37" t="str">
        <f t="shared" si="31"/>
        <v>0+0+0|0+0|0+0|0+0</v>
      </c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</row>
    <row r="14" spans="2:131" x14ac:dyDescent="0.15">
      <c r="B14" s="15">
        <v>11</v>
      </c>
      <c r="C14" s="15" t="s">
        <v>590</v>
      </c>
      <c r="D14" s="15">
        <v>14</v>
      </c>
      <c r="G14" s="27" t="s">
        <v>508</v>
      </c>
      <c r="H14" s="27">
        <v>11</v>
      </c>
      <c r="I14" s="26" t="s">
        <v>352</v>
      </c>
      <c r="J14" s="26">
        <f t="shared" si="6"/>
        <v>169</v>
      </c>
      <c r="M14" s="27" t="s">
        <v>508</v>
      </c>
      <c r="N14" s="27">
        <v>11</v>
      </c>
      <c r="O14" s="26" t="s">
        <v>193</v>
      </c>
      <c r="P14" s="26">
        <f t="shared" si="7"/>
        <v>92</v>
      </c>
      <c r="Q14" s="26"/>
      <c r="R14" s="26"/>
      <c r="S14" s="27" t="s">
        <v>508</v>
      </c>
      <c r="T14" s="27">
        <v>11</v>
      </c>
      <c r="U14" s="26" t="s">
        <v>832</v>
      </c>
      <c r="V14" s="26">
        <f t="shared" si="8"/>
        <v>109</v>
      </c>
      <c r="W14" s="26"/>
      <c r="Y14" s="27" t="s">
        <v>508</v>
      </c>
      <c r="Z14" s="27">
        <v>11</v>
      </c>
      <c r="AA14" s="26" t="s">
        <v>114</v>
      </c>
      <c r="AB14" s="26">
        <f t="shared" si="9"/>
        <v>53</v>
      </c>
      <c r="AE14" s="27" t="s">
        <v>508</v>
      </c>
      <c r="AF14" s="27">
        <v>11</v>
      </c>
      <c r="AG14" s="26" t="s">
        <v>872</v>
      </c>
      <c r="AH14" s="26">
        <f t="shared" si="10"/>
        <v>81</v>
      </c>
      <c r="AK14" s="27" t="s">
        <v>508</v>
      </c>
      <c r="AL14" s="27">
        <v>11</v>
      </c>
      <c r="AM14" s="26" t="s">
        <v>955</v>
      </c>
      <c r="AN14" s="26">
        <f t="shared" si="11"/>
        <v>125</v>
      </c>
      <c r="AQ14" s="27" t="s">
        <v>508</v>
      </c>
      <c r="AR14" s="27">
        <v>11</v>
      </c>
      <c r="AS14" s="26" t="s">
        <v>304</v>
      </c>
      <c r="AT14" s="26">
        <f t="shared" si="12"/>
        <v>145</v>
      </c>
      <c r="AX14" s="15"/>
      <c r="AY14" s="35">
        <f t="shared" si="13"/>
        <v>11</v>
      </c>
      <c r="AZ14" s="35" t="str">
        <f t="shared" si="14"/>
        <v>740+515</v>
      </c>
      <c r="BA14" s="35">
        <f t="shared" si="15"/>
        <v>14</v>
      </c>
      <c r="BB14" s="38">
        <f>COUNTIF($BA$4:$BA14,$BA14)</f>
        <v>3</v>
      </c>
      <c r="BC14" s="36" t="str">
        <f t="shared" si="16"/>
        <v/>
      </c>
      <c r="BD14" s="36" t="str">
        <f t="shared" si="17"/>
        <v>营</v>
      </c>
      <c r="BE14" s="36" t="str">
        <f t="shared" si="18"/>
        <v>营</v>
      </c>
      <c r="BF14" s="36" t="str">
        <f t="shared" si="19"/>
        <v>营</v>
      </c>
      <c r="BG14" s="36" t="str">
        <f t="shared" si="20"/>
        <v/>
      </c>
      <c r="BH14" s="36" t="str">
        <f t="shared" si="21"/>
        <v/>
      </c>
      <c r="BI14" s="36" t="str">
        <f t="shared" si="22"/>
        <v/>
      </c>
      <c r="BJ14" s="29" t="str">
        <f t="shared" si="23"/>
        <v>营</v>
      </c>
      <c r="BL14" s="15">
        <v>11</v>
      </c>
      <c r="BM14" s="39" t="str">
        <f t="shared" si="24"/>
        <v>775+347</v>
      </c>
      <c r="BN14" s="39" t="str">
        <f t="shared" si="24"/>
        <v/>
      </c>
      <c r="BO14" s="39" t="str">
        <f t="shared" si="24"/>
        <v/>
      </c>
      <c r="BP14" s="39" t="str">
        <f t="shared" si="24"/>
        <v/>
      </c>
      <c r="BQ14" s="39" t="str">
        <f t="shared" si="24"/>
        <v/>
      </c>
      <c r="BR14" s="39" t="str">
        <f t="shared" si="24"/>
        <v/>
      </c>
      <c r="BS14" s="39" t="str">
        <f t="shared" si="24"/>
        <v/>
      </c>
      <c r="BT14" s="39" t="str">
        <f t="shared" si="24"/>
        <v/>
      </c>
      <c r="BU14" s="39" t="str">
        <f t="shared" si="24"/>
        <v/>
      </c>
      <c r="BV14" s="39" t="str">
        <f t="shared" si="24"/>
        <v/>
      </c>
      <c r="BW14" s="39" t="str">
        <f t="shared" si="24"/>
        <v/>
      </c>
      <c r="BX14" s="39" t="str">
        <f t="shared" si="24"/>
        <v/>
      </c>
      <c r="BY14" s="39" t="str">
        <f t="shared" si="24"/>
        <v/>
      </c>
      <c r="BZ14" s="39" t="str">
        <f t="shared" si="24"/>
        <v/>
      </c>
      <c r="CA14" s="39" t="str">
        <f t="shared" si="24"/>
        <v/>
      </c>
      <c r="CB14" s="39" t="str">
        <f t="shared" si="25"/>
        <v/>
      </c>
      <c r="CC14" s="39" t="str">
        <f t="shared" si="1"/>
        <v/>
      </c>
      <c r="CD14" s="39" t="str">
        <f t="shared" si="1"/>
        <v/>
      </c>
      <c r="CE14" s="39" t="str">
        <f t="shared" si="1"/>
        <v/>
      </c>
      <c r="CF14" s="39" t="str">
        <f t="shared" si="1"/>
        <v/>
      </c>
      <c r="CG14" s="39" t="str">
        <f t="shared" si="1"/>
        <v/>
      </c>
      <c r="CH14" s="39" t="str">
        <f t="shared" si="1"/>
        <v/>
      </c>
      <c r="CI14" s="39" t="str">
        <f t="shared" si="1"/>
        <v/>
      </c>
      <c r="CJ14" s="39" t="str">
        <f t="shared" si="1"/>
        <v/>
      </c>
      <c r="CK14" s="39" t="str">
        <f t="shared" si="1"/>
        <v/>
      </c>
      <c r="CL14" s="39" t="str">
        <f t="shared" si="1"/>
        <v/>
      </c>
      <c r="CM14" s="39" t="str">
        <f t="shared" si="1"/>
        <v/>
      </c>
      <c r="CN14" s="39" t="str">
        <f t="shared" si="1"/>
        <v/>
      </c>
      <c r="CO14" s="39" t="str">
        <f t="shared" si="1"/>
        <v/>
      </c>
      <c r="CP14" s="39" t="str">
        <f t="shared" si="1"/>
        <v/>
      </c>
      <c r="CQ14" s="39" t="str">
        <f t="shared" si="26"/>
        <v/>
      </c>
      <c r="CR14" s="39" t="str">
        <f t="shared" si="2"/>
        <v>799+354</v>
      </c>
      <c r="CS14" s="39" t="str">
        <f t="shared" si="2"/>
        <v/>
      </c>
      <c r="CT14" s="39" t="str">
        <f t="shared" si="2"/>
        <v/>
      </c>
      <c r="CU14" s="39" t="str">
        <f t="shared" si="2"/>
        <v/>
      </c>
      <c r="CV14" s="39" t="str">
        <f t="shared" si="2"/>
        <v/>
      </c>
      <c r="CW14" s="39" t="str">
        <f t="shared" si="2"/>
        <v/>
      </c>
      <c r="CX14" s="39" t="str">
        <f t="shared" si="2"/>
        <v/>
      </c>
      <c r="CY14" s="39" t="str">
        <f t="shared" si="2"/>
        <v/>
      </c>
      <c r="CZ14" s="39" t="str">
        <f t="shared" si="2"/>
        <v/>
      </c>
      <c r="DA14" s="39" t="str">
        <f t="shared" si="2"/>
        <v/>
      </c>
      <c r="DB14" s="39" t="str">
        <f t="shared" si="2"/>
        <v/>
      </c>
      <c r="DC14" s="39" t="str">
        <f t="shared" si="2"/>
        <v/>
      </c>
      <c r="DD14" s="39" t="str">
        <f t="shared" si="2"/>
        <v/>
      </c>
      <c r="DE14" s="39" t="str">
        <f t="shared" si="2"/>
        <v/>
      </c>
      <c r="DF14" s="37" t="str">
        <f t="shared" si="27"/>
        <v>1+0+1</v>
      </c>
      <c r="DG14" s="37" t="str">
        <f t="shared" si="28"/>
        <v>775+347</v>
      </c>
      <c r="DH14" s="37" t="str">
        <f t="shared" si="29"/>
        <v>0+0</v>
      </c>
      <c r="DI14" s="37" t="str">
        <f t="shared" si="30"/>
        <v>799+354</v>
      </c>
      <c r="DJ14" s="37" t="str">
        <f t="shared" si="31"/>
        <v>1+0+1|775+347|0+0|799+354</v>
      </c>
      <c r="DM14" s="38"/>
      <c r="DN14" s="38"/>
      <c r="DO14" s="38"/>
      <c r="DP14" s="38"/>
      <c r="DQ14" s="38"/>
      <c r="DR14" s="38"/>
      <c r="DS14" s="38"/>
      <c r="DT14" s="38"/>
      <c r="DU14" s="38"/>
      <c r="DV14" s="38"/>
      <c r="DW14" s="38"/>
      <c r="DX14" s="38"/>
      <c r="DY14" s="38"/>
      <c r="DZ14" s="38"/>
      <c r="EA14" s="38"/>
    </row>
    <row r="15" spans="2:131" x14ac:dyDescent="0.15">
      <c r="B15" s="15">
        <v>12</v>
      </c>
      <c r="C15" s="15" t="s">
        <v>38</v>
      </c>
      <c r="D15" s="15">
        <v>16</v>
      </c>
      <c r="G15" s="27" t="s">
        <v>508</v>
      </c>
      <c r="H15" s="27">
        <v>12</v>
      </c>
      <c r="I15" s="26" t="s">
        <v>295</v>
      </c>
      <c r="J15" s="26">
        <f t="shared" si="6"/>
        <v>141</v>
      </c>
      <c r="M15" s="27" t="s">
        <v>508</v>
      </c>
      <c r="N15" s="27">
        <v>12</v>
      </c>
      <c r="O15" s="26" t="s">
        <v>211</v>
      </c>
      <c r="P15" s="26">
        <f t="shared" si="7"/>
        <v>101</v>
      </c>
      <c r="Q15" s="26"/>
      <c r="R15" s="26"/>
      <c r="S15" s="27" t="s">
        <v>508</v>
      </c>
      <c r="T15" s="27">
        <v>12</v>
      </c>
      <c r="U15" s="26" t="s">
        <v>834</v>
      </c>
      <c r="V15" s="26">
        <f t="shared" si="8"/>
        <v>110</v>
      </c>
      <c r="W15" s="26"/>
      <c r="Y15" s="27" t="s">
        <v>508</v>
      </c>
      <c r="Z15" s="27">
        <v>12</v>
      </c>
      <c r="AA15" s="26" t="s">
        <v>119</v>
      </c>
      <c r="AB15" s="26">
        <f t="shared" si="9"/>
        <v>55</v>
      </c>
      <c r="AE15" s="27" t="s">
        <v>508</v>
      </c>
      <c r="AF15" s="27">
        <v>12</v>
      </c>
      <c r="AG15" s="26" t="s">
        <v>874</v>
      </c>
      <c r="AH15" s="26">
        <f t="shared" si="10"/>
        <v>81</v>
      </c>
      <c r="AK15" s="27" t="s">
        <v>508</v>
      </c>
      <c r="AL15" s="27">
        <v>12</v>
      </c>
      <c r="AM15" s="26" t="s">
        <v>263</v>
      </c>
      <c r="AN15" s="26">
        <f t="shared" si="11"/>
        <v>126</v>
      </c>
      <c r="AQ15" s="27" t="s">
        <v>508</v>
      </c>
      <c r="AR15" s="27">
        <v>12</v>
      </c>
      <c r="AS15" s="26" t="s">
        <v>305</v>
      </c>
      <c r="AT15" s="26">
        <f t="shared" si="12"/>
        <v>145</v>
      </c>
      <c r="AX15" s="15"/>
      <c r="AY15" s="35">
        <f t="shared" si="13"/>
        <v>12</v>
      </c>
      <c r="AZ15" s="35" t="str">
        <f t="shared" si="14"/>
        <v>702+426</v>
      </c>
      <c r="BA15" s="35">
        <f t="shared" si="15"/>
        <v>16</v>
      </c>
      <c r="BB15" s="38">
        <f>COUNTIF($BA$4:$BA15,$BA15)</f>
        <v>1</v>
      </c>
      <c r="BC15" s="36" t="str">
        <f t="shared" si="16"/>
        <v/>
      </c>
      <c r="BD15" s="36" t="str">
        <f t="shared" si="17"/>
        <v/>
      </c>
      <c r="BE15" s="36" t="str">
        <f t="shared" si="18"/>
        <v>村</v>
      </c>
      <c r="BF15" s="36" t="str">
        <f t="shared" si="19"/>
        <v>村</v>
      </c>
      <c r="BG15" s="36" t="str">
        <f t="shared" si="20"/>
        <v/>
      </c>
      <c r="BH15" s="36" t="str">
        <f t="shared" si="21"/>
        <v/>
      </c>
      <c r="BI15" s="36" t="str">
        <f t="shared" si="22"/>
        <v/>
      </c>
      <c r="BJ15" s="29" t="str">
        <f t="shared" si="23"/>
        <v>村</v>
      </c>
      <c r="BL15" s="15">
        <v>12</v>
      </c>
      <c r="BM15" s="39" t="str">
        <f t="shared" si="24"/>
        <v>836+401</v>
      </c>
      <c r="BN15" s="39" t="str">
        <f t="shared" si="24"/>
        <v>802+395</v>
      </c>
      <c r="BO15" s="39" t="str">
        <f t="shared" si="24"/>
        <v/>
      </c>
      <c r="BP15" s="39" t="str">
        <f t="shared" si="24"/>
        <v/>
      </c>
      <c r="BQ15" s="39" t="str">
        <f t="shared" si="24"/>
        <v/>
      </c>
      <c r="BR15" s="39" t="str">
        <f t="shared" si="24"/>
        <v/>
      </c>
      <c r="BS15" s="39" t="str">
        <f t="shared" si="24"/>
        <v/>
      </c>
      <c r="BT15" s="39" t="str">
        <f t="shared" si="24"/>
        <v/>
      </c>
      <c r="BU15" s="39" t="str">
        <f t="shared" si="24"/>
        <v/>
      </c>
      <c r="BV15" s="39" t="str">
        <f t="shared" si="24"/>
        <v/>
      </c>
      <c r="BW15" s="39" t="str">
        <f t="shared" si="24"/>
        <v/>
      </c>
      <c r="BX15" s="39" t="str">
        <f t="shared" si="24"/>
        <v/>
      </c>
      <c r="BY15" s="39" t="str">
        <f t="shared" si="24"/>
        <v/>
      </c>
      <c r="BZ15" s="39" t="str">
        <f t="shared" si="24"/>
        <v/>
      </c>
      <c r="CA15" s="39" t="str">
        <f t="shared" si="24"/>
        <v/>
      </c>
      <c r="CB15" s="39" t="str">
        <f t="shared" si="25"/>
        <v/>
      </c>
      <c r="CC15" s="39" t="str">
        <f t="shared" si="1"/>
        <v/>
      </c>
      <c r="CD15" s="39" t="str">
        <f t="shared" si="1"/>
        <v/>
      </c>
      <c r="CE15" s="39" t="str">
        <f t="shared" si="1"/>
        <v/>
      </c>
      <c r="CF15" s="39" t="str">
        <f t="shared" si="1"/>
        <v/>
      </c>
      <c r="CG15" s="39" t="str">
        <f t="shared" si="1"/>
        <v/>
      </c>
      <c r="CH15" s="39" t="str">
        <f t="shared" si="1"/>
        <v/>
      </c>
      <c r="CI15" s="39" t="str">
        <f t="shared" si="1"/>
        <v/>
      </c>
      <c r="CJ15" s="39" t="str">
        <f t="shared" si="1"/>
        <v/>
      </c>
      <c r="CK15" s="39" t="str">
        <f t="shared" si="1"/>
        <v/>
      </c>
      <c r="CL15" s="39" t="str">
        <f t="shared" si="1"/>
        <v/>
      </c>
      <c r="CM15" s="39" t="str">
        <f t="shared" si="1"/>
        <v/>
      </c>
      <c r="CN15" s="39" t="str">
        <f t="shared" si="1"/>
        <v/>
      </c>
      <c r="CO15" s="39" t="str">
        <f t="shared" si="1"/>
        <v/>
      </c>
      <c r="CP15" s="39" t="str">
        <f t="shared" si="1"/>
        <v/>
      </c>
      <c r="CQ15" s="39" t="str">
        <f t="shared" si="26"/>
        <v/>
      </c>
      <c r="CR15" s="39" t="str">
        <f t="shared" si="2"/>
        <v/>
      </c>
      <c r="CS15" s="39" t="str">
        <f t="shared" si="2"/>
        <v/>
      </c>
      <c r="CT15" s="39" t="str">
        <f t="shared" si="2"/>
        <v/>
      </c>
      <c r="CU15" s="39" t="str">
        <f t="shared" si="2"/>
        <v/>
      </c>
      <c r="CV15" s="39" t="str">
        <f t="shared" si="2"/>
        <v/>
      </c>
      <c r="CW15" s="39" t="str">
        <f t="shared" si="2"/>
        <v/>
      </c>
      <c r="CX15" s="39" t="str">
        <f t="shared" si="2"/>
        <v/>
      </c>
      <c r="CY15" s="39" t="str">
        <f t="shared" si="2"/>
        <v/>
      </c>
      <c r="CZ15" s="39" t="str">
        <f t="shared" si="2"/>
        <v/>
      </c>
      <c r="DA15" s="39" t="str">
        <f t="shared" si="2"/>
        <v/>
      </c>
      <c r="DB15" s="39" t="str">
        <f t="shared" si="2"/>
        <v/>
      </c>
      <c r="DC15" s="39" t="str">
        <f t="shared" si="2"/>
        <v/>
      </c>
      <c r="DD15" s="39" t="str">
        <f t="shared" si="2"/>
        <v/>
      </c>
      <c r="DE15" s="39" t="str">
        <f t="shared" si="2"/>
        <v/>
      </c>
      <c r="DF15" s="37" t="str">
        <f t="shared" si="27"/>
        <v>2+0+0</v>
      </c>
      <c r="DG15" s="37" t="str">
        <f t="shared" si="28"/>
        <v>836+401|802+395</v>
      </c>
      <c r="DH15" s="37" t="str">
        <f t="shared" si="29"/>
        <v>0+0</v>
      </c>
      <c r="DI15" s="37" t="str">
        <f t="shared" si="30"/>
        <v>0+0</v>
      </c>
      <c r="DJ15" s="37" t="str">
        <f t="shared" si="31"/>
        <v>2+0+0|836+401|802+395|0+0|0+0</v>
      </c>
      <c r="DM15" s="38"/>
      <c r="DN15" s="38"/>
      <c r="DO15" s="38"/>
      <c r="DP15" s="38"/>
      <c r="DQ15" s="38"/>
      <c r="DR15" s="38"/>
      <c r="DS15" s="38"/>
      <c r="DT15" s="38"/>
      <c r="DU15" s="38"/>
      <c r="DV15" s="38"/>
      <c r="DW15" s="38"/>
      <c r="DX15" s="38"/>
      <c r="DY15" s="38"/>
      <c r="DZ15" s="38"/>
      <c r="EA15" s="38"/>
    </row>
    <row r="16" spans="2:131" x14ac:dyDescent="0.15">
      <c r="B16" s="15">
        <v>13</v>
      </c>
      <c r="C16" s="15" t="s">
        <v>39</v>
      </c>
      <c r="D16" s="15">
        <v>16</v>
      </c>
      <c r="G16" s="25" t="s">
        <v>511</v>
      </c>
      <c r="H16" s="25">
        <v>13</v>
      </c>
      <c r="I16" s="26" t="s">
        <v>294</v>
      </c>
      <c r="J16" s="26">
        <f t="shared" si="6"/>
        <v>140</v>
      </c>
      <c r="M16" s="25" t="s">
        <v>511</v>
      </c>
      <c r="N16" s="25">
        <v>13</v>
      </c>
      <c r="O16" s="26" t="s">
        <v>212</v>
      </c>
      <c r="P16" s="26">
        <f t="shared" si="7"/>
        <v>101</v>
      </c>
      <c r="Q16" s="26"/>
      <c r="R16" s="26"/>
      <c r="S16" s="25" t="s">
        <v>511</v>
      </c>
      <c r="T16" s="25">
        <v>13</v>
      </c>
      <c r="U16" s="26" t="s">
        <v>836</v>
      </c>
      <c r="V16" s="26">
        <f t="shared" si="8"/>
        <v>112</v>
      </c>
      <c r="W16" s="26"/>
      <c r="Y16" s="25" t="s">
        <v>511</v>
      </c>
      <c r="Z16" s="25">
        <v>13</v>
      </c>
      <c r="AA16" s="26" t="s">
        <v>130</v>
      </c>
      <c r="AB16" s="26">
        <f t="shared" si="9"/>
        <v>60</v>
      </c>
      <c r="AE16" s="25" t="s">
        <v>511</v>
      </c>
      <c r="AF16" s="25">
        <v>13</v>
      </c>
      <c r="AG16" s="26" t="s">
        <v>876</v>
      </c>
      <c r="AH16" s="26">
        <f t="shared" si="10"/>
        <v>82</v>
      </c>
      <c r="AK16" s="25" t="s">
        <v>511</v>
      </c>
      <c r="AL16" s="25">
        <v>13</v>
      </c>
      <c r="AM16" s="26" t="s">
        <v>958</v>
      </c>
      <c r="AN16" s="26">
        <f t="shared" si="11"/>
        <v>83</v>
      </c>
      <c r="AQ16" s="25" t="s">
        <v>511</v>
      </c>
      <c r="AR16" s="25">
        <v>13</v>
      </c>
      <c r="AS16" s="26" t="s">
        <v>320</v>
      </c>
      <c r="AT16" s="26">
        <f t="shared" si="12"/>
        <v>153</v>
      </c>
      <c r="AX16" s="15"/>
      <c r="AY16" s="35">
        <f t="shared" si="13"/>
        <v>13</v>
      </c>
      <c r="AZ16" s="35" t="str">
        <f t="shared" si="14"/>
        <v>750+414</v>
      </c>
      <c r="BA16" s="35">
        <f t="shared" si="15"/>
        <v>16</v>
      </c>
      <c r="BB16" s="38">
        <f>COUNTIF($BA$4:$BA16,$BA16)</f>
        <v>2</v>
      </c>
      <c r="BC16" s="36" t="str">
        <f t="shared" si="16"/>
        <v/>
      </c>
      <c r="BD16" s="36" t="str">
        <f t="shared" si="17"/>
        <v/>
      </c>
      <c r="BE16" s="36" t="str">
        <f t="shared" si="18"/>
        <v>村</v>
      </c>
      <c r="BF16" s="36" t="str">
        <f t="shared" si="19"/>
        <v>村</v>
      </c>
      <c r="BG16" s="36" t="str">
        <f t="shared" si="20"/>
        <v/>
      </c>
      <c r="BH16" s="36" t="str">
        <f t="shared" si="21"/>
        <v/>
      </c>
      <c r="BI16" s="36" t="str">
        <f t="shared" si="22"/>
        <v/>
      </c>
      <c r="BJ16" s="29" t="str">
        <f t="shared" si="23"/>
        <v>村</v>
      </c>
      <c r="BL16" s="15">
        <v>13</v>
      </c>
      <c r="BM16" s="39" t="str">
        <f t="shared" si="24"/>
        <v>759+537</v>
      </c>
      <c r="BN16" s="39" t="str">
        <f t="shared" si="24"/>
        <v>788+530</v>
      </c>
      <c r="BO16" s="39" t="str">
        <f t="shared" si="24"/>
        <v/>
      </c>
      <c r="BP16" s="39" t="str">
        <f t="shared" si="24"/>
        <v/>
      </c>
      <c r="BQ16" s="39" t="str">
        <f t="shared" si="24"/>
        <v/>
      </c>
      <c r="BR16" s="39" t="str">
        <f t="shared" si="24"/>
        <v/>
      </c>
      <c r="BS16" s="39" t="str">
        <f t="shared" si="24"/>
        <v/>
      </c>
      <c r="BT16" s="39" t="str">
        <f t="shared" si="24"/>
        <v/>
      </c>
      <c r="BU16" s="39" t="str">
        <f t="shared" si="24"/>
        <v/>
      </c>
      <c r="BV16" s="39" t="str">
        <f t="shared" si="24"/>
        <v/>
      </c>
      <c r="BW16" s="39" t="str">
        <f t="shared" si="24"/>
        <v/>
      </c>
      <c r="BX16" s="39" t="str">
        <f t="shared" si="24"/>
        <v/>
      </c>
      <c r="BY16" s="39" t="str">
        <f t="shared" si="24"/>
        <v/>
      </c>
      <c r="BZ16" s="39" t="str">
        <f t="shared" si="24"/>
        <v/>
      </c>
      <c r="CA16" s="39" t="str">
        <f t="shared" si="24"/>
        <v/>
      </c>
      <c r="CB16" s="39" t="str">
        <f t="shared" si="25"/>
        <v/>
      </c>
      <c r="CC16" s="39" t="str">
        <f t="shared" si="1"/>
        <v/>
      </c>
      <c r="CD16" s="39" t="str">
        <f t="shared" si="1"/>
        <v/>
      </c>
      <c r="CE16" s="39" t="str">
        <f t="shared" si="1"/>
        <v/>
      </c>
      <c r="CF16" s="39" t="str">
        <f t="shared" si="1"/>
        <v/>
      </c>
      <c r="CG16" s="39" t="str">
        <f t="shared" si="1"/>
        <v/>
      </c>
      <c r="CH16" s="39" t="str">
        <f t="shared" si="1"/>
        <v/>
      </c>
      <c r="CI16" s="39" t="str">
        <f t="shared" si="1"/>
        <v/>
      </c>
      <c r="CJ16" s="39" t="str">
        <f t="shared" si="1"/>
        <v/>
      </c>
      <c r="CK16" s="39" t="str">
        <f t="shared" si="1"/>
        <v/>
      </c>
      <c r="CL16" s="39" t="str">
        <f t="shared" si="1"/>
        <v/>
      </c>
      <c r="CM16" s="39" t="str">
        <f t="shared" si="1"/>
        <v/>
      </c>
      <c r="CN16" s="39" t="str">
        <f t="shared" si="1"/>
        <v/>
      </c>
      <c r="CO16" s="39" t="str">
        <f t="shared" si="1"/>
        <v/>
      </c>
      <c r="CP16" s="39" t="str">
        <f t="shared" si="1"/>
        <v/>
      </c>
      <c r="CQ16" s="39" t="str">
        <f t="shared" si="26"/>
        <v/>
      </c>
      <c r="CR16" s="39" t="str">
        <f t="shared" si="2"/>
        <v/>
      </c>
      <c r="CS16" s="39" t="str">
        <f t="shared" si="2"/>
        <v>775+532</v>
      </c>
      <c r="CT16" s="39" t="str">
        <f t="shared" si="2"/>
        <v/>
      </c>
      <c r="CU16" s="39" t="str">
        <f t="shared" si="2"/>
        <v/>
      </c>
      <c r="CV16" s="39" t="str">
        <f t="shared" si="2"/>
        <v/>
      </c>
      <c r="CW16" s="39" t="str">
        <f t="shared" si="2"/>
        <v/>
      </c>
      <c r="CX16" s="39" t="str">
        <f t="shared" si="2"/>
        <v/>
      </c>
      <c r="CY16" s="39" t="str">
        <f t="shared" si="2"/>
        <v/>
      </c>
      <c r="CZ16" s="39" t="str">
        <f t="shared" si="2"/>
        <v/>
      </c>
      <c r="DA16" s="39" t="str">
        <f t="shared" si="2"/>
        <v/>
      </c>
      <c r="DB16" s="39" t="str">
        <f t="shared" si="2"/>
        <v/>
      </c>
      <c r="DC16" s="39" t="str">
        <f t="shared" si="2"/>
        <v/>
      </c>
      <c r="DD16" s="39" t="str">
        <f t="shared" si="2"/>
        <v/>
      </c>
      <c r="DE16" s="39" t="str">
        <f t="shared" si="2"/>
        <v/>
      </c>
      <c r="DF16" s="37" t="str">
        <f t="shared" si="27"/>
        <v>2+0+1</v>
      </c>
      <c r="DG16" s="37" t="str">
        <f t="shared" si="28"/>
        <v>759+537|788+530</v>
      </c>
      <c r="DH16" s="37" t="str">
        <f t="shared" si="29"/>
        <v>0+0</v>
      </c>
      <c r="DI16" s="37" t="str">
        <f t="shared" si="30"/>
        <v>775+532</v>
      </c>
      <c r="DJ16" s="37" t="str">
        <f t="shared" si="31"/>
        <v>2+0+1|759+537|788+530|0+0|775+532</v>
      </c>
      <c r="DM16" s="38"/>
      <c r="DN16" s="38"/>
      <c r="DO16" s="38"/>
      <c r="DP16" s="38"/>
      <c r="DQ16" s="38"/>
      <c r="DR16" s="38"/>
      <c r="DS16" s="38"/>
      <c r="DT16" s="38"/>
      <c r="DU16" s="38"/>
      <c r="DV16" s="38"/>
      <c r="DW16" s="38"/>
      <c r="DX16" s="38"/>
      <c r="DY16" s="38"/>
      <c r="DZ16" s="38"/>
      <c r="EA16" s="38"/>
    </row>
    <row r="17" spans="2:131" x14ac:dyDescent="0.15">
      <c r="B17" s="15">
        <v>14</v>
      </c>
      <c r="C17" s="15" t="s">
        <v>397</v>
      </c>
      <c r="D17" s="15">
        <v>16</v>
      </c>
      <c r="G17" s="25" t="s">
        <v>511</v>
      </c>
      <c r="H17" s="25">
        <v>14</v>
      </c>
      <c r="I17" s="26" t="s">
        <v>293</v>
      </c>
      <c r="J17" s="26">
        <f t="shared" si="6"/>
        <v>140</v>
      </c>
      <c r="M17" s="25" t="s">
        <v>511</v>
      </c>
      <c r="N17" s="25">
        <v>14</v>
      </c>
      <c r="O17" s="26" t="s">
        <v>216</v>
      </c>
      <c r="P17" s="26">
        <f t="shared" si="7"/>
        <v>103</v>
      </c>
      <c r="Q17" s="26"/>
      <c r="R17" s="26"/>
      <c r="S17" s="25" t="s">
        <v>511</v>
      </c>
      <c r="T17" s="25">
        <v>14</v>
      </c>
      <c r="U17" s="26" t="s">
        <v>837</v>
      </c>
      <c r="V17" s="26">
        <f t="shared" si="8"/>
        <v>112</v>
      </c>
      <c r="W17" s="26"/>
      <c r="Y17" s="25" t="s">
        <v>511</v>
      </c>
      <c r="Z17" s="25">
        <v>14</v>
      </c>
      <c r="AA17" s="26" t="s">
        <v>129</v>
      </c>
      <c r="AB17" s="26">
        <f t="shared" si="9"/>
        <v>60</v>
      </c>
      <c r="AE17" s="25" t="s">
        <v>511</v>
      </c>
      <c r="AF17" s="25">
        <v>14</v>
      </c>
      <c r="AG17" s="26" t="s">
        <v>922</v>
      </c>
      <c r="AH17" s="26">
        <f t="shared" si="10"/>
        <v>78</v>
      </c>
      <c r="AK17" s="25" t="s">
        <v>511</v>
      </c>
      <c r="AL17" s="25">
        <v>14</v>
      </c>
      <c r="AM17" s="26" t="s">
        <v>175</v>
      </c>
      <c r="AN17" s="26">
        <f t="shared" si="11"/>
        <v>83</v>
      </c>
      <c r="AQ17" s="25" t="s">
        <v>511</v>
      </c>
      <c r="AR17" s="25">
        <v>14</v>
      </c>
      <c r="AS17" s="26" t="s">
        <v>319</v>
      </c>
      <c r="AT17" s="26">
        <f t="shared" si="12"/>
        <v>153</v>
      </c>
      <c r="AX17" s="15"/>
      <c r="AY17" s="35">
        <f t="shared" si="13"/>
        <v>14</v>
      </c>
      <c r="AZ17" s="35" t="str">
        <f t="shared" si="14"/>
        <v>730+431</v>
      </c>
      <c r="BA17" s="35">
        <f t="shared" si="15"/>
        <v>16</v>
      </c>
      <c r="BB17" s="38">
        <f>COUNTIF($BA$4:$BA17,$BA17)</f>
        <v>3</v>
      </c>
      <c r="BC17" s="36" t="str">
        <f t="shared" si="16"/>
        <v/>
      </c>
      <c r="BD17" s="36" t="str">
        <f t="shared" si="17"/>
        <v/>
      </c>
      <c r="BE17" s="36" t="str">
        <f t="shared" si="18"/>
        <v>营</v>
      </c>
      <c r="BF17" s="36" t="str">
        <f t="shared" si="19"/>
        <v>营</v>
      </c>
      <c r="BG17" s="36" t="str">
        <f t="shared" si="20"/>
        <v/>
      </c>
      <c r="BH17" s="36" t="str">
        <f t="shared" si="21"/>
        <v/>
      </c>
      <c r="BI17" s="36" t="str">
        <f t="shared" si="22"/>
        <v/>
      </c>
      <c r="BJ17" s="29" t="str">
        <f t="shared" si="23"/>
        <v>营</v>
      </c>
      <c r="BL17" s="15">
        <v>14</v>
      </c>
      <c r="BM17" s="39" t="str">
        <f t="shared" si="24"/>
        <v>724+509</v>
      </c>
      <c r="BN17" s="39" t="str">
        <f t="shared" si="24"/>
        <v>761+496</v>
      </c>
      <c r="BO17" s="39" t="str">
        <f t="shared" si="24"/>
        <v/>
      </c>
      <c r="BP17" s="39" t="str">
        <f t="shared" si="24"/>
        <v/>
      </c>
      <c r="BQ17" s="39" t="str">
        <f t="shared" si="24"/>
        <v/>
      </c>
      <c r="BR17" s="39" t="str">
        <f t="shared" si="24"/>
        <v/>
      </c>
      <c r="BS17" s="39" t="str">
        <f t="shared" si="24"/>
        <v/>
      </c>
      <c r="BT17" s="39" t="str">
        <f t="shared" si="24"/>
        <v/>
      </c>
      <c r="BU17" s="39" t="str">
        <f t="shared" si="24"/>
        <v/>
      </c>
      <c r="BV17" s="39" t="str">
        <f t="shared" si="24"/>
        <v/>
      </c>
      <c r="BW17" s="39" t="str">
        <f t="shared" si="24"/>
        <v/>
      </c>
      <c r="BX17" s="39" t="str">
        <f t="shared" si="24"/>
        <v/>
      </c>
      <c r="BY17" s="39" t="str">
        <f t="shared" si="24"/>
        <v/>
      </c>
      <c r="BZ17" s="39" t="str">
        <f t="shared" si="24"/>
        <v/>
      </c>
      <c r="CA17" s="39" t="str">
        <f t="shared" si="24"/>
        <v/>
      </c>
      <c r="CB17" s="39" t="str">
        <f t="shared" si="25"/>
        <v/>
      </c>
      <c r="CC17" s="39" t="str">
        <f t="shared" si="1"/>
        <v/>
      </c>
      <c r="CD17" s="39" t="str">
        <f t="shared" si="1"/>
        <v/>
      </c>
      <c r="CE17" s="39" t="str">
        <f t="shared" si="1"/>
        <v/>
      </c>
      <c r="CF17" s="39" t="str">
        <f t="shared" si="1"/>
        <v/>
      </c>
      <c r="CG17" s="39" t="str">
        <f t="shared" si="1"/>
        <v/>
      </c>
      <c r="CH17" s="39" t="str">
        <f t="shared" si="1"/>
        <v/>
      </c>
      <c r="CI17" s="39" t="str">
        <f t="shared" si="1"/>
        <v/>
      </c>
      <c r="CJ17" s="39" t="str">
        <f t="shared" si="1"/>
        <v/>
      </c>
      <c r="CK17" s="39" t="str">
        <f t="shared" si="1"/>
        <v/>
      </c>
      <c r="CL17" s="39" t="str">
        <f t="shared" si="1"/>
        <v/>
      </c>
      <c r="CM17" s="39" t="str">
        <f t="shared" si="1"/>
        <v/>
      </c>
      <c r="CN17" s="39" t="str">
        <f t="shared" si="1"/>
        <v/>
      </c>
      <c r="CO17" s="39" t="str">
        <f t="shared" si="1"/>
        <v/>
      </c>
      <c r="CP17" s="39" t="str">
        <f t="shared" si="1"/>
        <v/>
      </c>
      <c r="CQ17" s="39" t="str">
        <f t="shared" si="26"/>
        <v/>
      </c>
      <c r="CR17" s="39" t="str">
        <f t="shared" si="2"/>
        <v/>
      </c>
      <c r="CS17" s="39" t="str">
        <f t="shared" si="2"/>
        <v>740+515</v>
      </c>
      <c r="CT17" s="39" t="str">
        <f t="shared" si="2"/>
        <v/>
      </c>
      <c r="CU17" s="39" t="str">
        <f t="shared" si="2"/>
        <v/>
      </c>
      <c r="CV17" s="39" t="str">
        <f t="shared" si="2"/>
        <v/>
      </c>
      <c r="CW17" s="39" t="str">
        <f t="shared" si="2"/>
        <v/>
      </c>
      <c r="CX17" s="39" t="str">
        <f t="shared" si="2"/>
        <v/>
      </c>
      <c r="CY17" s="39" t="str">
        <f t="shared" si="2"/>
        <v/>
      </c>
      <c r="CZ17" s="39" t="str">
        <f t="shared" si="2"/>
        <v/>
      </c>
      <c r="DA17" s="39" t="str">
        <f t="shared" si="2"/>
        <v/>
      </c>
      <c r="DB17" s="39" t="str">
        <f t="shared" si="2"/>
        <v/>
      </c>
      <c r="DC17" s="39" t="str">
        <f t="shared" si="2"/>
        <v/>
      </c>
      <c r="DD17" s="39" t="str">
        <f t="shared" si="2"/>
        <v/>
      </c>
      <c r="DE17" s="39" t="str">
        <f t="shared" si="2"/>
        <v/>
      </c>
      <c r="DF17" s="37" t="str">
        <f t="shared" si="27"/>
        <v>2+0+1</v>
      </c>
      <c r="DG17" s="37" t="str">
        <f t="shared" si="28"/>
        <v>724+509|761+496</v>
      </c>
      <c r="DH17" s="37" t="str">
        <f t="shared" si="29"/>
        <v>0+0</v>
      </c>
      <c r="DI17" s="37" t="str">
        <f t="shared" si="30"/>
        <v>740+515</v>
      </c>
      <c r="DJ17" s="37" t="str">
        <f t="shared" si="31"/>
        <v>2+0+1|724+509|761+496|0+0|740+515</v>
      </c>
      <c r="DM17" s="38"/>
      <c r="DN17" s="38"/>
      <c r="DO17" s="38"/>
      <c r="DP17" s="38"/>
      <c r="DQ17" s="38"/>
      <c r="DR17" s="38"/>
      <c r="DS17" s="38"/>
      <c r="DT17" s="38"/>
      <c r="DU17" s="38"/>
      <c r="DV17" s="38"/>
      <c r="DW17" s="38"/>
      <c r="DX17" s="38"/>
      <c r="DY17" s="38"/>
      <c r="DZ17" s="38"/>
      <c r="EA17" s="38"/>
    </row>
    <row r="18" spans="2:131" x14ac:dyDescent="0.15">
      <c r="B18" s="15">
        <v>15</v>
      </c>
      <c r="C18" s="15" t="s">
        <v>40</v>
      </c>
      <c r="D18" s="15">
        <v>17</v>
      </c>
      <c r="G18" s="25" t="s">
        <v>511</v>
      </c>
      <c r="H18" s="25">
        <v>15</v>
      </c>
      <c r="I18" s="26" t="s">
        <v>298</v>
      </c>
      <c r="J18" s="26">
        <f t="shared" si="6"/>
        <v>142</v>
      </c>
      <c r="M18" s="25" t="s">
        <v>511</v>
      </c>
      <c r="N18" s="25">
        <v>15</v>
      </c>
      <c r="O18" s="26" t="s">
        <v>201</v>
      </c>
      <c r="P18" s="26">
        <f t="shared" si="7"/>
        <v>96</v>
      </c>
      <c r="Q18" s="26"/>
      <c r="R18" s="26"/>
      <c r="S18" s="25" t="s">
        <v>511</v>
      </c>
      <c r="T18" s="25">
        <v>15</v>
      </c>
      <c r="U18" s="26" t="s">
        <v>839</v>
      </c>
      <c r="V18" s="26">
        <f t="shared" si="8"/>
        <v>71</v>
      </c>
      <c r="W18" s="26"/>
      <c r="Y18" s="25" t="s">
        <v>511</v>
      </c>
      <c r="Z18" s="25">
        <v>15</v>
      </c>
      <c r="AA18" s="26" t="s">
        <v>124</v>
      </c>
      <c r="AB18" s="26">
        <f t="shared" si="9"/>
        <v>58</v>
      </c>
      <c r="AE18" s="25" t="s">
        <v>511</v>
      </c>
      <c r="AF18" s="25">
        <v>15</v>
      </c>
      <c r="AG18" s="26" t="s">
        <v>823</v>
      </c>
      <c r="AH18" s="26">
        <f t="shared" si="10"/>
        <v>79</v>
      </c>
      <c r="AK18" s="25" t="s">
        <v>511</v>
      </c>
      <c r="AL18" s="25">
        <v>15</v>
      </c>
      <c r="AM18" s="26" t="s">
        <v>927</v>
      </c>
      <c r="AN18" s="26">
        <f t="shared" si="11"/>
        <v>82</v>
      </c>
      <c r="AQ18" s="25" t="s">
        <v>511</v>
      </c>
      <c r="AR18" s="25">
        <v>15</v>
      </c>
      <c r="AS18" s="26" t="s">
        <v>321</v>
      </c>
      <c r="AT18" s="26">
        <f t="shared" si="12"/>
        <v>154</v>
      </c>
      <c r="AX18" s="15"/>
      <c r="AY18" s="35">
        <f t="shared" si="13"/>
        <v>15</v>
      </c>
      <c r="AZ18" s="35" t="str">
        <f t="shared" si="14"/>
        <v>740+359</v>
      </c>
      <c r="BA18" s="35">
        <f t="shared" si="15"/>
        <v>17</v>
      </c>
      <c r="BB18" s="38">
        <f>COUNTIF($BA$4:$BA18,$BA18)</f>
        <v>1</v>
      </c>
      <c r="BC18" s="36" t="str">
        <f t="shared" si="16"/>
        <v/>
      </c>
      <c r="BD18" s="36" t="str">
        <f t="shared" si="17"/>
        <v/>
      </c>
      <c r="BE18" s="36" t="str">
        <f t="shared" si="18"/>
        <v/>
      </c>
      <c r="BF18" s="36" t="str">
        <f t="shared" si="19"/>
        <v>村</v>
      </c>
      <c r="BG18" s="36" t="str">
        <f t="shared" si="20"/>
        <v/>
      </c>
      <c r="BH18" s="36" t="str">
        <f t="shared" si="21"/>
        <v/>
      </c>
      <c r="BI18" s="36" t="str">
        <f t="shared" si="22"/>
        <v/>
      </c>
      <c r="BJ18" s="29" t="str">
        <f t="shared" si="23"/>
        <v>村</v>
      </c>
      <c r="BL18" s="15">
        <v>15</v>
      </c>
      <c r="BM18" s="39" t="str">
        <f t="shared" si="24"/>
        <v/>
      </c>
      <c r="BN18" s="39" t="str">
        <f t="shared" si="24"/>
        <v/>
      </c>
      <c r="BO18" s="39" t="str">
        <f t="shared" si="24"/>
        <v/>
      </c>
      <c r="BP18" s="39" t="str">
        <f t="shared" si="24"/>
        <v/>
      </c>
      <c r="BQ18" s="39" t="str">
        <f t="shared" si="24"/>
        <v/>
      </c>
      <c r="BR18" s="39" t="str">
        <f t="shared" si="24"/>
        <v/>
      </c>
      <c r="BS18" s="39" t="str">
        <f t="shared" si="24"/>
        <v/>
      </c>
      <c r="BT18" s="39" t="str">
        <f t="shared" si="24"/>
        <v/>
      </c>
      <c r="BU18" s="39" t="str">
        <f t="shared" si="24"/>
        <v/>
      </c>
      <c r="BV18" s="39" t="str">
        <f t="shared" si="24"/>
        <v/>
      </c>
      <c r="BW18" s="39" t="str">
        <f t="shared" si="24"/>
        <v/>
      </c>
      <c r="BX18" s="39" t="str">
        <f t="shared" si="24"/>
        <v/>
      </c>
      <c r="BY18" s="39" t="str">
        <f t="shared" si="24"/>
        <v/>
      </c>
      <c r="BZ18" s="39" t="str">
        <f t="shared" si="24"/>
        <v/>
      </c>
      <c r="CA18" s="39" t="str">
        <f t="shared" si="24"/>
        <v/>
      </c>
      <c r="CB18" s="39" t="str">
        <f t="shared" si="25"/>
        <v/>
      </c>
      <c r="CC18" s="39" t="str">
        <f t="shared" si="1"/>
        <v/>
      </c>
      <c r="CD18" s="39" t="str">
        <f t="shared" si="1"/>
        <v/>
      </c>
      <c r="CE18" s="39" t="str">
        <f t="shared" si="1"/>
        <v/>
      </c>
      <c r="CF18" s="39" t="str">
        <f t="shared" si="1"/>
        <v/>
      </c>
      <c r="CG18" s="39" t="str">
        <f t="shared" si="1"/>
        <v/>
      </c>
      <c r="CH18" s="39" t="str">
        <f t="shared" si="1"/>
        <v/>
      </c>
      <c r="CI18" s="39" t="str">
        <f t="shared" si="1"/>
        <v/>
      </c>
      <c r="CJ18" s="39" t="str">
        <f t="shared" si="1"/>
        <v/>
      </c>
      <c r="CK18" s="39" t="str">
        <f t="shared" si="1"/>
        <v/>
      </c>
      <c r="CL18" s="39" t="str">
        <f t="shared" si="1"/>
        <v/>
      </c>
      <c r="CM18" s="39" t="str">
        <f t="shared" si="1"/>
        <v/>
      </c>
      <c r="CN18" s="39" t="str">
        <f t="shared" si="1"/>
        <v/>
      </c>
      <c r="CO18" s="39" t="str">
        <f t="shared" si="1"/>
        <v/>
      </c>
      <c r="CP18" s="39" t="str">
        <f t="shared" si="1"/>
        <v/>
      </c>
      <c r="CQ18" s="39" t="str">
        <f t="shared" si="26"/>
        <v/>
      </c>
      <c r="CR18" s="39" t="str">
        <f t="shared" si="2"/>
        <v/>
      </c>
      <c r="CS18" s="39" t="str">
        <f t="shared" si="2"/>
        <v/>
      </c>
      <c r="CT18" s="39" t="str">
        <f t="shared" si="2"/>
        <v/>
      </c>
      <c r="CU18" s="39" t="str">
        <f t="shared" si="2"/>
        <v/>
      </c>
      <c r="CV18" s="39" t="str">
        <f t="shared" si="2"/>
        <v/>
      </c>
      <c r="CW18" s="39" t="str">
        <f t="shared" si="2"/>
        <v/>
      </c>
      <c r="CX18" s="39" t="str">
        <f t="shared" si="2"/>
        <v/>
      </c>
      <c r="CY18" s="39" t="str">
        <f t="shared" si="2"/>
        <v/>
      </c>
      <c r="CZ18" s="39" t="str">
        <f t="shared" si="2"/>
        <v/>
      </c>
      <c r="DA18" s="39" t="str">
        <f t="shared" si="2"/>
        <v/>
      </c>
      <c r="DB18" s="39" t="str">
        <f t="shared" si="2"/>
        <v/>
      </c>
      <c r="DC18" s="39" t="str">
        <f t="shared" si="2"/>
        <v/>
      </c>
      <c r="DD18" s="39" t="str">
        <f t="shared" si="2"/>
        <v/>
      </c>
      <c r="DE18" s="39" t="str">
        <f t="shared" si="2"/>
        <v/>
      </c>
      <c r="DF18" s="37" t="str">
        <f t="shared" si="27"/>
        <v>0+0+0</v>
      </c>
      <c r="DG18" s="37" t="str">
        <f t="shared" si="28"/>
        <v>0+0</v>
      </c>
      <c r="DH18" s="37" t="str">
        <f t="shared" si="29"/>
        <v>0+0</v>
      </c>
      <c r="DI18" s="37" t="str">
        <f t="shared" si="30"/>
        <v>0+0</v>
      </c>
      <c r="DJ18" s="37" t="str">
        <f t="shared" si="31"/>
        <v>0+0+0|0+0|0+0|0+0</v>
      </c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</row>
    <row r="19" spans="2:131" x14ac:dyDescent="0.15">
      <c r="B19" s="15">
        <v>16</v>
      </c>
      <c r="C19" s="15" t="s">
        <v>41</v>
      </c>
      <c r="D19" s="15">
        <v>17</v>
      </c>
      <c r="G19" s="27" t="s">
        <v>514</v>
      </c>
      <c r="H19" s="27">
        <v>16</v>
      </c>
      <c r="I19" s="26" t="s">
        <v>290</v>
      </c>
      <c r="J19" s="26">
        <f t="shared" si="6"/>
        <v>139</v>
      </c>
      <c r="M19" s="27" t="s">
        <v>514</v>
      </c>
      <c r="N19" s="27">
        <v>16</v>
      </c>
      <c r="O19" s="26" t="s">
        <v>203</v>
      </c>
      <c r="P19" s="26">
        <f t="shared" si="7"/>
        <v>97</v>
      </c>
      <c r="Q19" s="26"/>
      <c r="R19" s="26"/>
      <c r="S19" s="27" t="s">
        <v>514</v>
      </c>
      <c r="T19" s="27">
        <v>16</v>
      </c>
      <c r="U19" s="26" t="s">
        <v>841</v>
      </c>
      <c r="V19" s="26">
        <f t="shared" si="8"/>
        <v>72</v>
      </c>
      <c r="W19" s="26"/>
      <c r="Y19" s="27" t="s">
        <v>514</v>
      </c>
      <c r="Z19" s="27">
        <v>16</v>
      </c>
      <c r="AA19" s="26" t="s">
        <v>54</v>
      </c>
      <c r="AB19" s="26">
        <f t="shared" si="9"/>
        <v>23</v>
      </c>
      <c r="AE19" s="27" t="s">
        <v>514</v>
      </c>
      <c r="AF19" s="27">
        <v>16</v>
      </c>
      <c r="AG19" s="26" t="s">
        <v>839</v>
      </c>
      <c r="AH19" s="26">
        <f t="shared" si="10"/>
        <v>71</v>
      </c>
      <c r="AK19" s="27" t="s">
        <v>514</v>
      </c>
      <c r="AL19" s="27">
        <v>16</v>
      </c>
      <c r="AM19" s="26" t="s">
        <v>876</v>
      </c>
      <c r="AN19" s="26">
        <f t="shared" si="11"/>
        <v>82</v>
      </c>
      <c r="AQ19" s="27" t="s">
        <v>514</v>
      </c>
      <c r="AR19" s="27">
        <v>16</v>
      </c>
      <c r="AS19" s="26" t="s">
        <v>989</v>
      </c>
      <c r="AT19" s="26">
        <f t="shared" si="12"/>
        <v>152</v>
      </c>
      <c r="AX19" s="15"/>
      <c r="AY19" s="35">
        <f t="shared" si="13"/>
        <v>16</v>
      </c>
      <c r="AZ19" s="35" t="str">
        <f t="shared" si="14"/>
        <v>724+334</v>
      </c>
      <c r="BA19" s="35">
        <f t="shared" si="15"/>
        <v>17</v>
      </c>
      <c r="BB19" s="38">
        <f>COUNTIF($BA$4:$BA19,$BA19)</f>
        <v>2</v>
      </c>
      <c r="BC19" s="36" t="str">
        <f t="shared" si="16"/>
        <v/>
      </c>
      <c r="BD19" s="36" t="str">
        <f t="shared" si="17"/>
        <v/>
      </c>
      <c r="BE19" s="36" t="str">
        <f t="shared" si="18"/>
        <v>村</v>
      </c>
      <c r="BF19" s="36" t="str">
        <f t="shared" si="19"/>
        <v>村</v>
      </c>
      <c r="BG19" s="36" t="str">
        <f t="shared" si="20"/>
        <v/>
      </c>
      <c r="BH19" s="36" t="str">
        <f t="shared" si="21"/>
        <v/>
      </c>
      <c r="BI19" s="36" t="str">
        <f t="shared" si="22"/>
        <v/>
      </c>
      <c r="BJ19" s="29" t="str">
        <f t="shared" si="23"/>
        <v>村</v>
      </c>
      <c r="BL19" s="15">
        <v>16</v>
      </c>
      <c r="BM19" s="39" t="str">
        <f t="shared" si="24"/>
        <v>702+426</v>
      </c>
      <c r="BN19" s="39" t="str">
        <f t="shared" si="24"/>
        <v>750+414</v>
      </c>
      <c r="BO19" s="39" t="str">
        <f t="shared" si="24"/>
        <v/>
      </c>
      <c r="BP19" s="39" t="str">
        <f t="shared" si="24"/>
        <v/>
      </c>
      <c r="BQ19" s="39" t="str">
        <f t="shared" si="24"/>
        <v/>
      </c>
      <c r="BR19" s="39" t="str">
        <f t="shared" si="24"/>
        <v/>
      </c>
      <c r="BS19" s="39" t="str">
        <f t="shared" si="24"/>
        <v/>
      </c>
      <c r="BT19" s="39" t="str">
        <f t="shared" si="24"/>
        <v/>
      </c>
      <c r="BU19" s="39" t="str">
        <f t="shared" si="24"/>
        <v/>
      </c>
      <c r="BV19" s="39" t="str">
        <f t="shared" si="24"/>
        <v/>
      </c>
      <c r="BW19" s="39" t="str">
        <f t="shared" si="24"/>
        <v/>
      </c>
      <c r="BX19" s="39" t="str">
        <f t="shared" si="24"/>
        <v/>
      </c>
      <c r="BY19" s="39" t="str">
        <f t="shared" si="24"/>
        <v/>
      </c>
      <c r="BZ19" s="39" t="str">
        <f t="shared" si="24"/>
        <v/>
      </c>
      <c r="CA19" s="39" t="str">
        <f t="shared" si="24"/>
        <v/>
      </c>
      <c r="CB19" s="39" t="str">
        <f t="shared" si="25"/>
        <v/>
      </c>
      <c r="CC19" s="39" t="str">
        <f t="shared" si="1"/>
        <v/>
      </c>
      <c r="CD19" s="39" t="str">
        <f t="shared" si="1"/>
        <v/>
      </c>
      <c r="CE19" s="39" t="str">
        <f t="shared" si="1"/>
        <v/>
      </c>
      <c r="CF19" s="39" t="str">
        <f t="shared" si="1"/>
        <v/>
      </c>
      <c r="CG19" s="39" t="str">
        <f t="shared" si="1"/>
        <v/>
      </c>
      <c r="CH19" s="39" t="str">
        <f t="shared" si="1"/>
        <v/>
      </c>
      <c r="CI19" s="39" t="str">
        <f t="shared" si="1"/>
        <v/>
      </c>
      <c r="CJ19" s="39" t="str">
        <f t="shared" si="1"/>
        <v/>
      </c>
      <c r="CK19" s="39" t="str">
        <f t="shared" si="1"/>
        <v/>
      </c>
      <c r="CL19" s="39" t="str">
        <f t="shared" si="1"/>
        <v/>
      </c>
      <c r="CM19" s="39" t="str">
        <f t="shared" si="1"/>
        <v/>
      </c>
      <c r="CN19" s="39" t="str">
        <f t="shared" si="1"/>
        <v/>
      </c>
      <c r="CO19" s="39" t="str">
        <f t="shared" si="1"/>
        <v/>
      </c>
      <c r="CP19" s="39" t="str">
        <f t="shared" si="1"/>
        <v/>
      </c>
      <c r="CQ19" s="39" t="str">
        <f t="shared" si="26"/>
        <v/>
      </c>
      <c r="CR19" s="39" t="str">
        <f t="shared" si="2"/>
        <v/>
      </c>
      <c r="CS19" s="39" t="str">
        <f t="shared" si="2"/>
        <v>730+431</v>
      </c>
      <c r="CT19" s="39" t="str">
        <f t="shared" si="2"/>
        <v/>
      </c>
      <c r="CU19" s="39" t="str">
        <f t="shared" si="2"/>
        <v/>
      </c>
      <c r="CV19" s="39" t="str">
        <f t="shared" si="2"/>
        <v/>
      </c>
      <c r="CW19" s="39" t="str">
        <f t="shared" si="2"/>
        <v/>
      </c>
      <c r="CX19" s="39" t="str">
        <f t="shared" si="2"/>
        <v/>
      </c>
      <c r="CY19" s="39" t="str">
        <f t="shared" si="2"/>
        <v/>
      </c>
      <c r="CZ19" s="39" t="str">
        <f t="shared" si="2"/>
        <v/>
      </c>
      <c r="DA19" s="39" t="str">
        <f t="shared" si="2"/>
        <v/>
      </c>
      <c r="DB19" s="39" t="str">
        <f t="shared" si="2"/>
        <v/>
      </c>
      <c r="DC19" s="39" t="str">
        <f t="shared" si="2"/>
        <v/>
      </c>
      <c r="DD19" s="39" t="str">
        <f t="shared" si="2"/>
        <v/>
      </c>
      <c r="DE19" s="39" t="str">
        <f t="shared" si="2"/>
        <v/>
      </c>
      <c r="DF19" s="37" t="str">
        <f t="shared" si="27"/>
        <v>2+0+1</v>
      </c>
      <c r="DG19" s="37" t="str">
        <f t="shared" si="28"/>
        <v>702+426|750+414</v>
      </c>
      <c r="DH19" s="37" t="str">
        <f t="shared" si="29"/>
        <v>0+0</v>
      </c>
      <c r="DI19" s="37" t="str">
        <f t="shared" si="30"/>
        <v>730+431</v>
      </c>
      <c r="DJ19" s="37" t="str">
        <f t="shared" si="31"/>
        <v>2+0+1|702+426|750+414|0+0|730+431</v>
      </c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</row>
    <row r="20" spans="2:131" x14ac:dyDescent="0.15">
      <c r="B20" s="15">
        <v>17</v>
      </c>
      <c r="C20" s="15" t="s">
        <v>42</v>
      </c>
      <c r="D20" s="15">
        <v>18</v>
      </c>
      <c r="G20" s="27" t="s">
        <v>514</v>
      </c>
      <c r="H20" s="27">
        <v>17</v>
      </c>
      <c r="I20" s="26" t="s">
        <v>300</v>
      </c>
      <c r="J20" s="26">
        <f t="shared" si="6"/>
        <v>143</v>
      </c>
      <c r="M20" s="27" t="s">
        <v>514</v>
      </c>
      <c r="N20" s="27">
        <v>17</v>
      </c>
      <c r="O20" s="26" t="s">
        <v>204</v>
      </c>
      <c r="P20" s="26">
        <f t="shared" si="7"/>
        <v>97</v>
      </c>
      <c r="Q20" s="26"/>
      <c r="R20" s="26"/>
      <c r="S20" s="27" t="s">
        <v>514</v>
      </c>
      <c r="T20" s="27">
        <v>17</v>
      </c>
      <c r="U20" s="26" t="s">
        <v>842</v>
      </c>
      <c r="V20" s="26">
        <f t="shared" si="8"/>
        <v>73</v>
      </c>
      <c r="W20" s="26"/>
      <c r="Y20" s="27" t="s">
        <v>514</v>
      </c>
      <c r="Z20" s="27">
        <v>17</v>
      </c>
      <c r="AA20" s="26" t="s">
        <v>55</v>
      </c>
      <c r="AB20" s="26">
        <f t="shared" si="9"/>
        <v>23</v>
      </c>
      <c r="AE20" s="27" t="s">
        <v>514</v>
      </c>
      <c r="AF20" s="27">
        <v>17</v>
      </c>
      <c r="AG20" s="26" t="s">
        <v>878</v>
      </c>
      <c r="AH20" s="26">
        <f t="shared" si="10"/>
        <v>71</v>
      </c>
      <c r="AK20" s="27" t="s">
        <v>514</v>
      </c>
      <c r="AL20" s="27">
        <v>17</v>
      </c>
      <c r="AM20" s="26" t="s">
        <v>928</v>
      </c>
      <c r="AN20" s="26">
        <f t="shared" si="11"/>
        <v>80</v>
      </c>
      <c r="AQ20" s="27" t="s">
        <v>514</v>
      </c>
      <c r="AR20" s="27">
        <v>17</v>
      </c>
      <c r="AS20" s="26" t="s">
        <v>316</v>
      </c>
      <c r="AT20" s="26">
        <f t="shared" si="12"/>
        <v>151</v>
      </c>
      <c r="AX20" s="15"/>
      <c r="AY20" s="35">
        <f t="shared" si="13"/>
        <v>17</v>
      </c>
      <c r="AZ20" s="35" t="str">
        <f t="shared" si="14"/>
        <v>708+273</v>
      </c>
      <c r="BA20" s="35">
        <f t="shared" si="15"/>
        <v>18</v>
      </c>
      <c r="BB20" s="38">
        <f>COUNTIF($BA$4:$BA20,$BA20)</f>
        <v>1</v>
      </c>
      <c r="BC20" s="36" t="str">
        <f t="shared" si="16"/>
        <v/>
      </c>
      <c r="BD20" s="36" t="str">
        <f t="shared" si="17"/>
        <v/>
      </c>
      <c r="BE20" s="36" t="str">
        <f t="shared" si="18"/>
        <v/>
      </c>
      <c r="BF20" s="36" t="str">
        <f t="shared" si="19"/>
        <v>村</v>
      </c>
      <c r="BG20" s="36" t="str">
        <f t="shared" si="20"/>
        <v/>
      </c>
      <c r="BH20" s="36" t="str">
        <f t="shared" si="21"/>
        <v/>
      </c>
      <c r="BI20" s="36" t="str">
        <f t="shared" si="22"/>
        <v/>
      </c>
      <c r="BJ20" s="29" t="str">
        <f t="shared" si="23"/>
        <v>村</v>
      </c>
      <c r="BL20" s="15">
        <v>17</v>
      </c>
      <c r="BM20" s="39" t="str">
        <f t="shared" si="24"/>
        <v>740+359</v>
      </c>
      <c r="BN20" s="39" t="str">
        <f t="shared" si="24"/>
        <v>724+334</v>
      </c>
      <c r="BO20" s="39" t="str">
        <f t="shared" si="24"/>
        <v/>
      </c>
      <c r="BP20" s="39" t="str">
        <f t="shared" si="24"/>
        <v/>
      </c>
      <c r="BQ20" s="39" t="str">
        <f t="shared" si="24"/>
        <v/>
      </c>
      <c r="BR20" s="39" t="str">
        <f t="shared" si="24"/>
        <v/>
      </c>
      <c r="BS20" s="39" t="str">
        <f t="shared" si="24"/>
        <v/>
      </c>
      <c r="BT20" s="39" t="str">
        <f t="shared" si="24"/>
        <v/>
      </c>
      <c r="BU20" s="39" t="str">
        <f t="shared" si="24"/>
        <v/>
      </c>
      <c r="BV20" s="39" t="str">
        <f t="shared" si="24"/>
        <v/>
      </c>
      <c r="BW20" s="39" t="str">
        <f t="shared" si="24"/>
        <v/>
      </c>
      <c r="BX20" s="39" t="str">
        <f t="shared" si="24"/>
        <v/>
      </c>
      <c r="BY20" s="39" t="str">
        <f t="shared" si="24"/>
        <v/>
      </c>
      <c r="BZ20" s="39" t="str">
        <f t="shared" si="24"/>
        <v/>
      </c>
      <c r="CA20" s="39" t="str">
        <f t="shared" si="24"/>
        <v/>
      </c>
      <c r="CB20" s="39" t="str">
        <f t="shared" si="25"/>
        <v/>
      </c>
      <c r="CC20" s="39" t="str">
        <f t="shared" si="25"/>
        <v/>
      </c>
      <c r="CD20" s="39" t="str">
        <f t="shared" si="25"/>
        <v/>
      </c>
      <c r="CE20" s="39" t="str">
        <f t="shared" si="25"/>
        <v/>
      </c>
      <c r="CF20" s="39" t="str">
        <f t="shared" si="25"/>
        <v/>
      </c>
      <c r="CG20" s="39" t="str">
        <f t="shared" si="25"/>
        <v/>
      </c>
      <c r="CH20" s="39" t="str">
        <f t="shared" si="25"/>
        <v/>
      </c>
      <c r="CI20" s="39" t="str">
        <f t="shared" si="25"/>
        <v/>
      </c>
      <c r="CJ20" s="39" t="str">
        <f t="shared" si="25"/>
        <v/>
      </c>
      <c r="CK20" s="39" t="str">
        <f t="shared" si="25"/>
        <v/>
      </c>
      <c r="CL20" s="39" t="str">
        <f t="shared" si="25"/>
        <v/>
      </c>
      <c r="CM20" s="39" t="str">
        <f t="shared" si="25"/>
        <v/>
      </c>
      <c r="CN20" s="39" t="str">
        <f t="shared" si="25"/>
        <v/>
      </c>
      <c r="CO20" s="39" t="str">
        <f t="shared" si="25"/>
        <v/>
      </c>
      <c r="CP20" s="39" t="str">
        <f t="shared" si="25"/>
        <v/>
      </c>
      <c r="CQ20" s="39" t="str">
        <f t="shared" si="26"/>
        <v/>
      </c>
      <c r="CR20" s="39" t="str">
        <f t="shared" si="26"/>
        <v/>
      </c>
      <c r="CS20" s="39" t="str">
        <f t="shared" si="26"/>
        <v/>
      </c>
      <c r="CT20" s="39" t="str">
        <f t="shared" si="26"/>
        <v/>
      </c>
      <c r="CU20" s="39" t="str">
        <f t="shared" si="26"/>
        <v/>
      </c>
      <c r="CV20" s="39" t="str">
        <f t="shared" si="26"/>
        <v/>
      </c>
      <c r="CW20" s="39" t="str">
        <f t="shared" si="26"/>
        <v/>
      </c>
      <c r="CX20" s="39" t="str">
        <f t="shared" si="26"/>
        <v/>
      </c>
      <c r="CY20" s="39" t="str">
        <f t="shared" si="26"/>
        <v/>
      </c>
      <c r="CZ20" s="39" t="str">
        <f t="shared" si="26"/>
        <v/>
      </c>
      <c r="DA20" s="39" t="str">
        <f t="shared" si="26"/>
        <v/>
      </c>
      <c r="DB20" s="39" t="str">
        <f t="shared" si="26"/>
        <v/>
      </c>
      <c r="DC20" s="39" t="str">
        <f t="shared" si="26"/>
        <v/>
      </c>
      <c r="DD20" s="39" t="str">
        <f t="shared" si="26"/>
        <v/>
      </c>
      <c r="DE20" s="39" t="str">
        <f t="shared" si="26"/>
        <v/>
      </c>
      <c r="DF20" s="37" t="str">
        <f t="shared" si="27"/>
        <v>2+0+0</v>
      </c>
      <c r="DG20" s="37" t="str">
        <f t="shared" si="28"/>
        <v>740+359|724+334</v>
      </c>
      <c r="DH20" s="37" t="str">
        <f t="shared" si="29"/>
        <v>0+0</v>
      </c>
      <c r="DI20" s="37" t="str">
        <f t="shared" si="30"/>
        <v>0+0</v>
      </c>
      <c r="DJ20" s="37" t="str">
        <f t="shared" si="31"/>
        <v>2+0+0|740+359|724+334|0+0|0+0</v>
      </c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</row>
    <row r="21" spans="2:131" x14ac:dyDescent="0.15">
      <c r="B21" s="15">
        <v>18</v>
      </c>
      <c r="C21" s="15" t="s">
        <v>398</v>
      </c>
      <c r="D21" s="15">
        <v>18</v>
      </c>
      <c r="G21" s="27" t="s">
        <v>514</v>
      </c>
      <c r="H21" s="27">
        <v>18</v>
      </c>
      <c r="I21" s="26" t="s">
        <v>299</v>
      </c>
      <c r="J21" s="26">
        <f t="shared" si="6"/>
        <v>142</v>
      </c>
      <c r="M21" s="27" t="s">
        <v>514</v>
      </c>
      <c r="N21" s="27">
        <v>18</v>
      </c>
      <c r="O21" s="26" t="s">
        <v>76</v>
      </c>
      <c r="P21" s="26">
        <f t="shared" si="7"/>
        <v>34</v>
      </c>
      <c r="Q21" s="26"/>
      <c r="R21" s="26"/>
      <c r="S21" s="27" t="s">
        <v>514</v>
      </c>
      <c r="T21" s="27">
        <v>18</v>
      </c>
      <c r="U21" s="26" t="s">
        <v>844</v>
      </c>
      <c r="V21" s="26">
        <f t="shared" si="8"/>
        <v>72</v>
      </c>
      <c r="W21" s="26"/>
      <c r="Y21" s="27" t="s">
        <v>514</v>
      </c>
      <c r="Z21" s="27">
        <v>18</v>
      </c>
      <c r="AA21" s="26" t="s">
        <v>52</v>
      </c>
      <c r="AB21" s="26">
        <f t="shared" si="9"/>
        <v>22</v>
      </c>
      <c r="AE21" s="27" t="s">
        <v>514</v>
      </c>
      <c r="AF21" s="27">
        <v>18</v>
      </c>
      <c r="AG21" s="26" t="s">
        <v>880</v>
      </c>
      <c r="AH21" s="26">
        <f t="shared" si="10"/>
        <v>71</v>
      </c>
      <c r="AK21" s="27" t="s">
        <v>514</v>
      </c>
      <c r="AL21" s="27">
        <v>18</v>
      </c>
      <c r="AM21" s="26" t="s">
        <v>961</v>
      </c>
      <c r="AN21" s="26">
        <f t="shared" si="11"/>
        <v>78</v>
      </c>
      <c r="AQ21" s="27" t="s">
        <v>514</v>
      </c>
      <c r="AR21" s="27">
        <v>18</v>
      </c>
      <c r="AS21" s="26" t="s">
        <v>329</v>
      </c>
      <c r="AT21" s="26">
        <f t="shared" si="12"/>
        <v>158</v>
      </c>
      <c r="AX21" s="15"/>
      <c r="AY21" s="35">
        <f t="shared" si="13"/>
        <v>18</v>
      </c>
      <c r="AZ21" s="35" t="str">
        <f t="shared" si="14"/>
        <v>696+348</v>
      </c>
      <c r="BA21" s="35">
        <f t="shared" si="15"/>
        <v>18</v>
      </c>
      <c r="BB21" s="38">
        <f>COUNTIF($BA$4:$BA21,$BA21)</f>
        <v>2</v>
      </c>
      <c r="BC21" s="36" t="str">
        <f t="shared" si="16"/>
        <v/>
      </c>
      <c r="BD21" s="36" t="str">
        <f t="shared" si="17"/>
        <v/>
      </c>
      <c r="BE21" s="36" t="str">
        <f t="shared" si="18"/>
        <v/>
      </c>
      <c r="BF21" s="36" t="str">
        <f t="shared" si="19"/>
        <v>县</v>
      </c>
      <c r="BG21" s="36" t="str">
        <f t="shared" si="20"/>
        <v/>
      </c>
      <c r="BH21" s="36" t="str">
        <f t="shared" si="21"/>
        <v/>
      </c>
      <c r="BI21" s="36" t="str">
        <f t="shared" si="22"/>
        <v/>
      </c>
      <c r="BJ21" s="29" t="str">
        <f t="shared" si="23"/>
        <v>县</v>
      </c>
      <c r="BL21" s="15">
        <v>18</v>
      </c>
      <c r="BM21" s="39" t="str">
        <f t="shared" si="24"/>
        <v>708+273</v>
      </c>
      <c r="BN21" s="39" t="str">
        <f t="shared" si="24"/>
        <v/>
      </c>
      <c r="BO21" s="39" t="str">
        <f t="shared" si="24"/>
        <v/>
      </c>
      <c r="BP21" s="39" t="str">
        <f t="shared" si="24"/>
        <v/>
      </c>
      <c r="BQ21" s="39" t="str">
        <f t="shared" si="24"/>
        <v/>
      </c>
      <c r="BR21" s="39" t="str">
        <f t="shared" si="24"/>
        <v/>
      </c>
      <c r="BS21" s="39" t="str">
        <f t="shared" si="24"/>
        <v/>
      </c>
      <c r="BT21" s="39" t="str">
        <f t="shared" si="24"/>
        <v/>
      </c>
      <c r="BU21" s="39" t="str">
        <f t="shared" si="24"/>
        <v/>
      </c>
      <c r="BV21" s="39" t="str">
        <f t="shared" si="24"/>
        <v/>
      </c>
      <c r="BW21" s="39" t="str">
        <f t="shared" si="24"/>
        <v/>
      </c>
      <c r="BX21" s="39" t="str">
        <f t="shared" si="24"/>
        <v/>
      </c>
      <c r="BY21" s="39" t="str">
        <f t="shared" si="24"/>
        <v/>
      </c>
      <c r="BZ21" s="39" t="str">
        <f t="shared" si="24"/>
        <v/>
      </c>
      <c r="CA21" s="39" t="str">
        <f t="shared" si="24"/>
        <v/>
      </c>
      <c r="CB21" s="39" t="str">
        <f t="shared" si="25"/>
        <v/>
      </c>
      <c r="CC21" s="39" t="str">
        <f t="shared" si="25"/>
        <v>696+348</v>
      </c>
      <c r="CD21" s="39" t="str">
        <f t="shared" si="25"/>
        <v/>
      </c>
      <c r="CE21" s="39" t="str">
        <f t="shared" si="25"/>
        <v/>
      </c>
      <c r="CF21" s="39" t="str">
        <f t="shared" si="25"/>
        <v/>
      </c>
      <c r="CG21" s="39" t="str">
        <f t="shared" si="25"/>
        <v/>
      </c>
      <c r="CH21" s="39" t="str">
        <f t="shared" si="25"/>
        <v/>
      </c>
      <c r="CI21" s="39" t="str">
        <f t="shared" si="25"/>
        <v/>
      </c>
      <c r="CJ21" s="39" t="str">
        <f t="shared" si="25"/>
        <v/>
      </c>
      <c r="CK21" s="39" t="str">
        <f t="shared" si="25"/>
        <v/>
      </c>
      <c r="CL21" s="39" t="str">
        <f t="shared" si="25"/>
        <v/>
      </c>
      <c r="CM21" s="39" t="str">
        <f t="shared" si="25"/>
        <v/>
      </c>
      <c r="CN21" s="39" t="str">
        <f t="shared" si="25"/>
        <v/>
      </c>
      <c r="CO21" s="39" t="str">
        <f t="shared" si="25"/>
        <v/>
      </c>
      <c r="CP21" s="39" t="str">
        <f t="shared" si="25"/>
        <v/>
      </c>
      <c r="CQ21" s="39" t="str">
        <f t="shared" si="26"/>
        <v/>
      </c>
      <c r="CR21" s="39" t="str">
        <f t="shared" si="26"/>
        <v/>
      </c>
      <c r="CS21" s="39" t="str">
        <f t="shared" si="26"/>
        <v>696+308</v>
      </c>
      <c r="CT21" s="39" t="str">
        <f t="shared" si="26"/>
        <v/>
      </c>
      <c r="CU21" s="39" t="str">
        <f t="shared" si="26"/>
        <v/>
      </c>
      <c r="CV21" s="39" t="str">
        <f t="shared" si="26"/>
        <v/>
      </c>
      <c r="CW21" s="39" t="str">
        <f t="shared" si="26"/>
        <v/>
      </c>
      <c r="CX21" s="39" t="str">
        <f t="shared" si="26"/>
        <v/>
      </c>
      <c r="CY21" s="39" t="str">
        <f t="shared" si="26"/>
        <v/>
      </c>
      <c r="CZ21" s="39" t="str">
        <f t="shared" si="26"/>
        <v/>
      </c>
      <c r="DA21" s="39" t="str">
        <f t="shared" si="26"/>
        <v/>
      </c>
      <c r="DB21" s="39" t="str">
        <f t="shared" si="26"/>
        <v/>
      </c>
      <c r="DC21" s="39" t="str">
        <f t="shared" si="26"/>
        <v/>
      </c>
      <c r="DD21" s="39" t="str">
        <f t="shared" si="26"/>
        <v/>
      </c>
      <c r="DE21" s="39" t="str">
        <f t="shared" si="26"/>
        <v/>
      </c>
      <c r="DF21" s="37" t="str">
        <f t="shared" si="27"/>
        <v>1+1+1</v>
      </c>
      <c r="DG21" s="37" t="str">
        <f t="shared" si="28"/>
        <v>708+273</v>
      </c>
      <c r="DH21" s="37" t="str">
        <f t="shared" si="29"/>
        <v>696+348</v>
      </c>
      <c r="DI21" s="37" t="str">
        <f t="shared" si="30"/>
        <v>696+308</v>
      </c>
      <c r="DJ21" s="37" t="str">
        <f t="shared" si="31"/>
        <v>1+1+1|708+273|696+348|696+308</v>
      </c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</row>
    <row r="22" spans="2:131" x14ac:dyDescent="0.15">
      <c r="B22" s="15">
        <v>19</v>
      </c>
      <c r="C22" s="15" t="s">
        <v>43</v>
      </c>
      <c r="D22" s="15">
        <v>18</v>
      </c>
      <c r="G22" s="27" t="s">
        <v>514</v>
      </c>
      <c r="H22" s="27">
        <v>19</v>
      </c>
      <c r="I22" s="26" t="s">
        <v>336</v>
      </c>
      <c r="J22" s="26">
        <f t="shared" si="6"/>
        <v>161</v>
      </c>
      <c r="M22" s="27" t="s">
        <v>514</v>
      </c>
      <c r="N22" s="27">
        <v>19</v>
      </c>
      <c r="O22" s="26" t="s">
        <v>77</v>
      </c>
      <c r="P22" s="26">
        <f t="shared" si="7"/>
        <v>34</v>
      </c>
      <c r="Q22" s="26"/>
      <c r="R22" s="26"/>
      <c r="S22" s="27" t="s">
        <v>514</v>
      </c>
      <c r="T22" s="27">
        <v>19</v>
      </c>
      <c r="U22" s="26" t="s">
        <v>823</v>
      </c>
      <c r="V22" s="26">
        <f t="shared" si="8"/>
        <v>79</v>
      </c>
      <c r="W22" s="26"/>
      <c r="Y22" s="27" t="s">
        <v>514</v>
      </c>
      <c r="Z22" s="27">
        <v>19</v>
      </c>
      <c r="AA22" s="26" t="s">
        <v>53</v>
      </c>
      <c r="AB22" s="26">
        <f t="shared" si="9"/>
        <v>22</v>
      </c>
      <c r="AE22" s="27" t="s">
        <v>514</v>
      </c>
      <c r="AF22" s="27">
        <v>19</v>
      </c>
      <c r="AG22" s="26" t="s">
        <v>837</v>
      </c>
      <c r="AH22" s="26">
        <f t="shared" si="10"/>
        <v>112</v>
      </c>
      <c r="AK22" s="27" t="s">
        <v>514</v>
      </c>
      <c r="AL22" s="27">
        <v>19</v>
      </c>
      <c r="AM22" s="26" t="s">
        <v>874</v>
      </c>
      <c r="AN22" s="26">
        <f t="shared" si="11"/>
        <v>81</v>
      </c>
      <c r="AQ22" s="27" t="s">
        <v>514</v>
      </c>
      <c r="AR22" s="27">
        <v>19</v>
      </c>
      <c r="AS22" s="26" t="s">
        <v>327</v>
      </c>
      <c r="AT22" s="26">
        <f t="shared" si="12"/>
        <v>157</v>
      </c>
      <c r="AX22" s="15"/>
      <c r="AY22" s="35">
        <f t="shared" si="13"/>
        <v>19</v>
      </c>
      <c r="AZ22" s="35" t="str">
        <f t="shared" si="14"/>
        <v>696+308</v>
      </c>
      <c r="BA22" s="35">
        <f t="shared" si="15"/>
        <v>18</v>
      </c>
      <c r="BB22" s="38">
        <f>COUNTIF($BA$4:$BA22,$BA22)</f>
        <v>3</v>
      </c>
      <c r="BC22" s="36" t="str">
        <f t="shared" si="16"/>
        <v>营</v>
      </c>
      <c r="BD22" s="36" t="str">
        <f t="shared" si="17"/>
        <v/>
      </c>
      <c r="BE22" s="36" t="str">
        <f t="shared" si="18"/>
        <v>营</v>
      </c>
      <c r="BF22" s="36" t="str">
        <f t="shared" si="19"/>
        <v>营</v>
      </c>
      <c r="BG22" s="36" t="str">
        <f t="shared" si="20"/>
        <v/>
      </c>
      <c r="BH22" s="36" t="str">
        <f t="shared" si="21"/>
        <v/>
      </c>
      <c r="BI22" s="36" t="str">
        <f t="shared" si="22"/>
        <v/>
      </c>
      <c r="BJ22" s="29" t="str">
        <f t="shared" si="23"/>
        <v>营</v>
      </c>
      <c r="BL22" s="15">
        <v>19</v>
      </c>
      <c r="BM22" s="39" t="str">
        <f t="shared" si="24"/>
        <v>671+231</v>
      </c>
      <c r="BN22" s="39" t="str">
        <f t="shared" si="24"/>
        <v>698+189</v>
      </c>
      <c r="BO22" s="39" t="str">
        <f t="shared" si="24"/>
        <v/>
      </c>
      <c r="BP22" s="39" t="str">
        <f t="shared" si="24"/>
        <v/>
      </c>
      <c r="BQ22" s="39" t="str">
        <f t="shared" si="24"/>
        <v/>
      </c>
      <c r="BR22" s="39" t="str">
        <f t="shared" si="24"/>
        <v/>
      </c>
      <c r="BS22" s="39" t="str">
        <f t="shared" si="24"/>
        <v/>
      </c>
      <c r="BT22" s="39" t="str">
        <f t="shared" si="24"/>
        <v/>
      </c>
      <c r="BU22" s="39" t="str">
        <f t="shared" si="24"/>
        <v/>
      </c>
      <c r="BV22" s="39" t="str">
        <f t="shared" si="24"/>
        <v/>
      </c>
      <c r="BW22" s="39" t="str">
        <f t="shared" si="24"/>
        <v/>
      </c>
      <c r="BX22" s="39" t="str">
        <f t="shared" si="24"/>
        <v/>
      </c>
      <c r="BY22" s="39" t="str">
        <f t="shared" si="24"/>
        <v/>
      </c>
      <c r="BZ22" s="39" t="str">
        <f t="shared" si="24"/>
        <v/>
      </c>
      <c r="CA22" s="39" t="str">
        <f t="shared" si="24"/>
        <v/>
      </c>
      <c r="CB22" s="39" t="str">
        <f t="shared" si="25"/>
        <v/>
      </c>
      <c r="CC22" s="39" t="str">
        <f t="shared" si="25"/>
        <v/>
      </c>
      <c r="CD22" s="39" t="str">
        <f t="shared" si="25"/>
        <v>624+275</v>
      </c>
      <c r="CE22" s="39" t="str">
        <f t="shared" si="25"/>
        <v/>
      </c>
      <c r="CF22" s="39" t="str">
        <f t="shared" si="25"/>
        <v/>
      </c>
      <c r="CG22" s="39" t="str">
        <f t="shared" si="25"/>
        <v/>
      </c>
      <c r="CH22" s="39" t="str">
        <f t="shared" si="25"/>
        <v/>
      </c>
      <c r="CI22" s="39" t="str">
        <f t="shared" si="25"/>
        <v/>
      </c>
      <c r="CJ22" s="39" t="str">
        <f t="shared" si="25"/>
        <v/>
      </c>
      <c r="CK22" s="39" t="str">
        <f t="shared" si="25"/>
        <v/>
      </c>
      <c r="CL22" s="39" t="str">
        <f t="shared" si="25"/>
        <v/>
      </c>
      <c r="CM22" s="39" t="str">
        <f t="shared" si="25"/>
        <v/>
      </c>
      <c r="CN22" s="39" t="str">
        <f t="shared" si="25"/>
        <v/>
      </c>
      <c r="CO22" s="39" t="str">
        <f t="shared" si="25"/>
        <v/>
      </c>
      <c r="CP22" s="39" t="str">
        <f t="shared" si="25"/>
        <v/>
      </c>
      <c r="CQ22" s="39" t="str">
        <f t="shared" si="26"/>
        <v/>
      </c>
      <c r="CR22" s="39" t="str">
        <f t="shared" si="26"/>
        <v/>
      </c>
      <c r="CS22" s="39" t="str">
        <f t="shared" si="26"/>
        <v/>
      </c>
      <c r="CT22" s="39" t="str">
        <f t="shared" si="26"/>
        <v/>
      </c>
      <c r="CU22" s="39" t="str">
        <f t="shared" si="26"/>
        <v/>
      </c>
      <c r="CV22" s="39" t="str">
        <f t="shared" si="26"/>
        <v/>
      </c>
      <c r="CW22" s="39" t="str">
        <f t="shared" si="26"/>
        <v/>
      </c>
      <c r="CX22" s="39" t="str">
        <f t="shared" si="26"/>
        <v/>
      </c>
      <c r="CY22" s="39" t="str">
        <f t="shared" si="26"/>
        <v/>
      </c>
      <c r="CZ22" s="39" t="str">
        <f t="shared" si="26"/>
        <v/>
      </c>
      <c r="DA22" s="39" t="str">
        <f t="shared" si="26"/>
        <v/>
      </c>
      <c r="DB22" s="39" t="str">
        <f t="shared" si="26"/>
        <v/>
      </c>
      <c r="DC22" s="39" t="str">
        <f t="shared" si="26"/>
        <v/>
      </c>
      <c r="DD22" s="39" t="str">
        <f t="shared" si="26"/>
        <v/>
      </c>
      <c r="DE22" s="39" t="str">
        <f t="shared" si="26"/>
        <v/>
      </c>
      <c r="DF22" s="37" t="str">
        <f t="shared" si="27"/>
        <v>2+1+0</v>
      </c>
      <c r="DG22" s="37" t="str">
        <f t="shared" si="28"/>
        <v>671+231|698+189</v>
      </c>
      <c r="DH22" s="37" t="str">
        <f t="shared" si="29"/>
        <v>624+275</v>
      </c>
      <c r="DI22" s="37" t="str">
        <f t="shared" si="30"/>
        <v>0+0</v>
      </c>
      <c r="DJ22" s="37" t="str">
        <f t="shared" si="31"/>
        <v>2+1+0|671+231|698+189|624+275|0+0</v>
      </c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</row>
    <row r="23" spans="2:131" x14ac:dyDescent="0.15">
      <c r="B23" s="15">
        <v>20</v>
      </c>
      <c r="C23" s="15" t="s">
        <v>44</v>
      </c>
      <c r="D23" s="15">
        <v>19</v>
      </c>
      <c r="G23" s="25" t="s">
        <v>517</v>
      </c>
      <c r="H23" s="25">
        <v>20</v>
      </c>
      <c r="I23" s="26" t="s">
        <v>301</v>
      </c>
      <c r="J23" s="26">
        <f t="shared" si="6"/>
        <v>143</v>
      </c>
      <c r="M23" s="25" t="s">
        <v>517</v>
      </c>
      <c r="N23" s="25">
        <v>20</v>
      </c>
      <c r="O23" s="26" t="s">
        <v>78</v>
      </c>
      <c r="P23" s="26">
        <f t="shared" si="7"/>
        <v>35</v>
      </c>
      <c r="Q23" s="26"/>
      <c r="R23" s="26"/>
      <c r="S23" s="25" t="s">
        <v>517</v>
      </c>
      <c r="T23" s="25">
        <v>20</v>
      </c>
      <c r="U23" s="26" t="s">
        <v>824</v>
      </c>
      <c r="V23" s="26">
        <f t="shared" si="8"/>
        <v>84</v>
      </c>
      <c r="W23" s="26"/>
      <c r="Y23" s="25" t="s">
        <v>517</v>
      </c>
      <c r="Z23" s="25">
        <v>20</v>
      </c>
      <c r="AA23" s="26" t="s">
        <v>44</v>
      </c>
      <c r="AB23" s="26">
        <f t="shared" si="9"/>
        <v>19</v>
      </c>
      <c r="AE23" s="25" t="s">
        <v>517</v>
      </c>
      <c r="AF23" s="25">
        <v>20</v>
      </c>
      <c r="AG23" s="26" t="s">
        <v>881</v>
      </c>
      <c r="AH23" s="26">
        <f t="shared" si="10"/>
        <v>69</v>
      </c>
      <c r="AK23" s="25" t="s">
        <v>517</v>
      </c>
      <c r="AL23" s="25">
        <v>20</v>
      </c>
      <c r="AM23" s="26" t="s">
        <v>872</v>
      </c>
      <c r="AN23" s="26">
        <f t="shared" si="11"/>
        <v>81</v>
      </c>
      <c r="AQ23" s="25" t="s">
        <v>517</v>
      </c>
      <c r="AR23" s="25">
        <v>20</v>
      </c>
      <c r="AS23" s="26" t="s">
        <v>317</v>
      </c>
      <c r="AT23" s="26">
        <f t="shared" si="12"/>
        <v>151</v>
      </c>
      <c r="AX23" s="15"/>
      <c r="AY23" s="35">
        <f t="shared" si="13"/>
        <v>20</v>
      </c>
      <c r="AZ23" s="35" t="str">
        <f t="shared" si="14"/>
        <v>671+231</v>
      </c>
      <c r="BA23" s="35">
        <f t="shared" si="15"/>
        <v>19</v>
      </c>
      <c r="BB23" s="38">
        <f>COUNTIF($BA$4:$BA23,$BA23)</f>
        <v>1</v>
      </c>
      <c r="BC23" s="36" t="str">
        <f t="shared" si="16"/>
        <v>村</v>
      </c>
      <c r="BD23" s="36" t="str">
        <f t="shared" si="17"/>
        <v/>
      </c>
      <c r="BE23" s="36" t="str">
        <f t="shared" si="18"/>
        <v/>
      </c>
      <c r="BF23" s="36" t="str">
        <f t="shared" si="19"/>
        <v>村</v>
      </c>
      <c r="BG23" s="36" t="str">
        <f t="shared" si="20"/>
        <v/>
      </c>
      <c r="BH23" s="36" t="str">
        <f t="shared" si="21"/>
        <v/>
      </c>
      <c r="BI23" s="36" t="str">
        <f t="shared" si="22"/>
        <v/>
      </c>
      <c r="BJ23" s="29" t="str">
        <f t="shared" si="23"/>
        <v>村</v>
      </c>
      <c r="BL23" s="15">
        <v>20</v>
      </c>
      <c r="BM23" s="39" t="str">
        <f t="shared" si="24"/>
        <v/>
      </c>
      <c r="BN23" s="39" t="str">
        <f t="shared" si="24"/>
        <v/>
      </c>
      <c r="BO23" s="39" t="str">
        <f t="shared" si="24"/>
        <v/>
      </c>
      <c r="BP23" s="39" t="str">
        <f t="shared" si="24"/>
        <v/>
      </c>
      <c r="BQ23" s="39" t="str">
        <f t="shared" si="24"/>
        <v/>
      </c>
      <c r="BR23" s="39" t="str">
        <f t="shared" si="24"/>
        <v/>
      </c>
      <c r="BS23" s="39" t="str">
        <f t="shared" si="24"/>
        <v/>
      </c>
      <c r="BT23" s="39" t="str">
        <f t="shared" si="24"/>
        <v/>
      </c>
      <c r="BU23" s="39" t="str">
        <f t="shared" si="24"/>
        <v/>
      </c>
      <c r="BV23" s="39" t="str">
        <f t="shared" si="24"/>
        <v/>
      </c>
      <c r="BW23" s="39" t="str">
        <f t="shared" si="24"/>
        <v/>
      </c>
      <c r="BX23" s="39" t="str">
        <f t="shared" si="24"/>
        <v/>
      </c>
      <c r="BY23" s="39" t="str">
        <f t="shared" si="24"/>
        <v/>
      </c>
      <c r="BZ23" s="39" t="str">
        <f t="shared" si="24"/>
        <v/>
      </c>
      <c r="CA23" s="39" t="str">
        <f t="shared" si="24"/>
        <v/>
      </c>
      <c r="CB23" s="39" t="str">
        <f t="shared" si="25"/>
        <v/>
      </c>
      <c r="CC23" s="39" t="str">
        <f t="shared" si="25"/>
        <v/>
      </c>
      <c r="CD23" s="39" t="str">
        <f t="shared" si="25"/>
        <v/>
      </c>
      <c r="CE23" s="39" t="str">
        <f t="shared" si="25"/>
        <v/>
      </c>
      <c r="CF23" s="39" t="str">
        <f t="shared" si="25"/>
        <v/>
      </c>
      <c r="CG23" s="39" t="str">
        <f t="shared" si="25"/>
        <v/>
      </c>
      <c r="CH23" s="39" t="str">
        <f t="shared" si="25"/>
        <v/>
      </c>
      <c r="CI23" s="39" t="str">
        <f t="shared" si="25"/>
        <v/>
      </c>
      <c r="CJ23" s="39" t="str">
        <f t="shared" si="25"/>
        <v/>
      </c>
      <c r="CK23" s="39" t="str">
        <f t="shared" si="25"/>
        <v/>
      </c>
      <c r="CL23" s="39" t="str">
        <f t="shared" si="25"/>
        <v/>
      </c>
      <c r="CM23" s="39" t="str">
        <f t="shared" si="25"/>
        <v/>
      </c>
      <c r="CN23" s="39" t="str">
        <f t="shared" si="25"/>
        <v/>
      </c>
      <c r="CO23" s="39" t="str">
        <f t="shared" si="25"/>
        <v/>
      </c>
      <c r="CP23" s="39" t="str">
        <f t="shared" si="25"/>
        <v/>
      </c>
      <c r="CQ23" s="39" t="str">
        <f t="shared" si="26"/>
        <v>616+150</v>
      </c>
      <c r="CR23" s="39" t="str">
        <f t="shared" si="26"/>
        <v>631+198</v>
      </c>
      <c r="CS23" s="39" t="str">
        <f t="shared" si="26"/>
        <v/>
      </c>
      <c r="CT23" s="39" t="str">
        <f t="shared" si="26"/>
        <v/>
      </c>
      <c r="CU23" s="39" t="str">
        <f t="shared" si="26"/>
        <v/>
      </c>
      <c r="CV23" s="39" t="str">
        <f t="shared" si="26"/>
        <v/>
      </c>
      <c r="CW23" s="39" t="str">
        <f t="shared" si="26"/>
        <v/>
      </c>
      <c r="CX23" s="39" t="str">
        <f t="shared" si="26"/>
        <v/>
      </c>
      <c r="CY23" s="39" t="str">
        <f t="shared" si="26"/>
        <v/>
      </c>
      <c r="CZ23" s="39" t="str">
        <f t="shared" si="26"/>
        <v/>
      </c>
      <c r="DA23" s="39" t="str">
        <f t="shared" si="26"/>
        <v/>
      </c>
      <c r="DB23" s="39" t="str">
        <f t="shared" si="26"/>
        <v/>
      </c>
      <c r="DC23" s="39" t="str">
        <f t="shared" si="26"/>
        <v/>
      </c>
      <c r="DD23" s="39" t="str">
        <f t="shared" si="26"/>
        <v/>
      </c>
      <c r="DE23" s="39" t="str">
        <f t="shared" si="26"/>
        <v/>
      </c>
      <c r="DF23" s="37" t="str">
        <f t="shared" si="27"/>
        <v>0+0+2</v>
      </c>
      <c r="DG23" s="37" t="str">
        <f t="shared" si="28"/>
        <v>0+0</v>
      </c>
      <c r="DH23" s="37" t="str">
        <f t="shared" si="29"/>
        <v>0+0</v>
      </c>
      <c r="DI23" s="37" t="str">
        <f t="shared" si="30"/>
        <v>616+150|631+198</v>
      </c>
      <c r="DJ23" s="37" t="str">
        <f t="shared" si="31"/>
        <v>0+0+2|0+0|0+0|616+150|631+198</v>
      </c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</row>
    <row r="24" spans="2:131" x14ac:dyDescent="0.15">
      <c r="B24" s="15">
        <v>21</v>
      </c>
      <c r="C24" s="15" t="s">
        <v>45</v>
      </c>
      <c r="D24" s="15">
        <v>19</v>
      </c>
      <c r="G24" s="25" t="s">
        <v>517</v>
      </c>
      <c r="H24" s="25">
        <v>21</v>
      </c>
      <c r="I24" s="26" t="s">
        <v>303</v>
      </c>
      <c r="J24" s="26">
        <f t="shared" si="6"/>
        <v>144</v>
      </c>
      <c r="M24" s="25" t="s">
        <v>517</v>
      </c>
      <c r="N24" s="25">
        <v>21</v>
      </c>
      <c r="O24" s="26" t="s">
        <v>79</v>
      </c>
      <c r="P24" s="26">
        <f t="shared" si="7"/>
        <v>35</v>
      </c>
      <c r="Q24" s="26"/>
      <c r="R24" s="26"/>
      <c r="S24" s="25" t="s">
        <v>517</v>
      </c>
      <c r="T24" s="25">
        <v>21</v>
      </c>
      <c r="U24" s="26" t="s">
        <v>175</v>
      </c>
      <c r="V24" s="26">
        <f t="shared" si="8"/>
        <v>83</v>
      </c>
      <c r="W24" s="26"/>
      <c r="Y24" s="25" t="s">
        <v>517</v>
      </c>
      <c r="Z24" s="25">
        <v>21</v>
      </c>
      <c r="AA24" s="26" t="s">
        <v>68</v>
      </c>
      <c r="AB24" s="26">
        <f t="shared" si="9"/>
        <v>30</v>
      </c>
      <c r="AE24" s="25" t="s">
        <v>517</v>
      </c>
      <c r="AF24" s="25">
        <v>21</v>
      </c>
      <c r="AG24" s="26" t="s">
        <v>883</v>
      </c>
      <c r="AH24" s="26">
        <f t="shared" si="10"/>
        <v>69</v>
      </c>
      <c r="AK24" s="25" t="s">
        <v>517</v>
      </c>
      <c r="AL24" s="25">
        <v>21</v>
      </c>
      <c r="AM24" s="26" t="s">
        <v>871</v>
      </c>
      <c r="AN24" s="26">
        <f t="shared" si="11"/>
        <v>123</v>
      </c>
      <c r="AQ24" s="25" t="s">
        <v>517</v>
      </c>
      <c r="AR24" s="25">
        <v>21</v>
      </c>
      <c r="AS24" s="26" t="s">
        <v>315</v>
      </c>
      <c r="AT24" s="26">
        <f t="shared" si="12"/>
        <v>150</v>
      </c>
      <c r="AX24" s="15"/>
      <c r="AY24" s="35">
        <f t="shared" si="13"/>
        <v>21</v>
      </c>
      <c r="AZ24" s="35" t="str">
        <f t="shared" si="14"/>
        <v>698+189</v>
      </c>
      <c r="BA24" s="35">
        <f t="shared" si="15"/>
        <v>19</v>
      </c>
      <c r="BB24" s="38">
        <f>COUNTIF($BA$4:$BA24,$BA24)</f>
        <v>2</v>
      </c>
      <c r="BC24" s="36" t="str">
        <f t="shared" si="16"/>
        <v/>
      </c>
      <c r="BD24" s="36" t="str">
        <f t="shared" si="17"/>
        <v/>
      </c>
      <c r="BE24" s="36" t="str">
        <f t="shared" si="18"/>
        <v/>
      </c>
      <c r="BF24" s="36" t="str">
        <f t="shared" si="19"/>
        <v>村</v>
      </c>
      <c r="BG24" s="36" t="str">
        <f t="shared" si="20"/>
        <v/>
      </c>
      <c r="BH24" s="36" t="str">
        <f t="shared" si="21"/>
        <v/>
      </c>
      <c r="BI24" s="36" t="str">
        <f t="shared" si="22"/>
        <v/>
      </c>
      <c r="BJ24" s="29" t="str">
        <f t="shared" si="23"/>
        <v>村</v>
      </c>
      <c r="BL24" s="15">
        <v>21</v>
      </c>
      <c r="BM24" s="39" t="str">
        <f t="shared" si="24"/>
        <v/>
      </c>
      <c r="BN24" s="39" t="str">
        <f t="shared" si="24"/>
        <v/>
      </c>
      <c r="BO24" s="39" t="str">
        <f t="shared" si="24"/>
        <v/>
      </c>
      <c r="BP24" s="39" t="str">
        <f t="shared" si="24"/>
        <v/>
      </c>
      <c r="BQ24" s="39" t="str">
        <f t="shared" si="24"/>
        <v/>
      </c>
      <c r="BR24" s="39" t="str">
        <f t="shared" si="24"/>
        <v/>
      </c>
      <c r="BS24" s="39" t="str">
        <f t="shared" si="24"/>
        <v/>
      </c>
      <c r="BT24" s="39" t="str">
        <f t="shared" si="24"/>
        <v/>
      </c>
      <c r="BU24" s="39" t="str">
        <f t="shared" si="24"/>
        <v/>
      </c>
      <c r="BV24" s="39" t="str">
        <f t="shared" si="24"/>
        <v/>
      </c>
      <c r="BW24" s="39" t="str">
        <f t="shared" si="24"/>
        <v/>
      </c>
      <c r="BX24" s="39" t="str">
        <f t="shared" si="24"/>
        <v/>
      </c>
      <c r="BY24" s="39" t="str">
        <f t="shared" si="24"/>
        <v/>
      </c>
      <c r="BZ24" s="39" t="str">
        <f t="shared" si="24"/>
        <v/>
      </c>
      <c r="CA24" s="39" t="str">
        <f t="shared" si="24"/>
        <v/>
      </c>
      <c r="CB24" s="39" t="str">
        <f t="shared" si="25"/>
        <v/>
      </c>
      <c r="CC24" s="39" t="str">
        <f t="shared" si="25"/>
        <v/>
      </c>
      <c r="CD24" s="39" t="str">
        <f t="shared" si="25"/>
        <v/>
      </c>
      <c r="CE24" s="39" t="str">
        <f t="shared" si="25"/>
        <v/>
      </c>
      <c r="CF24" s="39" t="str">
        <f t="shared" si="25"/>
        <v/>
      </c>
      <c r="CG24" s="39" t="str">
        <f t="shared" si="25"/>
        <v/>
      </c>
      <c r="CH24" s="39" t="str">
        <f t="shared" si="25"/>
        <v/>
      </c>
      <c r="CI24" s="39" t="str">
        <f t="shared" si="25"/>
        <v/>
      </c>
      <c r="CJ24" s="39" t="str">
        <f t="shared" si="25"/>
        <v/>
      </c>
      <c r="CK24" s="39" t="str">
        <f t="shared" si="25"/>
        <v/>
      </c>
      <c r="CL24" s="39" t="str">
        <f t="shared" si="25"/>
        <v/>
      </c>
      <c r="CM24" s="39" t="str">
        <f t="shared" si="25"/>
        <v/>
      </c>
      <c r="CN24" s="39" t="str">
        <f t="shared" si="25"/>
        <v/>
      </c>
      <c r="CO24" s="39" t="str">
        <f t="shared" si="25"/>
        <v/>
      </c>
      <c r="CP24" s="39" t="str">
        <f t="shared" si="25"/>
        <v/>
      </c>
      <c r="CQ24" s="39" t="str">
        <f t="shared" si="26"/>
        <v/>
      </c>
      <c r="CR24" s="39" t="str">
        <f t="shared" si="26"/>
        <v/>
      </c>
      <c r="CS24" s="39" t="str">
        <f t="shared" si="26"/>
        <v/>
      </c>
      <c r="CT24" s="39" t="str">
        <f t="shared" si="26"/>
        <v/>
      </c>
      <c r="CU24" s="39" t="str">
        <f t="shared" si="26"/>
        <v/>
      </c>
      <c r="CV24" s="39" t="str">
        <f t="shared" si="26"/>
        <v/>
      </c>
      <c r="CW24" s="39" t="str">
        <f t="shared" si="26"/>
        <v/>
      </c>
      <c r="CX24" s="39" t="str">
        <f t="shared" si="26"/>
        <v/>
      </c>
      <c r="CY24" s="39" t="str">
        <f t="shared" si="26"/>
        <v/>
      </c>
      <c r="CZ24" s="39" t="str">
        <f t="shared" si="26"/>
        <v/>
      </c>
      <c r="DA24" s="39" t="str">
        <f t="shared" si="26"/>
        <v/>
      </c>
      <c r="DB24" s="39" t="str">
        <f t="shared" si="26"/>
        <v/>
      </c>
      <c r="DC24" s="39" t="str">
        <f t="shared" si="26"/>
        <v/>
      </c>
      <c r="DD24" s="39" t="str">
        <f t="shared" si="26"/>
        <v/>
      </c>
      <c r="DE24" s="39" t="str">
        <f t="shared" si="26"/>
        <v/>
      </c>
      <c r="DF24" s="37" t="str">
        <f t="shared" si="27"/>
        <v>0+0+0</v>
      </c>
      <c r="DG24" s="37" t="str">
        <f t="shared" si="28"/>
        <v>0+0</v>
      </c>
      <c r="DH24" s="37" t="str">
        <f t="shared" si="29"/>
        <v>0+0</v>
      </c>
      <c r="DI24" s="37" t="str">
        <f t="shared" si="30"/>
        <v>0+0</v>
      </c>
      <c r="DJ24" s="37" t="str">
        <f t="shared" si="31"/>
        <v>0+0+0|0+0|0+0|0+0</v>
      </c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</row>
    <row r="25" spans="2:131" x14ac:dyDescent="0.15">
      <c r="B25" s="15">
        <v>22</v>
      </c>
      <c r="C25" s="15" t="s">
        <v>411</v>
      </c>
      <c r="D25" s="15">
        <v>19</v>
      </c>
      <c r="G25" s="25" t="s">
        <v>517</v>
      </c>
      <c r="H25" s="25">
        <v>22</v>
      </c>
      <c r="I25" s="26" t="s">
        <v>302</v>
      </c>
      <c r="J25" s="26">
        <f t="shared" si="6"/>
        <v>144</v>
      </c>
      <c r="M25" s="25" t="s">
        <v>517</v>
      </c>
      <c r="N25" s="25">
        <v>22</v>
      </c>
      <c r="O25" s="26" t="s">
        <v>80</v>
      </c>
      <c r="P25" s="26">
        <f t="shared" si="7"/>
        <v>36</v>
      </c>
      <c r="Q25" s="26"/>
      <c r="R25" s="26"/>
      <c r="S25" s="25" t="s">
        <v>517</v>
      </c>
      <c r="T25" s="25">
        <v>22</v>
      </c>
      <c r="U25" s="26" t="s">
        <v>845</v>
      </c>
      <c r="V25" s="26">
        <f t="shared" si="8"/>
        <v>79</v>
      </c>
      <c r="W25" s="26"/>
      <c r="Y25" s="25" t="s">
        <v>517</v>
      </c>
      <c r="Z25" s="25">
        <v>22</v>
      </c>
      <c r="AA25" s="26" t="s">
        <v>45</v>
      </c>
      <c r="AB25" s="26">
        <f t="shared" si="9"/>
        <v>19</v>
      </c>
      <c r="AE25" s="25" t="s">
        <v>517</v>
      </c>
      <c r="AF25" s="25">
        <v>22</v>
      </c>
      <c r="AG25" s="26" t="s">
        <v>921</v>
      </c>
      <c r="AH25" s="26">
        <f t="shared" si="10"/>
        <v>112</v>
      </c>
      <c r="AK25" s="25" t="s">
        <v>517</v>
      </c>
      <c r="AL25" s="25">
        <v>22</v>
      </c>
      <c r="AM25" s="26" t="s">
        <v>864</v>
      </c>
      <c r="AN25" s="26">
        <f t="shared" si="11"/>
        <v>74</v>
      </c>
      <c r="AQ25" s="25" t="s">
        <v>517</v>
      </c>
      <c r="AR25" s="25">
        <v>22</v>
      </c>
      <c r="AS25" s="26" t="s">
        <v>324</v>
      </c>
      <c r="AT25" s="26">
        <f t="shared" si="12"/>
        <v>155</v>
      </c>
      <c r="AX25" s="15"/>
      <c r="AY25" s="35">
        <f t="shared" si="13"/>
        <v>22</v>
      </c>
      <c r="AZ25" s="35" t="str">
        <f t="shared" si="14"/>
        <v>624+275</v>
      </c>
      <c r="BA25" s="35">
        <f t="shared" si="15"/>
        <v>19</v>
      </c>
      <c r="BB25" s="38">
        <f>COUNTIF($BA$4:$BA25,$BA25)</f>
        <v>3</v>
      </c>
      <c r="BC25" s="36" t="str">
        <f t="shared" si="16"/>
        <v>县</v>
      </c>
      <c r="BD25" s="36" t="str">
        <f t="shared" si="17"/>
        <v/>
      </c>
      <c r="BE25" s="36" t="str">
        <f t="shared" si="18"/>
        <v/>
      </c>
      <c r="BF25" s="36" t="str">
        <f t="shared" si="19"/>
        <v>县</v>
      </c>
      <c r="BG25" s="36" t="str">
        <f t="shared" si="20"/>
        <v/>
      </c>
      <c r="BH25" s="36" t="str">
        <f t="shared" si="21"/>
        <v/>
      </c>
      <c r="BI25" s="36" t="str">
        <f t="shared" si="22"/>
        <v/>
      </c>
      <c r="BJ25" s="29" t="str">
        <f t="shared" si="23"/>
        <v>县</v>
      </c>
      <c r="BL25" s="15">
        <v>22</v>
      </c>
      <c r="BM25" s="39" t="str">
        <f t="shared" si="24"/>
        <v>559+191</v>
      </c>
      <c r="BN25" s="39" t="str">
        <f t="shared" si="24"/>
        <v>584+181</v>
      </c>
      <c r="BO25" s="39" t="str">
        <f t="shared" si="24"/>
        <v/>
      </c>
      <c r="BP25" s="39" t="str">
        <f t="shared" si="24"/>
        <v/>
      </c>
      <c r="BQ25" s="39" t="str">
        <f t="shared" si="24"/>
        <v/>
      </c>
      <c r="BR25" s="39" t="str">
        <f t="shared" si="24"/>
        <v/>
      </c>
      <c r="BS25" s="39" t="str">
        <f t="shared" si="24"/>
        <v/>
      </c>
      <c r="BT25" s="39" t="str">
        <f t="shared" si="24"/>
        <v/>
      </c>
      <c r="BU25" s="39" t="str">
        <f t="shared" si="24"/>
        <v/>
      </c>
      <c r="BV25" s="39" t="str">
        <f t="shared" si="24"/>
        <v/>
      </c>
      <c r="BW25" s="39" t="str">
        <f t="shared" ref="BW25:CA25" si="32">IFERROR(INDEX($AZ$4:$AZ$1000,MATCH(SUMIFS($AY$4:$AY$1000,$BA$4:$BA$1000,$BL25,$BB$4:$BB$1000,BW$3,$BJ$4:$BJ$1000,"村"),$AY$4:$AY$1000,0)),"")</f>
        <v/>
      </c>
      <c r="BX25" s="39" t="str">
        <f t="shared" si="32"/>
        <v/>
      </c>
      <c r="BY25" s="39" t="str">
        <f t="shared" si="32"/>
        <v/>
      </c>
      <c r="BZ25" s="39" t="str">
        <f t="shared" si="32"/>
        <v/>
      </c>
      <c r="CA25" s="39" t="str">
        <f t="shared" si="32"/>
        <v/>
      </c>
      <c r="CB25" s="39" t="str">
        <f t="shared" si="25"/>
        <v/>
      </c>
      <c r="CC25" s="39" t="str">
        <f t="shared" si="25"/>
        <v/>
      </c>
      <c r="CD25" s="39" t="str">
        <f t="shared" si="25"/>
        <v/>
      </c>
      <c r="CE25" s="39" t="str">
        <f t="shared" si="25"/>
        <v/>
      </c>
      <c r="CF25" s="39" t="str">
        <f t="shared" si="25"/>
        <v/>
      </c>
      <c r="CG25" s="39" t="str">
        <f t="shared" si="25"/>
        <v/>
      </c>
      <c r="CH25" s="39" t="str">
        <f t="shared" si="25"/>
        <v/>
      </c>
      <c r="CI25" s="39" t="str">
        <f t="shared" si="25"/>
        <v/>
      </c>
      <c r="CJ25" s="39" t="str">
        <f t="shared" si="25"/>
        <v/>
      </c>
      <c r="CK25" s="39" t="str">
        <f t="shared" si="25"/>
        <v/>
      </c>
      <c r="CL25" s="39" t="str">
        <f t="shared" si="25"/>
        <v/>
      </c>
      <c r="CM25" s="39" t="str">
        <f t="shared" si="25"/>
        <v/>
      </c>
      <c r="CN25" s="39" t="str">
        <f t="shared" si="25"/>
        <v/>
      </c>
      <c r="CO25" s="39" t="str">
        <f t="shared" si="25"/>
        <v/>
      </c>
      <c r="CP25" s="39" t="str">
        <f t="shared" si="25"/>
        <v/>
      </c>
      <c r="CQ25" s="39" t="str">
        <f t="shared" si="26"/>
        <v/>
      </c>
      <c r="CR25" s="39" t="str">
        <f t="shared" si="26"/>
        <v/>
      </c>
      <c r="CS25" s="39" t="str">
        <f t="shared" si="26"/>
        <v/>
      </c>
      <c r="CT25" s="39" t="str">
        <f t="shared" si="26"/>
        <v/>
      </c>
      <c r="CU25" s="39" t="str">
        <f t="shared" si="26"/>
        <v/>
      </c>
      <c r="CV25" s="39" t="str">
        <f t="shared" si="26"/>
        <v/>
      </c>
      <c r="CW25" s="39" t="str">
        <f t="shared" si="26"/>
        <v/>
      </c>
      <c r="CX25" s="39" t="str">
        <f t="shared" si="26"/>
        <v/>
      </c>
      <c r="CY25" s="39" t="str">
        <f t="shared" si="26"/>
        <v/>
      </c>
      <c r="CZ25" s="39" t="str">
        <f t="shared" si="26"/>
        <v/>
      </c>
      <c r="DA25" s="39" t="str">
        <f t="shared" si="26"/>
        <v/>
      </c>
      <c r="DB25" s="39" t="str">
        <f t="shared" si="26"/>
        <v/>
      </c>
      <c r="DC25" s="39" t="str">
        <f t="shared" si="26"/>
        <v/>
      </c>
      <c r="DD25" s="39" t="str">
        <f t="shared" si="26"/>
        <v/>
      </c>
      <c r="DE25" s="39" t="str">
        <f t="shared" si="26"/>
        <v/>
      </c>
      <c r="DF25" s="37" t="str">
        <f t="shared" si="27"/>
        <v>2+0+0</v>
      </c>
      <c r="DG25" s="37" t="str">
        <f t="shared" si="28"/>
        <v>559+191|584+181</v>
      </c>
      <c r="DH25" s="37" t="str">
        <f t="shared" si="29"/>
        <v>0+0</v>
      </c>
      <c r="DI25" s="37" t="str">
        <f t="shared" si="30"/>
        <v>0+0</v>
      </c>
      <c r="DJ25" s="37" t="str">
        <f t="shared" si="31"/>
        <v>2+0+0|559+191|584+181|0+0|0+0</v>
      </c>
      <c r="DM25" s="38"/>
      <c r="DN25" s="38"/>
      <c r="DO25" s="38"/>
      <c r="DP25" s="38"/>
      <c r="DQ25" s="38"/>
      <c r="DR25" s="38"/>
      <c r="DS25" s="38"/>
      <c r="DT25" s="38"/>
      <c r="DU25" s="38"/>
      <c r="DV25" s="38"/>
      <c r="DW25" s="38"/>
      <c r="DX25" s="38"/>
      <c r="DY25" s="38"/>
      <c r="DZ25" s="38"/>
      <c r="EA25" s="38"/>
    </row>
    <row r="26" spans="2:131" x14ac:dyDescent="0.15">
      <c r="B26" s="15">
        <v>23</v>
      </c>
      <c r="C26" s="15" t="s">
        <v>46</v>
      </c>
      <c r="D26" s="15">
        <v>20</v>
      </c>
      <c r="G26" s="25" t="s">
        <v>517</v>
      </c>
      <c r="H26" s="25">
        <v>23</v>
      </c>
      <c r="I26" s="26" t="s">
        <v>322</v>
      </c>
      <c r="J26" s="26">
        <f t="shared" si="6"/>
        <v>154</v>
      </c>
      <c r="M26" s="25" t="s">
        <v>517</v>
      </c>
      <c r="N26" s="25">
        <v>23</v>
      </c>
      <c r="O26" s="26" t="s">
        <v>34</v>
      </c>
      <c r="P26" s="26">
        <f t="shared" si="7"/>
        <v>14</v>
      </c>
      <c r="Q26" s="26"/>
      <c r="R26" s="26"/>
      <c r="S26" s="25" t="s">
        <v>517</v>
      </c>
      <c r="T26" s="25">
        <v>23</v>
      </c>
      <c r="U26" s="26" t="s">
        <v>232</v>
      </c>
      <c r="V26" s="26">
        <f t="shared" si="8"/>
        <v>111</v>
      </c>
      <c r="W26" s="26"/>
      <c r="Y26" s="25" t="s">
        <v>517</v>
      </c>
      <c r="Z26" s="25">
        <v>23</v>
      </c>
      <c r="AA26" s="26" t="s">
        <v>42</v>
      </c>
      <c r="AB26" s="26">
        <f t="shared" si="9"/>
        <v>18</v>
      </c>
      <c r="AE26" s="25" t="s">
        <v>517</v>
      </c>
      <c r="AF26" s="25">
        <v>23</v>
      </c>
      <c r="AG26" s="26" t="s">
        <v>923</v>
      </c>
      <c r="AH26" s="26">
        <f t="shared" si="10"/>
        <v>111</v>
      </c>
      <c r="AK26" s="25" t="s">
        <v>517</v>
      </c>
      <c r="AL26" s="25">
        <v>23</v>
      </c>
      <c r="AM26" s="26" t="s">
        <v>862</v>
      </c>
      <c r="AN26" s="26">
        <f t="shared" si="11"/>
        <v>76</v>
      </c>
      <c r="AQ26" s="25" t="s">
        <v>517</v>
      </c>
      <c r="AR26" s="25">
        <v>23</v>
      </c>
      <c r="AS26" s="26" t="s">
        <v>325</v>
      </c>
      <c r="AT26" s="26">
        <f t="shared" si="12"/>
        <v>156</v>
      </c>
      <c r="AX26" s="15"/>
      <c r="AY26" s="35">
        <f t="shared" si="13"/>
        <v>23</v>
      </c>
      <c r="AZ26" s="35" t="str">
        <f t="shared" si="14"/>
        <v>616+150</v>
      </c>
      <c r="BA26" s="35">
        <f t="shared" si="15"/>
        <v>20</v>
      </c>
      <c r="BB26" s="38">
        <f>COUNTIF($BA$4:$BA26,$BA26)</f>
        <v>1</v>
      </c>
      <c r="BC26" s="36" t="str">
        <f t="shared" si="16"/>
        <v>营</v>
      </c>
      <c r="BD26" s="36" t="str">
        <f t="shared" si="17"/>
        <v/>
      </c>
      <c r="BE26" s="36" t="str">
        <f t="shared" si="18"/>
        <v/>
      </c>
      <c r="BF26" s="36" t="str">
        <f t="shared" si="19"/>
        <v>营</v>
      </c>
      <c r="BG26" s="36" t="str">
        <f t="shared" si="20"/>
        <v/>
      </c>
      <c r="BH26" s="36" t="str">
        <f t="shared" si="21"/>
        <v/>
      </c>
      <c r="BI26" s="36" t="str">
        <f t="shared" si="22"/>
        <v/>
      </c>
      <c r="BJ26" s="29" t="str">
        <f t="shared" si="23"/>
        <v>营</v>
      </c>
      <c r="BL26" s="15">
        <v>23</v>
      </c>
      <c r="BM26" s="39" t="str">
        <f t="shared" ref="BM26:CA41" si="33">IFERROR(INDEX($AZ$4:$AZ$1000,MATCH(SUMIFS($AY$4:$AY$1000,$BA$4:$BA$1000,$BL26,$BB$4:$BB$1000,BM$3,$BJ$4:$BJ$1000,"村"),$AY$4:$AY$1000,0)),"")</f>
        <v>537+297</v>
      </c>
      <c r="BN26" s="39" t="str">
        <f t="shared" si="33"/>
        <v>572+248</v>
      </c>
      <c r="BO26" s="39" t="str">
        <f t="shared" si="33"/>
        <v/>
      </c>
      <c r="BP26" s="39" t="str">
        <f t="shared" si="33"/>
        <v/>
      </c>
      <c r="BQ26" s="39" t="str">
        <f t="shared" si="33"/>
        <v/>
      </c>
      <c r="BR26" s="39" t="str">
        <f t="shared" si="33"/>
        <v/>
      </c>
      <c r="BS26" s="39" t="str">
        <f t="shared" si="33"/>
        <v/>
      </c>
      <c r="BT26" s="39" t="str">
        <f t="shared" si="33"/>
        <v/>
      </c>
      <c r="BU26" s="39" t="str">
        <f t="shared" si="33"/>
        <v/>
      </c>
      <c r="BV26" s="39" t="str">
        <f t="shared" si="33"/>
        <v/>
      </c>
      <c r="BW26" s="39" t="str">
        <f t="shared" si="33"/>
        <v/>
      </c>
      <c r="BX26" s="39" t="str">
        <f t="shared" si="33"/>
        <v/>
      </c>
      <c r="BY26" s="39" t="str">
        <f t="shared" si="33"/>
        <v/>
      </c>
      <c r="BZ26" s="39" t="str">
        <f t="shared" si="33"/>
        <v/>
      </c>
      <c r="CA26" s="39" t="str">
        <f t="shared" si="33"/>
        <v/>
      </c>
      <c r="CB26" s="39" t="str">
        <f t="shared" si="25"/>
        <v/>
      </c>
      <c r="CC26" s="39" t="str">
        <f t="shared" si="25"/>
        <v/>
      </c>
      <c r="CD26" s="39" t="str">
        <f t="shared" si="25"/>
        <v/>
      </c>
      <c r="CE26" s="39" t="str">
        <f t="shared" si="25"/>
        <v/>
      </c>
      <c r="CF26" s="39" t="str">
        <f t="shared" si="25"/>
        <v/>
      </c>
      <c r="CG26" s="39" t="str">
        <f t="shared" si="25"/>
        <v/>
      </c>
      <c r="CH26" s="39" t="str">
        <f t="shared" si="25"/>
        <v/>
      </c>
      <c r="CI26" s="39" t="str">
        <f t="shared" si="25"/>
        <v/>
      </c>
      <c r="CJ26" s="39" t="str">
        <f t="shared" si="25"/>
        <v/>
      </c>
      <c r="CK26" s="39" t="str">
        <f t="shared" si="25"/>
        <v/>
      </c>
      <c r="CL26" s="39" t="str">
        <f t="shared" si="25"/>
        <v/>
      </c>
      <c r="CM26" s="39" t="str">
        <f t="shared" si="25"/>
        <v/>
      </c>
      <c r="CN26" s="39" t="str">
        <f t="shared" si="25"/>
        <v/>
      </c>
      <c r="CO26" s="39" t="str">
        <f t="shared" si="25"/>
        <v/>
      </c>
      <c r="CP26" s="39" t="str">
        <f t="shared" si="25"/>
        <v/>
      </c>
      <c r="CQ26" s="39" t="str">
        <f t="shared" si="26"/>
        <v/>
      </c>
      <c r="CR26" s="39" t="str">
        <f t="shared" si="26"/>
        <v/>
      </c>
      <c r="CS26" s="39" t="str">
        <f t="shared" si="26"/>
        <v>562+289</v>
      </c>
      <c r="CT26" s="39" t="str">
        <f t="shared" si="26"/>
        <v/>
      </c>
      <c r="CU26" s="39" t="str">
        <f t="shared" si="26"/>
        <v/>
      </c>
      <c r="CV26" s="39" t="str">
        <f t="shared" si="26"/>
        <v/>
      </c>
      <c r="CW26" s="39" t="str">
        <f t="shared" si="26"/>
        <v/>
      </c>
      <c r="CX26" s="39" t="str">
        <f t="shared" si="26"/>
        <v/>
      </c>
      <c r="CY26" s="39" t="str">
        <f t="shared" si="26"/>
        <v/>
      </c>
      <c r="CZ26" s="39" t="str">
        <f t="shared" si="26"/>
        <v/>
      </c>
      <c r="DA26" s="39" t="str">
        <f t="shared" si="26"/>
        <v/>
      </c>
      <c r="DB26" s="39" t="str">
        <f t="shared" si="26"/>
        <v/>
      </c>
      <c r="DC26" s="39" t="str">
        <f t="shared" si="26"/>
        <v/>
      </c>
      <c r="DD26" s="39" t="str">
        <f t="shared" si="26"/>
        <v/>
      </c>
      <c r="DE26" s="39" t="str">
        <f t="shared" si="26"/>
        <v/>
      </c>
      <c r="DF26" s="37" t="str">
        <f t="shared" si="27"/>
        <v>2+0+1</v>
      </c>
      <c r="DG26" s="37" t="str">
        <f t="shared" si="28"/>
        <v>537+297|572+248</v>
      </c>
      <c r="DH26" s="37" t="str">
        <f t="shared" si="29"/>
        <v>0+0</v>
      </c>
      <c r="DI26" s="37" t="str">
        <f t="shared" si="30"/>
        <v>562+289</v>
      </c>
      <c r="DJ26" s="37" t="str">
        <f t="shared" si="31"/>
        <v>2+0+1|537+297|572+248|0+0|562+289</v>
      </c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</row>
    <row r="27" spans="2:131" x14ac:dyDescent="0.15">
      <c r="B27" s="15">
        <v>24</v>
      </c>
      <c r="C27" s="15" t="s">
        <v>47</v>
      </c>
      <c r="D27" s="15">
        <v>20</v>
      </c>
      <c r="G27" s="27" t="s">
        <v>519</v>
      </c>
      <c r="H27" s="27">
        <v>24</v>
      </c>
      <c r="I27" s="26" t="s">
        <v>319</v>
      </c>
      <c r="J27" s="26">
        <f t="shared" si="6"/>
        <v>153</v>
      </c>
      <c r="M27" s="27" t="s">
        <v>519</v>
      </c>
      <c r="N27" s="27">
        <v>24</v>
      </c>
      <c r="O27" s="26" t="s">
        <v>205</v>
      </c>
      <c r="P27" s="26">
        <f t="shared" si="7"/>
        <v>98</v>
      </c>
      <c r="Q27" s="26"/>
      <c r="R27" s="26"/>
      <c r="S27" s="27" t="s">
        <v>519</v>
      </c>
      <c r="T27" s="27">
        <v>24</v>
      </c>
      <c r="U27" s="26" t="s">
        <v>182</v>
      </c>
      <c r="V27" s="26">
        <f t="shared" si="8"/>
        <v>86</v>
      </c>
      <c r="W27" s="26"/>
      <c r="Y27" s="27" t="s">
        <v>519</v>
      </c>
      <c r="Z27" s="27">
        <v>24</v>
      </c>
      <c r="AA27" s="26" t="s">
        <v>70</v>
      </c>
      <c r="AB27" s="26">
        <f t="shared" si="9"/>
        <v>31</v>
      </c>
      <c r="AE27" s="27" t="s">
        <v>519</v>
      </c>
      <c r="AF27" s="27">
        <v>24</v>
      </c>
      <c r="AG27" s="26" t="s">
        <v>885</v>
      </c>
      <c r="AH27" s="26">
        <f t="shared" si="10"/>
        <v>68</v>
      </c>
      <c r="AK27" s="27" t="s">
        <v>519</v>
      </c>
      <c r="AL27" s="27">
        <v>24</v>
      </c>
      <c r="AM27" s="26" t="s">
        <v>932</v>
      </c>
      <c r="AN27" s="26">
        <f t="shared" si="11"/>
        <v>122</v>
      </c>
      <c r="AQ27" s="27" t="s">
        <v>519</v>
      </c>
      <c r="AR27" s="27">
        <v>24</v>
      </c>
      <c r="AS27" s="26" t="s">
        <v>196</v>
      </c>
      <c r="AT27" s="26">
        <f t="shared" si="12"/>
        <v>93</v>
      </c>
      <c r="AX27" s="15"/>
      <c r="AY27" s="35">
        <f t="shared" si="13"/>
        <v>24</v>
      </c>
      <c r="AZ27" s="35" t="str">
        <f t="shared" si="14"/>
        <v>631+198</v>
      </c>
      <c r="BA27" s="35">
        <f t="shared" si="15"/>
        <v>20</v>
      </c>
      <c r="BB27" s="38">
        <f>COUNTIF($BA$4:$BA27,$BA27)</f>
        <v>2</v>
      </c>
      <c r="BC27" s="36" t="str">
        <f t="shared" si="16"/>
        <v>营</v>
      </c>
      <c r="BD27" s="36" t="str">
        <f t="shared" si="17"/>
        <v/>
      </c>
      <c r="BE27" s="36" t="str">
        <f t="shared" si="18"/>
        <v/>
      </c>
      <c r="BF27" s="36" t="str">
        <f t="shared" si="19"/>
        <v>营</v>
      </c>
      <c r="BG27" s="36" t="str">
        <f t="shared" si="20"/>
        <v/>
      </c>
      <c r="BH27" s="36" t="str">
        <f t="shared" si="21"/>
        <v/>
      </c>
      <c r="BI27" s="36" t="str">
        <f t="shared" si="22"/>
        <v/>
      </c>
      <c r="BJ27" s="29" t="str">
        <f t="shared" si="23"/>
        <v>营</v>
      </c>
      <c r="BL27" s="15">
        <v>24</v>
      </c>
      <c r="BM27" s="39" t="str">
        <f t="shared" si="33"/>
        <v>604+318</v>
      </c>
      <c r="BN27" s="39" t="str">
        <f t="shared" si="33"/>
        <v>574+329</v>
      </c>
      <c r="BO27" s="39" t="str">
        <f t="shared" si="33"/>
        <v/>
      </c>
      <c r="BP27" s="39" t="str">
        <f t="shared" si="33"/>
        <v/>
      </c>
      <c r="BQ27" s="39" t="str">
        <f t="shared" si="33"/>
        <v/>
      </c>
      <c r="BR27" s="39" t="str">
        <f t="shared" si="33"/>
        <v/>
      </c>
      <c r="BS27" s="39" t="str">
        <f t="shared" si="33"/>
        <v/>
      </c>
      <c r="BT27" s="39" t="str">
        <f t="shared" si="33"/>
        <v/>
      </c>
      <c r="BU27" s="39" t="str">
        <f t="shared" si="33"/>
        <v/>
      </c>
      <c r="BV27" s="39" t="str">
        <f t="shared" si="33"/>
        <v/>
      </c>
      <c r="BW27" s="39" t="str">
        <f t="shared" si="33"/>
        <v/>
      </c>
      <c r="BX27" s="39" t="str">
        <f t="shared" si="33"/>
        <v/>
      </c>
      <c r="BY27" s="39" t="str">
        <f t="shared" si="33"/>
        <v/>
      </c>
      <c r="BZ27" s="39" t="str">
        <f t="shared" si="33"/>
        <v/>
      </c>
      <c r="CA27" s="39" t="str">
        <f t="shared" si="33"/>
        <v/>
      </c>
      <c r="CB27" s="39" t="str">
        <f t="shared" si="25"/>
        <v/>
      </c>
      <c r="CC27" s="39" t="str">
        <f t="shared" si="25"/>
        <v/>
      </c>
      <c r="CD27" s="39" t="str">
        <f t="shared" si="25"/>
        <v/>
      </c>
      <c r="CE27" s="39" t="str">
        <f t="shared" si="25"/>
        <v/>
      </c>
      <c r="CF27" s="39" t="str">
        <f t="shared" si="25"/>
        <v/>
      </c>
      <c r="CG27" s="39" t="str">
        <f t="shared" si="25"/>
        <v/>
      </c>
      <c r="CH27" s="39" t="str">
        <f t="shared" si="25"/>
        <v/>
      </c>
      <c r="CI27" s="39" t="str">
        <f t="shared" si="25"/>
        <v/>
      </c>
      <c r="CJ27" s="39" t="str">
        <f t="shared" si="25"/>
        <v/>
      </c>
      <c r="CK27" s="39" t="str">
        <f t="shared" si="25"/>
        <v/>
      </c>
      <c r="CL27" s="39" t="str">
        <f t="shared" si="25"/>
        <v/>
      </c>
      <c r="CM27" s="39" t="str">
        <f t="shared" si="25"/>
        <v/>
      </c>
      <c r="CN27" s="39" t="str">
        <f t="shared" si="25"/>
        <v/>
      </c>
      <c r="CO27" s="39" t="str">
        <f t="shared" si="25"/>
        <v/>
      </c>
      <c r="CP27" s="39" t="str">
        <f t="shared" si="25"/>
        <v/>
      </c>
      <c r="CQ27" s="39" t="str">
        <f t="shared" si="26"/>
        <v/>
      </c>
      <c r="CR27" s="39" t="str">
        <f t="shared" si="26"/>
        <v/>
      </c>
      <c r="CS27" s="39" t="str">
        <f t="shared" si="26"/>
        <v>591+295</v>
      </c>
      <c r="CT27" s="39" t="str">
        <f t="shared" si="26"/>
        <v/>
      </c>
      <c r="CU27" s="39" t="str">
        <f t="shared" si="26"/>
        <v/>
      </c>
      <c r="CV27" s="39" t="str">
        <f t="shared" si="26"/>
        <v/>
      </c>
      <c r="CW27" s="39" t="str">
        <f t="shared" si="26"/>
        <v/>
      </c>
      <c r="CX27" s="39" t="str">
        <f t="shared" si="26"/>
        <v/>
      </c>
      <c r="CY27" s="39" t="str">
        <f t="shared" si="26"/>
        <v/>
      </c>
      <c r="CZ27" s="39" t="str">
        <f t="shared" si="26"/>
        <v/>
      </c>
      <c r="DA27" s="39" t="str">
        <f t="shared" si="26"/>
        <v/>
      </c>
      <c r="DB27" s="39" t="str">
        <f t="shared" si="26"/>
        <v/>
      </c>
      <c r="DC27" s="39" t="str">
        <f t="shared" si="26"/>
        <v/>
      </c>
      <c r="DD27" s="39" t="str">
        <f t="shared" si="26"/>
        <v/>
      </c>
      <c r="DE27" s="39" t="str">
        <f t="shared" si="26"/>
        <v/>
      </c>
      <c r="DF27" s="37" t="str">
        <f t="shared" si="27"/>
        <v>2+0+1</v>
      </c>
      <c r="DG27" s="37" t="str">
        <f t="shared" si="28"/>
        <v>604+318|574+329</v>
      </c>
      <c r="DH27" s="37" t="str">
        <f t="shared" si="29"/>
        <v>0+0</v>
      </c>
      <c r="DI27" s="37" t="str">
        <f t="shared" si="30"/>
        <v>591+295</v>
      </c>
      <c r="DJ27" s="37" t="str">
        <f t="shared" si="31"/>
        <v>2+0+1|604+318|574+329|0+0|591+295</v>
      </c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</row>
    <row r="28" spans="2:131" x14ac:dyDescent="0.15">
      <c r="B28" s="15">
        <v>25</v>
      </c>
      <c r="C28" s="15" t="s">
        <v>52</v>
      </c>
      <c r="D28" s="15">
        <v>22</v>
      </c>
      <c r="G28" s="27" t="s">
        <v>519</v>
      </c>
      <c r="H28" s="27">
        <v>25</v>
      </c>
      <c r="I28" s="26" t="s">
        <v>320</v>
      </c>
      <c r="J28" s="26">
        <f t="shared" si="6"/>
        <v>153</v>
      </c>
      <c r="M28" s="27" t="s">
        <v>519</v>
      </c>
      <c r="N28" s="27">
        <v>25</v>
      </c>
      <c r="O28" s="26" t="s">
        <v>206</v>
      </c>
      <c r="P28" s="26">
        <f t="shared" si="7"/>
        <v>98</v>
      </c>
      <c r="Q28" s="26"/>
      <c r="R28" s="26"/>
      <c r="S28" s="27" t="s">
        <v>519</v>
      </c>
      <c r="T28" s="27">
        <v>25</v>
      </c>
      <c r="U28" s="26" t="s">
        <v>281</v>
      </c>
      <c r="V28" s="26">
        <f t="shared" si="8"/>
        <v>134</v>
      </c>
      <c r="W28" s="26"/>
      <c r="Y28" s="27" t="s">
        <v>519</v>
      </c>
      <c r="Z28" s="27">
        <v>25</v>
      </c>
      <c r="AA28" s="26" t="s">
        <v>71</v>
      </c>
      <c r="AB28" s="26">
        <f t="shared" si="9"/>
        <v>31</v>
      </c>
      <c r="AE28" s="27" t="s">
        <v>519</v>
      </c>
      <c r="AF28" s="27">
        <v>25</v>
      </c>
      <c r="AG28" s="26" t="s">
        <v>886</v>
      </c>
      <c r="AH28" s="26">
        <f t="shared" si="10"/>
        <v>68</v>
      </c>
      <c r="AK28" s="27" t="s">
        <v>519</v>
      </c>
      <c r="AL28" s="27">
        <v>25</v>
      </c>
      <c r="AM28" s="26" t="s">
        <v>934</v>
      </c>
      <c r="AN28" s="26">
        <f t="shared" si="11"/>
        <v>122</v>
      </c>
      <c r="AQ28" s="27" t="s">
        <v>519</v>
      </c>
      <c r="AR28" s="27">
        <v>25</v>
      </c>
      <c r="AS28" s="26" t="s">
        <v>195</v>
      </c>
      <c r="AT28" s="26">
        <f t="shared" si="12"/>
        <v>93</v>
      </c>
      <c r="AX28" s="15"/>
      <c r="AY28" s="35">
        <f t="shared" si="13"/>
        <v>25</v>
      </c>
      <c r="AZ28" s="35" t="str">
        <f t="shared" si="14"/>
        <v>559+191</v>
      </c>
      <c r="BA28" s="35">
        <f t="shared" si="15"/>
        <v>22</v>
      </c>
      <c r="BB28" s="38">
        <f>COUNTIF($BA$4:$BA28,$BA28)</f>
        <v>1</v>
      </c>
      <c r="BC28" s="36" t="str">
        <f t="shared" si="16"/>
        <v>村</v>
      </c>
      <c r="BD28" s="36" t="str">
        <f t="shared" si="17"/>
        <v/>
      </c>
      <c r="BE28" s="36" t="str">
        <f t="shared" si="18"/>
        <v/>
      </c>
      <c r="BF28" s="36" t="str">
        <f t="shared" si="19"/>
        <v>村</v>
      </c>
      <c r="BG28" s="36" t="str">
        <f t="shared" si="20"/>
        <v/>
      </c>
      <c r="BH28" s="36" t="str">
        <f t="shared" si="21"/>
        <v/>
      </c>
      <c r="BI28" s="36" t="str">
        <f t="shared" si="22"/>
        <v/>
      </c>
      <c r="BJ28" s="29" t="str">
        <f t="shared" si="23"/>
        <v>村</v>
      </c>
      <c r="BL28" s="15">
        <v>25</v>
      </c>
      <c r="BM28" s="39" t="str">
        <f t="shared" si="33"/>
        <v>599+395</v>
      </c>
      <c r="BN28" s="39" t="str">
        <f t="shared" si="33"/>
        <v>616+379</v>
      </c>
      <c r="BO28" s="39" t="str">
        <f t="shared" si="33"/>
        <v/>
      </c>
      <c r="BP28" s="39" t="str">
        <f t="shared" si="33"/>
        <v/>
      </c>
      <c r="BQ28" s="39" t="str">
        <f t="shared" si="33"/>
        <v/>
      </c>
      <c r="BR28" s="39" t="str">
        <f t="shared" si="33"/>
        <v/>
      </c>
      <c r="BS28" s="39" t="str">
        <f t="shared" si="33"/>
        <v/>
      </c>
      <c r="BT28" s="39" t="str">
        <f t="shared" si="33"/>
        <v/>
      </c>
      <c r="BU28" s="39" t="str">
        <f t="shared" si="33"/>
        <v/>
      </c>
      <c r="BV28" s="39" t="str">
        <f t="shared" si="33"/>
        <v/>
      </c>
      <c r="BW28" s="39" t="str">
        <f t="shared" si="33"/>
        <v/>
      </c>
      <c r="BX28" s="39" t="str">
        <f t="shared" si="33"/>
        <v/>
      </c>
      <c r="BY28" s="39" t="str">
        <f t="shared" si="33"/>
        <v/>
      </c>
      <c r="BZ28" s="39" t="str">
        <f t="shared" si="33"/>
        <v/>
      </c>
      <c r="CA28" s="39" t="str">
        <f t="shared" si="33"/>
        <v/>
      </c>
      <c r="CB28" s="39" t="str">
        <f t="shared" si="25"/>
        <v/>
      </c>
      <c r="CC28" s="39" t="str">
        <f t="shared" si="25"/>
        <v/>
      </c>
      <c r="CD28" s="39" t="str">
        <f t="shared" si="25"/>
        <v/>
      </c>
      <c r="CE28" s="39" t="str">
        <f t="shared" si="25"/>
        <v/>
      </c>
      <c r="CF28" s="39" t="str">
        <f t="shared" si="25"/>
        <v/>
      </c>
      <c r="CG28" s="39" t="str">
        <f t="shared" si="25"/>
        <v/>
      </c>
      <c r="CH28" s="39" t="str">
        <f t="shared" si="25"/>
        <v/>
      </c>
      <c r="CI28" s="39" t="str">
        <f t="shared" si="25"/>
        <v/>
      </c>
      <c r="CJ28" s="39" t="str">
        <f t="shared" si="25"/>
        <v/>
      </c>
      <c r="CK28" s="39" t="str">
        <f t="shared" si="25"/>
        <v/>
      </c>
      <c r="CL28" s="39" t="str">
        <f t="shared" si="25"/>
        <v/>
      </c>
      <c r="CM28" s="39" t="str">
        <f t="shared" si="25"/>
        <v/>
      </c>
      <c r="CN28" s="39" t="str">
        <f t="shared" si="25"/>
        <v/>
      </c>
      <c r="CO28" s="39" t="str">
        <f t="shared" si="25"/>
        <v/>
      </c>
      <c r="CP28" s="39" t="str">
        <f t="shared" si="25"/>
        <v/>
      </c>
      <c r="CQ28" s="39" t="str">
        <f t="shared" si="26"/>
        <v/>
      </c>
      <c r="CR28" s="39" t="str">
        <f t="shared" si="26"/>
        <v/>
      </c>
      <c r="CS28" s="39" t="str">
        <f t="shared" si="26"/>
        <v/>
      </c>
      <c r="CT28" s="39" t="str">
        <f t="shared" si="26"/>
        <v/>
      </c>
      <c r="CU28" s="39" t="str">
        <f t="shared" si="26"/>
        <v/>
      </c>
      <c r="CV28" s="39" t="str">
        <f t="shared" si="26"/>
        <v/>
      </c>
      <c r="CW28" s="39" t="str">
        <f t="shared" si="26"/>
        <v/>
      </c>
      <c r="CX28" s="39" t="str">
        <f t="shared" si="26"/>
        <v/>
      </c>
      <c r="CY28" s="39" t="str">
        <f t="shared" si="26"/>
        <v/>
      </c>
      <c r="CZ28" s="39" t="str">
        <f t="shared" si="26"/>
        <v/>
      </c>
      <c r="DA28" s="39" t="str">
        <f t="shared" si="26"/>
        <v/>
      </c>
      <c r="DB28" s="39" t="str">
        <f t="shared" si="26"/>
        <v/>
      </c>
      <c r="DC28" s="39" t="str">
        <f t="shared" si="26"/>
        <v/>
      </c>
      <c r="DD28" s="39" t="str">
        <f t="shared" si="26"/>
        <v/>
      </c>
      <c r="DE28" s="39" t="str">
        <f t="shared" si="26"/>
        <v/>
      </c>
      <c r="DF28" s="37" t="str">
        <f t="shared" si="27"/>
        <v>2+0+0</v>
      </c>
      <c r="DG28" s="37" t="str">
        <f t="shared" si="28"/>
        <v>599+395|616+379</v>
      </c>
      <c r="DH28" s="37" t="str">
        <f t="shared" si="29"/>
        <v>0+0</v>
      </c>
      <c r="DI28" s="37" t="str">
        <f t="shared" si="30"/>
        <v>0+0</v>
      </c>
      <c r="DJ28" s="37" t="str">
        <f t="shared" si="31"/>
        <v>2+0+0|599+395|616+379|0+0|0+0</v>
      </c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</row>
    <row r="29" spans="2:131" x14ac:dyDescent="0.15">
      <c r="B29" s="15">
        <v>26</v>
      </c>
      <c r="C29" s="15" t="s">
        <v>53</v>
      </c>
      <c r="D29" s="15">
        <v>22</v>
      </c>
      <c r="G29" s="27" t="s">
        <v>519</v>
      </c>
      <c r="H29" s="27">
        <v>26</v>
      </c>
      <c r="I29" s="26" t="s">
        <v>333</v>
      </c>
      <c r="J29" s="26">
        <f t="shared" si="6"/>
        <v>160</v>
      </c>
      <c r="M29" s="27" t="s">
        <v>519</v>
      </c>
      <c r="N29" s="27">
        <v>26</v>
      </c>
      <c r="O29" s="26" t="s">
        <v>32</v>
      </c>
      <c r="P29" s="26">
        <f t="shared" si="7"/>
        <v>13</v>
      </c>
      <c r="Q29" s="26"/>
      <c r="R29" s="26"/>
      <c r="S29" s="27" t="s">
        <v>519</v>
      </c>
      <c r="T29" s="27">
        <v>26</v>
      </c>
      <c r="U29" s="26" t="s">
        <v>1013</v>
      </c>
      <c r="V29" s="26">
        <f t="shared" si="8"/>
        <v>85</v>
      </c>
      <c r="W29" s="26"/>
      <c r="Y29" s="27" t="s">
        <v>519</v>
      </c>
      <c r="Z29" s="27">
        <v>26</v>
      </c>
      <c r="AA29" s="26" t="s">
        <v>41</v>
      </c>
      <c r="AB29" s="26">
        <f t="shared" si="9"/>
        <v>17</v>
      </c>
      <c r="AE29" s="27" t="s">
        <v>519</v>
      </c>
      <c r="AF29" s="27">
        <v>26</v>
      </c>
      <c r="AG29" s="26" t="s">
        <v>1015</v>
      </c>
      <c r="AH29" s="26">
        <f t="shared" si="10"/>
        <v>78</v>
      </c>
      <c r="AK29" s="27" t="s">
        <v>519</v>
      </c>
      <c r="AL29" s="27">
        <v>26</v>
      </c>
      <c r="AM29" s="26" t="s">
        <v>863</v>
      </c>
      <c r="AN29" s="26">
        <f t="shared" si="11"/>
        <v>76</v>
      </c>
      <c r="AQ29" s="27" t="s">
        <v>519</v>
      </c>
      <c r="AR29" s="27">
        <v>26</v>
      </c>
      <c r="AS29" s="26" t="s">
        <v>197</v>
      </c>
      <c r="AT29" s="26">
        <f t="shared" si="12"/>
        <v>94</v>
      </c>
      <c r="AX29" s="15"/>
      <c r="AY29" s="35">
        <f t="shared" si="13"/>
        <v>26</v>
      </c>
      <c r="AZ29" s="35" t="str">
        <f t="shared" si="14"/>
        <v>584+181</v>
      </c>
      <c r="BA29" s="35">
        <f t="shared" si="15"/>
        <v>22</v>
      </c>
      <c r="BB29" s="38">
        <f>COUNTIF($BA$4:$BA29,$BA29)</f>
        <v>2</v>
      </c>
      <c r="BC29" s="36" t="str">
        <f t="shared" si="16"/>
        <v>村</v>
      </c>
      <c r="BD29" s="36" t="str">
        <f t="shared" si="17"/>
        <v/>
      </c>
      <c r="BE29" s="36" t="str">
        <f t="shared" si="18"/>
        <v/>
      </c>
      <c r="BF29" s="36" t="str">
        <f t="shared" si="19"/>
        <v>村</v>
      </c>
      <c r="BG29" s="36" t="str">
        <f t="shared" si="20"/>
        <v/>
      </c>
      <c r="BH29" s="36" t="str">
        <f t="shared" si="21"/>
        <v/>
      </c>
      <c r="BI29" s="36" t="str">
        <f t="shared" si="22"/>
        <v/>
      </c>
      <c r="BJ29" s="29" t="str">
        <f t="shared" si="23"/>
        <v>村</v>
      </c>
      <c r="BL29" s="15">
        <v>26</v>
      </c>
      <c r="BM29" s="39" t="str">
        <f t="shared" si="33"/>
        <v/>
      </c>
      <c r="BN29" s="39" t="str">
        <f t="shared" si="33"/>
        <v>586+493</v>
      </c>
      <c r="BO29" s="39" t="str">
        <f t="shared" si="33"/>
        <v/>
      </c>
      <c r="BP29" s="39" t="str">
        <f t="shared" si="33"/>
        <v/>
      </c>
      <c r="BQ29" s="39" t="str">
        <f t="shared" si="33"/>
        <v/>
      </c>
      <c r="BR29" s="39" t="str">
        <f t="shared" si="33"/>
        <v/>
      </c>
      <c r="BS29" s="39" t="str">
        <f t="shared" si="33"/>
        <v/>
      </c>
      <c r="BT29" s="39" t="str">
        <f t="shared" si="33"/>
        <v/>
      </c>
      <c r="BU29" s="39" t="str">
        <f t="shared" si="33"/>
        <v/>
      </c>
      <c r="BV29" s="39" t="str">
        <f t="shared" si="33"/>
        <v/>
      </c>
      <c r="BW29" s="39" t="str">
        <f t="shared" si="33"/>
        <v/>
      </c>
      <c r="BX29" s="39" t="str">
        <f t="shared" si="33"/>
        <v/>
      </c>
      <c r="BY29" s="39" t="str">
        <f t="shared" si="33"/>
        <v/>
      </c>
      <c r="BZ29" s="39" t="str">
        <f t="shared" si="33"/>
        <v/>
      </c>
      <c r="CA29" s="39" t="str">
        <f t="shared" si="33"/>
        <v/>
      </c>
      <c r="CB29" s="39" t="str">
        <f t="shared" si="25"/>
        <v/>
      </c>
      <c r="CC29" s="39" t="str">
        <f t="shared" si="25"/>
        <v/>
      </c>
      <c r="CD29" s="39" t="str">
        <f t="shared" si="25"/>
        <v/>
      </c>
      <c r="CE29" s="39" t="str">
        <f t="shared" si="25"/>
        <v/>
      </c>
      <c r="CF29" s="39" t="str">
        <f t="shared" si="25"/>
        <v/>
      </c>
      <c r="CG29" s="39" t="str">
        <f t="shared" si="25"/>
        <v/>
      </c>
      <c r="CH29" s="39" t="str">
        <f t="shared" si="25"/>
        <v/>
      </c>
      <c r="CI29" s="39" t="str">
        <f t="shared" si="25"/>
        <v/>
      </c>
      <c r="CJ29" s="39" t="str">
        <f t="shared" si="25"/>
        <v/>
      </c>
      <c r="CK29" s="39" t="str">
        <f t="shared" si="25"/>
        <v/>
      </c>
      <c r="CL29" s="39" t="str">
        <f t="shared" si="25"/>
        <v/>
      </c>
      <c r="CM29" s="39" t="str">
        <f t="shared" si="25"/>
        <v/>
      </c>
      <c r="CN29" s="39" t="str">
        <f t="shared" si="25"/>
        <v/>
      </c>
      <c r="CO29" s="39" t="str">
        <f t="shared" si="25"/>
        <v/>
      </c>
      <c r="CP29" s="39" t="str">
        <f t="shared" si="25"/>
        <v/>
      </c>
      <c r="CQ29" s="39" t="str">
        <f t="shared" si="26"/>
        <v>592+452</v>
      </c>
      <c r="CR29" s="39" t="str">
        <f t="shared" si="26"/>
        <v/>
      </c>
      <c r="CS29" s="39" t="str">
        <f t="shared" si="26"/>
        <v/>
      </c>
      <c r="CT29" s="39" t="str">
        <f t="shared" si="26"/>
        <v/>
      </c>
      <c r="CU29" s="39" t="str">
        <f t="shared" si="26"/>
        <v/>
      </c>
      <c r="CV29" s="39" t="str">
        <f t="shared" si="26"/>
        <v/>
      </c>
      <c r="CW29" s="39" t="str">
        <f t="shared" si="26"/>
        <v/>
      </c>
      <c r="CX29" s="39" t="str">
        <f t="shared" si="26"/>
        <v/>
      </c>
      <c r="CY29" s="39" t="str">
        <f t="shared" si="26"/>
        <v/>
      </c>
      <c r="CZ29" s="39" t="str">
        <f t="shared" si="26"/>
        <v/>
      </c>
      <c r="DA29" s="39" t="str">
        <f t="shared" si="26"/>
        <v/>
      </c>
      <c r="DB29" s="39" t="str">
        <f t="shared" si="26"/>
        <v/>
      </c>
      <c r="DC29" s="39" t="str">
        <f t="shared" si="26"/>
        <v/>
      </c>
      <c r="DD29" s="39" t="str">
        <f t="shared" si="26"/>
        <v/>
      </c>
      <c r="DE29" s="39" t="str">
        <f t="shared" si="26"/>
        <v/>
      </c>
      <c r="DF29" s="37" t="str">
        <f t="shared" si="27"/>
        <v>1+0+1</v>
      </c>
      <c r="DG29" s="37" t="str">
        <f t="shared" si="28"/>
        <v>586+493</v>
      </c>
      <c r="DH29" s="37" t="str">
        <f t="shared" si="29"/>
        <v>0+0</v>
      </c>
      <c r="DI29" s="37" t="str">
        <f t="shared" si="30"/>
        <v>592+452</v>
      </c>
      <c r="DJ29" s="37" t="str">
        <f t="shared" si="31"/>
        <v>1+0+1|586+493|0+0|592+452</v>
      </c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</row>
    <row r="30" spans="2:131" x14ac:dyDescent="0.15">
      <c r="B30" s="15">
        <v>27</v>
      </c>
      <c r="C30" s="15" t="s">
        <v>54</v>
      </c>
      <c r="D30" s="15">
        <v>23</v>
      </c>
      <c r="G30" s="27" t="s">
        <v>519</v>
      </c>
      <c r="H30" s="27">
        <v>27</v>
      </c>
      <c r="I30" s="26" t="s">
        <v>332</v>
      </c>
      <c r="J30" s="26">
        <f t="shared" si="6"/>
        <v>159</v>
      </c>
      <c r="M30" s="27" t="s">
        <v>519</v>
      </c>
      <c r="N30" s="27">
        <v>27</v>
      </c>
      <c r="O30" s="26" t="s">
        <v>35</v>
      </c>
      <c r="P30" s="26">
        <f t="shared" si="7"/>
        <v>14</v>
      </c>
      <c r="Q30" s="26"/>
      <c r="R30" s="26"/>
      <c r="S30" s="27" t="s">
        <v>519</v>
      </c>
      <c r="T30" s="27">
        <v>27</v>
      </c>
      <c r="U30" s="26" t="s">
        <v>180</v>
      </c>
      <c r="V30" s="26">
        <f t="shared" si="8"/>
        <v>85</v>
      </c>
      <c r="W30" s="26"/>
      <c r="Y30" s="27" t="s">
        <v>519</v>
      </c>
      <c r="Z30" s="27">
        <v>27</v>
      </c>
      <c r="AA30" s="26" t="s">
        <v>27</v>
      </c>
      <c r="AB30" s="26">
        <f t="shared" si="9"/>
        <v>11</v>
      </c>
      <c r="AE30" s="27" t="s">
        <v>519</v>
      </c>
      <c r="AF30" s="27">
        <v>27</v>
      </c>
      <c r="AG30" s="26" t="s">
        <v>845</v>
      </c>
      <c r="AH30" s="26">
        <f t="shared" si="10"/>
        <v>79</v>
      </c>
      <c r="AK30" s="27" t="s">
        <v>519</v>
      </c>
      <c r="AL30" s="27">
        <v>27</v>
      </c>
      <c r="AM30" s="26" t="s">
        <v>888</v>
      </c>
      <c r="AN30" s="26">
        <f t="shared" si="11"/>
        <v>65</v>
      </c>
      <c r="AQ30" s="27" t="s">
        <v>519</v>
      </c>
      <c r="AR30" s="27">
        <v>27</v>
      </c>
      <c r="AS30" s="26" t="s">
        <v>323</v>
      </c>
      <c r="AT30" s="26">
        <f t="shared" si="12"/>
        <v>155</v>
      </c>
      <c r="AX30" s="15"/>
      <c r="AY30" s="35">
        <f t="shared" si="13"/>
        <v>27</v>
      </c>
      <c r="AZ30" s="35" t="str">
        <f t="shared" si="14"/>
        <v>537+297</v>
      </c>
      <c r="BA30" s="35">
        <f t="shared" si="15"/>
        <v>23</v>
      </c>
      <c r="BB30" s="38">
        <f>COUNTIF($BA$4:$BA30,$BA30)</f>
        <v>1</v>
      </c>
      <c r="BC30" s="36" t="str">
        <f t="shared" si="16"/>
        <v>村</v>
      </c>
      <c r="BD30" s="36" t="str">
        <f t="shared" si="17"/>
        <v/>
      </c>
      <c r="BE30" s="36" t="str">
        <f t="shared" si="18"/>
        <v/>
      </c>
      <c r="BF30" s="36" t="str">
        <f t="shared" si="19"/>
        <v>村</v>
      </c>
      <c r="BG30" s="36" t="str">
        <f t="shared" si="20"/>
        <v/>
      </c>
      <c r="BH30" s="36" t="str">
        <f t="shared" si="21"/>
        <v/>
      </c>
      <c r="BI30" s="36" t="str">
        <f t="shared" si="22"/>
        <v/>
      </c>
      <c r="BJ30" s="29" t="str">
        <f t="shared" si="23"/>
        <v>村</v>
      </c>
      <c r="BL30" s="15">
        <v>27</v>
      </c>
      <c r="BM30" s="39" t="str">
        <f t="shared" si="33"/>
        <v/>
      </c>
      <c r="BN30" s="39" t="str">
        <f t="shared" si="33"/>
        <v>568+484</v>
      </c>
      <c r="BO30" s="39" t="str">
        <f t="shared" si="33"/>
        <v/>
      </c>
      <c r="BP30" s="39" t="str">
        <f t="shared" si="33"/>
        <v/>
      </c>
      <c r="BQ30" s="39" t="str">
        <f t="shared" si="33"/>
        <v/>
      </c>
      <c r="BR30" s="39" t="str">
        <f t="shared" si="33"/>
        <v/>
      </c>
      <c r="BS30" s="39" t="str">
        <f t="shared" si="33"/>
        <v/>
      </c>
      <c r="BT30" s="39" t="str">
        <f t="shared" si="33"/>
        <v/>
      </c>
      <c r="BU30" s="39" t="str">
        <f t="shared" si="33"/>
        <v/>
      </c>
      <c r="BV30" s="39" t="str">
        <f t="shared" si="33"/>
        <v/>
      </c>
      <c r="BW30" s="39" t="str">
        <f t="shared" si="33"/>
        <v/>
      </c>
      <c r="BX30" s="39" t="str">
        <f t="shared" si="33"/>
        <v/>
      </c>
      <c r="BY30" s="39" t="str">
        <f t="shared" si="33"/>
        <v/>
      </c>
      <c r="BZ30" s="39" t="str">
        <f t="shared" si="33"/>
        <v/>
      </c>
      <c r="CA30" s="39" t="str">
        <f t="shared" si="33"/>
        <v/>
      </c>
      <c r="CB30" s="39" t="str">
        <f t="shared" si="25"/>
        <v/>
      </c>
      <c r="CC30" s="39" t="str">
        <f t="shared" si="25"/>
        <v/>
      </c>
      <c r="CD30" s="39" t="str">
        <f t="shared" si="25"/>
        <v/>
      </c>
      <c r="CE30" s="39" t="str">
        <f t="shared" si="25"/>
        <v/>
      </c>
      <c r="CF30" s="39" t="str">
        <f t="shared" si="25"/>
        <v/>
      </c>
      <c r="CG30" s="39" t="str">
        <f t="shared" si="25"/>
        <v/>
      </c>
      <c r="CH30" s="39" t="str">
        <f t="shared" si="25"/>
        <v/>
      </c>
      <c r="CI30" s="39" t="str">
        <f t="shared" si="25"/>
        <v/>
      </c>
      <c r="CJ30" s="39" t="str">
        <f t="shared" si="25"/>
        <v/>
      </c>
      <c r="CK30" s="39" t="str">
        <f t="shared" si="25"/>
        <v/>
      </c>
      <c r="CL30" s="39" t="str">
        <f t="shared" si="25"/>
        <v/>
      </c>
      <c r="CM30" s="39" t="str">
        <f t="shared" si="25"/>
        <v/>
      </c>
      <c r="CN30" s="39" t="str">
        <f t="shared" si="25"/>
        <v/>
      </c>
      <c r="CO30" s="39" t="str">
        <f t="shared" si="25"/>
        <v/>
      </c>
      <c r="CP30" s="39" t="str">
        <f t="shared" si="25"/>
        <v/>
      </c>
      <c r="CQ30" s="39" t="str">
        <f t="shared" si="26"/>
        <v>568+462</v>
      </c>
      <c r="CR30" s="39" t="str">
        <f t="shared" si="26"/>
        <v/>
      </c>
      <c r="CS30" s="39" t="str">
        <f t="shared" si="26"/>
        <v/>
      </c>
      <c r="CT30" s="39" t="str">
        <f t="shared" si="26"/>
        <v/>
      </c>
      <c r="CU30" s="39" t="str">
        <f t="shared" si="26"/>
        <v/>
      </c>
      <c r="CV30" s="39" t="str">
        <f t="shared" si="26"/>
        <v/>
      </c>
      <c r="CW30" s="39" t="str">
        <f t="shared" si="26"/>
        <v/>
      </c>
      <c r="CX30" s="39" t="str">
        <f t="shared" si="26"/>
        <v/>
      </c>
      <c r="CY30" s="39" t="str">
        <f t="shared" si="26"/>
        <v/>
      </c>
      <c r="CZ30" s="39" t="str">
        <f t="shared" si="26"/>
        <v/>
      </c>
      <c r="DA30" s="39" t="str">
        <f t="shared" si="26"/>
        <v/>
      </c>
      <c r="DB30" s="39" t="str">
        <f t="shared" si="26"/>
        <v/>
      </c>
      <c r="DC30" s="39" t="str">
        <f t="shared" si="26"/>
        <v/>
      </c>
      <c r="DD30" s="39" t="str">
        <f t="shared" si="26"/>
        <v/>
      </c>
      <c r="DE30" s="39" t="str">
        <f t="shared" si="26"/>
        <v/>
      </c>
      <c r="DF30" s="37" t="str">
        <f t="shared" si="27"/>
        <v>1+0+1</v>
      </c>
      <c r="DG30" s="37" t="str">
        <f t="shared" si="28"/>
        <v>568+484</v>
      </c>
      <c r="DH30" s="37" t="str">
        <f t="shared" si="29"/>
        <v>0+0</v>
      </c>
      <c r="DI30" s="37" t="str">
        <f t="shared" si="30"/>
        <v>568+462</v>
      </c>
      <c r="DJ30" s="37" t="str">
        <f t="shared" si="31"/>
        <v>1+0+1|568+484|0+0|568+462</v>
      </c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</row>
    <row r="31" spans="2:131" x14ac:dyDescent="0.15">
      <c r="B31" s="15">
        <v>28</v>
      </c>
      <c r="C31" s="15" t="s">
        <v>55</v>
      </c>
      <c r="D31" s="15">
        <v>23</v>
      </c>
      <c r="G31" s="25" t="s">
        <v>521</v>
      </c>
      <c r="H31" s="25">
        <v>28</v>
      </c>
      <c r="I31" s="26" t="s">
        <v>331</v>
      </c>
      <c r="J31" s="26">
        <f t="shared" si="6"/>
        <v>159</v>
      </c>
      <c r="M31" s="25" t="s">
        <v>521</v>
      </c>
      <c r="N31" s="25">
        <v>28</v>
      </c>
      <c r="O31" s="26" t="s">
        <v>642</v>
      </c>
      <c r="P31" s="26">
        <f t="shared" si="7"/>
        <v>105</v>
      </c>
      <c r="Q31" s="26"/>
      <c r="R31" s="26"/>
      <c r="S31" s="25" t="s">
        <v>521</v>
      </c>
      <c r="T31" s="25">
        <v>28</v>
      </c>
      <c r="U31" s="26" t="s">
        <v>186</v>
      </c>
      <c r="V31" s="26">
        <f t="shared" si="8"/>
        <v>88</v>
      </c>
      <c r="W31" s="26"/>
      <c r="Y31" s="25" t="s">
        <v>521</v>
      </c>
      <c r="Z31" s="25">
        <v>28</v>
      </c>
      <c r="AA31" s="26" t="s">
        <v>59</v>
      </c>
      <c r="AB31" s="26">
        <f t="shared" si="9"/>
        <v>25</v>
      </c>
      <c r="AE31" s="25" t="s">
        <v>521</v>
      </c>
      <c r="AF31" s="25">
        <v>28</v>
      </c>
      <c r="AG31" s="26" t="s">
        <v>888</v>
      </c>
      <c r="AH31" s="26">
        <f t="shared" si="10"/>
        <v>65</v>
      </c>
      <c r="AK31" s="25" t="s">
        <v>521</v>
      </c>
      <c r="AL31" s="25">
        <v>28</v>
      </c>
      <c r="AM31" s="26" t="s">
        <v>935</v>
      </c>
      <c r="AN31" s="26">
        <f t="shared" si="11"/>
        <v>122</v>
      </c>
      <c r="AQ31" s="25" t="s">
        <v>521</v>
      </c>
      <c r="AR31" s="25">
        <v>28</v>
      </c>
      <c r="AS31" s="26" t="s">
        <v>952</v>
      </c>
      <c r="AT31" s="26">
        <f t="shared" si="12"/>
        <v>149</v>
      </c>
      <c r="AX31" s="15"/>
      <c r="AY31" s="35">
        <f t="shared" si="13"/>
        <v>28</v>
      </c>
      <c r="AZ31" s="35" t="str">
        <f t="shared" si="14"/>
        <v>572+248</v>
      </c>
      <c r="BA31" s="35">
        <f t="shared" si="15"/>
        <v>23</v>
      </c>
      <c r="BB31" s="38">
        <f>COUNTIF($BA$4:$BA31,$BA31)</f>
        <v>2</v>
      </c>
      <c r="BC31" s="36" t="str">
        <f t="shared" si="16"/>
        <v>村</v>
      </c>
      <c r="BD31" s="36" t="str">
        <f t="shared" si="17"/>
        <v/>
      </c>
      <c r="BE31" s="36" t="str">
        <f t="shared" si="18"/>
        <v/>
      </c>
      <c r="BF31" s="36" t="str">
        <f t="shared" si="19"/>
        <v>村</v>
      </c>
      <c r="BG31" s="36" t="str">
        <f t="shared" si="20"/>
        <v/>
      </c>
      <c r="BH31" s="36" t="str">
        <f t="shared" si="21"/>
        <v/>
      </c>
      <c r="BI31" s="36" t="str">
        <f t="shared" si="22"/>
        <v/>
      </c>
      <c r="BJ31" s="29" t="str">
        <f t="shared" si="23"/>
        <v>村</v>
      </c>
      <c r="BL31" s="15">
        <v>28</v>
      </c>
      <c r="BM31" s="39" t="str">
        <f t="shared" si="33"/>
        <v>621+476</v>
      </c>
      <c r="BN31" s="39" t="str">
        <f t="shared" si="33"/>
        <v>636+451</v>
      </c>
      <c r="BO31" s="39" t="str">
        <f t="shared" si="33"/>
        <v/>
      </c>
      <c r="BP31" s="39" t="str">
        <f t="shared" si="33"/>
        <v/>
      </c>
      <c r="BQ31" s="39" t="str">
        <f t="shared" si="33"/>
        <v/>
      </c>
      <c r="BR31" s="39" t="str">
        <f t="shared" si="33"/>
        <v/>
      </c>
      <c r="BS31" s="39" t="str">
        <f t="shared" si="33"/>
        <v/>
      </c>
      <c r="BT31" s="39" t="str">
        <f t="shared" si="33"/>
        <v/>
      </c>
      <c r="BU31" s="39" t="str">
        <f t="shared" si="33"/>
        <v/>
      </c>
      <c r="BV31" s="39" t="str">
        <f t="shared" si="33"/>
        <v/>
      </c>
      <c r="BW31" s="39" t="str">
        <f t="shared" si="33"/>
        <v/>
      </c>
      <c r="BX31" s="39" t="str">
        <f t="shared" si="33"/>
        <v/>
      </c>
      <c r="BY31" s="39" t="str">
        <f t="shared" si="33"/>
        <v/>
      </c>
      <c r="BZ31" s="39" t="str">
        <f t="shared" si="33"/>
        <v/>
      </c>
      <c r="CA31" s="39" t="str">
        <f t="shared" si="33"/>
        <v/>
      </c>
      <c r="CB31" s="39" t="str">
        <f t="shared" si="25"/>
        <v/>
      </c>
      <c r="CC31" s="39" t="str">
        <f t="shared" si="25"/>
        <v/>
      </c>
      <c r="CD31" s="39" t="str">
        <f t="shared" si="25"/>
        <v/>
      </c>
      <c r="CE31" s="39" t="str">
        <f t="shared" si="25"/>
        <v/>
      </c>
      <c r="CF31" s="39" t="str">
        <f t="shared" si="25"/>
        <v/>
      </c>
      <c r="CG31" s="39" t="str">
        <f t="shared" si="25"/>
        <v/>
      </c>
      <c r="CH31" s="39" t="str">
        <f t="shared" si="25"/>
        <v/>
      </c>
      <c r="CI31" s="39" t="str">
        <f t="shared" si="25"/>
        <v/>
      </c>
      <c r="CJ31" s="39" t="str">
        <f t="shared" si="25"/>
        <v/>
      </c>
      <c r="CK31" s="39" t="str">
        <f t="shared" si="25"/>
        <v/>
      </c>
      <c r="CL31" s="39" t="str">
        <f t="shared" si="25"/>
        <v/>
      </c>
      <c r="CM31" s="39" t="str">
        <f t="shared" si="25"/>
        <v/>
      </c>
      <c r="CN31" s="39" t="str">
        <f t="shared" si="25"/>
        <v/>
      </c>
      <c r="CO31" s="39" t="str">
        <f t="shared" si="25"/>
        <v/>
      </c>
      <c r="CP31" s="39" t="str">
        <f t="shared" si="25"/>
        <v/>
      </c>
      <c r="CQ31" s="39" t="str">
        <f t="shared" si="26"/>
        <v/>
      </c>
      <c r="CR31" s="39" t="str">
        <f t="shared" si="26"/>
        <v/>
      </c>
      <c r="CS31" s="39" t="str">
        <f t="shared" si="26"/>
        <v/>
      </c>
      <c r="CT31" s="39" t="str">
        <f t="shared" si="26"/>
        <v/>
      </c>
      <c r="CU31" s="39" t="str">
        <f t="shared" si="26"/>
        <v/>
      </c>
      <c r="CV31" s="39" t="str">
        <f t="shared" si="26"/>
        <v/>
      </c>
      <c r="CW31" s="39" t="str">
        <f t="shared" si="26"/>
        <v/>
      </c>
      <c r="CX31" s="39" t="str">
        <f t="shared" si="26"/>
        <v/>
      </c>
      <c r="CY31" s="39" t="str">
        <f t="shared" si="26"/>
        <v/>
      </c>
      <c r="CZ31" s="39" t="str">
        <f t="shared" si="26"/>
        <v/>
      </c>
      <c r="DA31" s="39" t="str">
        <f t="shared" si="26"/>
        <v/>
      </c>
      <c r="DB31" s="39" t="str">
        <f t="shared" si="26"/>
        <v/>
      </c>
      <c r="DC31" s="39" t="str">
        <f t="shared" si="26"/>
        <v/>
      </c>
      <c r="DD31" s="39" t="str">
        <f t="shared" si="26"/>
        <v/>
      </c>
      <c r="DE31" s="39" t="str">
        <f t="shared" si="26"/>
        <v/>
      </c>
      <c r="DF31" s="37" t="str">
        <f t="shared" si="27"/>
        <v>2+0+0</v>
      </c>
      <c r="DG31" s="37" t="str">
        <f t="shared" si="28"/>
        <v>621+476|636+451</v>
      </c>
      <c r="DH31" s="37" t="str">
        <f t="shared" si="29"/>
        <v>0+0</v>
      </c>
      <c r="DI31" s="37" t="str">
        <f t="shared" si="30"/>
        <v>0+0</v>
      </c>
      <c r="DJ31" s="37" t="str">
        <f t="shared" si="31"/>
        <v>2+0+0|621+476|636+451|0+0|0+0</v>
      </c>
    </row>
    <row r="32" spans="2:131" x14ac:dyDescent="0.15">
      <c r="B32" s="15">
        <v>29</v>
      </c>
      <c r="C32" s="15" t="s">
        <v>427</v>
      </c>
      <c r="D32" s="15">
        <v>23</v>
      </c>
      <c r="G32" s="25" t="s">
        <v>521</v>
      </c>
      <c r="H32" s="25">
        <v>29</v>
      </c>
      <c r="I32" s="26" t="s">
        <v>93</v>
      </c>
      <c r="J32" s="26">
        <f t="shared" si="6"/>
        <v>43</v>
      </c>
      <c r="M32" s="25" t="s">
        <v>521</v>
      </c>
      <c r="N32" s="25">
        <v>29</v>
      </c>
      <c r="O32" s="26" t="s">
        <v>218</v>
      </c>
      <c r="P32" s="26">
        <f t="shared" si="7"/>
        <v>104</v>
      </c>
      <c r="Q32" s="26"/>
      <c r="R32" s="26"/>
      <c r="S32" s="25" t="s">
        <v>521</v>
      </c>
      <c r="T32" s="25">
        <v>29</v>
      </c>
      <c r="U32" s="26" t="s">
        <v>185</v>
      </c>
      <c r="V32" s="26">
        <f t="shared" si="8"/>
        <v>88</v>
      </c>
      <c r="W32" s="26"/>
      <c r="Y32" s="25" t="s">
        <v>521</v>
      </c>
      <c r="Z32" s="25">
        <v>29</v>
      </c>
      <c r="AA32" s="26" t="s">
        <v>56</v>
      </c>
      <c r="AB32" s="26">
        <f t="shared" si="9"/>
        <v>24</v>
      </c>
      <c r="AE32" s="25" t="s">
        <v>521</v>
      </c>
      <c r="AF32" s="25">
        <v>29</v>
      </c>
      <c r="AG32" s="26" t="s">
        <v>889</v>
      </c>
      <c r="AH32" s="26">
        <f t="shared" si="10"/>
        <v>65</v>
      </c>
      <c r="AK32" s="25" t="s">
        <v>521</v>
      </c>
      <c r="AL32" s="25">
        <v>29</v>
      </c>
      <c r="AM32" s="26" t="s">
        <v>963</v>
      </c>
      <c r="AN32" s="26">
        <f t="shared" si="11"/>
        <v>121</v>
      </c>
      <c r="AQ32" s="25" t="s">
        <v>521</v>
      </c>
      <c r="AR32" s="25">
        <v>29</v>
      </c>
      <c r="AS32" s="26" t="s">
        <v>942</v>
      </c>
      <c r="AT32" s="26">
        <f t="shared" si="12"/>
        <v>88</v>
      </c>
      <c r="AX32" s="15"/>
      <c r="AY32" s="35">
        <f t="shared" si="13"/>
        <v>29</v>
      </c>
      <c r="AZ32" s="35" t="str">
        <f t="shared" si="14"/>
        <v>562+289</v>
      </c>
      <c r="BA32" s="35">
        <f t="shared" si="15"/>
        <v>23</v>
      </c>
      <c r="BB32" s="38">
        <f>COUNTIF($BA$4:$BA32,$BA32)</f>
        <v>3</v>
      </c>
      <c r="BC32" s="36" t="str">
        <f t="shared" si="16"/>
        <v>营</v>
      </c>
      <c r="BD32" s="36" t="str">
        <f t="shared" si="17"/>
        <v/>
      </c>
      <c r="BE32" s="36" t="str">
        <f t="shared" si="18"/>
        <v/>
      </c>
      <c r="BF32" s="36" t="str">
        <f t="shared" si="19"/>
        <v/>
      </c>
      <c r="BG32" s="36" t="str">
        <f t="shared" si="20"/>
        <v/>
      </c>
      <c r="BH32" s="36" t="str">
        <f t="shared" si="21"/>
        <v/>
      </c>
      <c r="BI32" s="36" t="str">
        <f t="shared" si="22"/>
        <v/>
      </c>
      <c r="BJ32" s="29" t="str">
        <f t="shared" si="23"/>
        <v>营</v>
      </c>
      <c r="BL32" s="15">
        <v>29</v>
      </c>
      <c r="BM32" s="39" t="str">
        <f t="shared" si="33"/>
        <v>634+513</v>
      </c>
      <c r="BN32" s="39" t="str">
        <f t="shared" si="33"/>
        <v>624+541</v>
      </c>
      <c r="BO32" s="39" t="str">
        <f t="shared" si="33"/>
        <v/>
      </c>
      <c r="BP32" s="39" t="str">
        <f t="shared" si="33"/>
        <v/>
      </c>
      <c r="BQ32" s="39" t="str">
        <f t="shared" si="33"/>
        <v/>
      </c>
      <c r="BR32" s="39" t="str">
        <f t="shared" si="33"/>
        <v/>
      </c>
      <c r="BS32" s="39" t="str">
        <f t="shared" si="33"/>
        <v/>
      </c>
      <c r="BT32" s="39" t="str">
        <f t="shared" si="33"/>
        <v/>
      </c>
      <c r="BU32" s="39" t="str">
        <f t="shared" si="33"/>
        <v/>
      </c>
      <c r="BV32" s="39" t="str">
        <f t="shared" si="33"/>
        <v/>
      </c>
      <c r="BW32" s="39" t="str">
        <f t="shared" si="33"/>
        <v/>
      </c>
      <c r="BX32" s="39" t="str">
        <f t="shared" si="33"/>
        <v/>
      </c>
      <c r="BY32" s="39" t="str">
        <f t="shared" si="33"/>
        <v/>
      </c>
      <c r="BZ32" s="39" t="str">
        <f t="shared" si="33"/>
        <v/>
      </c>
      <c r="CA32" s="39" t="str">
        <f t="shared" si="33"/>
        <v/>
      </c>
      <c r="CB32" s="39" t="str">
        <f t="shared" si="25"/>
        <v/>
      </c>
      <c r="CC32" s="39" t="str">
        <f t="shared" si="25"/>
        <v/>
      </c>
      <c r="CD32" s="39" t="str">
        <f t="shared" si="25"/>
        <v/>
      </c>
      <c r="CE32" s="39" t="str">
        <f t="shared" si="25"/>
        <v/>
      </c>
      <c r="CF32" s="39" t="str">
        <f t="shared" si="25"/>
        <v/>
      </c>
      <c r="CG32" s="39" t="str">
        <f t="shared" si="25"/>
        <v/>
      </c>
      <c r="CH32" s="39" t="str">
        <f t="shared" si="25"/>
        <v/>
      </c>
      <c r="CI32" s="39" t="str">
        <f t="shared" si="25"/>
        <v/>
      </c>
      <c r="CJ32" s="39" t="str">
        <f t="shared" si="25"/>
        <v/>
      </c>
      <c r="CK32" s="39" t="str">
        <f t="shared" si="25"/>
        <v/>
      </c>
      <c r="CL32" s="39" t="str">
        <f t="shared" si="25"/>
        <v/>
      </c>
      <c r="CM32" s="39" t="str">
        <f t="shared" si="25"/>
        <v/>
      </c>
      <c r="CN32" s="39" t="str">
        <f t="shared" si="25"/>
        <v/>
      </c>
      <c r="CO32" s="39" t="str">
        <f t="shared" si="25"/>
        <v/>
      </c>
      <c r="CP32" s="39" t="str">
        <f t="shared" si="25"/>
        <v/>
      </c>
      <c r="CQ32" s="39" t="str">
        <f t="shared" si="26"/>
        <v/>
      </c>
      <c r="CR32" s="39" t="str">
        <f t="shared" si="26"/>
        <v/>
      </c>
      <c r="CS32" s="39" t="str">
        <f t="shared" si="26"/>
        <v/>
      </c>
      <c r="CT32" s="39" t="str">
        <f t="shared" si="26"/>
        <v/>
      </c>
      <c r="CU32" s="39" t="str">
        <f t="shared" si="26"/>
        <v/>
      </c>
      <c r="CV32" s="39" t="str">
        <f t="shared" si="26"/>
        <v/>
      </c>
      <c r="CW32" s="39" t="str">
        <f t="shared" si="26"/>
        <v/>
      </c>
      <c r="CX32" s="39" t="str">
        <f t="shared" si="26"/>
        <v/>
      </c>
      <c r="CY32" s="39" t="str">
        <f t="shared" si="26"/>
        <v/>
      </c>
      <c r="CZ32" s="39" t="str">
        <f t="shared" si="26"/>
        <v/>
      </c>
      <c r="DA32" s="39" t="str">
        <f t="shared" si="26"/>
        <v/>
      </c>
      <c r="DB32" s="39" t="str">
        <f t="shared" si="26"/>
        <v/>
      </c>
      <c r="DC32" s="39" t="str">
        <f t="shared" si="26"/>
        <v/>
      </c>
      <c r="DD32" s="39" t="str">
        <f t="shared" si="26"/>
        <v/>
      </c>
      <c r="DE32" s="39" t="str">
        <f t="shared" si="26"/>
        <v/>
      </c>
      <c r="DF32" s="37" t="str">
        <f t="shared" si="27"/>
        <v>2+0+0</v>
      </c>
      <c r="DG32" s="37" t="str">
        <f t="shared" si="28"/>
        <v>634+513|624+541</v>
      </c>
      <c r="DH32" s="37" t="str">
        <f t="shared" si="29"/>
        <v>0+0</v>
      </c>
      <c r="DI32" s="37" t="str">
        <f t="shared" si="30"/>
        <v>0+0</v>
      </c>
      <c r="DJ32" s="37" t="str">
        <f t="shared" si="31"/>
        <v>2+0+0|634+513|624+541|0+0|0+0</v>
      </c>
    </row>
    <row r="33" spans="2:114" x14ac:dyDescent="0.15">
      <c r="B33" s="15">
        <v>30</v>
      </c>
      <c r="C33" s="15" t="s">
        <v>56</v>
      </c>
      <c r="D33" s="15">
        <v>24</v>
      </c>
      <c r="G33" s="25" t="s">
        <v>521</v>
      </c>
      <c r="H33" s="25">
        <v>30</v>
      </c>
      <c r="I33" s="26" t="s">
        <v>99</v>
      </c>
      <c r="J33" s="26">
        <f t="shared" si="6"/>
        <v>46</v>
      </c>
      <c r="M33" s="25" t="s">
        <v>521</v>
      </c>
      <c r="N33" s="25">
        <v>30</v>
      </c>
      <c r="O33" s="26" t="s">
        <v>33</v>
      </c>
      <c r="P33" s="26">
        <f t="shared" si="7"/>
        <v>13</v>
      </c>
      <c r="Q33" s="26"/>
      <c r="R33" s="26"/>
      <c r="S33" s="25" t="s">
        <v>521</v>
      </c>
      <c r="T33" s="25">
        <v>30</v>
      </c>
      <c r="U33" s="26" t="s">
        <v>187</v>
      </c>
      <c r="V33" s="26">
        <f t="shared" si="8"/>
        <v>89</v>
      </c>
      <c r="W33" s="26"/>
      <c r="Y33" s="25" t="s">
        <v>521</v>
      </c>
      <c r="Z33" s="25">
        <v>30</v>
      </c>
      <c r="AA33" s="26" t="s">
        <v>40</v>
      </c>
      <c r="AB33" s="26">
        <f t="shared" si="9"/>
        <v>17</v>
      </c>
      <c r="AE33" s="25" t="s">
        <v>521</v>
      </c>
      <c r="AF33" s="25">
        <v>30</v>
      </c>
      <c r="AG33" s="26" t="s">
        <v>927</v>
      </c>
      <c r="AH33" s="26">
        <f t="shared" si="10"/>
        <v>82</v>
      </c>
      <c r="AK33" s="25" t="s">
        <v>521</v>
      </c>
      <c r="AL33" s="25">
        <v>30</v>
      </c>
      <c r="AM33" s="26" t="s">
        <v>894</v>
      </c>
      <c r="AN33" s="26">
        <f t="shared" si="11"/>
        <v>66</v>
      </c>
      <c r="AQ33" s="25" t="s">
        <v>521</v>
      </c>
      <c r="AR33" s="25">
        <v>30</v>
      </c>
      <c r="AS33" s="26" t="s">
        <v>198</v>
      </c>
      <c r="AT33" s="26">
        <f t="shared" si="12"/>
        <v>94</v>
      </c>
      <c r="AX33" s="15"/>
      <c r="AY33" s="35">
        <f t="shared" si="13"/>
        <v>30</v>
      </c>
      <c r="AZ33" s="35" t="str">
        <f t="shared" si="14"/>
        <v>604+318</v>
      </c>
      <c r="BA33" s="35">
        <f t="shared" si="15"/>
        <v>24</v>
      </c>
      <c r="BB33" s="38">
        <f>COUNTIF($BA$4:$BA33,$BA33)</f>
        <v>1</v>
      </c>
      <c r="BC33" s="36" t="str">
        <f t="shared" si="16"/>
        <v>村</v>
      </c>
      <c r="BD33" s="36" t="str">
        <f t="shared" si="17"/>
        <v/>
      </c>
      <c r="BE33" s="36" t="str">
        <f t="shared" si="18"/>
        <v/>
      </c>
      <c r="BF33" s="36" t="str">
        <f t="shared" si="19"/>
        <v>村</v>
      </c>
      <c r="BG33" s="36" t="str">
        <f t="shared" si="20"/>
        <v/>
      </c>
      <c r="BH33" s="36" t="str">
        <f t="shared" si="21"/>
        <v/>
      </c>
      <c r="BI33" s="36" t="str">
        <f t="shared" si="22"/>
        <v/>
      </c>
      <c r="BJ33" s="29" t="str">
        <f t="shared" si="23"/>
        <v>村</v>
      </c>
      <c r="BL33" s="15">
        <v>30</v>
      </c>
      <c r="BM33" s="39" t="str">
        <f t="shared" si="33"/>
        <v>658+304</v>
      </c>
      <c r="BN33" s="39" t="str">
        <f t="shared" si="33"/>
        <v>676+275</v>
      </c>
      <c r="BO33" s="39" t="str">
        <f t="shared" si="33"/>
        <v/>
      </c>
      <c r="BP33" s="39" t="str">
        <f t="shared" si="33"/>
        <v/>
      </c>
      <c r="BQ33" s="39" t="str">
        <f t="shared" si="33"/>
        <v/>
      </c>
      <c r="BR33" s="39" t="str">
        <f t="shared" si="33"/>
        <v/>
      </c>
      <c r="BS33" s="39" t="str">
        <f t="shared" si="33"/>
        <v/>
      </c>
      <c r="BT33" s="39" t="str">
        <f t="shared" si="33"/>
        <v/>
      </c>
      <c r="BU33" s="39" t="str">
        <f t="shared" si="33"/>
        <v/>
      </c>
      <c r="BV33" s="39" t="str">
        <f t="shared" si="33"/>
        <v/>
      </c>
      <c r="BW33" s="39" t="str">
        <f t="shared" si="33"/>
        <v/>
      </c>
      <c r="BX33" s="39" t="str">
        <f t="shared" si="33"/>
        <v/>
      </c>
      <c r="BY33" s="39" t="str">
        <f t="shared" si="33"/>
        <v/>
      </c>
      <c r="BZ33" s="39" t="str">
        <f t="shared" si="33"/>
        <v/>
      </c>
      <c r="CA33" s="39" t="str">
        <f t="shared" si="33"/>
        <v/>
      </c>
      <c r="CB33" s="39" t="str">
        <f t="shared" si="25"/>
        <v/>
      </c>
      <c r="CC33" s="39" t="str">
        <f t="shared" si="25"/>
        <v/>
      </c>
      <c r="CD33" s="39" t="str">
        <f t="shared" si="25"/>
        <v/>
      </c>
      <c r="CE33" s="39" t="str">
        <f t="shared" si="25"/>
        <v/>
      </c>
      <c r="CF33" s="39" t="str">
        <f t="shared" si="25"/>
        <v/>
      </c>
      <c r="CG33" s="39" t="str">
        <f t="shared" si="25"/>
        <v/>
      </c>
      <c r="CH33" s="39" t="str">
        <f t="shared" si="25"/>
        <v/>
      </c>
      <c r="CI33" s="39" t="str">
        <f t="shared" si="25"/>
        <v/>
      </c>
      <c r="CJ33" s="39" t="str">
        <f t="shared" si="25"/>
        <v/>
      </c>
      <c r="CK33" s="39" t="str">
        <f t="shared" si="25"/>
        <v/>
      </c>
      <c r="CL33" s="39" t="str">
        <f t="shared" si="25"/>
        <v/>
      </c>
      <c r="CM33" s="39" t="str">
        <f t="shared" si="25"/>
        <v/>
      </c>
      <c r="CN33" s="39" t="str">
        <f t="shared" si="25"/>
        <v/>
      </c>
      <c r="CO33" s="39" t="str">
        <f t="shared" si="25"/>
        <v/>
      </c>
      <c r="CP33" s="39" t="str">
        <f t="shared" si="25"/>
        <v/>
      </c>
      <c r="CQ33" s="39" t="str">
        <f t="shared" si="26"/>
        <v/>
      </c>
      <c r="CR33" s="39" t="str">
        <f t="shared" si="26"/>
        <v/>
      </c>
      <c r="CS33" s="39" t="str">
        <f t="shared" si="26"/>
        <v/>
      </c>
      <c r="CT33" s="39" t="str">
        <f t="shared" si="26"/>
        <v/>
      </c>
      <c r="CU33" s="39" t="str">
        <f t="shared" si="26"/>
        <v/>
      </c>
      <c r="CV33" s="39" t="str">
        <f t="shared" si="26"/>
        <v/>
      </c>
      <c r="CW33" s="39" t="str">
        <f t="shared" si="26"/>
        <v/>
      </c>
      <c r="CX33" s="39" t="str">
        <f t="shared" si="26"/>
        <v/>
      </c>
      <c r="CY33" s="39" t="str">
        <f t="shared" si="26"/>
        <v/>
      </c>
      <c r="CZ33" s="39" t="str">
        <f t="shared" si="26"/>
        <v/>
      </c>
      <c r="DA33" s="39" t="str">
        <f t="shared" si="26"/>
        <v/>
      </c>
      <c r="DB33" s="39" t="str">
        <f t="shared" si="26"/>
        <v/>
      </c>
      <c r="DC33" s="39" t="str">
        <f t="shared" si="26"/>
        <v/>
      </c>
      <c r="DD33" s="39" t="str">
        <f t="shared" si="26"/>
        <v/>
      </c>
      <c r="DE33" s="39" t="str">
        <f t="shared" si="26"/>
        <v/>
      </c>
      <c r="DF33" s="37" t="str">
        <f t="shared" si="27"/>
        <v>2+0+0</v>
      </c>
      <c r="DG33" s="37" t="str">
        <f t="shared" si="28"/>
        <v>658+304|676+275</v>
      </c>
      <c r="DH33" s="37" t="str">
        <f t="shared" si="29"/>
        <v>0+0</v>
      </c>
      <c r="DI33" s="37" t="str">
        <f t="shared" si="30"/>
        <v>0+0</v>
      </c>
      <c r="DJ33" s="37" t="str">
        <f t="shared" si="31"/>
        <v>2+0+0|658+304|676+275|0+0|0+0</v>
      </c>
    </row>
    <row r="34" spans="2:114" x14ac:dyDescent="0.15">
      <c r="B34" s="15">
        <v>31</v>
      </c>
      <c r="C34" s="15" t="s">
        <v>57</v>
      </c>
      <c r="D34" s="15">
        <v>24</v>
      </c>
      <c r="G34" s="25" t="s">
        <v>521</v>
      </c>
      <c r="H34" s="25">
        <v>31</v>
      </c>
      <c r="I34" s="26" t="s">
        <v>105</v>
      </c>
      <c r="J34" s="26">
        <f t="shared" si="6"/>
        <v>49</v>
      </c>
      <c r="M34" s="25" t="s">
        <v>521</v>
      </c>
      <c r="N34" s="25">
        <v>31</v>
      </c>
      <c r="O34" s="26" t="s">
        <v>8</v>
      </c>
      <c r="P34" s="26">
        <f t="shared" si="7"/>
        <v>4</v>
      </c>
      <c r="Q34" s="26"/>
      <c r="R34" s="26"/>
      <c r="S34" s="25" t="s">
        <v>521</v>
      </c>
      <c r="T34" s="25">
        <v>31</v>
      </c>
      <c r="U34" s="26" t="s">
        <v>188</v>
      </c>
      <c r="V34" s="26">
        <f t="shared" si="8"/>
        <v>89</v>
      </c>
      <c r="W34" s="26"/>
      <c r="Y34" s="25" t="s">
        <v>521</v>
      </c>
      <c r="Z34" s="25">
        <v>31</v>
      </c>
      <c r="AA34" s="26" t="s">
        <v>39</v>
      </c>
      <c r="AB34" s="26">
        <f t="shared" si="9"/>
        <v>16</v>
      </c>
      <c r="AE34" s="25" t="s">
        <v>521</v>
      </c>
      <c r="AF34" s="25">
        <v>31</v>
      </c>
      <c r="AG34" s="26" t="s">
        <v>928</v>
      </c>
      <c r="AH34" s="26">
        <f t="shared" si="10"/>
        <v>80</v>
      </c>
      <c r="AK34" s="25" t="s">
        <v>521</v>
      </c>
      <c r="AL34" s="25">
        <v>31</v>
      </c>
      <c r="AM34" s="26" t="s">
        <v>895</v>
      </c>
      <c r="AN34" s="26">
        <f t="shared" si="11"/>
        <v>66</v>
      </c>
      <c r="AQ34" s="25" t="s">
        <v>521</v>
      </c>
      <c r="AR34" s="25">
        <v>31</v>
      </c>
      <c r="AS34" s="26" t="s">
        <v>194</v>
      </c>
      <c r="AT34" s="26">
        <f t="shared" si="12"/>
        <v>92</v>
      </c>
      <c r="AX34" s="15"/>
      <c r="AY34" s="35">
        <f t="shared" si="13"/>
        <v>31</v>
      </c>
      <c r="AZ34" s="35" t="str">
        <f t="shared" si="14"/>
        <v>574+329</v>
      </c>
      <c r="BA34" s="35">
        <f t="shared" si="15"/>
        <v>24</v>
      </c>
      <c r="BB34" s="38">
        <f>COUNTIF($BA$4:$BA34,$BA34)</f>
        <v>2</v>
      </c>
      <c r="BC34" s="36" t="str">
        <f t="shared" si="16"/>
        <v/>
      </c>
      <c r="BD34" s="36" t="str">
        <f t="shared" si="17"/>
        <v/>
      </c>
      <c r="BE34" s="36" t="str">
        <f t="shared" si="18"/>
        <v/>
      </c>
      <c r="BF34" s="36" t="str">
        <f t="shared" si="19"/>
        <v>村</v>
      </c>
      <c r="BG34" s="36" t="str">
        <f t="shared" si="20"/>
        <v/>
      </c>
      <c r="BH34" s="36" t="str">
        <f t="shared" si="21"/>
        <v/>
      </c>
      <c r="BI34" s="36" t="str">
        <f t="shared" si="22"/>
        <v/>
      </c>
      <c r="BJ34" s="29" t="str">
        <f t="shared" si="23"/>
        <v>村</v>
      </c>
      <c r="BL34" s="15">
        <v>31</v>
      </c>
      <c r="BM34" s="39" t="str">
        <f t="shared" si="33"/>
        <v>675+353</v>
      </c>
      <c r="BN34" s="39" t="str">
        <f t="shared" si="33"/>
        <v>665+379</v>
      </c>
      <c r="BO34" s="39" t="str">
        <f t="shared" si="33"/>
        <v/>
      </c>
      <c r="BP34" s="39" t="str">
        <f t="shared" si="33"/>
        <v/>
      </c>
      <c r="BQ34" s="39" t="str">
        <f t="shared" si="33"/>
        <v/>
      </c>
      <c r="BR34" s="39" t="str">
        <f t="shared" si="33"/>
        <v/>
      </c>
      <c r="BS34" s="39" t="str">
        <f t="shared" si="33"/>
        <v/>
      </c>
      <c r="BT34" s="39" t="str">
        <f t="shared" si="33"/>
        <v/>
      </c>
      <c r="BU34" s="39" t="str">
        <f t="shared" si="33"/>
        <v/>
      </c>
      <c r="BV34" s="39" t="str">
        <f t="shared" si="33"/>
        <v/>
      </c>
      <c r="BW34" s="39" t="str">
        <f t="shared" si="33"/>
        <v/>
      </c>
      <c r="BX34" s="39" t="str">
        <f t="shared" si="33"/>
        <v/>
      </c>
      <c r="BY34" s="39" t="str">
        <f t="shared" si="33"/>
        <v/>
      </c>
      <c r="BZ34" s="39" t="str">
        <f t="shared" si="33"/>
        <v/>
      </c>
      <c r="CA34" s="39" t="str">
        <f t="shared" si="33"/>
        <v/>
      </c>
      <c r="CB34" s="39" t="str">
        <f t="shared" si="25"/>
        <v/>
      </c>
      <c r="CC34" s="39" t="str">
        <f t="shared" si="25"/>
        <v/>
      </c>
      <c r="CD34" s="39" t="str">
        <f t="shared" si="25"/>
        <v/>
      </c>
      <c r="CE34" s="39" t="str">
        <f t="shared" si="25"/>
        <v/>
      </c>
      <c r="CF34" s="39" t="str">
        <f t="shared" si="25"/>
        <v/>
      </c>
      <c r="CG34" s="39" t="str">
        <f t="shared" si="25"/>
        <v/>
      </c>
      <c r="CH34" s="39" t="str">
        <f t="shared" si="25"/>
        <v/>
      </c>
      <c r="CI34" s="39" t="str">
        <f t="shared" si="25"/>
        <v/>
      </c>
      <c r="CJ34" s="39" t="str">
        <f t="shared" si="25"/>
        <v/>
      </c>
      <c r="CK34" s="39" t="str">
        <f t="shared" si="25"/>
        <v/>
      </c>
      <c r="CL34" s="39" t="str">
        <f t="shared" si="25"/>
        <v/>
      </c>
      <c r="CM34" s="39" t="str">
        <f t="shared" si="25"/>
        <v/>
      </c>
      <c r="CN34" s="39" t="str">
        <f t="shared" si="25"/>
        <v/>
      </c>
      <c r="CO34" s="39" t="str">
        <f t="shared" si="25"/>
        <v/>
      </c>
      <c r="CP34" s="39" t="str">
        <f t="shared" si="25"/>
        <v/>
      </c>
      <c r="CQ34" s="39" t="str">
        <f t="shared" si="26"/>
        <v/>
      </c>
      <c r="CR34" s="39" t="str">
        <f t="shared" si="26"/>
        <v/>
      </c>
      <c r="CS34" s="39" t="str">
        <f t="shared" si="26"/>
        <v>636+389</v>
      </c>
      <c r="CT34" s="39" t="str">
        <f t="shared" si="26"/>
        <v>644+381</v>
      </c>
      <c r="CU34" s="39" t="str">
        <f t="shared" si="26"/>
        <v/>
      </c>
      <c r="CV34" s="39" t="str">
        <f t="shared" si="26"/>
        <v/>
      </c>
      <c r="CW34" s="39" t="str">
        <f t="shared" si="26"/>
        <v/>
      </c>
      <c r="CX34" s="39" t="str">
        <f t="shared" si="26"/>
        <v/>
      </c>
      <c r="CY34" s="39" t="str">
        <f t="shared" si="26"/>
        <v/>
      </c>
      <c r="CZ34" s="39" t="str">
        <f t="shared" si="26"/>
        <v/>
      </c>
      <c r="DA34" s="39" t="str">
        <f t="shared" si="26"/>
        <v/>
      </c>
      <c r="DB34" s="39" t="str">
        <f t="shared" si="26"/>
        <v/>
      </c>
      <c r="DC34" s="39" t="str">
        <f t="shared" si="26"/>
        <v/>
      </c>
      <c r="DD34" s="39" t="str">
        <f t="shared" si="26"/>
        <v/>
      </c>
      <c r="DE34" s="39" t="str">
        <f t="shared" si="26"/>
        <v/>
      </c>
      <c r="DF34" s="37" t="str">
        <f t="shared" si="27"/>
        <v>2+0+2</v>
      </c>
      <c r="DG34" s="37" t="str">
        <f t="shared" si="28"/>
        <v>675+353|665+379</v>
      </c>
      <c r="DH34" s="37" t="str">
        <f t="shared" si="29"/>
        <v>0+0</v>
      </c>
      <c r="DI34" s="37" t="str">
        <f t="shared" si="30"/>
        <v>636+389|644+381</v>
      </c>
      <c r="DJ34" s="37" t="str">
        <f t="shared" si="31"/>
        <v>2+0+2|675+353|665+379|0+0|636+389|644+381</v>
      </c>
    </row>
    <row r="35" spans="2:114" x14ac:dyDescent="0.15">
      <c r="B35" s="15">
        <v>32</v>
      </c>
      <c r="C35" s="15" t="s">
        <v>592</v>
      </c>
      <c r="D35" s="15">
        <v>24</v>
      </c>
      <c r="G35" s="25" t="s">
        <v>521</v>
      </c>
      <c r="H35" s="25">
        <v>32</v>
      </c>
      <c r="I35" s="26" t="s">
        <v>113</v>
      </c>
      <c r="J35" s="26">
        <f t="shared" si="6"/>
        <v>53</v>
      </c>
      <c r="M35" s="25" t="s">
        <v>521</v>
      </c>
      <c r="N35" s="25">
        <v>32</v>
      </c>
      <c r="O35" s="26" t="s">
        <v>7</v>
      </c>
      <c r="P35" s="26">
        <f t="shared" si="7"/>
        <v>4</v>
      </c>
      <c r="Q35" s="26"/>
      <c r="R35" s="26"/>
      <c r="S35" s="25" t="s">
        <v>521</v>
      </c>
      <c r="T35" s="25">
        <v>32</v>
      </c>
      <c r="U35" s="26" t="s">
        <v>190</v>
      </c>
      <c r="V35" s="26">
        <f t="shared" si="8"/>
        <v>90</v>
      </c>
      <c r="W35" s="26"/>
      <c r="Y35" s="25" t="s">
        <v>521</v>
      </c>
      <c r="Z35" s="25">
        <v>32</v>
      </c>
      <c r="AA35" s="26" t="s">
        <v>38</v>
      </c>
      <c r="AB35" s="26">
        <f t="shared" si="9"/>
        <v>16</v>
      </c>
      <c r="AE35" s="25" t="s">
        <v>521</v>
      </c>
      <c r="AF35" s="25">
        <v>32</v>
      </c>
      <c r="AG35" s="26" t="s">
        <v>930</v>
      </c>
      <c r="AH35" s="26">
        <f t="shared" si="10"/>
        <v>123</v>
      </c>
      <c r="AK35" s="25" t="s">
        <v>521</v>
      </c>
      <c r="AL35" s="25">
        <v>32</v>
      </c>
      <c r="AM35" s="26" t="s">
        <v>897</v>
      </c>
      <c r="AN35" s="26">
        <f t="shared" si="11"/>
        <v>70</v>
      </c>
      <c r="AQ35" s="25" t="s">
        <v>521</v>
      </c>
      <c r="AR35" s="25">
        <v>32</v>
      </c>
      <c r="AS35" s="26" t="s">
        <v>193</v>
      </c>
      <c r="AT35" s="26">
        <f t="shared" si="12"/>
        <v>92</v>
      </c>
      <c r="AX35" s="15"/>
      <c r="AY35" s="35">
        <f t="shared" si="13"/>
        <v>32</v>
      </c>
      <c r="AZ35" s="35" t="str">
        <f t="shared" si="14"/>
        <v>591+295</v>
      </c>
      <c r="BA35" s="35">
        <f t="shared" si="15"/>
        <v>24</v>
      </c>
      <c r="BB35" s="38">
        <f>COUNTIF($BA$4:$BA35,$BA35)</f>
        <v>3</v>
      </c>
      <c r="BC35" s="36" t="str">
        <f t="shared" si="16"/>
        <v/>
      </c>
      <c r="BD35" s="36" t="str">
        <f t="shared" si="17"/>
        <v/>
      </c>
      <c r="BE35" s="36" t="str">
        <f t="shared" si="18"/>
        <v/>
      </c>
      <c r="BF35" s="36" t="str">
        <f t="shared" si="19"/>
        <v>营</v>
      </c>
      <c r="BG35" s="36" t="str">
        <f t="shared" si="20"/>
        <v/>
      </c>
      <c r="BH35" s="36" t="str">
        <f t="shared" si="21"/>
        <v/>
      </c>
      <c r="BI35" s="36" t="str">
        <f t="shared" si="22"/>
        <v/>
      </c>
      <c r="BJ35" s="29" t="str">
        <f t="shared" si="23"/>
        <v>营</v>
      </c>
      <c r="BL35" s="15">
        <v>32</v>
      </c>
      <c r="BM35" s="39" t="str">
        <f t="shared" si="33"/>
        <v/>
      </c>
      <c r="BN35" s="39" t="str">
        <f t="shared" si="33"/>
        <v/>
      </c>
      <c r="BO35" s="39" t="str">
        <f t="shared" si="33"/>
        <v/>
      </c>
      <c r="BP35" s="39" t="str">
        <f t="shared" si="33"/>
        <v/>
      </c>
      <c r="BQ35" s="39" t="str">
        <f t="shared" si="33"/>
        <v/>
      </c>
      <c r="BR35" s="39" t="str">
        <f t="shared" si="33"/>
        <v/>
      </c>
      <c r="BS35" s="39" t="str">
        <f t="shared" si="33"/>
        <v/>
      </c>
      <c r="BT35" s="39" t="str">
        <f t="shared" si="33"/>
        <v/>
      </c>
      <c r="BU35" s="39" t="str">
        <f t="shared" si="33"/>
        <v/>
      </c>
      <c r="BV35" s="39" t="str">
        <f t="shared" si="33"/>
        <v/>
      </c>
      <c r="BW35" s="39" t="str">
        <f t="shared" si="33"/>
        <v/>
      </c>
      <c r="BX35" s="39" t="str">
        <f t="shared" si="33"/>
        <v/>
      </c>
      <c r="BY35" s="39" t="str">
        <f t="shared" si="33"/>
        <v/>
      </c>
      <c r="BZ35" s="39" t="str">
        <f t="shared" si="33"/>
        <v/>
      </c>
      <c r="CA35" s="39" t="str">
        <f t="shared" si="33"/>
        <v/>
      </c>
      <c r="CB35" s="39" t="str">
        <f t="shared" si="25"/>
        <v/>
      </c>
      <c r="CC35" s="39" t="str">
        <f t="shared" si="25"/>
        <v/>
      </c>
      <c r="CD35" s="39" t="str">
        <f t="shared" si="25"/>
        <v/>
      </c>
      <c r="CE35" s="39" t="str">
        <f t="shared" si="25"/>
        <v/>
      </c>
      <c r="CF35" s="39" t="str">
        <f t="shared" si="25"/>
        <v/>
      </c>
      <c r="CG35" s="39" t="str">
        <f t="shared" si="25"/>
        <v/>
      </c>
      <c r="CH35" s="39" t="str">
        <f t="shared" si="25"/>
        <v/>
      </c>
      <c r="CI35" s="39" t="str">
        <f t="shared" si="25"/>
        <v/>
      </c>
      <c r="CJ35" s="39" t="str">
        <f t="shared" si="25"/>
        <v/>
      </c>
      <c r="CK35" s="39" t="str">
        <f t="shared" si="25"/>
        <v/>
      </c>
      <c r="CL35" s="39" t="str">
        <f t="shared" si="25"/>
        <v/>
      </c>
      <c r="CM35" s="39" t="str">
        <f t="shared" si="25"/>
        <v/>
      </c>
      <c r="CN35" s="39" t="str">
        <f t="shared" si="25"/>
        <v/>
      </c>
      <c r="CO35" s="39" t="str">
        <f t="shared" si="25"/>
        <v/>
      </c>
      <c r="CP35" s="39" t="str">
        <f t="shared" si="25"/>
        <v/>
      </c>
      <c r="CQ35" s="39" t="str">
        <f t="shared" si="26"/>
        <v>665+443</v>
      </c>
      <c r="CR35" s="39" t="str">
        <f t="shared" si="26"/>
        <v/>
      </c>
      <c r="CS35" s="39" t="str">
        <f t="shared" si="26"/>
        <v/>
      </c>
      <c r="CT35" s="39" t="str">
        <f t="shared" si="26"/>
        <v/>
      </c>
      <c r="CU35" s="39" t="str">
        <f t="shared" si="26"/>
        <v/>
      </c>
      <c r="CV35" s="39" t="str">
        <f t="shared" si="26"/>
        <v/>
      </c>
      <c r="CW35" s="39" t="str">
        <f t="shared" si="26"/>
        <v/>
      </c>
      <c r="CX35" s="39" t="str">
        <f t="shared" si="26"/>
        <v/>
      </c>
      <c r="CY35" s="39" t="str">
        <f t="shared" si="26"/>
        <v/>
      </c>
      <c r="CZ35" s="39" t="str">
        <f t="shared" si="26"/>
        <v/>
      </c>
      <c r="DA35" s="39" t="str">
        <f t="shared" si="26"/>
        <v/>
      </c>
      <c r="DB35" s="39" t="str">
        <f t="shared" si="26"/>
        <v/>
      </c>
      <c r="DC35" s="39" t="str">
        <f t="shared" si="26"/>
        <v/>
      </c>
      <c r="DD35" s="39" t="str">
        <f t="shared" si="26"/>
        <v/>
      </c>
      <c r="DE35" s="39" t="str">
        <f t="shared" si="26"/>
        <v/>
      </c>
      <c r="DF35" s="37" t="str">
        <f t="shared" si="27"/>
        <v>0+0+1</v>
      </c>
      <c r="DG35" s="37" t="str">
        <f t="shared" si="28"/>
        <v>0+0</v>
      </c>
      <c r="DH35" s="37" t="str">
        <f t="shared" si="29"/>
        <v>0+0</v>
      </c>
      <c r="DI35" s="37" t="str">
        <f t="shared" si="30"/>
        <v>665+443</v>
      </c>
      <c r="DJ35" s="37" t="str">
        <f t="shared" si="31"/>
        <v>0+0+1|0+0|0+0|665+443</v>
      </c>
    </row>
    <row r="36" spans="2:114" x14ac:dyDescent="0.15">
      <c r="B36" s="15">
        <v>33</v>
      </c>
      <c r="C36" s="15" t="s">
        <v>58</v>
      </c>
      <c r="D36" s="15">
        <v>25</v>
      </c>
      <c r="G36" s="27" t="s">
        <v>524</v>
      </c>
      <c r="H36" s="27">
        <v>33</v>
      </c>
      <c r="I36" s="26" t="s">
        <v>100</v>
      </c>
      <c r="J36" s="26">
        <f t="shared" si="6"/>
        <v>46</v>
      </c>
      <c r="M36" s="27" t="s">
        <v>524</v>
      </c>
      <c r="N36" s="27">
        <v>33</v>
      </c>
      <c r="O36" s="26" t="s">
        <v>217</v>
      </c>
      <c r="P36" s="26">
        <f t="shared" si="7"/>
        <v>104</v>
      </c>
      <c r="Q36" s="26"/>
      <c r="R36" s="26"/>
      <c r="S36" s="27" t="s">
        <v>524</v>
      </c>
      <c r="T36" s="27">
        <v>33</v>
      </c>
      <c r="U36" s="26" t="s">
        <v>191</v>
      </c>
      <c r="V36" s="26">
        <f t="shared" si="8"/>
        <v>91</v>
      </c>
      <c r="W36" s="26"/>
      <c r="Y36" s="27" t="s">
        <v>524</v>
      </c>
      <c r="Z36" s="27">
        <v>33</v>
      </c>
      <c r="AA36" s="26" t="s">
        <v>57</v>
      </c>
      <c r="AB36" s="26">
        <f t="shared" si="9"/>
        <v>24</v>
      </c>
      <c r="AE36" s="27" t="s">
        <v>524</v>
      </c>
      <c r="AF36" s="27">
        <v>33</v>
      </c>
      <c r="AG36" s="26" t="s">
        <v>891</v>
      </c>
      <c r="AH36" s="26">
        <f t="shared" si="10"/>
        <v>64</v>
      </c>
      <c r="AK36" s="27" t="s">
        <v>524</v>
      </c>
      <c r="AL36" s="27">
        <v>33</v>
      </c>
      <c r="AM36" s="26" t="s">
        <v>937</v>
      </c>
      <c r="AN36" s="26">
        <f t="shared" si="11"/>
        <v>129</v>
      </c>
      <c r="AQ36" s="27" t="s">
        <v>524</v>
      </c>
      <c r="AR36" s="27">
        <v>33</v>
      </c>
      <c r="AS36" s="26" t="s">
        <v>185</v>
      </c>
      <c r="AT36" s="26">
        <f t="shared" si="12"/>
        <v>88</v>
      </c>
      <c r="AX36" s="15"/>
      <c r="AY36" s="35">
        <f t="shared" si="13"/>
        <v>33</v>
      </c>
      <c r="AZ36" s="35" t="str">
        <f t="shared" si="14"/>
        <v>599+395</v>
      </c>
      <c r="BA36" s="35">
        <f t="shared" si="15"/>
        <v>25</v>
      </c>
      <c r="BB36" s="38">
        <f>COUNTIF($BA$4:$BA36,$BA36)</f>
        <v>1</v>
      </c>
      <c r="BC36" s="36" t="str">
        <f t="shared" si="16"/>
        <v>村</v>
      </c>
      <c r="BD36" s="36" t="str">
        <f t="shared" si="17"/>
        <v/>
      </c>
      <c r="BE36" s="36" t="str">
        <f t="shared" si="18"/>
        <v>村</v>
      </c>
      <c r="BF36" s="36" t="str">
        <f t="shared" si="19"/>
        <v>村</v>
      </c>
      <c r="BG36" s="36" t="str">
        <f t="shared" si="20"/>
        <v/>
      </c>
      <c r="BH36" s="36" t="str">
        <f t="shared" si="21"/>
        <v/>
      </c>
      <c r="BI36" s="36" t="str">
        <f t="shared" si="22"/>
        <v/>
      </c>
      <c r="BJ36" s="29" t="str">
        <f t="shared" si="23"/>
        <v>村</v>
      </c>
      <c r="BL36" s="15">
        <v>33</v>
      </c>
      <c r="BM36" s="39" t="str">
        <f t="shared" si="33"/>
        <v/>
      </c>
      <c r="BN36" s="39" t="str">
        <f t="shared" si="33"/>
        <v/>
      </c>
      <c r="BO36" s="39" t="str">
        <f t="shared" si="33"/>
        <v/>
      </c>
      <c r="BP36" s="39" t="str">
        <f t="shared" si="33"/>
        <v/>
      </c>
      <c r="BQ36" s="39" t="str">
        <f t="shared" si="33"/>
        <v/>
      </c>
      <c r="BR36" s="39" t="str">
        <f t="shared" si="33"/>
        <v/>
      </c>
      <c r="BS36" s="39" t="str">
        <f t="shared" si="33"/>
        <v/>
      </c>
      <c r="BT36" s="39" t="str">
        <f t="shared" si="33"/>
        <v/>
      </c>
      <c r="BU36" s="39" t="str">
        <f t="shared" si="33"/>
        <v/>
      </c>
      <c r="BV36" s="39" t="str">
        <f t="shared" si="33"/>
        <v/>
      </c>
      <c r="BW36" s="39" t="str">
        <f t="shared" si="33"/>
        <v/>
      </c>
      <c r="BX36" s="39" t="str">
        <f t="shared" si="33"/>
        <v/>
      </c>
      <c r="BY36" s="39" t="str">
        <f t="shared" si="33"/>
        <v/>
      </c>
      <c r="BZ36" s="39" t="str">
        <f t="shared" si="33"/>
        <v/>
      </c>
      <c r="CA36" s="39" t="str">
        <f t="shared" si="33"/>
        <v/>
      </c>
      <c r="CB36" s="39" t="str">
        <f t="shared" ref="CB36:CP52" si="34">IFERROR(INDEX($AZ$4:$AZ$1000,MATCH(SUMIFS($AY$4:$AY$1000,$BA$4:$BA$1000,$BL36,$BB$4:$BB$1000,CB$3,$BJ$4:$BJ$1000,"县"),$AY$4:$AY$1000,0)),"")</f>
        <v/>
      </c>
      <c r="CC36" s="39" t="str">
        <f t="shared" si="34"/>
        <v/>
      </c>
      <c r="CD36" s="39" t="str">
        <f t="shared" si="34"/>
        <v/>
      </c>
      <c r="CE36" s="39" t="str">
        <f t="shared" si="34"/>
        <v/>
      </c>
      <c r="CF36" s="39" t="str">
        <f t="shared" si="34"/>
        <v/>
      </c>
      <c r="CG36" s="39" t="str">
        <f t="shared" si="34"/>
        <v/>
      </c>
      <c r="CH36" s="39" t="str">
        <f t="shared" si="34"/>
        <v/>
      </c>
      <c r="CI36" s="39" t="str">
        <f t="shared" si="34"/>
        <v/>
      </c>
      <c r="CJ36" s="39" t="str">
        <f t="shared" si="34"/>
        <v/>
      </c>
      <c r="CK36" s="39" t="str">
        <f t="shared" si="34"/>
        <v/>
      </c>
      <c r="CL36" s="39" t="str">
        <f t="shared" si="34"/>
        <v/>
      </c>
      <c r="CM36" s="39" t="str">
        <f t="shared" si="34"/>
        <v/>
      </c>
      <c r="CN36" s="39" t="str">
        <f t="shared" si="34"/>
        <v/>
      </c>
      <c r="CO36" s="39" t="str">
        <f t="shared" si="34"/>
        <v/>
      </c>
      <c r="CP36" s="39" t="str">
        <f t="shared" si="34"/>
        <v/>
      </c>
      <c r="CQ36" s="39" t="str">
        <f t="shared" ref="CQ36:DE52" si="35">IFERROR(INDEX($AZ$4:$AZ$1000,MATCH(SUMIFS($AY$4:$AY$1000,$BA$4:$BA$1000,$BL36,$BB$4:$BB$1000,CQ$3,$BJ$4:$BJ$1000,"营"),$AY$4:$AY$1000,0)),"")</f>
        <v>675+481</v>
      </c>
      <c r="CR36" s="39" t="str">
        <f t="shared" si="35"/>
        <v/>
      </c>
      <c r="CS36" s="39" t="str">
        <f t="shared" si="35"/>
        <v/>
      </c>
      <c r="CT36" s="39" t="str">
        <f t="shared" si="35"/>
        <v/>
      </c>
      <c r="CU36" s="39" t="str">
        <f t="shared" si="35"/>
        <v/>
      </c>
      <c r="CV36" s="39" t="str">
        <f t="shared" si="35"/>
        <v/>
      </c>
      <c r="CW36" s="39" t="str">
        <f t="shared" si="35"/>
        <v/>
      </c>
      <c r="CX36" s="39" t="str">
        <f t="shared" si="35"/>
        <v/>
      </c>
      <c r="CY36" s="39" t="str">
        <f t="shared" si="35"/>
        <v/>
      </c>
      <c r="CZ36" s="39" t="str">
        <f t="shared" si="35"/>
        <v/>
      </c>
      <c r="DA36" s="39" t="str">
        <f t="shared" si="35"/>
        <v/>
      </c>
      <c r="DB36" s="39" t="str">
        <f t="shared" si="35"/>
        <v/>
      </c>
      <c r="DC36" s="39" t="str">
        <f t="shared" si="35"/>
        <v/>
      </c>
      <c r="DD36" s="39" t="str">
        <f t="shared" si="35"/>
        <v/>
      </c>
      <c r="DE36" s="39" t="str">
        <f t="shared" si="35"/>
        <v/>
      </c>
      <c r="DF36" s="37" t="str">
        <f t="shared" si="27"/>
        <v>0+0+1</v>
      </c>
      <c r="DG36" s="37" t="str">
        <f t="shared" si="28"/>
        <v>0+0</v>
      </c>
      <c r="DH36" s="37" t="str">
        <f t="shared" si="29"/>
        <v>0+0</v>
      </c>
      <c r="DI36" s="37" t="str">
        <f t="shared" si="30"/>
        <v>675+481</v>
      </c>
      <c r="DJ36" s="37" t="str">
        <f t="shared" si="31"/>
        <v>0+0+1|0+0|0+0|675+481</v>
      </c>
    </row>
    <row r="37" spans="2:114" x14ac:dyDescent="0.15">
      <c r="B37" s="15">
        <v>34</v>
      </c>
      <c r="C37" s="15" t="s">
        <v>59</v>
      </c>
      <c r="D37" s="15">
        <v>25</v>
      </c>
      <c r="G37" s="27" t="s">
        <v>524</v>
      </c>
      <c r="H37" s="27">
        <v>34</v>
      </c>
      <c r="I37" s="26" t="s">
        <v>104</v>
      </c>
      <c r="J37" s="26">
        <f t="shared" si="6"/>
        <v>48</v>
      </c>
      <c r="M37" s="27" t="s">
        <v>524</v>
      </c>
      <c r="N37" s="27">
        <v>34</v>
      </c>
      <c r="O37" s="26" t="s">
        <v>215</v>
      </c>
      <c r="P37" s="26">
        <f t="shared" si="7"/>
        <v>103</v>
      </c>
      <c r="Q37" s="26"/>
      <c r="R37" s="26"/>
      <c r="S37" s="27" t="s">
        <v>524</v>
      </c>
      <c r="T37" s="27">
        <v>34</v>
      </c>
      <c r="U37" s="26" t="s">
        <v>630</v>
      </c>
      <c r="V37" s="26">
        <f t="shared" si="8"/>
        <v>91</v>
      </c>
      <c r="W37" s="26"/>
      <c r="Y37" s="27" t="s">
        <v>524</v>
      </c>
      <c r="Z37" s="27">
        <v>34</v>
      </c>
      <c r="AA37" s="26" t="s">
        <v>112</v>
      </c>
      <c r="AB37" s="26">
        <f t="shared" si="9"/>
        <v>52</v>
      </c>
      <c r="AE37" s="27" t="s">
        <v>524</v>
      </c>
      <c r="AF37" s="27">
        <v>34</v>
      </c>
      <c r="AG37" s="26" t="s">
        <v>892</v>
      </c>
      <c r="AH37" s="26">
        <f t="shared" si="10"/>
        <v>65</v>
      </c>
      <c r="AK37" s="27" t="s">
        <v>524</v>
      </c>
      <c r="AL37" s="27">
        <v>34</v>
      </c>
      <c r="AM37" s="26" t="s">
        <v>964</v>
      </c>
      <c r="AN37" s="26">
        <f t="shared" si="11"/>
        <v>120</v>
      </c>
      <c r="AQ37" s="27" t="s">
        <v>524</v>
      </c>
      <c r="AR37" s="27">
        <v>34</v>
      </c>
      <c r="AS37" s="26" t="s">
        <v>186</v>
      </c>
      <c r="AT37" s="26">
        <f t="shared" si="12"/>
        <v>88</v>
      </c>
      <c r="AX37" s="15"/>
      <c r="AY37" s="35">
        <f t="shared" si="13"/>
        <v>34</v>
      </c>
      <c r="AZ37" s="35" t="str">
        <f t="shared" si="14"/>
        <v>616+379</v>
      </c>
      <c r="BA37" s="35">
        <f t="shared" si="15"/>
        <v>25</v>
      </c>
      <c r="BB37" s="38">
        <f>COUNTIF($BA$4:$BA37,$BA37)</f>
        <v>2</v>
      </c>
      <c r="BC37" s="36" t="str">
        <f t="shared" si="16"/>
        <v>村</v>
      </c>
      <c r="BD37" s="36" t="str">
        <f t="shared" si="17"/>
        <v/>
      </c>
      <c r="BE37" s="36" t="str">
        <f t="shared" si="18"/>
        <v>村</v>
      </c>
      <c r="BF37" s="36" t="str">
        <f t="shared" si="19"/>
        <v>村</v>
      </c>
      <c r="BG37" s="36" t="str">
        <f t="shared" si="20"/>
        <v/>
      </c>
      <c r="BH37" s="36" t="str">
        <f t="shared" si="21"/>
        <v/>
      </c>
      <c r="BI37" s="36" t="str">
        <f t="shared" si="22"/>
        <v/>
      </c>
      <c r="BJ37" s="29" t="str">
        <f t="shared" si="23"/>
        <v>村</v>
      </c>
      <c r="BL37" s="15">
        <v>34</v>
      </c>
      <c r="BM37" s="39" t="str">
        <f t="shared" si="33"/>
        <v>654+516</v>
      </c>
      <c r="BN37" s="39" t="str">
        <f t="shared" si="33"/>
        <v>669+515</v>
      </c>
      <c r="BO37" s="39" t="str">
        <f t="shared" si="33"/>
        <v/>
      </c>
      <c r="BP37" s="39" t="str">
        <f t="shared" si="33"/>
        <v/>
      </c>
      <c r="BQ37" s="39" t="str">
        <f t="shared" si="33"/>
        <v/>
      </c>
      <c r="BR37" s="39" t="str">
        <f t="shared" si="33"/>
        <v/>
      </c>
      <c r="BS37" s="39" t="str">
        <f t="shared" si="33"/>
        <v/>
      </c>
      <c r="BT37" s="39" t="str">
        <f t="shared" si="33"/>
        <v/>
      </c>
      <c r="BU37" s="39" t="str">
        <f t="shared" si="33"/>
        <v/>
      </c>
      <c r="BV37" s="39" t="str">
        <f t="shared" si="33"/>
        <v/>
      </c>
      <c r="BW37" s="39" t="str">
        <f t="shared" si="33"/>
        <v/>
      </c>
      <c r="BX37" s="39" t="str">
        <f t="shared" si="33"/>
        <v/>
      </c>
      <c r="BY37" s="39" t="str">
        <f t="shared" si="33"/>
        <v/>
      </c>
      <c r="BZ37" s="39" t="str">
        <f t="shared" si="33"/>
        <v/>
      </c>
      <c r="CA37" s="39" t="str">
        <f t="shared" si="33"/>
        <v/>
      </c>
      <c r="CB37" s="39" t="str">
        <f t="shared" si="34"/>
        <v/>
      </c>
      <c r="CC37" s="39" t="str">
        <f t="shared" si="34"/>
        <v/>
      </c>
      <c r="CD37" s="39" t="str">
        <f t="shared" si="34"/>
        <v/>
      </c>
      <c r="CE37" s="39" t="str">
        <f t="shared" si="34"/>
        <v/>
      </c>
      <c r="CF37" s="39" t="str">
        <f t="shared" si="34"/>
        <v/>
      </c>
      <c r="CG37" s="39" t="str">
        <f t="shared" si="34"/>
        <v/>
      </c>
      <c r="CH37" s="39" t="str">
        <f t="shared" si="34"/>
        <v/>
      </c>
      <c r="CI37" s="39" t="str">
        <f t="shared" si="34"/>
        <v/>
      </c>
      <c r="CJ37" s="39" t="str">
        <f t="shared" si="34"/>
        <v/>
      </c>
      <c r="CK37" s="39" t="str">
        <f t="shared" si="34"/>
        <v/>
      </c>
      <c r="CL37" s="39" t="str">
        <f t="shared" si="34"/>
        <v/>
      </c>
      <c r="CM37" s="39" t="str">
        <f t="shared" si="34"/>
        <v/>
      </c>
      <c r="CN37" s="39" t="str">
        <f t="shared" si="34"/>
        <v/>
      </c>
      <c r="CO37" s="39" t="str">
        <f t="shared" si="34"/>
        <v/>
      </c>
      <c r="CP37" s="39" t="str">
        <f t="shared" si="34"/>
        <v/>
      </c>
      <c r="CQ37" s="39" t="str">
        <f t="shared" si="35"/>
        <v/>
      </c>
      <c r="CR37" s="39" t="str">
        <f t="shared" si="35"/>
        <v/>
      </c>
      <c r="CS37" s="39" t="str">
        <f t="shared" si="35"/>
        <v>655+544</v>
      </c>
      <c r="CT37" s="39" t="str">
        <f t="shared" si="35"/>
        <v/>
      </c>
      <c r="CU37" s="39" t="str">
        <f t="shared" si="35"/>
        <v/>
      </c>
      <c r="CV37" s="39" t="str">
        <f t="shared" si="35"/>
        <v/>
      </c>
      <c r="CW37" s="39" t="str">
        <f t="shared" si="35"/>
        <v/>
      </c>
      <c r="CX37" s="39" t="str">
        <f t="shared" si="35"/>
        <v/>
      </c>
      <c r="CY37" s="39" t="str">
        <f t="shared" si="35"/>
        <v/>
      </c>
      <c r="CZ37" s="39" t="str">
        <f t="shared" si="35"/>
        <v/>
      </c>
      <c r="DA37" s="39" t="str">
        <f t="shared" si="35"/>
        <v/>
      </c>
      <c r="DB37" s="39" t="str">
        <f t="shared" si="35"/>
        <v/>
      </c>
      <c r="DC37" s="39" t="str">
        <f t="shared" si="35"/>
        <v/>
      </c>
      <c r="DD37" s="39" t="str">
        <f t="shared" si="35"/>
        <v/>
      </c>
      <c r="DE37" s="39" t="str">
        <f t="shared" si="35"/>
        <v/>
      </c>
      <c r="DF37" s="37" t="str">
        <f t="shared" si="27"/>
        <v>2+0+1</v>
      </c>
      <c r="DG37" s="37" t="str">
        <f t="shared" si="28"/>
        <v>654+516|669+515</v>
      </c>
      <c r="DH37" s="37" t="str">
        <f t="shared" si="29"/>
        <v>0+0</v>
      </c>
      <c r="DI37" s="37" t="str">
        <f t="shared" si="30"/>
        <v>655+544</v>
      </c>
      <c r="DJ37" s="37" t="str">
        <f t="shared" si="31"/>
        <v>2+0+1|654+516|669+515|0+0|655+544</v>
      </c>
    </row>
    <row r="38" spans="2:114" x14ac:dyDescent="0.15">
      <c r="B38" s="15">
        <v>35</v>
      </c>
      <c r="C38" s="15" t="s">
        <v>60</v>
      </c>
      <c r="D38" s="15">
        <v>26</v>
      </c>
      <c r="G38" s="27" t="s">
        <v>524</v>
      </c>
      <c r="H38" s="27">
        <v>35</v>
      </c>
      <c r="I38" s="26" t="s">
        <v>119</v>
      </c>
      <c r="J38" s="26">
        <f t="shared" si="6"/>
        <v>55</v>
      </c>
      <c r="M38" s="27" t="s">
        <v>524</v>
      </c>
      <c r="N38" s="27">
        <v>35</v>
      </c>
      <c r="O38" s="26" t="s">
        <v>210</v>
      </c>
      <c r="P38" s="26">
        <f t="shared" si="7"/>
        <v>100</v>
      </c>
      <c r="Q38" s="26"/>
      <c r="R38" s="26"/>
      <c r="S38" s="27" t="s">
        <v>524</v>
      </c>
      <c r="T38" s="27">
        <v>35</v>
      </c>
      <c r="U38" s="26" t="s">
        <v>189</v>
      </c>
      <c r="V38" s="26">
        <f t="shared" si="8"/>
        <v>90</v>
      </c>
      <c r="W38" s="26"/>
      <c r="Y38" s="27" t="s">
        <v>524</v>
      </c>
      <c r="Z38" s="27">
        <v>35</v>
      </c>
      <c r="AA38" s="26" t="s">
        <v>58</v>
      </c>
      <c r="AB38" s="26">
        <f t="shared" si="9"/>
        <v>25</v>
      </c>
      <c r="AE38" s="27" t="s">
        <v>524</v>
      </c>
      <c r="AF38" s="27">
        <v>35</v>
      </c>
      <c r="AG38" s="26" t="s">
        <v>932</v>
      </c>
      <c r="AH38" s="26">
        <f t="shared" si="10"/>
        <v>122</v>
      </c>
      <c r="AK38" s="27" t="s">
        <v>524</v>
      </c>
      <c r="AL38" s="27">
        <v>35</v>
      </c>
      <c r="AM38" s="26" t="s">
        <v>885</v>
      </c>
      <c r="AN38" s="26">
        <f t="shared" si="11"/>
        <v>68</v>
      </c>
      <c r="AQ38" s="27" t="s">
        <v>524</v>
      </c>
      <c r="AR38" s="27">
        <v>35</v>
      </c>
      <c r="AS38" s="26" t="s">
        <v>630</v>
      </c>
      <c r="AT38" s="26">
        <f t="shared" si="12"/>
        <v>91</v>
      </c>
      <c r="AX38" s="15"/>
      <c r="AY38" s="35">
        <f t="shared" si="13"/>
        <v>35</v>
      </c>
      <c r="AZ38" s="35" t="str">
        <f t="shared" si="14"/>
        <v>592+452</v>
      </c>
      <c r="BA38" s="35">
        <f t="shared" si="15"/>
        <v>26</v>
      </c>
      <c r="BB38" s="38">
        <f>COUNTIF($BA$4:$BA38,$BA38)</f>
        <v>1</v>
      </c>
      <c r="BC38" s="36" t="str">
        <f t="shared" si="16"/>
        <v>营</v>
      </c>
      <c r="BD38" s="36" t="str">
        <f t="shared" si="17"/>
        <v>营</v>
      </c>
      <c r="BE38" s="36" t="str">
        <f t="shared" si="18"/>
        <v>营</v>
      </c>
      <c r="BF38" s="36" t="str">
        <f t="shared" si="19"/>
        <v>营</v>
      </c>
      <c r="BG38" s="36" t="str">
        <f t="shared" si="20"/>
        <v/>
      </c>
      <c r="BH38" s="36" t="str">
        <f t="shared" si="21"/>
        <v/>
      </c>
      <c r="BI38" s="36" t="str">
        <f t="shared" si="22"/>
        <v/>
      </c>
      <c r="BJ38" s="29" t="str">
        <f t="shared" si="23"/>
        <v>营</v>
      </c>
      <c r="BL38" s="15">
        <v>35</v>
      </c>
      <c r="BM38" s="39" t="str">
        <f t="shared" si="33"/>
        <v>682+530</v>
      </c>
      <c r="BN38" s="39" t="str">
        <f t="shared" si="33"/>
        <v>702+532</v>
      </c>
      <c r="BO38" s="39" t="str">
        <f t="shared" si="33"/>
        <v/>
      </c>
      <c r="BP38" s="39" t="str">
        <f t="shared" si="33"/>
        <v/>
      </c>
      <c r="BQ38" s="39" t="str">
        <f t="shared" si="33"/>
        <v/>
      </c>
      <c r="BR38" s="39" t="str">
        <f t="shared" si="33"/>
        <v/>
      </c>
      <c r="BS38" s="39" t="str">
        <f t="shared" si="33"/>
        <v/>
      </c>
      <c r="BT38" s="39" t="str">
        <f t="shared" si="33"/>
        <v/>
      </c>
      <c r="BU38" s="39" t="str">
        <f t="shared" si="33"/>
        <v/>
      </c>
      <c r="BV38" s="39" t="str">
        <f t="shared" si="33"/>
        <v/>
      </c>
      <c r="BW38" s="39" t="str">
        <f t="shared" si="33"/>
        <v/>
      </c>
      <c r="BX38" s="39" t="str">
        <f t="shared" si="33"/>
        <v/>
      </c>
      <c r="BY38" s="39" t="str">
        <f t="shared" si="33"/>
        <v/>
      </c>
      <c r="BZ38" s="39" t="str">
        <f t="shared" si="33"/>
        <v/>
      </c>
      <c r="CA38" s="39" t="str">
        <f t="shared" si="33"/>
        <v/>
      </c>
      <c r="CB38" s="39" t="str">
        <f t="shared" si="34"/>
        <v/>
      </c>
      <c r="CC38" s="39" t="str">
        <f t="shared" si="34"/>
        <v/>
      </c>
      <c r="CD38" s="39" t="str">
        <f t="shared" si="34"/>
        <v/>
      </c>
      <c r="CE38" s="39" t="str">
        <f t="shared" si="34"/>
        <v/>
      </c>
      <c r="CF38" s="39" t="str">
        <f t="shared" si="34"/>
        <v/>
      </c>
      <c r="CG38" s="39" t="str">
        <f t="shared" si="34"/>
        <v/>
      </c>
      <c r="CH38" s="39" t="str">
        <f t="shared" si="34"/>
        <v/>
      </c>
      <c r="CI38" s="39" t="str">
        <f t="shared" si="34"/>
        <v/>
      </c>
      <c r="CJ38" s="39" t="str">
        <f t="shared" si="34"/>
        <v/>
      </c>
      <c r="CK38" s="39" t="str">
        <f t="shared" si="34"/>
        <v/>
      </c>
      <c r="CL38" s="39" t="str">
        <f t="shared" si="34"/>
        <v/>
      </c>
      <c r="CM38" s="39" t="str">
        <f t="shared" si="34"/>
        <v/>
      </c>
      <c r="CN38" s="39" t="str">
        <f t="shared" si="34"/>
        <v/>
      </c>
      <c r="CO38" s="39" t="str">
        <f t="shared" si="34"/>
        <v/>
      </c>
      <c r="CP38" s="39" t="str">
        <f t="shared" si="34"/>
        <v/>
      </c>
      <c r="CQ38" s="39" t="str">
        <f t="shared" si="35"/>
        <v/>
      </c>
      <c r="CR38" s="39" t="str">
        <f t="shared" si="35"/>
        <v/>
      </c>
      <c r="CS38" s="39" t="str">
        <f t="shared" si="35"/>
        <v>716+543</v>
      </c>
      <c r="CT38" s="39" t="str">
        <f t="shared" si="35"/>
        <v/>
      </c>
      <c r="CU38" s="39" t="str">
        <f t="shared" si="35"/>
        <v/>
      </c>
      <c r="CV38" s="39" t="str">
        <f t="shared" si="35"/>
        <v/>
      </c>
      <c r="CW38" s="39" t="str">
        <f t="shared" si="35"/>
        <v/>
      </c>
      <c r="CX38" s="39" t="str">
        <f t="shared" si="35"/>
        <v/>
      </c>
      <c r="CY38" s="39" t="str">
        <f t="shared" si="35"/>
        <v/>
      </c>
      <c r="CZ38" s="39" t="str">
        <f t="shared" si="35"/>
        <v/>
      </c>
      <c r="DA38" s="39" t="str">
        <f t="shared" si="35"/>
        <v/>
      </c>
      <c r="DB38" s="39" t="str">
        <f t="shared" si="35"/>
        <v/>
      </c>
      <c r="DC38" s="39" t="str">
        <f t="shared" si="35"/>
        <v/>
      </c>
      <c r="DD38" s="39" t="str">
        <f t="shared" si="35"/>
        <v/>
      </c>
      <c r="DE38" s="39" t="str">
        <f t="shared" si="35"/>
        <v/>
      </c>
      <c r="DF38" s="37" t="str">
        <f t="shared" si="27"/>
        <v>2+0+1</v>
      </c>
      <c r="DG38" s="37" t="str">
        <f t="shared" si="28"/>
        <v>682+530|702+532</v>
      </c>
      <c r="DH38" s="37" t="str">
        <f t="shared" si="29"/>
        <v>0+0</v>
      </c>
      <c r="DI38" s="37" t="str">
        <f t="shared" si="30"/>
        <v>716+543</v>
      </c>
      <c r="DJ38" s="37" t="str">
        <f t="shared" si="31"/>
        <v>2+0+1|682+530|702+532|0+0|716+543</v>
      </c>
    </row>
    <row r="39" spans="2:114" x14ac:dyDescent="0.15">
      <c r="B39" s="15">
        <v>36</v>
      </c>
      <c r="C39" s="15" t="s">
        <v>62</v>
      </c>
      <c r="D39" s="15">
        <v>27</v>
      </c>
      <c r="G39" s="27" t="s">
        <v>524</v>
      </c>
      <c r="H39" s="27">
        <v>36</v>
      </c>
      <c r="I39" s="26" t="s">
        <v>379</v>
      </c>
      <c r="J39" s="26">
        <f t="shared" si="6"/>
        <v>179</v>
      </c>
      <c r="M39" s="27" t="s">
        <v>524</v>
      </c>
      <c r="N39" s="27">
        <v>36</v>
      </c>
      <c r="O39" s="26" t="s">
        <v>209</v>
      </c>
      <c r="P39" s="26">
        <f t="shared" si="7"/>
        <v>100</v>
      </c>
      <c r="Q39" s="26"/>
      <c r="R39" s="26"/>
      <c r="S39" s="27" t="s">
        <v>524</v>
      </c>
      <c r="T39" s="27">
        <v>36</v>
      </c>
      <c r="U39" s="26" t="s">
        <v>218</v>
      </c>
      <c r="V39" s="26">
        <f t="shared" si="8"/>
        <v>104</v>
      </c>
      <c r="W39" s="26"/>
      <c r="Y39" s="27" t="s">
        <v>524</v>
      </c>
      <c r="Z39" s="27">
        <v>36</v>
      </c>
      <c r="AA39" s="26" t="s">
        <v>65</v>
      </c>
      <c r="AB39" s="26">
        <f t="shared" si="9"/>
        <v>28</v>
      </c>
      <c r="AE39" s="27" t="s">
        <v>524</v>
      </c>
      <c r="AF39" s="27">
        <v>36</v>
      </c>
      <c r="AG39" s="26" t="s">
        <v>934</v>
      </c>
      <c r="AH39" s="26">
        <f t="shared" si="10"/>
        <v>122</v>
      </c>
      <c r="AK39" s="27" t="s">
        <v>524</v>
      </c>
      <c r="AL39" s="27">
        <v>36</v>
      </c>
      <c r="AM39" s="26" t="s">
        <v>883</v>
      </c>
      <c r="AN39" s="26">
        <f t="shared" si="11"/>
        <v>69</v>
      </c>
      <c r="AQ39" s="27" t="s">
        <v>524</v>
      </c>
      <c r="AR39" s="27">
        <v>36</v>
      </c>
      <c r="AS39" s="26" t="s">
        <v>975</v>
      </c>
      <c r="AT39" s="26">
        <f t="shared" si="12"/>
        <v>87</v>
      </c>
      <c r="AX39" s="15"/>
      <c r="AY39" s="35">
        <f t="shared" si="13"/>
        <v>36</v>
      </c>
      <c r="AZ39" s="35" t="str">
        <f t="shared" si="14"/>
        <v>568+462</v>
      </c>
      <c r="BA39" s="35">
        <f t="shared" si="15"/>
        <v>27</v>
      </c>
      <c r="BB39" s="38">
        <f>COUNTIF($BA$4:$BA39,$BA39)</f>
        <v>1</v>
      </c>
      <c r="BC39" s="36" t="str">
        <f t="shared" si="16"/>
        <v>营</v>
      </c>
      <c r="BD39" s="36" t="str">
        <f t="shared" si="17"/>
        <v>营</v>
      </c>
      <c r="BE39" s="36" t="str">
        <f t="shared" si="18"/>
        <v>营</v>
      </c>
      <c r="BF39" s="36" t="str">
        <f t="shared" si="19"/>
        <v>营</v>
      </c>
      <c r="BG39" s="36" t="str">
        <f t="shared" si="20"/>
        <v/>
      </c>
      <c r="BH39" s="36" t="str">
        <f t="shared" si="21"/>
        <v/>
      </c>
      <c r="BI39" s="36" t="str">
        <f t="shared" si="22"/>
        <v/>
      </c>
      <c r="BJ39" s="29" t="str">
        <f t="shared" si="23"/>
        <v>营</v>
      </c>
      <c r="BL39" s="15">
        <v>36</v>
      </c>
      <c r="BM39" s="39" t="str">
        <f t="shared" si="33"/>
        <v>695+491</v>
      </c>
      <c r="BN39" s="39" t="str">
        <f t="shared" si="33"/>
        <v/>
      </c>
      <c r="BO39" s="39" t="str">
        <f t="shared" si="33"/>
        <v/>
      </c>
      <c r="BP39" s="39" t="str">
        <f t="shared" si="33"/>
        <v/>
      </c>
      <c r="BQ39" s="39" t="str">
        <f t="shared" si="33"/>
        <v/>
      </c>
      <c r="BR39" s="39" t="str">
        <f t="shared" si="33"/>
        <v/>
      </c>
      <c r="BS39" s="39" t="str">
        <f t="shared" si="33"/>
        <v/>
      </c>
      <c r="BT39" s="39" t="str">
        <f t="shared" si="33"/>
        <v/>
      </c>
      <c r="BU39" s="39" t="str">
        <f t="shared" si="33"/>
        <v/>
      </c>
      <c r="BV39" s="39" t="str">
        <f t="shared" si="33"/>
        <v/>
      </c>
      <c r="BW39" s="39" t="str">
        <f t="shared" si="33"/>
        <v/>
      </c>
      <c r="BX39" s="39" t="str">
        <f t="shared" si="33"/>
        <v/>
      </c>
      <c r="BY39" s="39" t="str">
        <f t="shared" si="33"/>
        <v/>
      </c>
      <c r="BZ39" s="39" t="str">
        <f t="shared" si="33"/>
        <v/>
      </c>
      <c r="CA39" s="39" t="str">
        <f t="shared" si="33"/>
        <v/>
      </c>
      <c r="CB39" s="39" t="str">
        <f t="shared" si="34"/>
        <v/>
      </c>
      <c r="CC39" s="39" t="str">
        <f t="shared" si="34"/>
        <v/>
      </c>
      <c r="CD39" s="39" t="str">
        <f t="shared" si="34"/>
        <v/>
      </c>
      <c r="CE39" s="39" t="str">
        <f t="shared" si="34"/>
        <v/>
      </c>
      <c r="CF39" s="39" t="str">
        <f t="shared" si="34"/>
        <v/>
      </c>
      <c r="CG39" s="39" t="str">
        <f t="shared" si="34"/>
        <v/>
      </c>
      <c r="CH39" s="39" t="str">
        <f t="shared" si="34"/>
        <v/>
      </c>
      <c r="CI39" s="39" t="str">
        <f t="shared" si="34"/>
        <v/>
      </c>
      <c r="CJ39" s="39" t="str">
        <f t="shared" si="34"/>
        <v/>
      </c>
      <c r="CK39" s="39" t="str">
        <f t="shared" si="34"/>
        <v/>
      </c>
      <c r="CL39" s="39" t="str">
        <f t="shared" si="34"/>
        <v/>
      </c>
      <c r="CM39" s="39" t="str">
        <f t="shared" si="34"/>
        <v/>
      </c>
      <c r="CN39" s="39" t="str">
        <f t="shared" si="34"/>
        <v/>
      </c>
      <c r="CO39" s="39" t="str">
        <f t="shared" si="34"/>
        <v/>
      </c>
      <c r="CP39" s="39" t="str">
        <f t="shared" si="34"/>
        <v/>
      </c>
      <c r="CQ39" s="39" t="str">
        <f t="shared" si="35"/>
        <v/>
      </c>
      <c r="CR39" s="39" t="str">
        <f t="shared" si="35"/>
        <v/>
      </c>
      <c r="CS39" s="39" t="str">
        <f t="shared" si="35"/>
        <v/>
      </c>
      <c r="CT39" s="39" t="str">
        <f t="shared" si="35"/>
        <v/>
      </c>
      <c r="CU39" s="39" t="str">
        <f t="shared" si="35"/>
        <v/>
      </c>
      <c r="CV39" s="39" t="str">
        <f t="shared" si="35"/>
        <v/>
      </c>
      <c r="CW39" s="39" t="str">
        <f t="shared" si="35"/>
        <v/>
      </c>
      <c r="CX39" s="39" t="str">
        <f t="shared" si="35"/>
        <v/>
      </c>
      <c r="CY39" s="39" t="str">
        <f t="shared" si="35"/>
        <v/>
      </c>
      <c r="CZ39" s="39" t="str">
        <f t="shared" si="35"/>
        <v/>
      </c>
      <c r="DA39" s="39" t="str">
        <f t="shared" si="35"/>
        <v/>
      </c>
      <c r="DB39" s="39" t="str">
        <f t="shared" si="35"/>
        <v/>
      </c>
      <c r="DC39" s="39" t="str">
        <f t="shared" si="35"/>
        <v/>
      </c>
      <c r="DD39" s="39" t="str">
        <f t="shared" si="35"/>
        <v/>
      </c>
      <c r="DE39" s="39" t="str">
        <f t="shared" si="35"/>
        <v/>
      </c>
      <c r="DF39" s="37" t="str">
        <f t="shared" si="27"/>
        <v>1+0+0</v>
      </c>
      <c r="DG39" s="37" t="str">
        <f t="shared" si="28"/>
        <v>695+491</v>
      </c>
      <c r="DH39" s="37" t="str">
        <f t="shared" si="29"/>
        <v>0+0</v>
      </c>
      <c r="DI39" s="37" t="str">
        <f t="shared" si="30"/>
        <v>0+0</v>
      </c>
      <c r="DJ39" s="37" t="str">
        <f t="shared" si="31"/>
        <v>1+0+0|695+491|0+0|0+0</v>
      </c>
    </row>
    <row r="40" spans="2:114" x14ac:dyDescent="0.15">
      <c r="B40" s="15">
        <v>37</v>
      </c>
      <c r="C40" s="15" t="s">
        <v>64</v>
      </c>
      <c r="D40" s="15">
        <v>28</v>
      </c>
      <c r="G40" s="27" t="s">
        <v>524</v>
      </c>
      <c r="H40" s="27">
        <v>37</v>
      </c>
      <c r="I40" s="26" t="s">
        <v>378</v>
      </c>
      <c r="J40" s="26">
        <f t="shared" si="6"/>
        <v>179</v>
      </c>
      <c r="M40" s="27" t="s">
        <v>524</v>
      </c>
      <c r="N40" s="27">
        <v>37</v>
      </c>
      <c r="O40" s="26" t="s">
        <v>221</v>
      </c>
      <c r="P40" s="26">
        <f t="shared" si="7"/>
        <v>106</v>
      </c>
      <c r="Q40" s="26"/>
      <c r="R40" s="26"/>
      <c r="S40" s="27" t="s">
        <v>524</v>
      </c>
      <c r="T40" s="27">
        <v>37</v>
      </c>
      <c r="U40" s="26" t="s">
        <v>642</v>
      </c>
      <c r="V40" s="26">
        <f t="shared" si="8"/>
        <v>105</v>
      </c>
      <c r="W40" s="26"/>
      <c r="Y40" s="27" t="s">
        <v>524</v>
      </c>
      <c r="Z40" s="27">
        <v>37</v>
      </c>
      <c r="AA40" s="26" t="s">
        <v>64</v>
      </c>
      <c r="AB40" s="26">
        <f t="shared" si="9"/>
        <v>28</v>
      </c>
      <c r="AE40" s="27" t="s">
        <v>524</v>
      </c>
      <c r="AF40" s="27">
        <v>37</v>
      </c>
      <c r="AG40" s="26" t="s">
        <v>935</v>
      </c>
      <c r="AH40" s="26">
        <f t="shared" si="10"/>
        <v>122</v>
      </c>
      <c r="AK40" s="27" t="s">
        <v>524</v>
      </c>
      <c r="AL40" s="27">
        <v>37</v>
      </c>
      <c r="AM40" s="26" t="s">
        <v>898</v>
      </c>
      <c r="AN40" s="26">
        <f t="shared" si="11"/>
        <v>70</v>
      </c>
      <c r="AQ40" s="27" t="s">
        <v>524</v>
      </c>
      <c r="AR40" s="27">
        <v>37</v>
      </c>
      <c r="AS40" s="26" t="s">
        <v>180</v>
      </c>
      <c r="AT40" s="26">
        <f t="shared" si="12"/>
        <v>85</v>
      </c>
      <c r="AX40" s="15"/>
      <c r="AY40" s="35">
        <f t="shared" si="13"/>
        <v>37</v>
      </c>
      <c r="AZ40" s="35" t="str">
        <f t="shared" si="14"/>
        <v>621+476</v>
      </c>
      <c r="BA40" s="35">
        <f t="shared" si="15"/>
        <v>28</v>
      </c>
      <c r="BB40" s="38">
        <f>COUNTIF($BA$4:$BA40,$BA40)</f>
        <v>1</v>
      </c>
      <c r="BC40" s="36" t="str">
        <f t="shared" si="16"/>
        <v>村</v>
      </c>
      <c r="BD40" s="36" t="str">
        <f t="shared" si="17"/>
        <v>村</v>
      </c>
      <c r="BE40" s="36" t="str">
        <f t="shared" si="18"/>
        <v>村</v>
      </c>
      <c r="BF40" s="36" t="str">
        <f t="shared" si="19"/>
        <v>村</v>
      </c>
      <c r="BG40" s="36" t="str">
        <f t="shared" si="20"/>
        <v/>
      </c>
      <c r="BH40" s="36" t="str">
        <f t="shared" si="21"/>
        <v/>
      </c>
      <c r="BI40" s="36" t="str">
        <f t="shared" si="22"/>
        <v/>
      </c>
      <c r="BJ40" s="29" t="str">
        <f t="shared" si="23"/>
        <v>村</v>
      </c>
      <c r="BL40" s="15">
        <v>37</v>
      </c>
      <c r="BM40" s="39" t="str">
        <f t="shared" si="33"/>
        <v/>
      </c>
      <c r="BN40" s="39" t="str">
        <f t="shared" si="33"/>
        <v>528+492</v>
      </c>
      <c r="BO40" s="39" t="str">
        <f t="shared" si="33"/>
        <v/>
      </c>
      <c r="BP40" s="39" t="str">
        <f t="shared" si="33"/>
        <v/>
      </c>
      <c r="BQ40" s="39" t="str">
        <f t="shared" si="33"/>
        <v/>
      </c>
      <c r="BR40" s="39" t="str">
        <f t="shared" si="33"/>
        <v/>
      </c>
      <c r="BS40" s="39" t="str">
        <f t="shared" si="33"/>
        <v/>
      </c>
      <c r="BT40" s="39" t="str">
        <f t="shared" si="33"/>
        <v/>
      </c>
      <c r="BU40" s="39" t="str">
        <f t="shared" si="33"/>
        <v/>
      </c>
      <c r="BV40" s="39" t="str">
        <f t="shared" si="33"/>
        <v/>
      </c>
      <c r="BW40" s="39" t="str">
        <f t="shared" si="33"/>
        <v/>
      </c>
      <c r="BX40" s="39" t="str">
        <f t="shared" si="33"/>
        <v/>
      </c>
      <c r="BY40" s="39" t="str">
        <f t="shared" si="33"/>
        <v/>
      </c>
      <c r="BZ40" s="39" t="str">
        <f t="shared" si="33"/>
        <v/>
      </c>
      <c r="CA40" s="39" t="str">
        <f t="shared" si="33"/>
        <v/>
      </c>
      <c r="CB40" s="39" t="str">
        <f t="shared" si="34"/>
        <v/>
      </c>
      <c r="CC40" s="39" t="str">
        <f t="shared" si="34"/>
        <v/>
      </c>
      <c r="CD40" s="39" t="str">
        <f t="shared" si="34"/>
        <v/>
      </c>
      <c r="CE40" s="39" t="str">
        <f t="shared" si="34"/>
        <v/>
      </c>
      <c r="CF40" s="39" t="str">
        <f t="shared" si="34"/>
        <v/>
      </c>
      <c r="CG40" s="39" t="str">
        <f t="shared" si="34"/>
        <v/>
      </c>
      <c r="CH40" s="39" t="str">
        <f t="shared" si="34"/>
        <v/>
      </c>
      <c r="CI40" s="39" t="str">
        <f t="shared" si="34"/>
        <v/>
      </c>
      <c r="CJ40" s="39" t="str">
        <f t="shared" si="34"/>
        <v/>
      </c>
      <c r="CK40" s="39" t="str">
        <f t="shared" si="34"/>
        <v/>
      </c>
      <c r="CL40" s="39" t="str">
        <f t="shared" si="34"/>
        <v/>
      </c>
      <c r="CM40" s="39" t="str">
        <f t="shared" si="34"/>
        <v/>
      </c>
      <c r="CN40" s="39" t="str">
        <f t="shared" si="34"/>
        <v/>
      </c>
      <c r="CO40" s="39" t="str">
        <f t="shared" si="34"/>
        <v/>
      </c>
      <c r="CP40" s="39" t="str">
        <f t="shared" si="34"/>
        <v/>
      </c>
      <c r="CQ40" s="39" t="str">
        <f t="shared" si="35"/>
        <v>536+499</v>
      </c>
      <c r="CR40" s="39" t="str">
        <f t="shared" si="35"/>
        <v/>
      </c>
      <c r="CS40" s="39" t="str">
        <f t="shared" si="35"/>
        <v/>
      </c>
      <c r="CT40" s="39" t="str">
        <f t="shared" si="35"/>
        <v/>
      </c>
      <c r="CU40" s="39" t="str">
        <f t="shared" si="35"/>
        <v/>
      </c>
      <c r="CV40" s="39" t="str">
        <f t="shared" si="35"/>
        <v/>
      </c>
      <c r="CW40" s="39" t="str">
        <f t="shared" si="35"/>
        <v/>
      </c>
      <c r="CX40" s="39" t="str">
        <f t="shared" si="35"/>
        <v/>
      </c>
      <c r="CY40" s="39" t="str">
        <f t="shared" si="35"/>
        <v/>
      </c>
      <c r="CZ40" s="39" t="str">
        <f t="shared" si="35"/>
        <v/>
      </c>
      <c r="DA40" s="39" t="str">
        <f t="shared" si="35"/>
        <v/>
      </c>
      <c r="DB40" s="39" t="str">
        <f t="shared" si="35"/>
        <v/>
      </c>
      <c r="DC40" s="39" t="str">
        <f t="shared" si="35"/>
        <v/>
      </c>
      <c r="DD40" s="39" t="str">
        <f t="shared" si="35"/>
        <v/>
      </c>
      <c r="DE40" s="39" t="str">
        <f t="shared" si="35"/>
        <v/>
      </c>
      <c r="DF40" s="37" t="str">
        <f t="shared" si="27"/>
        <v>1+0+1</v>
      </c>
      <c r="DG40" s="37" t="str">
        <f t="shared" si="28"/>
        <v>528+492</v>
      </c>
      <c r="DH40" s="37" t="str">
        <f t="shared" si="29"/>
        <v>0+0</v>
      </c>
      <c r="DI40" s="37" t="str">
        <f t="shared" si="30"/>
        <v>536+499</v>
      </c>
      <c r="DJ40" s="37" t="str">
        <f t="shared" si="31"/>
        <v>1+0+1|528+492|0+0|536+499</v>
      </c>
    </row>
    <row r="41" spans="2:114" x14ac:dyDescent="0.15">
      <c r="B41" s="15">
        <v>38</v>
      </c>
      <c r="C41" s="15" t="s">
        <v>65</v>
      </c>
      <c r="D41" s="15">
        <v>28</v>
      </c>
      <c r="G41" s="25" t="s">
        <v>526</v>
      </c>
      <c r="H41" s="25">
        <v>38</v>
      </c>
      <c r="I41" s="26" t="s">
        <v>103</v>
      </c>
      <c r="J41" s="26">
        <f t="shared" si="6"/>
        <v>48</v>
      </c>
      <c r="M41" s="25" t="s">
        <v>526</v>
      </c>
      <c r="N41" s="25">
        <v>38</v>
      </c>
      <c r="O41" s="26" t="s">
        <v>214</v>
      </c>
      <c r="P41" s="26">
        <f t="shared" si="7"/>
        <v>102</v>
      </c>
      <c r="Q41" s="26"/>
      <c r="R41" s="26"/>
      <c r="S41" s="25" t="s">
        <v>526</v>
      </c>
      <c r="T41" s="25">
        <v>38</v>
      </c>
      <c r="U41" s="26" t="s">
        <v>213</v>
      </c>
      <c r="V41" s="26">
        <f t="shared" si="8"/>
        <v>102</v>
      </c>
      <c r="W41" s="26"/>
      <c r="Y41" s="25" t="s">
        <v>526</v>
      </c>
      <c r="Z41" s="25">
        <v>38</v>
      </c>
      <c r="AA41" s="26" t="s">
        <v>97</v>
      </c>
      <c r="AB41" s="26">
        <f t="shared" si="9"/>
        <v>45</v>
      </c>
      <c r="AE41" s="25" t="s">
        <v>526</v>
      </c>
      <c r="AF41" s="25">
        <v>38</v>
      </c>
      <c r="AG41" s="26" t="s">
        <v>894</v>
      </c>
      <c r="AH41" s="26">
        <f t="shared" si="10"/>
        <v>66</v>
      </c>
      <c r="AK41" s="25" t="s">
        <v>526</v>
      </c>
      <c r="AL41" s="25">
        <v>38</v>
      </c>
      <c r="AM41" s="26" t="s">
        <v>938</v>
      </c>
      <c r="AN41" s="26">
        <f t="shared" si="11"/>
        <v>129</v>
      </c>
      <c r="AQ41" s="25" t="s">
        <v>526</v>
      </c>
      <c r="AR41" s="25">
        <v>38</v>
      </c>
      <c r="AS41" s="26" t="s">
        <v>282</v>
      </c>
      <c r="AT41" s="26">
        <f t="shared" si="12"/>
        <v>135</v>
      </c>
      <c r="AX41" s="15"/>
      <c r="AY41" s="35">
        <f t="shared" si="13"/>
        <v>38</v>
      </c>
      <c r="AZ41" s="35" t="str">
        <f t="shared" si="14"/>
        <v>636+451</v>
      </c>
      <c r="BA41" s="35">
        <f t="shared" si="15"/>
        <v>28</v>
      </c>
      <c r="BB41" s="38">
        <f>COUNTIF($BA$4:$BA41,$BA41)</f>
        <v>2</v>
      </c>
      <c r="BC41" s="36" t="str">
        <f t="shared" si="16"/>
        <v>村</v>
      </c>
      <c r="BD41" s="36" t="str">
        <f t="shared" si="17"/>
        <v>村</v>
      </c>
      <c r="BE41" s="36" t="str">
        <f t="shared" si="18"/>
        <v>村</v>
      </c>
      <c r="BF41" s="36" t="str">
        <f t="shared" si="19"/>
        <v>村</v>
      </c>
      <c r="BG41" s="36" t="str">
        <f t="shared" si="20"/>
        <v/>
      </c>
      <c r="BH41" s="36" t="str">
        <f t="shared" si="21"/>
        <v/>
      </c>
      <c r="BI41" s="36" t="str">
        <f t="shared" si="22"/>
        <v/>
      </c>
      <c r="BJ41" s="29" t="str">
        <f t="shared" si="23"/>
        <v>村</v>
      </c>
      <c r="BL41" s="15">
        <v>38</v>
      </c>
      <c r="BM41" s="39" t="str">
        <f t="shared" si="33"/>
        <v>524+462</v>
      </c>
      <c r="BN41" s="39" t="str">
        <f t="shared" si="33"/>
        <v>541+473</v>
      </c>
      <c r="BO41" s="39" t="str">
        <f t="shared" si="33"/>
        <v/>
      </c>
      <c r="BP41" s="39" t="str">
        <f t="shared" si="33"/>
        <v/>
      </c>
      <c r="BQ41" s="39" t="str">
        <f t="shared" si="33"/>
        <v/>
      </c>
      <c r="BR41" s="39" t="str">
        <f t="shared" si="33"/>
        <v/>
      </c>
      <c r="BS41" s="39" t="str">
        <f t="shared" si="33"/>
        <v/>
      </c>
      <c r="BT41" s="39" t="str">
        <f t="shared" si="33"/>
        <v/>
      </c>
      <c r="BU41" s="39" t="str">
        <f t="shared" si="33"/>
        <v/>
      </c>
      <c r="BV41" s="39" t="str">
        <f t="shared" si="33"/>
        <v/>
      </c>
      <c r="BW41" s="39" t="str">
        <f t="shared" si="33"/>
        <v/>
      </c>
      <c r="BX41" s="39" t="str">
        <f t="shared" si="33"/>
        <v/>
      </c>
      <c r="BY41" s="39" t="str">
        <f t="shared" si="33"/>
        <v/>
      </c>
      <c r="BZ41" s="39" t="str">
        <f t="shared" si="33"/>
        <v/>
      </c>
      <c r="CA41" s="39" t="str">
        <f t="shared" si="33"/>
        <v/>
      </c>
      <c r="CB41" s="39" t="str">
        <f t="shared" si="34"/>
        <v/>
      </c>
      <c r="CC41" s="39" t="str">
        <f t="shared" si="34"/>
        <v/>
      </c>
      <c r="CD41" s="39" t="str">
        <f t="shared" si="34"/>
        <v/>
      </c>
      <c r="CE41" s="39" t="str">
        <f t="shared" si="34"/>
        <v/>
      </c>
      <c r="CF41" s="39" t="str">
        <f t="shared" si="34"/>
        <v/>
      </c>
      <c r="CG41" s="39" t="str">
        <f t="shared" si="34"/>
        <v/>
      </c>
      <c r="CH41" s="39" t="str">
        <f t="shared" si="34"/>
        <v/>
      </c>
      <c r="CI41" s="39" t="str">
        <f t="shared" si="34"/>
        <v/>
      </c>
      <c r="CJ41" s="39" t="str">
        <f t="shared" si="34"/>
        <v/>
      </c>
      <c r="CK41" s="39" t="str">
        <f t="shared" si="34"/>
        <v/>
      </c>
      <c r="CL41" s="39" t="str">
        <f t="shared" si="34"/>
        <v/>
      </c>
      <c r="CM41" s="39" t="str">
        <f t="shared" si="34"/>
        <v/>
      </c>
      <c r="CN41" s="39" t="str">
        <f t="shared" si="34"/>
        <v/>
      </c>
      <c r="CO41" s="39" t="str">
        <f t="shared" si="34"/>
        <v/>
      </c>
      <c r="CP41" s="39" t="str">
        <f t="shared" si="34"/>
        <v/>
      </c>
      <c r="CQ41" s="39" t="str">
        <f t="shared" si="35"/>
        <v/>
      </c>
      <c r="CR41" s="39" t="str">
        <f t="shared" si="35"/>
        <v/>
      </c>
      <c r="CS41" s="39" t="str">
        <f t="shared" si="35"/>
        <v/>
      </c>
      <c r="CT41" s="39" t="str">
        <f t="shared" si="35"/>
        <v/>
      </c>
      <c r="CU41" s="39" t="str">
        <f t="shared" si="35"/>
        <v/>
      </c>
      <c r="CV41" s="39" t="str">
        <f t="shared" si="35"/>
        <v/>
      </c>
      <c r="CW41" s="39" t="str">
        <f t="shared" si="35"/>
        <v/>
      </c>
      <c r="CX41" s="39" t="str">
        <f t="shared" si="35"/>
        <v/>
      </c>
      <c r="CY41" s="39" t="str">
        <f t="shared" si="35"/>
        <v/>
      </c>
      <c r="CZ41" s="39" t="str">
        <f t="shared" si="35"/>
        <v/>
      </c>
      <c r="DA41" s="39" t="str">
        <f t="shared" si="35"/>
        <v/>
      </c>
      <c r="DB41" s="39" t="str">
        <f t="shared" si="35"/>
        <v/>
      </c>
      <c r="DC41" s="39" t="str">
        <f t="shared" si="35"/>
        <v/>
      </c>
      <c r="DD41" s="39" t="str">
        <f t="shared" si="35"/>
        <v/>
      </c>
      <c r="DE41" s="39" t="str">
        <f t="shared" si="35"/>
        <v/>
      </c>
      <c r="DF41" s="37" t="str">
        <f t="shared" si="27"/>
        <v>2+0+0</v>
      </c>
      <c r="DG41" s="37" t="str">
        <f t="shared" si="28"/>
        <v>524+462|541+473</v>
      </c>
      <c r="DH41" s="37" t="str">
        <f t="shared" si="29"/>
        <v>0+0</v>
      </c>
      <c r="DI41" s="37" t="str">
        <f t="shared" si="30"/>
        <v>0+0</v>
      </c>
      <c r="DJ41" s="37" t="str">
        <f t="shared" si="31"/>
        <v>2+0+0|524+462|541+473|0+0|0+0</v>
      </c>
    </row>
    <row r="42" spans="2:114" x14ac:dyDescent="0.15">
      <c r="B42" s="15">
        <v>39</v>
      </c>
      <c r="C42" s="15" t="s">
        <v>68</v>
      </c>
      <c r="D42" s="15">
        <v>30</v>
      </c>
      <c r="G42" s="25" t="s">
        <v>526</v>
      </c>
      <c r="H42" s="25">
        <v>39</v>
      </c>
      <c r="I42" s="26" t="s">
        <v>106</v>
      </c>
      <c r="J42" s="26">
        <f t="shared" si="6"/>
        <v>49</v>
      </c>
      <c r="M42" s="25" t="s">
        <v>526</v>
      </c>
      <c r="N42" s="25">
        <v>39</v>
      </c>
      <c r="O42" s="26" t="s">
        <v>213</v>
      </c>
      <c r="P42" s="26">
        <f t="shared" si="7"/>
        <v>102</v>
      </c>
      <c r="Q42" s="26"/>
      <c r="R42" s="26"/>
      <c r="S42" s="25" t="s">
        <v>526</v>
      </c>
      <c r="T42" s="25">
        <v>39</v>
      </c>
      <c r="U42" s="26" t="s">
        <v>214</v>
      </c>
      <c r="V42" s="26">
        <f t="shared" si="8"/>
        <v>102</v>
      </c>
      <c r="W42" s="26"/>
      <c r="Y42" s="25" t="s">
        <v>526</v>
      </c>
      <c r="Z42" s="25">
        <v>39</v>
      </c>
      <c r="AA42" s="26" t="s">
        <v>98</v>
      </c>
      <c r="AB42" s="26">
        <f t="shared" si="9"/>
        <v>45</v>
      </c>
      <c r="AE42" s="25" t="s">
        <v>526</v>
      </c>
      <c r="AF42" s="25">
        <v>39</v>
      </c>
      <c r="AG42" s="26" t="s">
        <v>895</v>
      </c>
      <c r="AH42" s="26">
        <f t="shared" si="10"/>
        <v>66</v>
      </c>
      <c r="AK42" s="25" t="s">
        <v>526</v>
      </c>
      <c r="AL42" s="25">
        <v>39</v>
      </c>
      <c r="AM42" s="26" t="s">
        <v>965</v>
      </c>
      <c r="AN42" s="26">
        <f t="shared" si="11"/>
        <v>129</v>
      </c>
      <c r="AQ42" s="25" t="s">
        <v>526</v>
      </c>
      <c r="AR42" s="25">
        <v>39</v>
      </c>
      <c r="AS42" s="26" t="s">
        <v>283</v>
      </c>
      <c r="AT42" s="26">
        <f t="shared" si="12"/>
        <v>135</v>
      </c>
      <c r="AX42" s="15"/>
      <c r="AY42" s="35">
        <f t="shared" si="13"/>
        <v>39</v>
      </c>
      <c r="AZ42" s="35" t="str">
        <f t="shared" si="14"/>
        <v>658+304</v>
      </c>
      <c r="BA42" s="35">
        <f t="shared" si="15"/>
        <v>30</v>
      </c>
      <c r="BB42" s="38">
        <f>COUNTIF($BA$4:$BA42,$BA42)</f>
        <v>1</v>
      </c>
      <c r="BC42" s="36" t="str">
        <f t="shared" si="16"/>
        <v>村</v>
      </c>
      <c r="BD42" s="36" t="str">
        <f t="shared" si="17"/>
        <v/>
      </c>
      <c r="BE42" s="36" t="str">
        <f t="shared" si="18"/>
        <v>村</v>
      </c>
      <c r="BF42" s="36" t="str">
        <f t="shared" si="19"/>
        <v>村</v>
      </c>
      <c r="BG42" s="36" t="str">
        <f t="shared" si="20"/>
        <v/>
      </c>
      <c r="BH42" s="36" t="str">
        <f t="shared" si="21"/>
        <v/>
      </c>
      <c r="BI42" s="36" t="str">
        <f t="shared" si="22"/>
        <v/>
      </c>
      <c r="BJ42" s="29" t="str">
        <f t="shared" si="23"/>
        <v>村</v>
      </c>
      <c r="BL42" s="15">
        <v>39</v>
      </c>
      <c r="BM42" s="39" t="str">
        <f t="shared" ref="BM42:CA57" si="36">IFERROR(INDEX($AZ$4:$AZ$1000,MATCH(SUMIFS($AY$4:$AY$1000,$BA$4:$BA$1000,$BL42,$BB$4:$BB$1000,BM$3,$BJ$4:$BJ$1000,"村"),$AY$4:$AY$1000,0)),"")</f>
        <v>574+417</v>
      </c>
      <c r="BN42" s="39" t="str">
        <f t="shared" si="36"/>
        <v>559+428</v>
      </c>
      <c r="BO42" s="39" t="str">
        <f t="shared" si="36"/>
        <v/>
      </c>
      <c r="BP42" s="39" t="str">
        <f t="shared" si="36"/>
        <v/>
      </c>
      <c r="BQ42" s="39" t="str">
        <f t="shared" si="36"/>
        <v/>
      </c>
      <c r="BR42" s="39" t="str">
        <f t="shared" si="36"/>
        <v/>
      </c>
      <c r="BS42" s="39" t="str">
        <f t="shared" si="36"/>
        <v/>
      </c>
      <c r="BT42" s="39" t="str">
        <f t="shared" si="36"/>
        <v/>
      </c>
      <c r="BU42" s="39" t="str">
        <f t="shared" si="36"/>
        <v/>
      </c>
      <c r="BV42" s="39" t="str">
        <f t="shared" si="36"/>
        <v/>
      </c>
      <c r="BW42" s="39" t="str">
        <f t="shared" si="36"/>
        <v/>
      </c>
      <c r="BX42" s="39" t="str">
        <f t="shared" si="36"/>
        <v/>
      </c>
      <c r="BY42" s="39" t="str">
        <f t="shared" si="36"/>
        <v/>
      </c>
      <c r="BZ42" s="39" t="str">
        <f t="shared" si="36"/>
        <v/>
      </c>
      <c r="CA42" s="39" t="str">
        <f t="shared" si="36"/>
        <v/>
      </c>
      <c r="CB42" s="39" t="str">
        <f t="shared" si="34"/>
        <v/>
      </c>
      <c r="CC42" s="39" t="str">
        <f t="shared" si="34"/>
        <v/>
      </c>
      <c r="CD42" s="39" t="str">
        <f t="shared" si="34"/>
        <v/>
      </c>
      <c r="CE42" s="39" t="str">
        <f t="shared" si="34"/>
        <v/>
      </c>
      <c r="CF42" s="39" t="str">
        <f t="shared" si="34"/>
        <v/>
      </c>
      <c r="CG42" s="39" t="str">
        <f t="shared" si="34"/>
        <v/>
      </c>
      <c r="CH42" s="39" t="str">
        <f t="shared" si="34"/>
        <v/>
      </c>
      <c r="CI42" s="39" t="str">
        <f t="shared" si="34"/>
        <v/>
      </c>
      <c r="CJ42" s="39" t="str">
        <f t="shared" si="34"/>
        <v/>
      </c>
      <c r="CK42" s="39" t="str">
        <f t="shared" si="34"/>
        <v/>
      </c>
      <c r="CL42" s="39" t="str">
        <f t="shared" si="34"/>
        <v/>
      </c>
      <c r="CM42" s="39" t="str">
        <f t="shared" si="34"/>
        <v/>
      </c>
      <c r="CN42" s="39" t="str">
        <f t="shared" si="34"/>
        <v/>
      </c>
      <c r="CO42" s="39" t="str">
        <f t="shared" si="34"/>
        <v/>
      </c>
      <c r="CP42" s="39" t="str">
        <f t="shared" si="34"/>
        <v/>
      </c>
      <c r="CQ42" s="39" t="str">
        <f t="shared" si="35"/>
        <v/>
      </c>
      <c r="CR42" s="39" t="str">
        <f t="shared" si="35"/>
        <v/>
      </c>
      <c r="CS42" s="39" t="str">
        <f t="shared" si="35"/>
        <v>538+420</v>
      </c>
      <c r="CT42" s="39" t="str">
        <f t="shared" si="35"/>
        <v/>
      </c>
      <c r="CU42" s="39" t="str">
        <f t="shared" si="35"/>
        <v/>
      </c>
      <c r="CV42" s="39" t="str">
        <f t="shared" si="35"/>
        <v/>
      </c>
      <c r="CW42" s="39" t="str">
        <f t="shared" si="35"/>
        <v/>
      </c>
      <c r="CX42" s="39" t="str">
        <f t="shared" si="35"/>
        <v/>
      </c>
      <c r="CY42" s="39" t="str">
        <f t="shared" si="35"/>
        <v/>
      </c>
      <c r="CZ42" s="39" t="str">
        <f t="shared" si="35"/>
        <v/>
      </c>
      <c r="DA42" s="39" t="str">
        <f t="shared" si="35"/>
        <v/>
      </c>
      <c r="DB42" s="39" t="str">
        <f t="shared" si="35"/>
        <v/>
      </c>
      <c r="DC42" s="39" t="str">
        <f t="shared" si="35"/>
        <v/>
      </c>
      <c r="DD42" s="39" t="str">
        <f t="shared" si="35"/>
        <v/>
      </c>
      <c r="DE42" s="39" t="str">
        <f t="shared" si="35"/>
        <v/>
      </c>
      <c r="DF42" s="37" t="str">
        <f t="shared" si="27"/>
        <v>2+0+1</v>
      </c>
      <c r="DG42" s="37" t="str">
        <f t="shared" si="28"/>
        <v>574+417|559+428</v>
      </c>
      <c r="DH42" s="37" t="str">
        <f t="shared" si="29"/>
        <v>0+0</v>
      </c>
      <c r="DI42" s="37" t="str">
        <f t="shared" si="30"/>
        <v>538+420</v>
      </c>
      <c r="DJ42" s="37" t="str">
        <f t="shared" si="31"/>
        <v>2+0+1|574+417|559+428|0+0|538+420</v>
      </c>
    </row>
    <row r="43" spans="2:114" x14ac:dyDescent="0.15">
      <c r="B43" s="15">
        <v>40</v>
      </c>
      <c r="C43" s="15" t="s">
        <v>69</v>
      </c>
      <c r="D43" s="15">
        <v>30</v>
      </c>
      <c r="G43" s="25" t="s">
        <v>526</v>
      </c>
      <c r="H43" s="25">
        <v>40</v>
      </c>
      <c r="I43" s="26" t="s">
        <v>356</v>
      </c>
      <c r="J43" s="26">
        <f t="shared" si="6"/>
        <v>171</v>
      </c>
      <c r="M43" s="25" t="s">
        <v>526</v>
      </c>
      <c r="N43" s="25">
        <v>40</v>
      </c>
      <c r="O43" s="26" t="s">
        <v>226</v>
      </c>
      <c r="P43" s="26">
        <f t="shared" si="7"/>
        <v>108</v>
      </c>
      <c r="Q43" s="26"/>
      <c r="R43" s="26"/>
      <c r="S43" s="25" t="s">
        <v>526</v>
      </c>
      <c r="T43" s="25">
        <v>40</v>
      </c>
      <c r="U43" s="26" t="s">
        <v>206</v>
      </c>
      <c r="V43" s="26">
        <f t="shared" si="8"/>
        <v>98</v>
      </c>
      <c r="W43" s="26"/>
      <c r="Y43" s="25" t="s">
        <v>526</v>
      </c>
      <c r="Z43" s="25">
        <v>40</v>
      </c>
      <c r="AA43" s="26" t="s">
        <v>86</v>
      </c>
      <c r="AB43" s="26">
        <f t="shared" si="9"/>
        <v>39</v>
      </c>
      <c r="AE43" s="25" t="s">
        <v>526</v>
      </c>
      <c r="AF43" s="25">
        <v>40</v>
      </c>
      <c r="AG43" s="26" t="s">
        <v>937</v>
      </c>
      <c r="AH43" s="26">
        <f t="shared" si="10"/>
        <v>129</v>
      </c>
      <c r="AK43" s="25" t="s">
        <v>526</v>
      </c>
      <c r="AL43" s="25">
        <v>40</v>
      </c>
      <c r="AM43" s="26" t="s">
        <v>899</v>
      </c>
      <c r="AN43" s="26">
        <f t="shared" si="11"/>
        <v>112</v>
      </c>
      <c r="AQ43" s="25" t="s">
        <v>526</v>
      </c>
      <c r="AR43" s="25">
        <v>40</v>
      </c>
      <c r="AS43" s="26" t="s">
        <v>184</v>
      </c>
      <c r="AT43" s="26">
        <f t="shared" si="12"/>
        <v>87</v>
      </c>
      <c r="AX43" s="15"/>
      <c r="AY43" s="35">
        <f t="shared" si="13"/>
        <v>40</v>
      </c>
      <c r="AZ43" s="35" t="str">
        <f t="shared" si="14"/>
        <v>676+275</v>
      </c>
      <c r="BA43" s="35">
        <f t="shared" si="15"/>
        <v>30</v>
      </c>
      <c r="BB43" s="38">
        <f>COUNTIF($BA$4:$BA43,$BA43)</f>
        <v>2</v>
      </c>
      <c r="BC43" s="36" t="str">
        <f t="shared" si="16"/>
        <v>村</v>
      </c>
      <c r="BD43" s="36" t="str">
        <f t="shared" si="17"/>
        <v/>
      </c>
      <c r="BE43" s="36" t="str">
        <f t="shared" si="18"/>
        <v>村</v>
      </c>
      <c r="BF43" s="36" t="str">
        <f t="shared" si="19"/>
        <v/>
      </c>
      <c r="BG43" s="36" t="str">
        <f t="shared" si="20"/>
        <v/>
      </c>
      <c r="BH43" s="36" t="str">
        <f t="shared" si="21"/>
        <v/>
      </c>
      <c r="BI43" s="36" t="str">
        <f t="shared" si="22"/>
        <v/>
      </c>
      <c r="BJ43" s="29" t="str">
        <f t="shared" si="23"/>
        <v>村</v>
      </c>
      <c r="BL43" s="15">
        <v>40</v>
      </c>
      <c r="BM43" s="39" t="str">
        <f t="shared" si="36"/>
        <v/>
      </c>
      <c r="BN43" s="39" t="str">
        <f t="shared" si="36"/>
        <v/>
      </c>
      <c r="BO43" s="39" t="str">
        <f t="shared" si="36"/>
        <v>480+516</v>
      </c>
      <c r="BP43" s="39" t="str">
        <f t="shared" si="36"/>
        <v/>
      </c>
      <c r="BQ43" s="39" t="str">
        <f t="shared" si="36"/>
        <v/>
      </c>
      <c r="BR43" s="39" t="str">
        <f t="shared" si="36"/>
        <v/>
      </c>
      <c r="BS43" s="39" t="str">
        <f t="shared" si="36"/>
        <v/>
      </c>
      <c r="BT43" s="39" t="str">
        <f t="shared" si="36"/>
        <v/>
      </c>
      <c r="BU43" s="39" t="str">
        <f t="shared" si="36"/>
        <v/>
      </c>
      <c r="BV43" s="39" t="str">
        <f t="shared" si="36"/>
        <v/>
      </c>
      <c r="BW43" s="39" t="str">
        <f t="shared" si="36"/>
        <v/>
      </c>
      <c r="BX43" s="39" t="str">
        <f t="shared" si="36"/>
        <v/>
      </c>
      <c r="BY43" s="39" t="str">
        <f t="shared" si="36"/>
        <v/>
      </c>
      <c r="BZ43" s="39" t="str">
        <f t="shared" si="36"/>
        <v/>
      </c>
      <c r="CA43" s="39" t="str">
        <f t="shared" si="36"/>
        <v/>
      </c>
      <c r="CB43" s="39" t="str">
        <f t="shared" si="34"/>
        <v>468+501</v>
      </c>
      <c r="CC43" s="39" t="str">
        <f t="shared" si="34"/>
        <v/>
      </c>
      <c r="CD43" s="39" t="str">
        <f t="shared" si="34"/>
        <v/>
      </c>
      <c r="CE43" s="39" t="str">
        <f t="shared" si="34"/>
        <v/>
      </c>
      <c r="CF43" s="39" t="str">
        <f t="shared" si="34"/>
        <v/>
      </c>
      <c r="CG43" s="39" t="str">
        <f t="shared" si="34"/>
        <v/>
      </c>
      <c r="CH43" s="39" t="str">
        <f t="shared" si="34"/>
        <v/>
      </c>
      <c r="CI43" s="39" t="str">
        <f t="shared" si="34"/>
        <v/>
      </c>
      <c r="CJ43" s="39" t="str">
        <f t="shared" si="34"/>
        <v/>
      </c>
      <c r="CK43" s="39" t="str">
        <f t="shared" si="34"/>
        <v/>
      </c>
      <c r="CL43" s="39" t="str">
        <f t="shared" si="34"/>
        <v/>
      </c>
      <c r="CM43" s="39" t="str">
        <f t="shared" si="34"/>
        <v/>
      </c>
      <c r="CN43" s="39" t="str">
        <f t="shared" si="34"/>
        <v/>
      </c>
      <c r="CO43" s="39" t="str">
        <f t="shared" si="34"/>
        <v/>
      </c>
      <c r="CP43" s="39" t="str">
        <f t="shared" si="34"/>
        <v/>
      </c>
      <c r="CQ43" s="39" t="str">
        <f t="shared" si="35"/>
        <v/>
      </c>
      <c r="CR43" s="39" t="str">
        <f t="shared" si="35"/>
        <v>496+504</v>
      </c>
      <c r="CS43" s="39" t="str">
        <f t="shared" si="35"/>
        <v/>
      </c>
      <c r="CT43" s="39" t="str">
        <f t="shared" si="35"/>
        <v/>
      </c>
      <c r="CU43" s="39" t="str">
        <f t="shared" si="35"/>
        <v/>
      </c>
      <c r="CV43" s="39" t="str">
        <f t="shared" si="35"/>
        <v/>
      </c>
      <c r="CW43" s="39" t="str">
        <f t="shared" si="35"/>
        <v/>
      </c>
      <c r="CX43" s="39" t="str">
        <f t="shared" si="35"/>
        <v/>
      </c>
      <c r="CY43" s="39" t="str">
        <f t="shared" si="35"/>
        <v/>
      </c>
      <c r="CZ43" s="39" t="str">
        <f t="shared" si="35"/>
        <v/>
      </c>
      <c r="DA43" s="39" t="str">
        <f t="shared" si="35"/>
        <v/>
      </c>
      <c r="DB43" s="39" t="str">
        <f t="shared" si="35"/>
        <v/>
      </c>
      <c r="DC43" s="39" t="str">
        <f t="shared" si="35"/>
        <v/>
      </c>
      <c r="DD43" s="39" t="str">
        <f t="shared" si="35"/>
        <v/>
      </c>
      <c r="DE43" s="39" t="str">
        <f t="shared" si="35"/>
        <v/>
      </c>
      <c r="DF43" s="37" t="str">
        <f t="shared" si="27"/>
        <v>1+1+1</v>
      </c>
      <c r="DG43" s="37" t="str">
        <f t="shared" si="28"/>
        <v>480+516</v>
      </c>
      <c r="DH43" s="37" t="str">
        <f t="shared" si="29"/>
        <v>468+501</v>
      </c>
      <c r="DI43" s="37" t="str">
        <f t="shared" si="30"/>
        <v>496+504</v>
      </c>
      <c r="DJ43" s="37" t="str">
        <f t="shared" si="31"/>
        <v>1+1+1|480+516|468+501|496+504</v>
      </c>
    </row>
    <row r="44" spans="2:114" x14ac:dyDescent="0.15">
      <c r="B44" s="15">
        <v>41</v>
      </c>
      <c r="C44" s="15" t="s">
        <v>70</v>
      </c>
      <c r="D44" s="15">
        <v>31</v>
      </c>
      <c r="G44" s="25" t="s">
        <v>526</v>
      </c>
      <c r="H44" s="25">
        <v>41</v>
      </c>
      <c r="I44" s="26" t="s">
        <v>357</v>
      </c>
      <c r="J44" s="26">
        <f t="shared" si="6"/>
        <v>172</v>
      </c>
      <c r="M44" s="25" t="s">
        <v>526</v>
      </c>
      <c r="N44" s="25">
        <v>41</v>
      </c>
      <c r="O44" s="26" t="s">
        <v>189</v>
      </c>
      <c r="P44" s="26">
        <f t="shared" si="7"/>
        <v>90</v>
      </c>
      <c r="Q44" s="26"/>
      <c r="R44" s="26"/>
      <c r="S44" s="25" t="s">
        <v>526</v>
      </c>
      <c r="T44" s="25">
        <v>41</v>
      </c>
      <c r="U44" s="26" t="s">
        <v>205</v>
      </c>
      <c r="V44" s="26">
        <f t="shared" si="8"/>
        <v>98</v>
      </c>
      <c r="W44" s="26"/>
      <c r="Y44" s="25" t="s">
        <v>526</v>
      </c>
      <c r="Z44" s="25">
        <v>41</v>
      </c>
      <c r="AA44" s="26" t="s">
        <v>87</v>
      </c>
      <c r="AB44" s="26">
        <f t="shared" si="9"/>
        <v>39</v>
      </c>
      <c r="AE44" s="25" t="s">
        <v>526</v>
      </c>
      <c r="AF44" s="25">
        <v>41</v>
      </c>
      <c r="AG44" s="26" t="s">
        <v>938</v>
      </c>
      <c r="AH44" s="26">
        <f t="shared" si="10"/>
        <v>129</v>
      </c>
      <c r="AK44" s="25" t="s">
        <v>526</v>
      </c>
      <c r="AL44" s="25">
        <v>41</v>
      </c>
      <c r="AM44" s="26" t="s">
        <v>921</v>
      </c>
      <c r="AN44" s="26">
        <f t="shared" si="11"/>
        <v>112</v>
      </c>
      <c r="AQ44" s="25" t="s">
        <v>526</v>
      </c>
      <c r="AR44" s="25">
        <v>41</v>
      </c>
      <c r="AS44" s="26" t="s">
        <v>1004</v>
      </c>
      <c r="AT44" s="26">
        <f t="shared" si="12"/>
        <v>86</v>
      </c>
      <c r="AX44" s="15"/>
      <c r="AY44" s="35">
        <f t="shared" si="13"/>
        <v>41</v>
      </c>
      <c r="AZ44" s="35" t="str">
        <f t="shared" si="14"/>
        <v>675+353</v>
      </c>
      <c r="BA44" s="35">
        <f t="shared" si="15"/>
        <v>31</v>
      </c>
      <c r="BB44" s="38">
        <f>COUNTIF($BA$4:$BA44,$BA44)</f>
        <v>1</v>
      </c>
      <c r="BC44" s="36" t="str">
        <f t="shared" si="16"/>
        <v/>
      </c>
      <c r="BD44" s="36" t="str">
        <f t="shared" si="17"/>
        <v/>
      </c>
      <c r="BE44" s="36" t="str">
        <f t="shared" si="18"/>
        <v/>
      </c>
      <c r="BF44" s="36" t="str">
        <f t="shared" si="19"/>
        <v>村</v>
      </c>
      <c r="BG44" s="36" t="str">
        <f t="shared" si="20"/>
        <v/>
      </c>
      <c r="BH44" s="36" t="str">
        <f t="shared" si="21"/>
        <v/>
      </c>
      <c r="BI44" s="36" t="str">
        <f t="shared" si="22"/>
        <v/>
      </c>
      <c r="BJ44" s="29" t="str">
        <f t="shared" si="23"/>
        <v>村</v>
      </c>
      <c r="BL44" s="15">
        <v>41</v>
      </c>
      <c r="BM44" s="39" t="str">
        <f t="shared" si="36"/>
        <v/>
      </c>
      <c r="BN44" s="39" t="str">
        <f t="shared" si="36"/>
        <v/>
      </c>
      <c r="BO44" s="39" t="str">
        <f t="shared" si="36"/>
        <v/>
      </c>
      <c r="BP44" s="39" t="str">
        <f t="shared" si="36"/>
        <v/>
      </c>
      <c r="BQ44" s="39" t="str">
        <f t="shared" si="36"/>
        <v/>
      </c>
      <c r="BR44" s="39" t="str">
        <f t="shared" si="36"/>
        <v/>
      </c>
      <c r="BS44" s="39" t="str">
        <f t="shared" si="36"/>
        <v/>
      </c>
      <c r="BT44" s="39" t="str">
        <f t="shared" si="36"/>
        <v/>
      </c>
      <c r="BU44" s="39" t="str">
        <f t="shared" si="36"/>
        <v/>
      </c>
      <c r="BV44" s="39" t="str">
        <f t="shared" si="36"/>
        <v/>
      </c>
      <c r="BW44" s="39" t="str">
        <f t="shared" si="36"/>
        <v/>
      </c>
      <c r="BX44" s="39" t="str">
        <f t="shared" si="36"/>
        <v/>
      </c>
      <c r="BY44" s="39" t="str">
        <f t="shared" si="36"/>
        <v/>
      </c>
      <c r="BZ44" s="39" t="str">
        <f t="shared" si="36"/>
        <v/>
      </c>
      <c r="CA44" s="39" t="str">
        <f t="shared" si="36"/>
        <v/>
      </c>
      <c r="CB44" s="39" t="str">
        <f t="shared" si="34"/>
        <v/>
      </c>
      <c r="CC44" s="39" t="str">
        <f t="shared" si="34"/>
        <v/>
      </c>
      <c r="CD44" s="39" t="str">
        <f t="shared" si="34"/>
        <v/>
      </c>
      <c r="CE44" s="39" t="str">
        <f t="shared" si="34"/>
        <v/>
      </c>
      <c r="CF44" s="39" t="str">
        <f t="shared" si="34"/>
        <v/>
      </c>
      <c r="CG44" s="39" t="str">
        <f t="shared" si="34"/>
        <v/>
      </c>
      <c r="CH44" s="39" t="str">
        <f t="shared" si="34"/>
        <v/>
      </c>
      <c r="CI44" s="39" t="str">
        <f t="shared" si="34"/>
        <v/>
      </c>
      <c r="CJ44" s="39" t="str">
        <f t="shared" si="34"/>
        <v/>
      </c>
      <c r="CK44" s="39" t="str">
        <f t="shared" si="34"/>
        <v/>
      </c>
      <c r="CL44" s="39" t="str">
        <f t="shared" si="34"/>
        <v/>
      </c>
      <c r="CM44" s="39" t="str">
        <f t="shared" si="34"/>
        <v/>
      </c>
      <c r="CN44" s="39" t="str">
        <f t="shared" si="34"/>
        <v/>
      </c>
      <c r="CO44" s="39" t="str">
        <f t="shared" si="34"/>
        <v/>
      </c>
      <c r="CP44" s="39" t="str">
        <f t="shared" si="34"/>
        <v/>
      </c>
      <c r="CQ44" s="39" t="str">
        <f t="shared" si="35"/>
        <v>517+435</v>
      </c>
      <c r="CR44" s="39" t="str">
        <f t="shared" si="35"/>
        <v/>
      </c>
      <c r="CS44" s="39" t="str">
        <f t="shared" si="35"/>
        <v/>
      </c>
      <c r="CT44" s="39" t="str">
        <f t="shared" si="35"/>
        <v/>
      </c>
      <c r="CU44" s="39" t="str">
        <f t="shared" si="35"/>
        <v/>
      </c>
      <c r="CV44" s="39" t="str">
        <f t="shared" si="35"/>
        <v/>
      </c>
      <c r="CW44" s="39" t="str">
        <f t="shared" si="35"/>
        <v/>
      </c>
      <c r="CX44" s="39" t="str">
        <f t="shared" si="35"/>
        <v/>
      </c>
      <c r="CY44" s="39" t="str">
        <f t="shared" si="35"/>
        <v/>
      </c>
      <c r="CZ44" s="39" t="str">
        <f t="shared" si="35"/>
        <v/>
      </c>
      <c r="DA44" s="39" t="str">
        <f t="shared" si="35"/>
        <v/>
      </c>
      <c r="DB44" s="39" t="str">
        <f t="shared" si="35"/>
        <v/>
      </c>
      <c r="DC44" s="39" t="str">
        <f t="shared" si="35"/>
        <v/>
      </c>
      <c r="DD44" s="39" t="str">
        <f t="shared" si="35"/>
        <v/>
      </c>
      <c r="DE44" s="39" t="str">
        <f t="shared" si="35"/>
        <v/>
      </c>
      <c r="DF44" s="37" t="str">
        <f t="shared" si="27"/>
        <v>0+0+1</v>
      </c>
      <c r="DG44" s="37" t="str">
        <f t="shared" si="28"/>
        <v>0+0</v>
      </c>
      <c r="DH44" s="37" t="str">
        <f t="shared" si="29"/>
        <v>0+0</v>
      </c>
      <c r="DI44" s="37" t="str">
        <f t="shared" si="30"/>
        <v>517+435</v>
      </c>
      <c r="DJ44" s="37" t="str">
        <f t="shared" si="31"/>
        <v>0+0+1|0+0|0+0|517+435</v>
      </c>
    </row>
    <row r="45" spans="2:114" x14ac:dyDescent="0.15">
      <c r="B45" s="15">
        <v>42</v>
      </c>
      <c r="C45" s="15" t="s">
        <v>71</v>
      </c>
      <c r="D45" s="15">
        <v>31</v>
      </c>
      <c r="G45" s="25" t="s">
        <v>526</v>
      </c>
      <c r="H45" s="25">
        <v>42</v>
      </c>
      <c r="I45" s="26" t="s">
        <v>355</v>
      </c>
      <c r="J45" s="26">
        <f t="shared" si="6"/>
        <v>171</v>
      </c>
      <c r="M45" s="25" t="s">
        <v>526</v>
      </c>
      <c r="N45" s="25">
        <v>42</v>
      </c>
      <c r="O45" s="26" t="s">
        <v>190</v>
      </c>
      <c r="P45" s="26">
        <f t="shared" si="7"/>
        <v>90</v>
      </c>
      <c r="Q45" s="26"/>
      <c r="R45" s="26"/>
      <c r="S45" s="25" t="s">
        <v>526</v>
      </c>
      <c r="T45" s="25">
        <v>42</v>
      </c>
      <c r="U45" s="26" t="s">
        <v>848</v>
      </c>
      <c r="V45" s="26">
        <f t="shared" si="8"/>
        <v>99</v>
      </c>
      <c r="W45" s="26"/>
      <c r="Y45" s="25" t="s">
        <v>526</v>
      </c>
      <c r="Z45" s="25">
        <v>42</v>
      </c>
      <c r="AA45" s="26" t="s">
        <v>84</v>
      </c>
      <c r="AB45" s="26">
        <f t="shared" si="9"/>
        <v>38</v>
      </c>
      <c r="AE45" s="25" t="s">
        <v>526</v>
      </c>
      <c r="AF45" s="25">
        <v>42</v>
      </c>
      <c r="AG45" s="26" t="s">
        <v>268</v>
      </c>
      <c r="AH45" s="26">
        <f t="shared" si="10"/>
        <v>128</v>
      </c>
      <c r="AK45" s="25" t="s">
        <v>526</v>
      </c>
      <c r="AL45" s="25">
        <v>42</v>
      </c>
      <c r="AM45" s="26" t="s">
        <v>836</v>
      </c>
      <c r="AN45" s="26">
        <f t="shared" si="11"/>
        <v>112</v>
      </c>
      <c r="AQ45" s="25" t="s">
        <v>526</v>
      </c>
      <c r="AR45" s="25">
        <v>42</v>
      </c>
      <c r="AS45" s="26" t="s">
        <v>917</v>
      </c>
      <c r="AT45" s="26">
        <f t="shared" si="12"/>
        <v>134</v>
      </c>
      <c r="AX45" s="15"/>
      <c r="AY45" s="35">
        <f t="shared" si="13"/>
        <v>42</v>
      </c>
      <c r="AZ45" s="35" t="str">
        <f t="shared" si="14"/>
        <v>665+379</v>
      </c>
      <c r="BA45" s="35">
        <f t="shared" si="15"/>
        <v>31</v>
      </c>
      <c r="BB45" s="38">
        <f>COUNTIF($BA$4:$BA45,$BA45)</f>
        <v>2</v>
      </c>
      <c r="BC45" s="36" t="str">
        <f t="shared" si="16"/>
        <v>村</v>
      </c>
      <c r="BD45" s="36" t="str">
        <f t="shared" si="17"/>
        <v/>
      </c>
      <c r="BE45" s="36" t="str">
        <f t="shared" si="18"/>
        <v/>
      </c>
      <c r="BF45" s="36" t="str">
        <f t="shared" si="19"/>
        <v>村</v>
      </c>
      <c r="BG45" s="36" t="str">
        <f t="shared" si="20"/>
        <v/>
      </c>
      <c r="BH45" s="36" t="str">
        <f t="shared" si="21"/>
        <v/>
      </c>
      <c r="BI45" s="36" t="str">
        <f t="shared" si="22"/>
        <v/>
      </c>
      <c r="BJ45" s="29" t="str">
        <f t="shared" si="23"/>
        <v>村</v>
      </c>
      <c r="BL45" s="15">
        <v>42</v>
      </c>
      <c r="BM45" s="39" t="str">
        <f t="shared" si="36"/>
        <v/>
      </c>
      <c r="BN45" s="39" t="str">
        <f t="shared" si="36"/>
        <v/>
      </c>
      <c r="BO45" s="39" t="str">
        <f t="shared" si="36"/>
        <v/>
      </c>
      <c r="BP45" s="39" t="str">
        <f t="shared" si="36"/>
        <v/>
      </c>
      <c r="BQ45" s="39" t="str">
        <f t="shared" si="36"/>
        <v/>
      </c>
      <c r="BR45" s="39" t="str">
        <f t="shared" si="36"/>
        <v/>
      </c>
      <c r="BS45" s="39" t="str">
        <f t="shared" si="36"/>
        <v/>
      </c>
      <c r="BT45" s="39" t="str">
        <f t="shared" si="36"/>
        <v/>
      </c>
      <c r="BU45" s="39" t="str">
        <f t="shared" si="36"/>
        <v/>
      </c>
      <c r="BV45" s="39" t="str">
        <f t="shared" si="36"/>
        <v/>
      </c>
      <c r="BW45" s="39" t="str">
        <f t="shared" si="36"/>
        <v/>
      </c>
      <c r="BX45" s="39" t="str">
        <f t="shared" si="36"/>
        <v/>
      </c>
      <c r="BY45" s="39" t="str">
        <f t="shared" si="36"/>
        <v/>
      </c>
      <c r="BZ45" s="39" t="str">
        <f t="shared" si="36"/>
        <v/>
      </c>
      <c r="CA45" s="39" t="str">
        <f t="shared" si="36"/>
        <v/>
      </c>
      <c r="CB45" s="39" t="str">
        <f t="shared" si="34"/>
        <v>576+368</v>
      </c>
      <c r="CC45" s="39" t="str">
        <f t="shared" si="34"/>
        <v/>
      </c>
      <c r="CD45" s="39" t="str">
        <f t="shared" si="34"/>
        <v/>
      </c>
      <c r="CE45" s="39" t="str">
        <f t="shared" si="34"/>
        <v/>
      </c>
      <c r="CF45" s="39" t="str">
        <f t="shared" si="34"/>
        <v/>
      </c>
      <c r="CG45" s="39" t="str">
        <f t="shared" si="34"/>
        <v/>
      </c>
      <c r="CH45" s="39" t="str">
        <f t="shared" si="34"/>
        <v/>
      </c>
      <c r="CI45" s="39" t="str">
        <f t="shared" si="34"/>
        <v/>
      </c>
      <c r="CJ45" s="39" t="str">
        <f t="shared" si="34"/>
        <v/>
      </c>
      <c r="CK45" s="39" t="str">
        <f t="shared" si="34"/>
        <v/>
      </c>
      <c r="CL45" s="39" t="str">
        <f t="shared" si="34"/>
        <v/>
      </c>
      <c r="CM45" s="39" t="str">
        <f t="shared" si="34"/>
        <v/>
      </c>
      <c r="CN45" s="39" t="str">
        <f t="shared" si="34"/>
        <v/>
      </c>
      <c r="CO45" s="39" t="str">
        <f t="shared" si="34"/>
        <v/>
      </c>
      <c r="CP45" s="39" t="str">
        <f t="shared" si="34"/>
        <v/>
      </c>
      <c r="CQ45" s="39" t="str">
        <f t="shared" si="35"/>
        <v/>
      </c>
      <c r="CR45" s="39" t="str">
        <f t="shared" si="35"/>
        <v>560+382</v>
      </c>
      <c r="CS45" s="39" t="str">
        <f t="shared" si="35"/>
        <v/>
      </c>
      <c r="CT45" s="39" t="str">
        <f t="shared" si="35"/>
        <v/>
      </c>
      <c r="CU45" s="39" t="str">
        <f t="shared" si="35"/>
        <v/>
      </c>
      <c r="CV45" s="39" t="str">
        <f t="shared" si="35"/>
        <v/>
      </c>
      <c r="CW45" s="39" t="str">
        <f t="shared" si="35"/>
        <v/>
      </c>
      <c r="CX45" s="39" t="str">
        <f t="shared" si="35"/>
        <v/>
      </c>
      <c r="CY45" s="39" t="str">
        <f t="shared" si="35"/>
        <v/>
      </c>
      <c r="CZ45" s="39" t="str">
        <f t="shared" si="35"/>
        <v/>
      </c>
      <c r="DA45" s="39" t="str">
        <f t="shared" si="35"/>
        <v/>
      </c>
      <c r="DB45" s="39" t="str">
        <f t="shared" si="35"/>
        <v/>
      </c>
      <c r="DC45" s="39" t="str">
        <f t="shared" si="35"/>
        <v/>
      </c>
      <c r="DD45" s="39" t="str">
        <f t="shared" si="35"/>
        <v/>
      </c>
      <c r="DE45" s="39" t="str">
        <f t="shared" si="35"/>
        <v/>
      </c>
      <c r="DF45" s="37" t="str">
        <f t="shared" si="27"/>
        <v>0+1+1</v>
      </c>
      <c r="DG45" s="37" t="str">
        <f t="shared" si="28"/>
        <v>0+0</v>
      </c>
      <c r="DH45" s="37" t="str">
        <f t="shared" si="29"/>
        <v>576+368</v>
      </c>
      <c r="DI45" s="37" t="str">
        <f t="shared" si="30"/>
        <v>560+382</v>
      </c>
      <c r="DJ45" s="37" t="str">
        <f t="shared" si="31"/>
        <v>0+1+1|0+0|576+368|560+382</v>
      </c>
    </row>
    <row r="46" spans="2:114" x14ac:dyDescent="0.15">
      <c r="B46" s="15">
        <v>43</v>
      </c>
      <c r="C46" s="15" t="s">
        <v>417</v>
      </c>
      <c r="D46" s="15">
        <v>31</v>
      </c>
      <c r="G46" s="27" t="s">
        <v>528</v>
      </c>
      <c r="H46" s="27">
        <v>43</v>
      </c>
      <c r="I46" s="26" t="s">
        <v>107</v>
      </c>
      <c r="J46" s="26">
        <f t="shared" si="6"/>
        <v>50</v>
      </c>
      <c r="M46" s="27" t="s">
        <v>528</v>
      </c>
      <c r="N46" s="27">
        <v>43</v>
      </c>
      <c r="O46" s="26" t="s">
        <v>630</v>
      </c>
      <c r="P46" s="26">
        <f t="shared" si="7"/>
        <v>91</v>
      </c>
      <c r="Q46" s="26"/>
      <c r="R46" s="26"/>
      <c r="S46" s="27" t="s">
        <v>528</v>
      </c>
      <c r="T46" s="27">
        <v>43</v>
      </c>
      <c r="U46" s="26" t="s">
        <v>215</v>
      </c>
      <c r="V46" s="26">
        <f t="shared" si="8"/>
        <v>103</v>
      </c>
      <c r="W46" s="26"/>
      <c r="Y46" s="27" t="s">
        <v>528</v>
      </c>
      <c r="Z46" s="27">
        <v>43</v>
      </c>
      <c r="AA46" s="26" t="s">
        <v>104</v>
      </c>
      <c r="AB46" s="26">
        <f t="shared" si="9"/>
        <v>48</v>
      </c>
      <c r="AE46" s="27" t="s">
        <v>528</v>
      </c>
      <c r="AF46" s="27">
        <v>43</v>
      </c>
      <c r="AG46" s="26" t="s">
        <v>897</v>
      </c>
      <c r="AH46" s="26">
        <f t="shared" si="10"/>
        <v>70</v>
      </c>
      <c r="AK46" s="27" t="s">
        <v>528</v>
      </c>
      <c r="AL46" s="27">
        <v>43</v>
      </c>
      <c r="AM46" s="26" t="s">
        <v>266</v>
      </c>
      <c r="AN46" s="26">
        <f t="shared" si="11"/>
        <v>127</v>
      </c>
      <c r="AQ46" s="27" t="s">
        <v>528</v>
      </c>
      <c r="AR46" s="27">
        <v>43</v>
      </c>
      <c r="AS46" s="26" t="s">
        <v>941</v>
      </c>
      <c r="AT46" s="26">
        <f t="shared" si="12"/>
        <v>136</v>
      </c>
      <c r="AX46" s="15"/>
      <c r="AY46" s="35">
        <f t="shared" si="13"/>
        <v>43</v>
      </c>
      <c r="AZ46" s="35" t="str">
        <f t="shared" si="14"/>
        <v>636+389</v>
      </c>
      <c r="BA46" s="35">
        <f t="shared" si="15"/>
        <v>31</v>
      </c>
      <c r="BB46" s="38">
        <f>COUNTIF($BA$4:$BA46,$BA46)</f>
        <v>3</v>
      </c>
      <c r="BC46" s="36" t="str">
        <f t="shared" si="16"/>
        <v>营</v>
      </c>
      <c r="BD46" s="36" t="str">
        <f t="shared" si="17"/>
        <v/>
      </c>
      <c r="BE46" s="36" t="str">
        <f t="shared" si="18"/>
        <v/>
      </c>
      <c r="BF46" s="36" t="str">
        <f t="shared" si="19"/>
        <v>营</v>
      </c>
      <c r="BG46" s="36" t="str">
        <f t="shared" si="20"/>
        <v/>
      </c>
      <c r="BH46" s="36" t="str">
        <f t="shared" si="21"/>
        <v/>
      </c>
      <c r="BI46" s="36" t="str">
        <f t="shared" si="22"/>
        <v/>
      </c>
      <c r="BJ46" s="29" t="str">
        <f t="shared" si="23"/>
        <v>营</v>
      </c>
      <c r="BL46" s="15">
        <v>43</v>
      </c>
      <c r="BM46" s="39" t="str">
        <f t="shared" si="36"/>
        <v>429+491</v>
      </c>
      <c r="BN46" s="39" t="str">
        <f t="shared" si="36"/>
        <v/>
      </c>
      <c r="BO46" s="39" t="str">
        <f t="shared" si="36"/>
        <v/>
      </c>
      <c r="BP46" s="39" t="str">
        <f t="shared" si="36"/>
        <v>419+505</v>
      </c>
      <c r="BQ46" s="39" t="str">
        <f t="shared" si="36"/>
        <v/>
      </c>
      <c r="BR46" s="39" t="str">
        <f t="shared" si="36"/>
        <v/>
      </c>
      <c r="BS46" s="39" t="str">
        <f t="shared" si="36"/>
        <v/>
      </c>
      <c r="BT46" s="39" t="str">
        <f t="shared" si="36"/>
        <v/>
      </c>
      <c r="BU46" s="39" t="str">
        <f t="shared" si="36"/>
        <v/>
      </c>
      <c r="BV46" s="39" t="str">
        <f t="shared" si="36"/>
        <v/>
      </c>
      <c r="BW46" s="39" t="str">
        <f t="shared" si="36"/>
        <v/>
      </c>
      <c r="BX46" s="39" t="str">
        <f t="shared" si="36"/>
        <v/>
      </c>
      <c r="BY46" s="39" t="str">
        <f t="shared" si="36"/>
        <v/>
      </c>
      <c r="BZ46" s="39" t="str">
        <f t="shared" si="36"/>
        <v/>
      </c>
      <c r="CA46" s="39" t="str">
        <f t="shared" si="36"/>
        <v/>
      </c>
      <c r="CB46" s="39" t="str">
        <f t="shared" si="34"/>
        <v/>
      </c>
      <c r="CC46" s="39" t="str">
        <f t="shared" si="34"/>
        <v/>
      </c>
      <c r="CD46" s="39" t="str">
        <f t="shared" si="34"/>
        <v/>
      </c>
      <c r="CE46" s="39" t="str">
        <f t="shared" si="34"/>
        <v/>
      </c>
      <c r="CF46" s="39" t="str">
        <f t="shared" si="34"/>
        <v/>
      </c>
      <c r="CG46" s="39" t="str">
        <f t="shared" si="34"/>
        <v/>
      </c>
      <c r="CH46" s="39" t="str">
        <f t="shared" si="34"/>
        <v/>
      </c>
      <c r="CI46" s="39" t="str">
        <f t="shared" si="34"/>
        <v/>
      </c>
      <c r="CJ46" s="39" t="str">
        <f t="shared" si="34"/>
        <v/>
      </c>
      <c r="CK46" s="39" t="str">
        <f t="shared" si="34"/>
        <v/>
      </c>
      <c r="CL46" s="39" t="str">
        <f t="shared" si="34"/>
        <v/>
      </c>
      <c r="CM46" s="39" t="str">
        <f t="shared" si="34"/>
        <v/>
      </c>
      <c r="CN46" s="39" t="str">
        <f t="shared" si="34"/>
        <v/>
      </c>
      <c r="CO46" s="39" t="str">
        <f t="shared" si="34"/>
        <v/>
      </c>
      <c r="CP46" s="39" t="str">
        <f t="shared" si="34"/>
        <v/>
      </c>
      <c r="CQ46" s="39" t="str">
        <f t="shared" si="35"/>
        <v/>
      </c>
      <c r="CR46" s="39" t="str">
        <f t="shared" si="35"/>
        <v>436+467</v>
      </c>
      <c r="CS46" s="39" t="str">
        <f t="shared" si="35"/>
        <v>460+507</v>
      </c>
      <c r="CT46" s="39" t="str">
        <f t="shared" si="35"/>
        <v/>
      </c>
      <c r="CU46" s="39" t="str">
        <f t="shared" si="35"/>
        <v/>
      </c>
      <c r="CV46" s="39" t="str">
        <f t="shared" si="35"/>
        <v/>
      </c>
      <c r="CW46" s="39" t="str">
        <f t="shared" si="35"/>
        <v/>
      </c>
      <c r="CX46" s="39" t="str">
        <f t="shared" si="35"/>
        <v/>
      </c>
      <c r="CY46" s="39" t="str">
        <f t="shared" si="35"/>
        <v/>
      </c>
      <c r="CZ46" s="39" t="str">
        <f t="shared" si="35"/>
        <v/>
      </c>
      <c r="DA46" s="39" t="str">
        <f t="shared" si="35"/>
        <v/>
      </c>
      <c r="DB46" s="39" t="str">
        <f t="shared" si="35"/>
        <v/>
      </c>
      <c r="DC46" s="39" t="str">
        <f t="shared" si="35"/>
        <v/>
      </c>
      <c r="DD46" s="39" t="str">
        <f t="shared" si="35"/>
        <v/>
      </c>
      <c r="DE46" s="39" t="str">
        <f t="shared" si="35"/>
        <v/>
      </c>
      <c r="DF46" s="37" t="str">
        <f t="shared" si="27"/>
        <v>2+0+2</v>
      </c>
      <c r="DG46" s="37" t="str">
        <f t="shared" si="28"/>
        <v>429+491|419+505</v>
      </c>
      <c r="DH46" s="37" t="str">
        <f t="shared" si="29"/>
        <v>0+0</v>
      </c>
      <c r="DI46" s="37" t="str">
        <f t="shared" si="30"/>
        <v>436+467|460+507</v>
      </c>
      <c r="DJ46" s="37" t="str">
        <f t="shared" si="31"/>
        <v>2+0+2|429+491|419+505|0+0|436+467|460+507</v>
      </c>
    </row>
    <row r="47" spans="2:114" x14ac:dyDescent="0.15">
      <c r="B47" s="15">
        <v>44</v>
      </c>
      <c r="C47" s="15" t="s">
        <v>594</v>
      </c>
      <c r="D47" s="15">
        <v>31</v>
      </c>
      <c r="G47" s="27" t="s">
        <v>528</v>
      </c>
      <c r="H47" s="27">
        <v>44</v>
      </c>
      <c r="I47" s="26" t="s">
        <v>120</v>
      </c>
      <c r="J47" s="26">
        <f t="shared" si="6"/>
        <v>56</v>
      </c>
      <c r="M47" s="27" t="s">
        <v>528</v>
      </c>
      <c r="N47" s="27">
        <v>44</v>
      </c>
      <c r="O47" s="26" t="s">
        <v>191</v>
      </c>
      <c r="P47" s="26">
        <f t="shared" si="7"/>
        <v>91</v>
      </c>
      <c r="Q47" s="26"/>
      <c r="R47" s="26"/>
      <c r="S47" s="27" t="s">
        <v>528</v>
      </c>
      <c r="T47" s="27">
        <v>44</v>
      </c>
      <c r="U47" s="26" t="s">
        <v>216</v>
      </c>
      <c r="V47" s="26">
        <f t="shared" si="8"/>
        <v>103</v>
      </c>
      <c r="W47" s="26"/>
      <c r="Y47" s="27" t="s">
        <v>528</v>
      </c>
      <c r="Z47" s="27">
        <v>44</v>
      </c>
      <c r="AA47" s="26" t="s">
        <v>103</v>
      </c>
      <c r="AB47" s="26">
        <f t="shared" si="9"/>
        <v>48</v>
      </c>
      <c r="AE47" s="27" t="s">
        <v>528</v>
      </c>
      <c r="AF47" s="27">
        <v>44</v>
      </c>
      <c r="AG47" s="26" t="s">
        <v>898</v>
      </c>
      <c r="AH47" s="26">
        <f t="shared" si="10"/>
        <v>70</v>
      </c>
      <c r="AK47" s="27" t="s">
        <v>528</v>
      </c>
      <c r="AL47" s="27">
        <v>44</v>
      </c>
      <c r="AM47" s="26" t="s">
        <v>265</v>
      </c>
      <c r="AN47" s="26">
        <f t="shared" si="11"/>
        <v>127</v>
      </c>
      <c r="AQ47" s="27" t="s">
        <v>528</v>
      </c>
      <c r="AR47" s="27">
        <v>44</v>
      </c>
      <c r="AS47" s="26" t="s">
        <v>940</v>
      </c>
      <c r="AT47" s="26">
        <f t="shared" si="12"/>
        <v>136</v>
      </c>
      <c r="AX47" s="15"/>
      <c r="AY47" s="35">
        <f t="shared" si="13"/>
        <v>44</v>
      </c>
      <c r="AZ47" s="35" t="str">
        <f t="shared" si="14"/>
        <v>644+381</v>
      </c>
      <c r="BA47" s="35">
        <f t="shared" si="15"/>
        <v>31</v>
      </c>
      <c r="BB47" s="38">
        <f>COUNTIF($BA$4:$BA47,$BA47)</f>
        <v>4</v>
      </c>
      <c r="BC47" s="36" t="str">
        <f t="shared" si="16"/>
        <v>营</v>
      </c>
      <c r="BD47" s="36" t="str">
        <f t="shared" si="17"/>
        <v/>
      </c>
      <c r="BE47" s="36" t="str">
        <f t="shared" si="18"/>
        <v>营</v>
      </c>
      <c r="BF47" s="36" t="str">
        <f t="shared" si="19"/>
        <v>营</v>
      </c>
      <c r="BG47" s="36" t="str">
        <f t="shared" si="20"/>
        <v/>
      </c>
      <c r="BH47" s="36" t="str">
        <f t="shared" si="21"/>
        <v/>
      </c>
      <c r="BI47" s="36" t="str">
        <f t="shared" si="22"/>
        <v/>
      </c>
      <c r="BJ47" s="29" t="str">
        <f t="shared" si="23"/>
        <v>营</v>
      </c>
      <c r="BL47" s="15">
        <v>44</v>
      </c>
      <c r="BM47" s="39" t="str">
        <f t="shared" si="36"/>
        <v>468+470</v>
      </c>
      <c r="BN47" s="39" t="str">
        <f t="shared" si="36"/>
        <v>458+446</v>
      </c>
      <c r="BO47" s="39" t="str">
        <f t="shared" si="36"/>
        <v/>
      </c>
      <c r="BP47" s="39" t="str">
        <f t="shared" si="36"/>
        <v/>
      </c>
      <c r="BQ47" s="39" t="str">
        <f t="shared" si="36"/>
        <v/>
      </c>
      <c r="BR47" s="39" t="str">
        <f t="shared" si="36"/>
        <v/>
      </c>
      <c r="BS47" s="39" t="str">
        <f t="shared" si="36"/>
        <v/>
      </c>
      <c r="BT47" s="39" t="str">
        <f t="shared" si="36"/>
        <v/>
      </c>
      <c r="BU47" s="39" t="str">
        <f t="shared" si="36"/>
        <v/>
      </c>
      <c r="BV47" s="39" t="str">
        <f t="shared" si="36"/>
        <v/>
      </c>
      <c r="BW47" s="39" t="str">
        <f t="shared" si="36"/>
        <v/>
      </c>
      <c r="BX47" s="39" t="str">
        <f t="shared" si="36"/>
        <v/>
      </c>
      <c r="BY47" s="39" t="str">
        <f t="shared" si="36"/>
        <v/>
      </c>
      <c r="BZ47" s="39" t="str">
        <f t="shared" si="36"/>
        <v/>
      </c>
      <c r="CA47" s="39" t="str">
        <f t="shared" si="36"/>
        <v/>
      </c>
      <c r="CB47" s="39" t="str">
        <f t="shared" si="34"/>
        <v/>
      </c>
      <c r="CC47" s="39" t="str">
        <f t="shared" si="34"/>
        <v/>
      </c>
      <c r="CD47" s="39" t="str">
        <f t="shared" si="34"/>
        <v/>
      </c>
      <c r="CE47" s="39" t="str">
        <f t="shared" si="34"/>
        <v/>
      </c>
      <c r="CF47" s="39" t="str">
        <f t="shared" si="34"/>
        <v/>
      </c>
      <c r="CG47" s="39" t="str">
        <f t="shared" si="34"/>
        <v/>
      </c>
      <c r="CH47" s="39" t="str">
        <f t="shared" si="34"/>
        <v/>
      </c>
      <c r="CI47" s="39" t="str">
        <f t="shared" si="34"/>
        <v/>
      </c>
      <c r="CJ47" s="39" t="str">
        <f t="shared" si="34"/>
        <v/>
      </c>
      <c r="CK47" s="39" t="str">
        <f t="shared" si="34"/>
        <v/>
      </c>
      <c r="CL47" s="39" t="str">
        <f t="shared" si="34"/>
        <v/>
      </c>
      <c r="CM47" s="39" t="str">
        <f t="shared" si="34"/>
        <v/>
      </c>
      <c r="CN47" s="39" t="str">
        <f t="shared" si="34"/>
        <v/>
      </c>
      <c r="CO47" s="39" t="str">
        <f t="shared" si="34"/>
        <v/>
      </c>
      <c r="CP47" s="39" t="str">
        <f t="shared" si="34"/>
        <v/>
      </c>
      <c r="CQ47" s="39" t="str">
        <f t="shared" si="35"/>
        <v/>
      </c>
      <c r="CR47" s="39" t="str">
        <f t="shared" si="35"/>
        <v/>
      </c>
      <c r="CS47" s="39" t="str">
        <f t="shared" si="35"/>
        <v/>
      </c>
      <c r="CT47" s="39" t="str">
        <f t="shared" si="35"/>
        <v/>
      </c>
      <c r="CU47" s="39" t="str">
        <f t="shared" si="35"/>
        <v/>
      </c>
      <c r="CV47" s="39" t="str">
        <f t="shared" si="35"/>
        <v/>
      </c>
      <c r="CW47" s="39" t="str">
        <f t="shared" si="35"/>
        <v/>
      </c>
      <c r="CX47" s="39" t="str">
        <f t="shared" si="35"/>
        <v/>
      </c>
      <c r="CY47" s="39" t="str">
        <f t="shared" si="35"/>
        <v/>
      </c>
      <c r="CZ47" s="39" t="str">
        <f t="shared" si="35"/>
        <v/>
      </c>
      <c r="DA47" s="39" t="str">
        <f t="shared" si="35"/>
        <v/>
      </c>
      <c r="DB47" s="39" t="str">
        <f t="shared" si="35"/>
        <v/>
      </c>
      <c r="DC47" s="39" t="str">
        <f t="shared" si="35"/>
        <v/>
      </c>
      <c r="DD47" s="39" t="str">
        <f t="shared" si="35"/>
        <v/>
      </c>
      <c r="DE47" s="39" t="str">
        <f t="shared" si="35"/>
        <v/>
      </c>
      <c r="DF47" s="37" t="str">
        <f t="shared" si="27"/>
        <v>2+0+0</v>
      </c>
      <c r="DG47" s="37" t="str">
        <f t="shared" si="28"/>
        <v>468+470|458+446</v>
      </c>
      <c r="DH47" s="37" t="str">
        <f t="shared" si="29"/>
        <v>0+0</v>
      </c>
      <c r="DI47" s="37" t="str">
        <f t="shared" si="30"/>
        <v>0+0</v>
      </c>
      <c r="DJ47" s="37" t="str">
        <f t="shared" si="31"/>
        <v>2+0+0|468+470|458+446|0+0|0+0</v>
      </c>
    </row>
    <row r="48" spans="2:114" x14ac:dyDescent="0.15">
      <c r="B48" s="15">
        <v>45</v>
      </c>
      <c r="C48" s="15" t="s">
        <v>595</v>
      </c>
      <c r="D48" s="15">
        <v>32</v>
      </c>
      <c r="G48" s="27" t="s">
        <v>528</v>
      </c>
      <c r="H48" s="27">
        <v>45</v>
      </c>
      <c r="I48" s="26" t="s">
        <v>118</v>
      </c>
      <c r="J48" s="26">
        <f t="shared" si="6"/>
        <v>55</v>
      </c>
      <c r="M48" s="27" t="s">
        <v>528</v>
      </c>
      <c r="N48" s="27">
        <v>45</v>
      </c>
      <c r="O48" s="26" t="s">
        <v>185</v>
      </c>
      <c r="P48" s="26">
        <f t="shared" si="7"/>
        <v>88</v>
      </c>
      <c r="Q48" s="26"/>
      <c r="R48" s="26"/>
      <c r="S48" s="27" t="s">
        <v>528</v>
      </c>
      <c r="T48" s="27">
        <v>45</v>
      </c>
      <c r="U48" s="26" t="s">
        <v>217</v>
      </c>
      <c r="V48" s="26">
        <f t="shared" si="8"/>
        <v>104</v>
      </c>
      <c r="W48" s="26"/>
      <c r="Y48" s="27" t="s">
        <v>528</v>
      </c>
      <c r="Z48" s="27">
        <v>45</v>
      </c>
      <c r="AA48" s="26" t="s">
        <v>113</v>
      </c>
      <c r="AB48" s="26">
        <f t="shared" si="9"/>
        <v>53</v>
      </c>
      <c r="AE48" s="27" t="s">
        <v>528</v>
      </c>
      <c r="AF48" s="27">
        <v>45</v>
      </c>
      <c r="AG48" s="26" t="s">
        <v>899</v>
      </c>
      <c r="AH48" s="26">
        <f t="shared" si="10"/>
        <v>112</v>
      </c>
      <c r="AK48" s="27" t="s">
        <v>528</v>
      </c>
      <c r="AL48" s="27">
        <v>45</v>
      </c>
      <c r="AM48" s="26" t="s">
        <v>966</v>
      </c>
      <c r="AN48" s="26">
        <f t="shared" si="11"/>
        <v>127</v>
      </c>
      <c r="AQ48" s="27" t="s">
        <v>528</v>
      </c>
      <c r="AR48" s="27">
        <v>45</v>
      </c>
      <c r="AS48" s="26" t="s">
        <v>966</v>
      </c>
      <c r="AT48" s="26">
        <f t="shared" si="12"/>
        <v>127</v>
      </c>
      <c r="AX48" s="15"/>
      <c r="AY48" s="35">
        <f t="shared" si="13"/>
        <v>45</v>
      </c>
      <c r="AZ48" s="35" t="str">
        <f t="shared" si="14"/>
        <v>665+443</v>
      </c>
      <c r="BA48" s="35">
        <f t="shared" si="15"/>
        <v>32</v>
      </c>
      <c r="BB48" s="38">
        <f>COUNTIF($BA$4:$BA48,$BA48)</f>
        <v>1</v>
      </c>
      <c r="BC48" s="36" t="str">
        <f t="shared" si="16"/>
        <v/>
      </c>
      <c r="BD48" s="36" t="str">
        <f t="shared" si="17"/>
        <v>营</v>
      </c>
      <c r="BE48" s="36" t="str">
        <f t="shared" si="18"/>
        <v>营</v>
      </c>
      <c r="BF48" s="36" t="str">
        <f t="shared" si="19"/>
        <v>营</v>
      </c>
      <c r="BG48" s="36" t="str">
        <f t="shared" si="20"/>
        <v/>
      </c>
      <c r="BH48" s="36" t="str">
        <f t="shared" si="21"/>
        <v/>
      </c>
      <c r="BI48" s="36" t="str">
        <f t="shared" si="22"/>
        <v/>
      </c>
      <c r="BJ48" s="29" t="str">
        <f t="shared" si="23"/>
        <v>营</v>
      </c>
      <c r="BL48" s="15">
        <v>45</v>
      </c>
      <c r="BM48" s="39" t="str">
        <f t="shared" si="36"/>
        <v>521+404</v>
      </c>
      <c r="BN48" s="39" t="str">
        <f t="shared" si="36"/>
        <v>492+405</v>
      </c>
      <c r="BO48" s="39" t="str">
        <f t="shared" si="36"/>
        <v/>
      </c>
      <c r="BP48" s="39" t="str">
        <f t="shared" si="36"/>
        <v/>
      </c>
      <c r="BQ48" s="39" t="str">
        <f t="shared" si="36"/>
        <v/>
      </c>
      <c r="BR48" s="39" t="str">
        <f t="shared" si="36"/>
        <v/>
      </c>
      <c r="BS48" s="39" t="str">
        <f t="shared" si="36"/>
        <v/>
      </c>
      <c r="BT48" s="39" t="str">
        <f t="shared" si="36"/>
        <v/>
      </c>
      <c r="BU48" s="39" t="str">
        <f t="shared" si="36"/>
        <v/>
      </c>
      <c r="BV48" s="39" t="str">
        <f t="shared" si="36"/>
        <v/>
      </c>
      <c r="BW48" s="39" t="str">
        <f t="shared" si="36"/>
        <v/>
      </c>
      <c r="BX48" s="39" t="str">
        <f t="shared" si="36"/>
        <v/>
      </c>
      <c r="BY48" s="39" t="str">
        <f t="shared" si="36"/>
        <v/>
      </c>
      <c r="BZ48" s="39" t="str">
        <f t="shared" si="36"/>
        <v/>
      </c>
      <c r="CA48" s="39" t="str">
        <f t="shared" si="36"/>
        <v/>
      </c>
      <c r="CB48" s="39" t="str">
        <f t="shared" si="34"/>
        <v/>
      </c>
      <c r="CC48" s="39" t="str">
        <f t="shared" si="34"/>
        <v/>
      </c>
      <c r="CD48" s="39" t="str">
        <f t="shared" si="34"/>
        <v/>
      </c>
      <c r="CE48" s="39" t="str">
        <f t="shared" si="34"/>
        <v/>
      </c>
      <c r="CF48" s="39" t="str">
        <f t="shared" si="34"/>
        <v/>
      </c>
      <c r="CG48" s="39" t="str">
        <f t="shared" si="34"/>
        <v/>
      </c>
      <c r="CH48" s="39" t="str">
        <f t="shared" si="34"/>
        <v/>
      </c>
      <c r="CI48" s="39" t="str">
        <f t="shared" si="34"/>
        <v/>
      </c>
      <c r="CJ48" s="39" t="str">
        <f t="shared" si="34"/>
        <v/>
      </c>
      <c r="CK48" s="39" t="str">
        <f t="shared" si="34"/>
        <v/>
      </c>
      <c r="CL48" s="39" t="str">
        <f t="shared" si="34"/>
        <v/>
      </c>
      <c r="CM48" s="39" t="str">
        <f t="shared" si="34"/>
        <v/>
      </c>
      <c r="CN48" s="39" t="str">
        <f t="shared" si="34"/>
        <v/>
      </c>
      <c r="CO48" s="39" t="str">
        <f t="shared" si="34"/>
        <v/>
      </c>
      <c r="CP48" s="39" t="str">
        <f t="shared" si="34"/>
        <v/>
      </c>
      <c r="CQ48" s="39" t="str">
        <f t="shared" si="35"/>
        <v/>
      </c>
      <c r="CR48" s="39" t="str">
        <f t="shared" si="35"/>
        <v/>
      </c>
      <c r="CS48" s="39" t="str">
        <f t="shared" si="35"/>
        <v/>
      </c>
      <c r="CT48" s="39" t="str">
        <f t="shared" si="35"/>
        <v/>
      </c>
      <c r="CU48" s="39" t="str">
        <f t="shared" si="35"/>
        <v/>
      </c>
      <c r="CV48" s="39" t="str">
        <f t="shared" si="35"/>
        <v/>
      </c>
      <c r="CW48" s="39" t="str">
        <f t="shared" si="35"/>
        <v/>
      </c>
      <c r="CX48" s="39" t="str">
        <f t="shared" si="35"/>
        <v/>
      </c>
      <c r="CY48" s="39" t="str">
        <f t="shared" si="35"/>
        <v/>
      </c>
      <c r="CZ48" s="39" t="str">
        <f t="shared" si="35"/>
        <v/>
      </c>
      <c r="DA48" s="39" t="str">
        <f t="shared" si="35"/>
        <v/>
      </c>
      <c r="DB48" s="39" t="str">
        <f t="shared" si="35"/>
        <v/>
      </c>
      <c r="DC48" s="39" t="str">
        <f t="shared" si="35"/>
        <v/>
      </c>
      <c r="DD48" s="39" t="str">
        <f t="shared" si="35"/>
        <v/>
      </c>
      <c r="DE48" s="39" t="str">
        <f t="shared" si="35"/>
        <v/>
      </c>
      <c r="DF48" s="37" t="str">
        <f t="shared" si="27"/>
        <v>2+0+0</v>
      </c>
      <c r="DG48" s="37" t="str">
        <f t="shared" si="28"/>
        <v>521+404|492+405</v>
      </c>
      <c r="DH48" s="37" t="str">
        <f t="shared" si="29"/>
        <v>0+0</v>
      </c>
      <c r="DI48" s="37" t="str">
        <f t="shared" si="30"/>
        <v>0+0</v>
      </c>
      <c r="DJ48" s="37" t="str">
        <f t="shared" si="31"/>
        <v>2+0+0|521+404|492+405|0+0|0+0</v>
      </c>
    </row>
    <row r="49" spans="2:114" x14ac:dyDescent="0.15">
      <c r="B49" s="15">
        <v>46</v>
      </c>
      <c r="C49" s="15" t="s">
        <v>74</v>
      </c>
      <c r="D49" s="15">
        <v>33</v>
      </c>
      <c r="G49" s="27" t="s">
        <v>528</v>
      </c>
      <c r="H49" s="27">
        <v>46</v>
      </c>
      <c r="I49" s="26" t="s">
        <v>367</v>
      </c>
      <c r="J49" s="26">
        <f t="shared" si="6"/>
        <v>175</v>
      </c>
      <c r="M49" s="27" t="s">
        <v>528</v>
      </c>
      <c r="N49" s="27">
        <v>46</v>
      </c>
      <c r="O49" s="26" t="s">
        <v>188</v>
      </c>
      <c r="P49" s="26">
        <f t="shared" si="7"/>
        <v>89</v>
      </c>
      <c r="Q49" s="26"/>
      <c r="R49" s="26"/>
      <c r="S49" s="27" t="s">
        <v>528</v>
      </c>
      <c r="T49" s="27">
        <v>46</v>
      </c>
      <c r="U49" s="26" t="s">
        <v>32</v>
      </c>
      <c r="V49" s="26">
        <f t="shared" si="8"/>
        <v>13</v>
      </c>
      <c r="W49" s="26"/>
      <c r="Y49" s="27" t="s">
        <v>528</v>
      </c>
      <c r="Z49" s="27">
        <v>46</v>
      </c>
      <c r="AA49" s="26" t="s">
        <v>95</v>
      </c>
      <c r="AB49" s="26">
        <f t="shared" si="9"/>
        <v>44</v>
      </c>
      <c r="AE49" s="27" t="s">
        <v>528</v>
      </c>
      <c r="AF49" s="27">
        <v>46</v>
      </c>
      <c r="AG49" s="26" t="s">
        <v>278</v>
      </c>
      <c r="AH49" s="26">
        <f t="shared" si="10"/>
        <v>133</v>
      </c>
      <c r="AK49" s="27" t="s">
        <v>528</v>
      </c>
      <c r="AL49" s="27">
        <v>46</v>
      </c>
      <c r="AM49" s="26" t="s">
        <v>834</v>
      </c>
      <c r="AN49" s="26">
        <f t="shared" si="11"/>
        <v>110</v>
      </c>
      <c r="AQ49" s="27" t="s">
        <v>528</v>
      </c>
      <c r="AR49" s="27">
        <v>46</v>
      </c>
      <c r="AS49" s="26" t="s">
        <v>281</v>
      </c>
      <c r="AT49" s="26">
        <f t="shared" si="12"/>
        <v>134</v>
      </c>
      <c r="AX49" s="15"/>
      <c r="AY49" s="35">
        <f t="shared" si="13"/>
        <v>46</v>
      </c>
      <c r="AZ49" s="35" t="str">
        <f t="shared" si="14"/>
        <v>675+481</v>
      </c>
      <c r="BA49" s="35">
        <f t="shared" si="15"/>
        <v>33</v>
      </c>
      <c r="BB49" s="38">
        <f>COUNTIF($BA$4:$BA49,$BA49)</f>
        <v>1</v>
      </c>
      <c r="BC49" s="36" t="str">
        <f t="shared" si="16"/>
        <v>营</v>
      </c>
      <c r="BD49" s="36" t="str">
        <f t="shared" si="17"/>
        <v>营</v>
      </c>
      <c r="BE49" s="36" t="str">
        <f t="shared" si="18"/>
        <v>营</v>
      </c>
      <c r="BF49" s="36" t="str">
        <f t="shared" si="19"/>
        <v>营</v>
      </c>
      <c r="BG49" s="36" t="str">
        <f t="shared" si="20"/>
        <v/>
      </c>
      <c r="BH49" s="36" t="str">
        <f t="shared" si="21"/>
        <v/>
      </c>
      <c r="BI49" s="36" t="str">
        <f t="shared" si="22"/>
        <v/>
      </c>
      <c r="BJ49" s="29" t="str">
        <f t="shared" si="23"/>
        <v>营</v>
      </c>
      <c r="BL49" s="15">
        <v>46</v>
      </c>
      <c r="BM49" s="39" t="str">
        <f t="shared" si="36"/>
        <v>402+487</v>
      </c>
      <c r="BN49" s="39" t="str">
        <f t="shared" si="36"/>
        <v>415+471</v>
      </c>
      <c r="BO49" s="39" t="str">
        <f t="shared" si="36"/>
        <v/>
      </c>
      <c r="BP49" s="39" t="str">
        <f t="shared" si="36"/>
        <v/>
      </c>
      <c r="BQ49" s="39" t="str">
        <f t="shared" si="36"/>
        <v/>
      </c>
      <c r="BR49" s="39" t="str">
        <f t="shared" si="36"/>
        <v/>
      </c>
      <c r="BS49" s="39" t="str">
        <f t="shared" si="36"/>
        <v/>
      </c>
      <c r="BT49" s="39" t="str">
        <f t="shared" si="36"/>
        <v/>
      </c>
      <c r="BU49" s="39" t="str">
        <f t="shared" si="36"/>
        <v/>
      </c>
      <c r="BV49" s="39" t="str">
        <f t="shared" si="36"/>
        <v/>
      </c>
      <c r="BW49" s="39" t="str">
        <f t="shared" si="36"/>
        <v/>
      </c>
      <c r="BX49" s="39" t="str">
        <f t="shared" si="36"/>
        <v/>
      </c>
      <c r="BY49" s="39" t="str">
        <f t="shared" si="36"/>
        <v/>
      </c>
      <c r="BZ49" s="39" t="str">
        <f t="shared" si="36"/>
        <v/>
      </c>
      <c r="CA49" s="39" t="str">
        <f t="shared" si="36"/>
        <v/>
      </c>
      <c r="CB49" s="39" t="str">
        <f t="shared" si="34"/>
        <v/>
      </c>
      <c r="CC49" s="39" t="str">
        <f t="shared" si="34"/>
        <v/>
      </c>
      <c r="CD49" s="39" t="str">
        <f t="shared" si="34"/>
        <v/>
      </c>
      <c r="CE49" s="39" t="str">
        <f t="shared" si="34"/>
        <v/>
      </c>
      <c r="CF49" s="39" t="str">
        <f t="shared" si="34"/>
        <v/>
      </c>
      <c r="CG49" s="39" t="str">
        <f t="shared" si="34"/>
        <v/>
      </c>
      <c r="CH49" s="39" t="str">
        <f t="shared" si="34"/>
        <v/>
      </c>
      <c r="CI49" s="39" t="str">
        <f t="shared" si="34"/>
        <v/>
      </c>
      <c r="CJ49" s="39" t="str">
        <f t="shared" si="34"/>
        <v/>
      </c>
      <c r="CK49" s="39" t="str">
        <f t="shared" si="34"/>
        <v/>
      </c>
      <c r="CL49" s="39" t="str">
        <f t="shared" si="34"/>
        <v/>
      </c>
      <c r="CM49" s="39" t="str">
        <f t="shared" si="34"/>
        <v/>
      </c>
      <c r="CN49" s="39" t="str">
        <f t="shared" si="34"/>
        <v/>
      </c>
      <c r="CO49" s="39" t="str">
        <f t="shared" si="34"/>
        <v/>
      </c>
      <c r="CP49" s="39" t="str">
        <f t="shared" si="34"/>
        <v/>
      </c>
      <c r="CQ49" s="39" t="str">
        <f t="shared" si="35"/>
        <v/>
      </c>
      <c r="CR49" s="39" t="str">
        <f t="shared" si="35"/>
        <v/>
      </c>
      <c r="CS49" s="39" t="str">
        <f t="shared" si="35"/>
        <v/>
      </c>
      <c r="CT49" s="39" t="str">
        <f t="shared" si="35"/>
        <v/>
      </c>
      <c r="CU49" s="39" t="str">
        <f t="shared" si="35"/>
        <v/>
      </c>
      <c r="CV49" s="39" t="str">
        <f t="shared" si="35"/>
        <v/>
      </c>
      <c r="CW49" s="39" t="str">
        <f t="shared" si="35"/>
        <v/>
      </c>
      <c r="CX49" s="39" t="str">
        <f t="shared" si="35"/>
        <v/>
      </c>
      <c r="CY49" s="39" t="str">
        <f t="shared" si="35"/>
        <v/>
      </c>
      <c r="CZ49" s="39" t="str">
        <f t="shared" si="35"/>
        <v/>
      </c>
      <c r="DA49" s="39" t="str">
        <f t="shared" si="35"/>
        <v/>
      </c>
      <c r="DB49" s="39" t="str">
        <f t="shared" si="35"/>
        <v/>
      </c>
      <c r="DC49" s="39" t="str">
        <f t="shared" si="35"/>
        <v/>
      </c>
      <c r="DD49" s="39" t="str">
        <f t="shared" si="35"/>
        <v/>
      </c>
      <c r="DE49" s="39" t="str">
        <f t="shared" si="35"/>
        <v/>
      </c>
      <c r="DF49" s="37" t="str">
        <f t="shared" si="27"/>
        <v>2+0+0</v>
      </c>
      <c r="DG49" s="37" t="str">
        <f t="shared" si="28"/>
        <v>402+487|415+471</v>
      </c>
      <c r="DH49" s="37" t="str">
        <f t="shared" si="29"/>
        <v>0+0</v>
      </c>
      <c r="DI49" s="37" t="str">
        <f t="shared" si="30"/>
        <v>0+0</v>
      </c>
      <c r="DJ49" s="37" t="str">
        <f t="shared" si="31"/>
        <v>2+0+0|402+487|415+471|0+0|0+0</v>
      </c>
    </row>
    <row r="50" spans="2:114" x14ac:dyDescent="0.15">
      <c r="B50" s="15">
        <v>47</v>
      </c>
      <c r="C50" s="15" t="s">
        <v>76</v>
      </c>
      <c r="D50" s="15">
        <v>34</v>
      </c>
      <c r="G50" s="27" t="s">
        <v>528</v>
      </c>
      <c r="H50" s="27">
        <v>47</v>
      </c>
      <c r="I50" s="26" t="s">
        <v>376</v>
      </c>
      <c r="J50" s="26">
        <f t="shared" si="6"/>
        <v>178</v>
      </c>
      <c r="M50" s="27" t="s">
        <v>528</v>
      </c>
      <c r="N50" s="27">
        <v>47</v>
      </c>
      <c r="O50" s="26" t="s">
        <v>187</v>
      </c>
      <c r="P50" s="26">
        <f t="shared" si="7"/>
        <v>89</v>
      </c>
      <c r="Q50" s="26"/>
      <c r="R50" s="26"/>
      <c r="S50" s="27" t="s">
        <v>528</v>
      </c>
      <c r="T50" s="27">
        <v>47</v>
      </c>
      <c r="U50" s="26" t="s">
        <v>33</v>
      </c>
      <c r="V50" s="26">
        <f t="shared" si="8"/>
        <v>13</v>
      </c>
      <c r="W50" s="26"/>
      <c r="Y50" s="27" t="s">
        <v>528</v>
      </c>
      <c r="Z50" s="27">
        <v>47</v>
      </c>
      <c r="AA50" s="26" t="s">
        <v>96</v>
      </c>
      <c r="AB50" s="26">
        <f t="shared" si="9"/>
        <v>44</v>
      </c>
      <c r="AE50" s="27" t="s">
        <v>528</v>
      </c>
      <c r="AF50" s="27">
        <v>47</v>
      </c>
      <c r="AG50" s="26" t="s">
        <v>279</v>
      </c>
      <c r="AH50" s="26">
        <f t="shared" si="10"/>
        <v>133</v>
      </c>
      <c r="AK50" s="27" t="s">
        <v>528</v>
      </c>
      <c r="AL50" s="27">
        <v>47</v>
      </c>
      <c r="AM50" s="26" t="s">
        <v>950</v>
      </c>
      <c r="AN50" s="26">
        <f t="shared" si="11"/>
        <v>110</v>
      </c>
      <c r="AQ50" s="27" t="s">
        <v>528</v>
      </c>
      <c r="AR50" s="27">
        <v>47</v>
      </c>
      <c r="AS50" s="26" t="s">
        <v>280</v>
      </c>
      <c r="AT50" s="26">
        <f t="shared" si="12"/>
        <v>134</v>
      </c>
      <c r="AX50" s="15"/>
      <c r="AY50" s="35">
        <f t="shared" si="13"/>
        <v>47</v>
      </c>
      <c r="AZ50" s="35" t="str">
        <f t="shared" si="14"/>
        <v>654+516</v>
      </c>
      <c r="BA50" s="35">
        <f t="shared" si="15"/>
        <v>34</v>
      </c>
      <c r="BB50" s="38">
        <f>COUNTIF($BA$4:$BA50,$BA50)</f>
        <v>1</v>
      </c>
      <c r="BC50" s="36" t="str">
        <f t="shared" si="16"/>
        <v>村</v>
      </c>
      <c r="BD50" s="36" t="str">
        <f t="shared" si="17"/>
        <v>村</v>
      </c>
      <c r="BE50" s="36" t="str">
        <f t="shared" si="18"/>
        <v>村</v>
      </c>
      <c r="BF50" s="36" t="str">
        <f t="shared" si="19"/>
        <v>村</v>
      </c>
      <c r="BG50" s="36" t="str">
        <f t="shared" si="20"/>
        <v/>
      </c>
      <c r="BH50" s="36" t="str">
        <f t="shared" si="21"/>
        <v/>
      </c>
      <c r="BI50" s="36" t="str">
        <f t="shared" si="22"/>
        <v/>
      </c>
      <c r="BJ50" s="29" t="str">
        <f t="shared" si="23"/>
        <v>村</v>
      </c>
      <c r="BL50" s="15">
        <v>47</v>
      </c>
      <c r="BM50" s="39" t="str">
        <f t="shared" si="36"/>
        <v/>
      </c>
      <c r="BN50" s="39" t="str">
        <f t="shared" si="36"/>
        <v/>
      </c>
      <c r="BO50" s="39" t="str">
        <f t="shared" si="36"/>
        <v/>
      </c>
      <c r="BP50" s="39" t="str">
        <f t="shared" si="36"/>
        <v/>
      </c>
      <c r="BQ50" s="39" t="str">
        <f t="shared" si="36"/>
        <v/>
      </c>
      <c r="BR50" s="39" t="str">
        <f t="shared" si="36"/>
        <v/>
      </c>
      <c r="BS50" s="39" t="str">
        <f t="shared" si="36"/>
        <v/>
      </c>
      <c r="BT50" s="39" t="str">
        <f t="shared" si="36"/>
        <v/>
      </c>
      <c r="BU50" s="39" t="str">
        <f t="shared" si="36"/>
        <v/>
      </c>
      <c r="BV50" s="39" t="str">
        <f t="shared" si="36"/>
        <v/>
      </c>
      <c r="BW50" s="39" t="str">
        <f t="shared" si="36"/>
        <v/>
      </c>
      <c r="BX50" s="39" t="str">
        <f t="shared" si="36"/>
        <v/>
      </c>
      <c r="BY50" s="39" t="str">
        <f t="shared" si="36"/>
        <v/>
      </c>
      <c r="BZ50" s="39" t="str">
        <f t="shared" si="36"/>
        <v/>
      </c>
      <c r="CA50" s="39" t="str">
        <f t="shared" si="36"/>
        <v/>
      </c>
      <c r="CB50" s="39" t="str">
        <f t="shared" si="34"/>
        <v/>
      </c>
      <c r="CC50" s="39" t="str">
        <f t="shared" si="34"/>
        <v/>
      </c>
      <c r="CD50" s="39" t="str">
        <f t="shared" si="34"/>
        <v/>
      </c>
      <c r="CE50" s="39" t="str">
        <f t="shared" si="34"/>
        <v/>
      </c>
      <c r="CF50" s="39" t="str">
        <f t="shared" si="34"/>
        <v/>
      </c>
      <c r="CG50" s="39" t="str">
        <f t="shared" si="34"/>
        <v/>
      </c>
      <c r="CH50" s="39" t="str">
        <f t="shared" si="34"/>
        <v/>
      </c>
      <c r="CI50" s="39" t="str">
        <f t="shared" si="34"/>
        <v/>
      </c>
      <c r="CJ50" s="39" t="str">
        <f t="shared" si="34"/>
        <v/>
      </c>
      <c r="CK50" s="39" t="str">
        <f t="shared" si="34"/>
        <v/>
      </c>
      <c r="CL50" s="39" t="str">
        <f t="shared" si="34"/>
        <v/>
      </c>
      <c r="CM50" s="39" t="str">
        <f t="shared" si="34"/>
        <v/>
      </c>
      <c r="CN50" s="39" t="str">
        <f t="shared" si="34"/>
        <v/>
      </c>
      <c r="CO50" s="39" t="str">
        <f t="shared" si="34"/>
        <v/>
      </c>
      <c r="CP50" s="39" t="str">
        <f t="shared" si="34"/>
        <v/>
      </c>
      <c r="CQ50" s="39" t="str">
        <f t="shared" si="35"/>
        <v>435+410</v>
      </c>
      <c r="CR50" s="39" t="str">
        <f t="shared" si="35"/>
        <v/>
      </c>
      <c r="CS50" s="39" t="str">
        <f t="shared" si="35"/>
        <v/>
      </c>
      <c r="CT50" s="39" t="str">
        <f t="shared" si="35"/>
        <v/>
      </c>
      <c r="CU50" s="39" t="str">
        <f t="shared" si="35"/>
        <v/>
      </c>
      <c r="CV50" s="39" t="str">
        <f t="shared" si="35"/>
        <v/>
      </c>
      <c r="CW50" s="39" t="str">
        <f t="shared" si="35"/>
        <v/>
      </c>
      <c r="CX50" s="39" t="str">
        <f t="shared" si="35"/>
        <v/>
      </c>
      <c r="CY50" s="39" t="str">
        <f t="shared" si="35"/>
        <v/>
      </c>
      <c r="CZ50" s="39" t="str">
        <f t="shared" si="35"/>
        <v/>
      </c>
      <c r="DA50" s="39" t="str">
        <f t="shared" si="35"/>
        <v/>
      </c>
      <c r="DB50" s="39" t="str">
        <f t="shared" si="35"/>
        <v/>
      </c>
      <c r="DC50" s="39" t="str">
        <f t="shared" si="35"/>
        <v/>
      </c>
      <c r="DD50" s="39" t="str">
        <f t="shared" si="35"/>
        <v/>
      </c>
      <c r="DE50" s="39" t="str">
        <f t="shared" si="35"/>
        <v/>
      </c>
      <c r="DF50" s="37" t="str">
        <f t="shared" si="27"/>
        <v>0+0+1</v>
      </c>
      <c r="DG50" s="37" t="str">
        <f t="shared" si="28"/>
        <v>0+0</v>
      </c>
      <c r="DH50" s="37" t="str">
        <f t="shared" si="29"/>
        <v>0+0</v>
      </c>
      <c r="DI50" s="37" t="str">
        <f t="shared" si="30"/>
        <v>435+410</v>
      </c>
      <c r="DJ50" s="37" t="str">
        <f t="shared" si="31"/>
        <v>0+0+1|0+0|0+0|435+410</v>
      </c>
    </row>
    <row r="51" spans="2:114" x14ac:dyDescent="0.15">
      <c r="B51" s="15">
        <v>48</v>
      </c>
      <c r="C51" s="15" t="s">
        <v>77</v>
      </c>
      <c r="D51" s="15">
        <v>34</v>
      </c>
      <c r="G51" s="27" t="s">
        <v>528</v>
      </c>
      <c r="H51" s="27">
        <v>48</v>
      </c>
      <c r="I51" s="26" t="s">
        <v>372</v>
      </c>
      <c r="J51" s="26">
        <f t="shared" si="6"/>
        <v>177</v>
      </c>
      <c r="M51" s="27" t="s">
        <v>528</v>
      </c>
      <c r="N51" s="27">
        <v>48</v>
      </c>
      <c r="O51" s="26" t="s">
        <v>179</v>
      </c>
      <c r="P51" s="26">
        <f t="shared" si="7"/>
        <v>85</v>
      </c>
      <c r="Q51" s="26"/>
      <c r="R51" s="26"/>
      <c r="S51" s="27" t="s">
        <v>528</v>
      </c>
      <c r="T51" s="27">
        <v>48</v>
      </c>
      <c r="U51" s="26" t="s">
        <v>849</v>
      </c>
      <c r="V51" s="26">
        <f t="shared" si="8"/>
        <v>2</v>
      </c>
      <c r="W51" s="26"/>
      <c r="Y51" s="27" t="s">
        <v>528</v>
      </c>
      <c r="Z51" s="27">
        <v>48</v>
      </c>
      <c r="AA51" s="26" t="s">
        <v>100</v>
      </c>
      <c r="AB51" s="26">
        <f t="shared" si="9"/>
        <v>46</v>
      </c>
      <c r="AE51" s="27" t="s">
        <v>528</v>
      </c>
      <c r="AF51" s="27">
        <v>48</v>
      </c>
      <c r="AG51" s="26" t="s">
        <v>940</v>
      </c>
      <c r="AH51" s="26">
        <f t="shared" si="10"/>
        <v>136</v>
      </c>
      <c r="AK51" s="27" t="s">
        <v>528</v>
      </c>
      <c r="AL51" s="27">
        <v>48</v>
      </c>
      <c r="AM51" s="26" t="s">
        <v>188</v>
      </c>
      <c r="AN51" s="26">
        <f t="shared" si="11"/>
        <v>89</v>
      </c>
      <c r="AQ51" s="27" t="s">
        <v>528</v>
      </c>
      <c r="AR51" s="27">
        <v>48</v>
      </c>
      <c r="AS51" s="26" t="s">
        <v>916</v>
      </c>
      <c r="AT51" s="26">
        <f t="shared" si="12"/>
        <v>126</v>
      </c>
      <c r="AX51" s="15"/>
      <c r="AY51" s="35">
        <f t="shared" si="13"/>
        <v>48</v>
      </c>
      <c r="AZ51" s="35" t="str">
        <f t="shared" si="14"/>
        <v>669+515</v>
      </c>
      <c r="BA51" s="35">
        <f t="shared" si="15"/>
        <v>34</v>
      </c>
      <c r="BB51" s="38">
        <f>COUNTIF($BA$4:$BA51,$BA51)</f>
        <v>2</v>
      </c>
      <c r="BC51" s="36" t="str">
        <f t="shared" si="16"/>
        <v>村</v>
      </c>
      <c r="BD51" s="36" t="str">
        <f t="shared" si="17"/>
        <v>村</v>
      </c>
      <c r="BE51" s="36" t="str">
        <f t="shared" si="18"/>
        <v>村</v>
      </c>
      <c r="BF51" s="36" t="str">
        <f t="shared" si="19"/>
        <v>村</v>
      </c>
      <c r="BG51" s="36" t="str">
        <f t="shared" si="20"/>
        <v/>
      </c>
      <c r="BH51" s="36" t="str">
        <f t="shared" si="21"/>
        <v/>
      </c>
      <c r="BI51" s="36" t="str">
        <f t="shared" si="22"/>
        <v/>
      </c>
      <c r="BJ51" s="29" t="str">
        <f t="shared" si="23"/>
        <v>村</v>
      </c>
      <c r="BL51" s="15">
        <v>48</v>
      </c>
      <c r="BM51" s="39" t="str">
        <f t="shared" si="36"/>
        <v>393+421</v>
      </c>
      <c r="BN51" s="39" t="str">
        <f t="shared" si="36"/>
        <v>405+432</v>
      </c>
      <c r="BO51" s="39" t="str">
        <f t="shared" si="36"/>
        <v/>
      </c>
      <c r="BP51" s="39" t="str">
        <f t="shared" si="36"/>
        <v/>
      </c>
      <c r="BQ51" s="39" t="str">
        <f t="shared" si="36"/>
        <v/>
      </c>
      <c r="BR51" s="39" t="str">
        <f t="shared" si="36"/>
        <v/>
      </c>
      <c r="BS51" s="39" t="str">
        <f t="shared" si="36"/>
        <v/>
      </c>
      <c r="BT51" s="39" t="str">
        <f t="shared" si="36"/>
        <v/>
      </c>
      <c r="BU51" s="39" t="str">
        <f t="shared" si="36"/>
        <v/>
      </c>
      <c r="BV51" s="39" t="str">
        <f t="shared" si="36"/>
        <v/>
      </c>
      <c r="BW51" s="39" t="str">
        <f t="shared" si="36"/>
        <v/>
      </c>
      <c r="BX51" s="39" t="str">
        <f t="shared" si="36"/>
        <v/>
      </c>
      <c r="BY51" s="39" t="str">
        <f t="shared" si="36"/>
        <v/>
      </c>
      <c r="BZ51" s="39" t="str">
        <f t="shared" si="36"/>
        <v/>
      </c>
      <c r="CA51" s="39" t="str">
        <f t="shared" si="36"/>
        <v/>
      </c>
      <c r="CB51" s="39" t="str">
        <f t="shared" si="34"/>
        <v/>
      </c>
      <c r="CC51" s="39" t="str">
        <f t="shared" si="34"/>
        <v/>
      </c>
      <c r="CD51" s="39" t="str">
        <f t="shared" si="34"/>
        <v/>
      </c>
      <c r="CE51" s="39" t="str">
        <f t="shared" si="34"/>
        <v/>
      </c>
      <c r="CF51" s="39" t="str">
        <f t="shared" si="34"/>
        <v/>
      </c>
      <c r="CG51" s="39" t="str">
        <f t="shared" si="34"/>
        <v/>
      </c>
      <c r="CH51" s="39" t="str">
        <f t="shared" si="34"/>
        <v/>
      </c>
      <c r="CI51" s="39" t="str">
        <f t="shared" si="34"/>
        <v/>
      </c>
      <c r="CJ51" s="39" t="str">
        <f t="shared" si="34"/>
        <v/>
      </c>
      <c r="CK51" s="39" t="str">
        <f t="shared" si="34"/>
        <v/>
      </c>
      <c r="CL51" s="39" t="str">
        <f t="shared" si="34"/>
        <v/>
      </c>
      <c r="CM51" s="39" t="str">
        <f t="shared" si="34"/>
        <v/>
      </c>
      <c r="CN51" s="39" t="str">
        <f t="shared" si="34"/>
        <v/>
      </c>
      <c r="CO51" s="39" t="str">
        <f t="shared" si="34"/>
        <v/>
      </c>
      <c r="CP51" s="39" t="str">
        <f t="shared" si="34"/>
        <v/>
      </c>
      <c r="CQ51" s="39" t="str">
        <f t="shared" si="35"/>
        <v/>
      </c>
      <c r="CR51" s="39" t="str">
        <f t="shared" si="35"/>
        <v/>
      </c>
      <c r="CS51" s="39" t="str">
        <f t="shared" si="35"/>
        <v>424+438</v>
      </c>
      <c r="CT51" s="39" t="str">
        <f t="shared" si="35"/>
        <v/>
      </c>
      <c r="CU51" s="39" t="str">
        <f t="shared" si="35"/>
        <v/>
      </c>
      <c r="CV51" s="39" t="str">
        <f t="shared" si="35"/>
        <v/>
      </c>
      <c r="CW51" s="39" t="str">
        <f t="shared" si="35"/>
        <v/>
      </c>
      <c r="CX51" s="39" t="str">
        <f t="shared" si="35"/>
        <v/>
      </c>
      <c r="CY51" s="39" t="str">
        <f t="shared" si="35"/>
        <v/>
      </c>
      <c r="CZ51" s="39" t="str">
        <f t="shared" si="35"/>
        <v/>
      </c>
      <c r="DA51" s="39" t="str">
        <f t="shared" si="35"/>
        <v/>
      </c>
      <c r="DB51" s="39" t="str">
        <f t="shared" si="35"/>
        <v/>
      </c>
      <c r="DC51" s="39" t="str">
        <f t="shared" si="35"/>
        <v/>
      </c>
      <c r="DD51" s="39" t="str">
        <f t="shared" si="35"/>
        <v/>
      </c>
      <c r="DE51" s="39" t="str">
        <f t="shared" si="35"/>
        <v/>
      </c>
      <c r="DF51" s="37" t="str">
        <f t="shared" si="27"/>
        <v>2+0+1</v>
      </c>
      <c r="DG51" s="37" t="str">
        <f t="shared" si="28"/>
        <v>393+421|405+432</v>
      </c>
      <c r="DH51" s="37" t="str">
        <f t="shared" si="29"/>
        <v>0+0</v>
      </c>
      <c r="DI51" s="37" t="str">
        <f t="shared" si="30"/>
        <v>424+438</v>
      </c>
      <c r="DJ51" s="37" t="str">
        <f t="shared" si="31"/>
        <v>2+0+1|393+421|405+432|0+0|424+438</v>
      </c>
    </row>
    <row r="52" spans="2:114" x14ac:dyDescent="0.15">
      <c r="B52" s="15">
        <v>49</v>
      </c>
      <c r="C52" s="15" t="s">
        <v>733</v>
      </c>
      <c r="D52" s="15">
        <v>34</v>
      </c>
      <c r="G52" s="25" t="s">
        <v>530</v>
      </c>
      <c r="H52" s="25">
        <v>49</v>
      </c>
      <c r="I52" s="26" t="s">
        <v>130</v>
      </c>
      <c r="J52" s="26">
        <f t="shared" si="6"/>
        <v>60</v>
      </c>
      <c r="M52" s="25" t="s">
        <v>530</v>
      </c>
      <c r="N52" s="25">
        <v>49</v>
      </c>
      <c r="O52" s="26" t="s">
        <v>184</v>
      </c>
      <c r="P52" s="26">
        <f t="shared" si="7"/>
        <v>87</v>
      </c>
      <c r="Q52" s="26"/>
      <c r="R52" s="26"/>
      <c r="S52" s="25" t="s">
        <v>530</v>
      </c>
      <c r="T52" s="25">
        <v>49</v>
      </c>
      <c r="U52" s="26" t="s">
        <v>203</v>
      </c>
      <c r="V52" s="26">
        <f t="shared" si="8"/>
        <v>97</v>
      </c>
      <c r="W52" s="26"/>
      <c r="Y52" s="25" t="s">
        <v>530</v>
      </c>
      <c r="Z52" s="25">
        <v>49</v>
      </c>
      <c r="AA52" s="26" t="s">
        <v>347</v>
      </c>
      <c r="AB52" s="26">
        <f t="shared" si="9"/>
        <v>167</v>
      </c>
      <c r="AE52" s="25" t="s">
        <v>530</v>
      </c>
      <c r="AF52" s="25">
        <v>49</v>
      </c>
      <c r="AG52" s="26" t="s">
        <v>901</v>
      </c>
      <c r="AH52" s="26">
        <f t="shared" si="10"/>
        <v>111</v>
      </c>
      <c r="AK52" s="25" t="s">
        <v>530</v>
      </c>
      <c r="AL52" s="25">
        <v>49</v>
      </c>
      <c r="AM52" s="26" t="s">
        <v>280</v>
      </c>
      <c r="AN52" s="26">
        <f t="shared" si="11"/>
        <v>134</v>
      </c>
      <c r="AQ52" s="25" t="s">
        <v>530</v>
      </c>
      <c r="AR52" s="25">
        <v>49</v>
      </c>
      <c r="AS52" s="26" t="s">
        <v>265</v>
      </c>
      <c r="AT52" s="26">
        <f t="shared" si="12"/>
        <v>127</v>
      </c>
      <c r="AX52" s="15"/>
      <c r="AY52" s="35">
        <f t="shared" si="13"/>
        <v>49</v>
      </c>
      <c r="AZ52" s="35" t="str">
        <f t="shared" si="14"/>
        <v>655+544</v>
      </c>
      <c r="BA52" s="35">
        <f t="shared" si="15"/>
        <v>34</v>
      </c>
      <c r="BB52" s="38">
        <f>COUNTIF($BA$4:$BA52,$BA52)</f>
        <v>3</v>
      </c>
      <c r="BC52" s="36" t="str">
        <f t="shared" si="16"/>
        <v>营</v>
      </c>
      <c r="BD52" s="36" t="str">
        <f t="shared" si="17"/>
        <v>营</v>
      </c>
      <c r="BE52" s="36" t="str">
        <f t="shared" si="18"/>
        <v>营</v>
      </c>
      <c r="BF52" s="36" t="str">
        <f t="shared" si="19"/>
        <v/>
      </c>
      <c r="BG52" s="36" t="str">
        <f t="shared" si="20"/>
        <v/>
      </c>
      <c r="BH52" s="36" t="str">
        <f t="shared" si="21"/>
        <v/>
      </c>
      <c r="BI52" s="36" t="str">
        <f t="shared" si="22"/>
        <v/>
      </c>
      <c r="BJ52" s="29" t="str">
        <f t="shared" si="23"/>
        <v>营</v>
      </c>
      <c r="BL52" s="15">
        <v>49</v>
      </c>
      <c r="BM52" s="39" t="str">
        <f t="shared" si="36"/>
        <v>355+457</v>
      </c>
      <c r="BN52" s="39" t="str">
        <f t="shared" si="36"/>
        <v>375+445</v>
      </c>
      <c r="BO52" s="39" t="str">
        <f t="shared" si="36"/>
        <v/>
      </c>
      <c r="BP52" s="39" t="str">
        <f t="shared" si="36"/>
        <v/>
      </c>
      <c r="BQ52" s="39" t="str">
        <f t="shared" si="36"/>
        <v/>
      </c>
      <c r="BR52" s="39" t="str">
        <f t="shared" si="36"/>
        <v/>
      </c>
      <c r="BS52" s="39" t="str">
        <f t="shared" si="36"/>
        <v/>
      </c>
      <c r="BT52" s="39" t="str">
        <f t="shared" si="36"/>
        <v/>
      </c>
      <c r="BU52" s="39" t="str">
        <f t="shared" si="36"/>
        <v/>
      </c>
      <c r="BV52" s="39" t="str">
        <f t="shared" si="36"/>
        <v/>
      </c>
      <c r="BW52" s="39" t="str">
        <f t="shared" si="36"/>
        <v/>
      </c>
      <c r="BX52" s="39" t="str">
        <f t="shared" si="36"/>
        <v/>
      </c>
      <c r="BY52" s="39" t="str">
        <f t="shared" si="36"/>
        <v/>
      </c>
      <c r="BZ52" s="39" t="str">
        <f t="shared" si="36"/>
        <v/>
      </c>
      <c r="CA52" s="39" t="str">
        <f t="shared" si="36"/>
        <v/>
      </c>
      <c r="CB52" s="39" t="str">
        <f t="shared" si="34"/>
        <v/>
      </c>
      <c r="CC52" s="39" t="str">
        <f t="shared" si="34"/>
        <v/>
      </c>
      <c r="CD52" s="39" t="str">
        <f t="shared" si="34"/>
        <v/>
      </c>
      <c r="CE52" s="39" t="str">
        <f t="shared" si="34"/>
        <v/>
      </c>
      <c r="CF52" s="39" t="str">
        <f t="shared" si="34"/>
        <v/>
      </c>
      <c r="CG52" s="39" t="str">
        <f t="shared" si="34"/>
        <v/>
      </c>
      <c r="CH52" s="39" t="str">
        <f t="shared" si="34"/>
        <v/>
      </c>
      <c r="CI52" s="39" t="str">
        <f t="shared" si="34"/>
        <v/>
      </c>
      <c r="CJ52" s="39" t="str">
        <f t="shared" si="34"/>
        <v/>
      </c>
      <c r="CK52" s="39" t="str">
        <f t="shared" si="34"/>
        <v/>
      </c>
      <c r="CL52" s="39" t="str">
        <f t="shared" si="34"/>
        <v/>
      </c>
      <c r="CM52" s="39" t="str">
        <f t="shared" si="34"/>
        <v/>
      </c>
      <c r="CN52" s="39" t="str">
        <f t="shared" si="34"/>
        <v/>
      </c>
      <c r="CO52" s="39" t="str">
        <f t="shared" si="34"/>
        <v/>
      </c>
      <c r="CP52" s="39" t="str">
        <f t="shared" si="34"/>
        <v/>
      </c>
      <c r="CQ52" s="39" t="str">
        <f t="shared" si="35"/>
        <v/>
      </c>
      <c r="CR52" s="39" t="str">
        <f t="shared" si="35"/>
        <v/>
      </c>
      <c r="CS52" s="39" t="str">
        <f t="shared" si="35"/>
        <v>383+471</v>
      </c>
      <c r="CT52" s="39" t="str">
        <f t="shared" si="35"/>
        <v/>
      </c>
      <c r="CU52" s="39" t="str">
        <f t="shared" si="35"/>
        <v/>
      </c>
      <c r="CV52" s="39" t="str">
        <f t="shared" si="35"/>
        <v/>
      </c>
      <c r="CW52" s="39" t="str">
        <f t="shared" si="35"/>
        <v/>
      </c>
      <c r="CX52" s="39" t="str">
        <f t="shared" si="35"/>
        <v/>
      </c>
      <c r="CY52" s="39" t="str">
        <f t="shared" si="35"/>
        <v/>
      </c>
      <c r="CZ52" s="39" t="str">
        <f t="shared" si="35"/>
        <v/>
      </c>
      <c r="DA52" s="39" t="str">
        <f t="shared" si="35"/>
        <v/>
      </c>
      <c r="DB52" s="39" t="str">
        <f t="shared" si="35"/>
        <v/>
      </c>
      <c r="DC52" s="39" t="str">
        <f t="shared" si="35"/>
        <v/>
      </c>
      <c r="DD52" s="39" t="str">
        <f t="shared" si="35"/>
        <v/>
      </c>
      <c r="DE52" s="39" t="str">
        <f t="shared" si="35"/>
        <v/>
      </c>
      <c r="DF52" s="37" t="str">
        <f t="shared" si="27"/>
        <v>2+0+1</v>
      </c>
      <c r="DG52" s="37" t="str">
        <f t="shared" si="28"/>
        <v>355+457|375+445</v>
      </c>
      <c r="DH52" s="37" t="str">
        <f t="shared" si="29"/>
        <v>0+0</v>
      </c>
      <c r="DI52" s="37" t="str">
        <f t="shared" si="30"/>
        <v>383+471</v>
      </c>
      <c r="DJ52" s="37" t="str">
        <f t="shared" si="31"/>
        <v>2+0+1|355+457|375+445|0+0|383+471</v>
      </c>
    </row>
    <row r="53" spans="2:114" x14ac:dyDescent="0.15">
      <c r="B53" s="15">
        <v>50</v>
      </c>
      <c r="C53" s="15" t="s">
        <v>78</v>
      </c>
      <c r="D53" s="15">
        <v>35</v>
      </c>
      <c r="G53" s="25" t="s">
        <v>530</v>
      </c>
      <c r="H53" s="25">
        <v>50</v>
      </c>
      <c r="I53" s="26" t="s">
        <v>129</v>
      </c>
      <c r="J53" s="26">
        <f t="shared" si="6"/>
        <v>60</v>
      </c>
      <c r="M53" s="25" t="s">
        <v>530</v>
      </c>
      <c r="N53" s="25">
        <v>50</v>
      </c>
      <c r="O53" s="26" t="s">
        <v>186</v>
      </c>
      <c r="P53" s="26">
        <f t="shared" si="7"/>
        <v>88</v>
      </c>
      <c r="Q53" s="26"/>
      <c r="R53" s="26"/>
      <c r="S53" s="25" t="s">
        <v>530</v>
      </c>
      <c r="T53" s="25">
        <v>50</v>
      </c>
      <c r="U53" s="26" t="s">
        <v>204</v>
      </c>
      <c r="V53" s="26">
        <f t="shared" si="8"/>
        <v>97</v>
      </c>
      <c r="W53" s="26"/>
      <c r="Y53" s="25" t="s">
        <v>530</v>
      </c>
      <c r="Z53" s="25">
        <v>50</v>
      </c>
      <c r="AA53" s="26" t="s">
        <v>348</v>
      </c>
      <c r="AB53" s="26">
        <f t="shared" si="9"/>
        <v>167</v>
      </c>
      <c r="AE53" s="25" t="s">
        <v>530</v>
      </c>
      <c r="AF53" s="25">
        <v>50</v>
      </c>
      <c r="AG53" s="26" t="s">
        <v>903</v>
      </c>
      <c r="AH53" s="26">
        <f t="shared" si="10"/>
        <v>111</v>
      </c>
      <c r="AK53" s="25" t="s">
        <v>530</v>
      </c>
      <c r="AL53" s="25">
        <v>50</v>
      </c>
      <c r="AM53" s="26" t="s">
        <v>917</v>
      </c>
      <c r="AN53" s="26">
        <f t="shared" si="11"/>
        <v>134</v>
      </c>
      <c r="AQ53" s="25" t="s">
        <v>530</v>
      </c>
      <c r="AR53" s="25">
        <v>50</v>
      </c>
      <c r="AS53" s="26" t="s">
        <v>266</v>
      </c>
      <c r="AT53" s="26">
        <f t="shared" si="12"/>
        <v>127</v>
      </c>
      <c r="AX53" s="15"/>
      <c r="AY53" s="35">
        <f t="shared" si="13"/>
        <v>50</v>
      </c>
      <c r="AZ53" s="35" t="str">
        <f t="shared" si="14"/>
        <v>682+530</v>
      </c>
      <c r="BA53" s="35">
        <f t="shared" si="15"/>
        <v>35</v>
      </c>
      <c r="BB53" s="38">
        <f>COUNTIF($BA$4:$BA53,$BA53)</f>
        <v>1</v>
      </c>
      <c r="BC53" s="36" t="str">
        <f t="shared" si="16"/>
        <v/>
      </c>
      <c r="BD53" s="36" t="str">
        <f t="shared" si="17"/>
        <v>村</v>
      </c>
      <c r="BE53" s="36" t="str">
        <f t="shared" si="18"/>
        <v/>
      </c>
      <c r="BF53" s="36" t="str">
        <f t="shared" si="19"/>
        <v/>
      </c>
      <c r="BG53" s="36" t="str">
        <f t="shared" si="20"/>
        <v/>
      </c>
      <c r="BH53" s="36" t="str">
        <f t="shared" si="21"/>
        <v/>
      </c>
      <c r="BI53" s="36" t="str">
        <f t="shared" si="22"/>
        <v/>
      </c>
      <c r="BJ53" s="29" t="str">
        <f t="shared" si="23"/>
        <v>村</v>
      </c>
      <c r="BL53" s="15">
        <v>50</v>
      </c>
      <c r="BM53" s="39" t="str">
        <f t="shared" si="36"/>
        <v>372+361</v>
      </c>
      <c r="BN53" s="39" t="str">
        <f t="shared" si="36"/>
        <v>392+378</v>
      </c>
      <c r="BO53" s="39" t="str">
        <f t="shared" si="36"/>
        <v/>
      </c>
      <c r="BP53" s="39" t="str">
        <f t="shared" si="36"/>
        <v/>
      </c>
      <c r="BQ53" s="39" t="str">
        <f t="shared" si="36"/>
        <v/>
      </c>
      <c r="BR53" s="39" t="str">
        <f t="shared" si="36"/>
        <v/>
      </c>
      <c r="BS53" s="39" t="str">
        <f t="shared" si="36"/>
        <v/>
      </c>
      <c r="BT53" s="39" t="str">
        <f t="shared" si="36"/>
        <v/>
      </c>
      <c r="BU53" s="39" t="str">
        <f t="shared" si="36"/>
        <v/>
      </c>
      <c r="BV53" s="39" t="str">
        <f t="shared" si="36"/>
        <v/>
      </c>
      <c r="BW53" s="39" t="str">
        <f t="shared" si="36"/>
        <v/>
      </c>
      <c r="BX53" s="39" t="str">
        <f t="shared" si="36"/>
        <v/>
      </c>
      <c r="BY53" s="39" t="str">
        <f t="shared" si="36"/>
        <v/>
      </c>
      <c r="BZ53" s="39" t="str">
        <f t="shared" si="36"/>
        <v/>
      </c>
      <c r="CA53" s="39" t="str">
        <f t="shared" si="36"/>
        <v/>
      </c>
      <c r="CB53" s="39" t="str">
        <f t="shared" ref="CB53:CP69" si="37">IFERROR(INDEX($AZ$4:$AZ$1000,MATCH(SUMIFS($AY$4:$AY$1000,$BA$4:$BA$1000,$BL53,$BB$4:$BB$1000,CB$3,$BJ$4:$BJ$1000,"县"),$AY$4:$AY$1000,0)),"")</f>
        <v/>
      </c>
      <c r="CC53" s="39" t="str">
        <f t="shared" si="37"/>
        <v/>
      </c>
      <c r="CD53" s="39" t="str">
        <f t="shared" si="37"/>
        <v/>
      </c>
      <c r="CE53" s="39" t="str">
        <f t="shared" si="37"/>
        <v/>
      </c>
      <c r="CF53" s="39" t="str">
        <f t="shared" si="37"/>
        <v/>
      </c>
      <c r="CG53" s="39" t="str">
        <f t="shared" si="37"/>
        <v/>
      </c>
      <c r="CH53" s="39" t="str">
        <f t="shared" si="37"/>
        <v/>
      </c>
      <c r="CI53" s="39" t="str">
        <f t="shared" si="37"/>
        <v/>
      </c>
      <c r="CJ53" s="39" t="str">
        <f t="shared" si="37"/>
        <v/>
      </c>
      <c r="CK53" s="39" t="str">
        <f t="shared" si="37"/>
        <v/>
      </c>
      <c r="CL53" s="39" t="str">
        <f t="shared" si="37"/>
        <v/>
      </c>
      <c r="CM53" s="39" t="str">
        <f t="shared" si="37"/>
        <v/>
      </c>
      <c r="CN53" s="39" t="str">
        <f t="shared" si="37"/>
        <v/>
      </c>
      <c r="CO53" s="39" t="str">
        <f t="shared" si="37"/>
        <v/>
      </c>
      <c r="CP53" s="39" t="str">
        <f t="shared" si="37"/>
        <v/>
      </c>
      <c r="CQ53" s="39" t="str">
        <f t="shared" ref="CQ53:DE69" si="38">IFERROR(INDEX($AZ$4:$AZ$1000,MATCH(SUMIFS($AY$4:$AY$1000,$BA$4:$BA$1000,$BL53,$BB$4:$BB$1000,CQ$3,$BJ$4:$BJ$1000,"营"),$AY$4:$AY$1000,0)),"")</f>
        <v/>
      </c>
      <c r="CR53" s="39" t="str">
        <f t="shared" si="38"/>
        <v/>
      </c>
      <c r="CS53" s="39" t="str">
        <f t="shared" si="38"/>
        <v>386+370</v>
      </c>
      <c r="CT53" s="39" t="str">
        <f t="shared" si="38"/>
        <v/>
      </c>
      <c r="CU53" s="39" t="str">
        <f t="shared" si="38"/>
        <v/>
      </c>
      <c r="CV53" s="39" t="str">
        <f t="shared" si="38"/>
        <v/>
      </c>
      <c r="CW53" s="39" t="str">
        <f t="shared" si="38"/>
        <v/>
      </c>
      <c r="CX53" s="39" t="str">
        <f t="shared" si="38"/>
        <v/>
      </c>
      <c r="CY53" s="39" t="str">
        <f t="shared" si="38"/>
        <v/>
      </c>
      <c r="CZ53" s="39" t="str">
        <f t="shared" si="38"/>
        <v/>
      </c>
      <c r="DA53" s="39" t="str">
        <f t="shared" si="38"/>
        <v/>
      </c>
      <c r="DB53" s="39" t="str">
        <f t="shared" si="38"/>
        <v/>
      </c>
      <c r="DC53" s="39" t="str">
        <f t="shared" si="38"/>
        <v/>
      </c>
      <c r="DD53" s="39" t="str">
        <f t="shared" si="38"/>
        <v/>
      </c>
      <c r="DE53" s="39" t="str">
        <f t="shared" si="38"/>
        <v/>
      </c>
      <c r="DF53" s="37" t="str">
        <f t="shared" si="27"/>
        <v>2+0+1</v>
      </c>
      <c r="DG53" s="37" t="str">
        <f t="shared" si="28"/>
        <v>372+361|392+378</v>
      </c>
      <c r="DH53" s="37" t="str">
        <f t="shared" si="29"/>
        <v>0+0</v>
      </c>
      <c r="DI53" s="37" t="str">
        <f t="shared" si="30"/>
        <v>386+370</v>
      </c>
      <c r="DJ53" s="37" t="str">
        <f t="shared" si="31"/>
        <v>2+0+1|372+361|392+378|0+0|386+370</v>
      </c>
    </row>
    <row r="54" spans="2:114" x14ac:dyDescent="0.15">
      <c r="B54" s="15">
        <v>51</v>
      </c>
      <c r="C54" s="15" t="s">
        <v>79</v>
      </c>
      <c r="D54" s="15">
        <v>35</v>
      </c>
      <c r="G54" s="25" t="s">
        <v>530</v>
      </c>
      <c r="H54" s="25">
        <v>51</v>
      </c>
      <c r="I54" s="26" t="s">
        <v>132</v>
      </c>
      <c r="J54" s="26">
        <f t="shared" si="6"/>
        <v>61</v>
      </c>
      <c r="M54" s="25" t="s">
        <v>530</v>
      </c>
      <c r="N54" s="25">
        <v>51</v>
      </c>
      <c r="O54" s="26" t="s">
        <v>180</v>
      </c>
      <c r="P54" s="26">
        <f t="shared" si="7"/>
        <v>85</v>
      </c>
      <c r="Q54" s="26"/>
      <c r="R54" s="26"/>
      <c r="S54" s="25" t="s">
        <v>530</v>
      </c>
      <c r="T54" s="25">
        <v>51</v>
      </c>
      <c r="U54" s="26" t="s">
        <v>851</v>
      </c>
      <c r="V54" s="26">
        <f t="shared" si="8"/>
        <v>12</v>
      </c>
      <c r="W54" s="26"/>
      <c r="Y54" s="25" t="s">
        <v>530</v>
      </c>
      <c r="Z54" s="25">
        <v>51</v>
      </c>
      <c r="AA54" s="26" t="s">
        <v>99</v>
      </c>
      <c r="AB54" s="26">
        <f t="shared" si="9"/>
        <v>46</v>
      </c>
      <c r="AE54" s="25" t="s">
        <v>530</v>
      </c>
      <c r="AF54" s="25">
        <v>51</v>
      </c>
      <c r="AG54" s="26" t="s">
        <v>941</v>
      </c>
      <c r="AH54" s="26">
        <f t="shared" si="10"/>
        <v>136</v>
      </c>
      <c r="AK54" s="25" t="s">
        <v>530</v>
      </c>
      <c r="AL54" s="25">
        <v>51</v>
      </c>
      <c r="AM54" s="26" t="s">
        <v>187</v>
      </c>
      <c r="AN54" s="26">
        <f t="shared" si="11"/>
        <v>89</v>
      </c>
      <c r="AQ54" s="25" t="s">
        <v>530</v>
      </c>
      <c r="AR54" s="25">
        <v>51</v>
      </c>
      <c r="AS54" s="26" t="s">
        <v>263</v>
      </c>
      <c r="AT54" s="26">
        <f t="shared" si="12"/>
        <v>126</v>
      </c>
      <c r="AX54" s="15"/>
      <c r="AY54" s="35">
        <f t="shared" si="13"/>
        <v>51</v>
      </c>
      <c r="AZ54" s="35" t="str">
        <f t="shared" si="14"/>
        <v>702+532</v>
      </c>
      <c r="BA54" s="35">
        <f t="shared" si="15"/>
        <v>35</v>
      </c>
      <c r="BB54" s="38">
        <f>COUNTIF($BA$4:$BA54,$BA54)</f>
        <v>2</v>
      </c>
      <c r="BC54" s="36" t="str">
        <f t="shared" si="16"/>
        <v/>
      </c>
      <c r="BD54" s="36" t="str">
        <f t="shared" si="17"/>
        <v>村</v>
      </c>
      <c r="BE54" s="36" t="str">
        <f t="shared" si="18"/>
        <v>村</v>
      </c>
      <c r="BF54" s="36" t="str">
        <f t="shared" si="19"/>
        <v>村</v>
      </c>
      <c r="BG54" s="36" t="str">
        <f t="shared" si="20"/>
        <v/>
      </c>
      <c r="BH54" s="36" t="str">
        <f t="shared" si="21"/>
        <v/>
      </c>
      <c r="BI54" s="36" t="str">
        <f t="shared" si="22"/>
        <v/>
      </c>
      <c r="BJ54" s="29" t="str">
        <f t="shared" si="23"/>
        <v>村</v>
      </c>
      <c r="BL54" s="15">
        <v>51</v>
      </c>
      <c r="BM54" s="39" t="str">
        <f t="shared" si="36"/>
        <v>468+329</v>
      </c>
      <c r="BN54" s="39" t="str">
        <f t="shared" si="36"/>
        <v>451+348</v>
      </c>
      <c r="BO54" s="39" t="str">
        <f t="shared" si="36"/>
        <v/>
      </c>
      <c r="BP54" s="39" t="str">
        <f t="shared" si="36"/>
        <v/>
      </c>
      <c r="BQ54" s="39" t="str">
        <f t="shared" si="36"/>
        <v/>
      </c>
      <c r="BR54" s="39" t="str">
        <f t="shared" si="36"/>
        <v/>
      </c>
      <c r="BS54" s="39" t="str">
        <f t="shared" si="36"/>
        <v/>
      </c>
      <c r="BT54" s="39" t="str">
        <f t="shared" si="36"/>
        <v/>
      </c>
      <c r="BU54" s="39" t="str">
        <f t="shared" si="36"/>
        <v/>
      </c>
      <c r="BV54" s="39" t="str">
        <f t="shared" si="36"/>
        <v/>
      </c>
      <c r="BW54" s="39" t="str">
        <f t="shared" si="36"/>
        <v/>
      </c>
      <c r="BX54" s="39" t="str">
        <f t="shared" si="36"/>
        <v/>
      </c>
      <c r="BY54" s="39" t="str">
        <f t="shared" si="36"/>
        <v/>
      </c>
      <c r="BZ54" s="39" t="str">
        <f t="shared" si="36"/>
        <v/>
      </c>
      <c r="CA54" s="39" t="str">
        <f t="shared" si="36"/>
        <v/>
      </c>
      <c r="CB54" s="39" t="str">
        <f t="shared" si="37"/>
        <v/>
      </c>
      <c r="CC54" s="39" t="str">
        <f t="shared" si="37"/>
        <v/>
      </c>
      <c r="CD54" s="39" t="str">
        <f t="shared" si="37"/>
        <v/>
      </c>
      <c r="CE54" s="39" t="str">
        <f t="shared" si="37"/>
        <v/>
      </c>
      <c r="CF54" s="39" t="str">
        <f t="shared" si="37"/>
        <v/>
      </c>
      <c r="CG54" s="39" t="str">
        <f t="shared" si="37"/>
        <v/>
      </c>
      <c r="CH54" s="39" t="str">
        <f t="shared" si="37"/>
        <v/>
      </c>
      <c r="CI54" s="39" t="str">
        <f t="shared" si="37"/>
        <v/>
      </c>
      <c r="CJ54" s="39" t="str">
        <f t="shared" si="37"/>
        <v/>
      </c>
      <c r="CK54" s="39" t="str">
        <f t="shared" si="37"/>
        <v/>
      </c>
      <c r="CL54" s="39" t="str">
        <f t="shared" si="37"/>
        <v/>
      </c>
      <c r="CM54" s="39" t="str">
        <f t="shared" si="37"/>
        <v/>
      </c>
      <c r="CN54" s="39" t="str">
        <f t="shared" si="37"/>
        <v/>
      </c>
      <c r="CO54" s="39" t="str">
        <f t="shared" si="37"/>
        <v/>
      </c>
      <c r="CP54" s="39" t="str">
        <f t="shared" si="37"/>
        <v/>
      </c>
      <c r="CQ54" s="39" t="str">
        <f t="shared" si="38"/>
        <v/>
      </c>
      <c r="CR54" s="39" t="str">
        <f t="shared" si="38"/>
        <v/>
      </c>
      <c r="CS54" s="39" t="str">
        <f t="shared" si="38"/>
        <v>484+361</v>
      </c>
      <c r="CT54" s="39" t="str">
        <f t="shared" si="38"/>
        <v/>
      </c>
      <c r="CU54" s="39" t="str">
        <f t="shared" si="38"/>
        <v/>
      </c>
      <c r="CV54" s="39" t="str">
        <f t="shared" si="38"/>
        <v/>
      </c>
      <c r="CW54" s="39" t="str">
        <f t="shared" si="38"/>
        <v/>
      </c>
      <c r="CX54" s="39" t="str">
        <f t="shared" si="38"/>
        <v/>
      </c>
      <c r="CY54" s="39" t="str">
        <f t="shared" si="38"/>
        <v/>
      </c>
      <c r="CZ54" s="39" t="str">
        <f t="shared" si="38"/>
        <v/>
      </c>
      <c r="DA54" s="39" t="str">
        <f t="shared" si="38"/>
        <v/>
      </c>
      <c r="DB54" s="39" t="str">
        <f t="shared" si="38"/>
        <v/>
      </c>
      <c r="DC54" s="39" t="str">
        <f t="shared" si="38"/>
        <v/>
      </c>
      <c r="DD54" s="39" t="str">
        <f t="shared" si="38"/>
        <v/>
      </c>
      <c r="DE54" s="39" t="str">
        <f t="shared" si="38"/>
        <v/>
      </c>
      <c r="DF54" s="37" t="str">
        <f t="shared" si="27"/>
        <v>2+0+1</v>
      </c>
      <c r="DG54" s="37" t="str">
        <f t="shared" si="28"/>
        <v>468+329|451+348</v>
      </c>
      <c r="DH54" s="37" t="str">
        <f t="shared" si="29"/>
        <v>0+0</v>
      </c>
      <c r="DI54" s="37" t="str">
        <f t="shared" si="30"/>
        <v>484+361</v>
      </c>
      <c r="DJ54" s="37" t="str">
        <f t="shared" si="31"/>
        <v>2+0+1|468+329|451+348|0+0|484+361</v>
      </c>
    </row>
    <row r="55" spans="2:114" x14ac:dyDescent="0.15">
      <c r="B55" s="15">
        <v>52</v>
      </c>
      <c r="C55" s="15" t="s">
        <v>596</v>
      </c>
      <c r="D55" s="15">
        <v>35</v>
      </c>
      <c r="G55" s="25" t="s">
        <v>530</v>
      </c>
      <c r="H55" s="25">
        <v>52</v>
      </c>
      <c r="I55" s="26" t="s">
        <v>131</v>
      </c>
      <c r="J55" s="26">
        <f t="shared" si="6"/>
        <v>61</v>
      </c>
      <c r="M55" s="25" t="s">
        <v>530</v>
      </c>
      <c r="N55" s="25">
        <v>52</v>
      </c>
      <c r="O55" s="26" t="s">
        <v>182</v>
      </c>
      <c r="P55" s="26">
        <f t="shared" si="7"/>
        <v>86</v>
      </c>
      <c r="Q55" s="26"/>
      <c r="R55" s="26"/>
      <c r="S55" s="25" t="s">
        <v>530</v>
      </c>
      <c r="T55" s="25">
        <v>52</v>
      </c>
      <c r="U55" s="26" t="s">
        <v>852</v>
      </c>
      <c r="V55" s="26">
        <f t="shared" si="8"/>
        <v>12</v>
      </c>
      <c r="W55" s="26"/>
      <c r="Y55" s="25" t="s">
        <v>530</v>
      </c>
      <c r="Z55" s="25">
        <v>52</v>
      </c>
      <c r="AA55" s="26" t="s">
        <v>93</v>
      </c>
      <c r="AB55" s="26">
        <f t="shared" si="9"/>
        <v>43</v>
      </c>
      <c r="AE55" s="25" t="s">
        <v>530</v>
      </c>
      <c r="AF55" s="25">
        <v>52</v>
      </c>
      <c r="AG55" s="26" t="s">
        <v>311</v>
      </c>
      <c r="AH55" s="26">
        <f t="shared" si="10"/>
        <v>148</v>
      </c>
      <c r="AK55" s="25" t="s">
        <v>530</v>
      </c>
      <c r="AL55" s="25">
        <v>52</v>
      </c>
      <c r="AM55" s="26" t="s">
        <v>975</v>
      </c>
      <c r="AN55" s="26">
        <f t="shared" si="11"/>
        <v>87</v>
      </c>
      <c r="AQ55" s="25" t="s">
        <v>530</v>
      </c>
      <c r="AR55" s="25">
        <v>52</v>
      </c>
      <c r="AS55" s="26" t="s">
        <v>955</v>
      </c>
      <c r="AT55" s="26">
        <f t="shared" si="12"/>
        <v>125</v>
      </c>
      <c r="AX55" s="15"/>
      <c r="AY55" s="35">
        <f t="shared" si="13"/>
        <v>52</v>
      </c>
      <c r="AZ55" s="35" t="str">
        <f t="shared" si="14"/>
        <v>716+543</v>
      </c>
      <c r="BA55" s="35">
        <f t="shared" si="15"/>
        <v>35</v>
      </c>
      <c r="BB55" s="38">
        <f>COUNTIF($BA$4:$BA55,$BA55)</f>
        <v>3</v>
      </c>
      <c r="BC55" s="36" t="str">
        <f t="shared" si="16"/>
        <v/>
      </c>
      <c r="BD55" s="36" t="str">
        <f t="shared" si="17"/>
        <v>营</v>
      </c>
      <c r="BE55" s="36" t="str">
        <f t="shared" si="18"/>
        <v>营</v>
      </c>
      <c r="BF55" s="36" t="str">
        <f t="shared" si="19"/>
        <v/>
      </c>
      <c r="BG55" s="36" t="str">
        <f t="shared" si="20"/>
        <v/>
      </c>
      <c r="BH55" s="36" t="str">
        <f t="shared" si="21"/>
        <v/>
      </c>
      <c r="BI55" s="36" t="str">
        <f t="shared" si="22"/>
        <v/>
      </c>
      <c r="BJ55" s="29" t="str">
        <f t="shared" si="23"/>
        <v>营</v>
      </c>
      <c r="BL55" s="15">
        <v>52</v>
      </c>
      <c r="BM55" s="39" t="str">
        <f t="shared" si="36"/>
        <v>503+348</v>
      </c>
      <c r="BN55" s="39" t="str">
        <f t="shared" si="36"/>
        <v>527+336</v>
      </c>
      <c r="BO55" s="39" t="str">
        <f t="shared" si="36"/>
        <v/>
      </c>
      <c r="BP55" s="39" t="str">
        <f t="shared" si="36"/>
        <v/>
      </c>
      <c r="BQ55" s="39" t="str">
        <f t="shared" si="36"/>
        <v/>
      </c>
      <c r="BR55" s="39" t="str">
        <f t="shared" si="36"/>
        <v/>
      </c>
      <c r="BS55" s="39" t="str">
        <f t="shared" si="36"/>
        <v/>
      </c>
      <c r="BT55" s="39" t="str">
        <f t="shared" si="36"/>
        <v/>
      </c>
      <c r="BU55" s="39" t="str">
        <f t="shared" si="36"/>
        <v/>
      </c>
      <c r="BV55" s="39" t="str">
        <f t="shared" si="36"/>
        <v/>
      </c>
      <c r="BW55" s="39" t="str">
        <f t="shared" si="36"/>
        <v/>
      </c>
      <c r="BX55" s="39" t="str">
        <f t="shared" si="36"/>
        <v/>
      </c>
      <c r="BY55" s="39" t="str">
        <f t="shared" si="36"/>
        <v/>
      </c>
      <c r="BZ55" s="39" t="str">
        <f t="shared" si="36"/>
        <v/>
      </c>
      <c r="CA55" s="39" t="str">
        <f t="shared" si="36"/>
        <v/>
      </c>
      <c r="CB55" s="39" t="str">
        <f t="shared" si="37"/>
        <v/>
      </c>
      <c r="CC55" s="39" t="str">
        <f t="shared" si="37"/>
        <v/>
      </c>
      <c r="CD55" s="39" t="str">
        <f t="shared" si="37"/>
        <v>516+318</v>
      </c>
      <c r="CE55" s="39" t="str">
        <f t="shared" si="37"/>
        <v/>
      </c>
      <c r="CF55" s="39" t="str">
        <f t="shared" si="37"/>
        <v/>
      </c>
      <c r="CG55" s="39" t="str">
        <f t="shared" si="37"/>
        <v/>
      </c>
      <c r="CH55" s="39" t="str">
        <f t="shared" si="37"/>
        <v/>
      </c>
      <c r="CI55" s="39" t="str">
        <f t="shared" si="37"/>
        <v/>
      </c>
      <c r="CJ55" s="39" t="str">
        <f t="shared" si="37"/>
        <v/>
      </c>
      <c r="CK55" s="39" t="str">
        <f t="shared" si="37"/>
        <v/>
      </c>
      <c r="CL55" s="39" t="str">
        <f t="shared" si="37"/>
        <v/>
      </c>
      <c r="CM55" s="39" t="str">
        <f t="shared" si="37"/>
        <v/>
      </c>
      <c r="CN55" s="39" t="str">
        <f t="shared" si="37"/>
        <v/>
      </c>
      <c r="CO55" s="39" t="str">
        <f t="shared" si="37"/>
        <v/>
      </c>
      <c r="CP55" s="39" t="str">
        <f t="shared" si="37"/>
        <v/>
      </c>
      <c r="CQ55" s="39" t="str">
        <f t="shared" si="38"/>
        <v/>
      </c>
      <c r="CR55" s="39" t="str">
        <f t="shared" si="38"/>
        <v/>
      </c>
      <c r="CS55" s="39" t="str">
        <f t="shared" si="38"/>
        <v/>
      </c>
      <c r="CT55" s="39" t="str">
        <f t="shared" si="38"/>
        <v>478+309</v>
      </c>
      <c r="CU55" s="39" t="str">
        <f t="shared" si="38"/>
        <v/>
      </c>
      <c r="CV55" s="39" t="str">
        <f t="shared" si="38"/>
        <v/>
      </c>
      <c r="CW55" s="39" t="str">
        <f t="shared" si="38"/>
        <v/>
      </c>
      <c r="CX55" s="39" t="str">
        <f t="shared" si="38"/>
        <v/>
      </c>
      <c r="CY55" s="39" t="str">
        <f t="shared" si="38"/>
        <v/>
      </c>
      <c r="CZ55" s="39" t="str">
        <f t="shared" si="38"/>
        <v/>
      </c>
      <c r="DA55" s="39" t="str">
        <f t="shared" si="38"/>
        <v/>
      </c>
      <c r="DB55" s="39" t="str">
        <f t="shared" si="38"/>
        <v/>
      </c>
      <c r="DC55" s="39" t="str">
        <f t="shared" si="38"/>
        <v/>
      </c>
      <c r="DD55" s="39" t="str">
        <f t="shared" si="38"/>
        <v/>
      </c>
      <c r="DE55" s="39" t="str">
        <f t="shared" si="38"/>
        <v/>
      </c>
      <c r="DF55" s="37" t="str">
        <f t="shared" si="27"/>
        <v>2+1+1</v>
      </c>
      <c r="DG55" s="37" t="str">
        <f t="shared" si="28"/>
        <v>503+348|527+336</v>
      </c>
      <c r="DH55" s="37" t="str">
        <f t="shared" si="29"/>
        <v>516+318</v>
      </c>
      <c r="DI55" s="37" t="str">
        <f t="shared" si="30"/>
        <v>478+309</v>
      </c>
      <c r="DJ55" s="37" t="str">
        <f t="shared" si="31"/>
        <v>2+1+1|503+348|527+336|516+318|478+309</v>
      </c>
    </row>
    <row r="56" spans="2:114" x14ac:dyDescent="0.15">
      <c r="B56" s="15">
        <v>53</v>
      </c>
      <c r="C56" s="15" t="s">
        <v>80</v>
      </c>
      <c r="D56" s="15">
        <v>36</v>
      </c>
      <c r="G56" s="25" t="s">
        <v>530</v>
      </c>
      <c r="H56" s="25">
        <v>53</v>
      </c>
      <c r="I56" s="26" t="s">
        <v>133</v>
      </c>
      <c r="J56" s="26">
        <f t="shared" si="6"/>
        <v>62</v>
      </c>
      <c r="M56" s="25" t="s">
        <v>530</v>
      </c>
      <c r="N56" s="25">
        <v>53</v>
      </c>
      <c r="O56" s="26" t="s">
        <v>232</v>
      </c>
      <c r="P56" s="26">
        <f t="shared" si="7"/>
        <v>111</v>
      </c>
      <c r="Q56" s="26"/>
      <c r="R56" s="26"/>
      <c r="S56" s="25" t="s">
        <v>530</v>
      </c>
      <c r="T56" s="25">
        <v>53</v>
      </c>
      <c r="U56" s="26" t="s">
        <v>853</v>
      </c>
      <c r="V56" s="26">
        <f t="shared" si="8"/>
        <v>1</v>
      </c>
      <c r="W56" s="26"/>
      <c r="Y56" s="25" t="s">
        <v>530</v>
      </c>
      <c r="Z56" s="25">
        <v>53</v>
      </c>
      <c r="AA56" s="26" t="s">
        <v>106</v>
      </c>
      <c r="AB56" s="26">
        <f t="shared" si="9"/>
        <v>49</v>
      </c>
      <c r="AE56" s="25" t="s">
        <v>530</v>
      </c>
      <c r="AF56" s="25">
        <v>53</v>
      </c>
      <c r="AG56" s="26" t="s">
        <v>287</v>
      </c>
      <c r="AH56" s="26">
        <f t="shared" si="10"/>
        <v>137</v>
      </c>
      <c r="AK56" s="25" t="s">
        <v>530</v>
      </c>
      <c r="AL56" s="25">
        <v>53</v>
      </c>
      <c r="AM56" s="26" t="s">
        <v>190</v>
      </c>
      <c r="AN56" s="26">
        <f t="shared" si="11"/>
        <v>90</v>
      </c>
      <c r="AQ56" s="25" t="s">
        <v>530</v>
      </c>
      <c r="AR56" s="25">
        <v>53</v>
      </c>
      <c r="AS56" s="26" t="s">
        <v>264</v>
      </c>
      <c r="AT56" s="26">
        <f t="shared" si="12"/>
        <v>126</v>
      </c>
      <c r="AX56" s="15"/>
      <c r="AY56" s="35">
        <f t="shared" si="13"/>
        <v>53</v>
      </c>
      <c r="AZ56" s="35" t="str">
        <f t="shared" si="14"/>
        <v>695+491</v>
      </c>
      <c r="BA56" s="35">
        <f t="shared" si="15"/>
        <v>36</v>
      </c>
      <c r="BB56" s="38">
        <f>COUNTIF($BA$4:$BA56,$BA56)</f>
        <v>1</v>
      </c>
      <c r="BC56" s="36" t="str">
        <f t="shared" si="16"/>
        <v/>
      </c>
      <c r="BD56" s="36" t="str">
        <f t="shared" si="17"/>
        <v>村</v>
      </c>
      <c r="BE56" s="36" t="str">
        <f t="shared" si="18"/>
        <v>村</v>
      </c>
      <c r="BF56" s="36" t="str">
        <f t="shared" si="19"/>
        <v/>
      </c>
      <c r="BG56" s="36" t="str">
        <f t="shared" si="20"/>
        <v/>
      </c>
      <c r="BH56" s="36" t="str">
        <f t="shared" si="21"/>
        <v/>
      </c>
      <c r="BI56" s="36" t="str">
        <f t="shared" si="22"/>
        <v/>
      </c>
      <c r="BJ56" s="29" t="str">
        <f t="shared" si="23"/>
        <v>村</v>
      </c>
      <c r="BL56" s="15">
        <v>53</v>
      </c>
      <c r="BM56" s="39" t="str">
        <f t="shared" si="36"/>
        <v>328+395</v>
      </c>
      <c r="BN56" s="39" t="str">
        <f t="shared" si="36"/>
        <v>346+378</v>
      </c>
      <c r="BO56" s="39" t="str">
        <f t="shared" si="36"/>
        <v/>
      </c>
      <c r="BP56" s="39" t="str">
        <f t="shared" si="36"/>
        <v/>
      </c>
      <c r="BQ56" s="39" t="str">
        <f t="shared" si="36"/>
        <v/>
      </c>
      <c r="BR56" s="39" t="str">
        <f t="shared" si="36"/>
        <v/>
      </c>
      <c r="BS56" s="39" t="str">
        <f t="shared" si="36"/>
        <v/>
      </c>
      <c r="BT56" s="39" t="str">
        <f t="shared" si="36"/>
        <v/>
      </c>
      <c r="BU56" s="39" t="str">
        <f t="shared" si="36"/>
        <v/>
      </c>
      <c r="BV56" s="39" t="str">
        <f t="shared" si="36"/>
        <v/>
      </c>
      <c r="BW56" s="39" t="str">
        <f t="shared" si="36"/>
        <v/>
      </c>
      <c r="BX56" s="39" t="str">
        <f t="shared" si="36"/>
        <v/>
      </c>
      <c r="BY56" s="39" t="str">
        <f t="shared" si="36"/>
        <v/>
      </c>
      <c r="BZ56" s="39" t="str">
        <f t="shared" si="36"/>
        <v/>
      </c>
      <c r="CA56" s="39" t="str">
        <f t="shared" si="36"/>
        <v/>
      </c>
      <c r="CB56" s="39" t="str">
        <f t="shared" si="37"/>
        <v/>
      </c>
      <c r="CC56" s="39" t="str">
        <f t="shared" si="37"/>
        <v/>
      </c>
      <c r="CD56" s="39" t="str">
        <f t="shared" si="37"/>
        <v>316+373</v>
      </c>
      <c r="CE56" s="39" t="str">
        <f t="shared" si="37"/>
        <v/>
      </c>
      <c r="CF56" s="39" t="str">
        <f t="shared" si="37"/>
        <v/>
      </c>
      <c r="CG56" s="39" t="str">
        <f t="shared" si="37"/>
        <v/>
      </c>
      <c r="CH56" s="39" t="str">
        <f t="shared" si="37"/>
        <v/>
      </c>
      <c r="CI56" s="39" t="str">
        <f t="shared" si="37"/>
        <v/>
      </c>
      <c r="CJ56" s="39" t="str">
        <f t="shared" si="37"/>
        <v/>
      </c>
      <c r="CK56" s="39" t="str">
        <f t="shared" si="37"/>
        <v/>
      </c>
      <c r="CL56" s="39" t="str">
        <f t="shared" si="37"/>
        <v/>
      </c>
      <c r="CM56" s="39" t="str">
        <f t="shared" si="37"/>
        <v/>
      </c>
      <c r="CN56" s="39" t="str">
        <f t="shared" si="37"/>
        <v/>
      </c>
      <c r="CO56" s="39" t="str">
        <f t="shared" si="37"/>
        <v/>
      </c>
      <c r="CP56" s="39" t="str">
        <f t="shared" si="37"/>
        <v/>
      </c>
      <c r="CQ56" s="39" t="str">
        <f t="shared" si="38"/>
        <v/>
      </c>
      <c r="CR56" s="39" t="str">
        <f t="shared" si="38"/>
        <v/>
      </c>
      <c r="CS56" s="39" t="str">
        <f t="shared" si="38"/>
        <v/>
      </c>
      <c r="CT56" s="39" t="str">
        <f t="shared" si="38"/>
        <v/>
      </c>
      <c r="CU56" s="39" t="str">
        <f t="shared" si="38"/>
        <v/>
      </c>
      <c r="CV56" s="39" t="str">
        <f t="shared" si="38"/>
        <v/>
      </c>
      <c r="CW56" s="39" t="str">
        <f t="shared" si="38"/>
        <v/>
      </c>
      <c r="CX56" s="39" t="str">
        <f t="shared" si="38"/>
        <v/>
      </c>
      <c r="CY56" s="39" t="str">
        <f t="shared" si="38"/>
        <v/>
      </c>
      <c r="CZ56" s="39" t="str">
        <f t="shared" si="38"/>
        <v/>
      </c>
      <c r="DA56" s="39" t="str">
        <f t="shared" si="38"/>
        <v/>
      </c>
      <c r="DB56" s="39" t="str">
        <f t="shared" si="38"/>
        <v/>
      </c>
      <c r="DC56" s="39" t="str">
        <f t="shared" si="38"/>
        <v/>
      </c>
      <c r="DD56" s="39" t="str">
        <f t="shared" si="38"/>
        <v/>
      </c>
      <c r="DE56" s="39" t="str">
        <f t="shared" si="38"/>
        <v/>
      </c>
      <c r="DF56" s="37" t="str">
        <f t="shared" si="27"/>
        <v>2+1+0</v>
      </c>
      <c r="DG56" s="37" t="str">
        <f t="shared" si="28"/>
        <v>328+395|346+378</v>
      </c>
      <c r="DH56" s="37" t="str">
        <f t="shared" si="29"/>
        <v>316+373</v>
      </c>
      <c r="DI56" s="37" t="str">
        <f t="shared" si="30"/>
        <v>0+0</v>
      </c>
      <c r="DJ56" s="37" t="str">
        <f t="shared" si="31"/>
        <v>2+1+0|328+395|346+378|316+373|0+0</v>
      </c>
    </row>
    <row r="57" spans="2:114" x14ac:dyDescent="0.15">
      <c r="B57" s="15">
        <v>54</v>
      </c>
      <c r="C57" s="15" t="s">
        <v>84</v>
      </c>
      <c r="D57" s="15">
        <v>38</v>
      </c>
      <c r="G57" s="25" t="s">
        <v>530</v>
      </c>
      <c r="H57" s="25">
        <v>54</v>
      </c>
      <c r="I57" s="26" t="s">
        <v>134</v>
      </c>
      <c r="J57" s="26">
        <f t="shared" si="6"/>
        <v>62</v>
      </c>
      <c r="M57" s="25" t="s">
        <v>530</v>
      </c>
      <c r="N57" s="25">
        <v>54</v>
      </c>
      <c r="O57" s="26" t="s">
        <v>168</v>
      </c>
      <c r="P57" s="26">
        <f t="shared" si="7"/>
        <v>79</v>
      </c>
      <c r="Q57" s="26"/>
      <c r="R57" s="26"/>
      <c r="S57" s="25" t="s">
        <v>530</v>
      </c>
      <c r="T57" s="25">
        <v>54</v>
      </c>
      <c r="U57" s="26" t="s">
        <v>854</v>
      </c>
      <c r="V57" s="26">
        <f t="shared" si="8"/>
        <v>1</v>
      </c>
      <c r="W57" s="26"/>
      <c r="Y57" s="25" t="s">
        <v>530</v>
      </c>
      <c r="Z57" s="25">
        <v>54</v>
      </c>
      <c r="AA57" s="26" t="s">
        <v>105</v>
      </c>
      <c r="AB57" s="26">
        <f t="shared" si="9"/>
        <v>49</v>
      </c>
      <c r="AE57" s="25" t="s">
        <v>530</v>
      </c>
      <c r="AF57" s="25">
        <v>54</v>
      </c>
      <c r="AG57" s="26" t="s">
        <v>307</v>
      </c>
      <c r="AH57" s="26">
        <f t="shared" si="10"/>
        <v>146</v>
      </c>
      <c r="AK57" s="25" t="s">
        <v>530</v>
      </c>
      <c r="AL57" s="25">
        <v>54</v>
      </c>
      <c r="AM57" s="26" t="s">
        <v>213</v>
      </c>
      <c r="AN57" s="26">
        <f t="shared" si="11"/>
        <v>102</v>
      </c>
      <c r="AQ57" s="25" t="s">
        <v>530</v>
      </c>
      <c r="AR57" s="25">
        <v>54</v>
      </c>
      <c r="AS57" s="26" t="s">
        <v>1016</v>
      </c>
      <c r="AT57" s="26">
        <f t="shared" si="12"/>
        <v>125</v>
      </c>
      <c r="AX57" s="15"/>
      <c r="AY57" s="35">
        <f t="shared" si="13"/>
        <v>54</v>
      </c>
      <c r="AZ57" s="35" t="str">
        <f t="shared" si="14"/>
        <v>524+462</v>
      </c>
      <c r="BA57" s="35">
        <f t="shared" si="15"/>
        <v>38</v>
      </c>
      <c r="BB57" s="38">
        <f>COUNTIF($BA$4:$BA57,$BA57)</f>
        <v>1</v>
      </c>
      <c r="BC57" s="36" t="str">
        <f t="shared" si="16"/>
        <v>村</v>
      </c>
      <c r="BD57" s="36" t="str">
        <f t="shared" si="17"/>
        <v>村</v>
      </c>
      <c r="BE57" s="36" t="str">
        <f t="shared" si="18"/>
        <v>村</v>
      </c>
      <c r="BF57" s="36" t="str">
        <f t="shared" si="19"/>
        <v>村</v>
      </c>
      <c r="BG57" s="36" t="str">
        <f t="shared" si="20"/>
        <v/>
      </c>
      <c r="BH57" s="36" t="str">
        <f t="shared" si="21"/>
        <v/>
      </c>
      <c r="BI57" s="36" t="str">
        <f t="shared" si="22"/>
        <v/>
      </c>
      <c r="BJ57" s="29" t="str">
        <f t="shared" si="23"/>
        <v>村</v>
      </c>
      <c r="BL57" s="15">
        <v>54</v>
      </c>
      <c r="BM57" s="39" t="str">
        <f t="shared" si="36"/>
        <v/>
      </c>
      <c r="BN57" s="39" t="str">
        <f t="shared" si="36"/>
        <v/>
      </c>
      <c r="BO57" s="39" t="str">
        <f t="shared" si="36"/>
        <v/>
      </c>
      <c r="BP57" s="39" t="str">
        <f t="shared" si="36"/>
        <v/>
      </c>
      <c r="BQ57" s="39" t="str">
        <f t="shared" si="36"/>
        <v/>
      </c>
      <c r="BR57" s="39" t="str">
        <f t="shared" si="36"/>
        <v/>
      </c>
      <c r="BS57" s="39" t="str">
        <f t="shared" si="36"/>
        <v/>
      </c>
      <c r="BT57" s="39" t="str">
        <f t="shared" si="36"/>
        <v/>
      </c>
      <c r="BU57" s="39" t="str">
        <f t="shared" si="36"/>
        <v/>
      </c>
      <c r="BV57" s="39" t="str">
        <f t="shared" si="36"/>
        <v/>
      </c>
      <c r="BW57" s="39" t="str">
        <f t="shared" si="36"/>
        <v/>
      </c>
      <c r="BX57" s="39" t="str">
        <f t="shared" si="36"/>
        <v/>
      </c>
      <c r="BY57" s="39" t="str">
        <f t="shared" si="36"/>
        <v/>
      </c>
      <c r="BZ57" s="39" t="str">
        <f t="shared" si="36"/>
        <v/>
      </c>
      <c r="CA57" s="39" t="str">
        <f t="shared" si="36"/>
        <v/>
      </c>
      <c r="CB57" s="39" t="str">
        <f t="shared" si="37"/>
        <v>224+396</v>
      </c>
      <c r="CC57" s="39" t="str">
        <f t="shared" si="37"/>
        <v/>
      </c>
      <c r="CD57" s="39" t="str">
        <f t="shared" si="37"/>
        <v/>
      </c>
      <c r="CE57" s="39" t="str">
        <f t="shared" si="37"/>
        <v/>
      </c>
      <c r="CF57" s="39" t="str">
        <f t="shared" si="37"/>
        <v/>
      </c>
      <c r="CG57" s="39" t="str">
        <f t="shared" si="37"/>
        <v/>
      </c>
      <c r="CH57" s="39" t="str">
        <f t="shared" si="37"/>
        <v/>
      </c>
      <c r="CI57" s="39" t="str">
        <f t="shared" si="37"/>
        <v/>
      </c>
      <c r="CJ57" s="39" t="str">
        <f t="shared" si="37"/>
        <v/>
      </c>
      <c r="CK57" s="39" t="str">
        <f t="shared" si="37"/>
        <v/>
      </c>
      <c r="CL57" s="39" t="str">
        <f t="shared" si="37"/>
        <v/>
      </c>
      <c r="CM57" s="39" t="str">
        <f t="shared" si="37"/>
        <v/>
      </c>
      <c r="CN57" s="39" t="str">
        <f t="shared" si="37"/>
        <v/>
      </c>
      <c r="CO57" s="39" t="str">
        <f t="shared" si="37"/>
        <v/>
      </c>
      <c r="CP57" s="39" t="str">
        <f t="shared" si="37"/>
        <v/>
      </c>
      <c r="CQ57" s="39" t="str">
        <f t="shared" si="38"/>
        <v/>
      </c>
      <c r="CR57" s="39" t="str">
        <f t="shared" si="38"/>
        <v>295+364</v>
      </c>
      <c r="CS57" s="39" t="str">
        <f t="shared" si="38"/>
        <v/>
      </c>
      <c r="CT57" s="39" t="str">
        <f t="shared" si="38"/>
        <v/>
      </c>
      <c r="CU57" s="39" t="str">
        <f t="shared" si="38"/>
        <v/>
      </c>
      <c r="CV57" s="39" t="str">
        <f t="shared" si="38"/>
        <v/>
      </c>
      <c r="CW57" s="39" t="str">
        <f t="shared" si="38"/>
        <v/>
      </c>
      <c r="CX57" s="39" t="str">
        <f t="shared" si="38"/>
        <v/>
      </c>
      <c r="CY57" s="39" t="str">
        <f t="shared" si="38"/>
        <v/>
      </c>
      <c r="CZ57" s="39" t="str">
        <f t="shared" si="38"/>
        <v/>
      </c>
      <c r="DA57" s="39" t="str">
        <f t="shared" si="38"/>
        <v/>
      </c>
      <c r="DB57" s="39" t="str">
        <f t="shared" si="38"/>
        <v/>
      </c>
      <c r="DC57" s="39" t="str">
        <f t="shared" si="38"/>
        <v/>
      </c>
      <c r="DD57" s="39" t="str">
        <f t="shared" si="38"/>
        <v/>
      </c>
      <c r="DE57" s="39" t="str">
        <f t="shared" si="38"/>
        <v/>
      </c>
      <c r="DF57" s="37" t="str">
        <f t="shared" si="27"/>
        <v>0+1+1</v>
      </c>
      <c r="DG57" s="37" t="str">
        <f t="shared" si="28"/>
        <v>0+0</v>
      </c>
      <c r="DH57" s="37" t="str">
        <f t="shared" si="29"/>
        <v>224+396</v>
      </c>
      <c r="DI57" s="37" t="str">
        <f t="shared" si="30"/>
        <v>295+364</v>
      </c>
      <c r="DJ57" s="37" t="str">
        <f t="shared" si="31"/>
        <v>0+1+1|0+0|224+396|295+364</v>
      </c>
    </row>
    <row r="58" spans="2:114" x14ac:dyDescent="0.15">
      <c r="B58" s="15">
        <v>55</v>
      </c>
      <c r="C58" s="15" t="s">
        <v>85</v>
      </c>
      <c r="D58" s="15">
        <v>38</v>
      </c>
      <c r="G58" s="27" t="s">
        <v>531</v>
      </c>
      <c r="H58" s="27">
        <v>55</v>
      </c>
      <c r="I58" s="26" t="s">
        <v>122</v>
      </c>
      <c r="J58" s="26">
        <f t="shared" si="6"/>
        <v>57</v>
      </c>
      <c r="M58" s="27" t="s">
        <v>531</v>
      </c>
      <c r="N58" s="27">
        <v>55</v>
      </c>
      <c r="O58" s="26" t="s">
        <v>281</v>
      </c>
      <c r="P58" s="26">
        <f t="shared" si="7"/>
        <v>134</v>
      </c>
      <c r="Q58" s="26"/>
      <c r="R58" s="26"/>
      <c r="S58" s="27" t="s">
        <v>531</v>
      </c>
      <c r="T58" s="27">
        <v>55</v>
      </c>
      <c r="U58" s="26" t="s">
        <v>855</v>
      </c>
      <c r="V58" s="26">
        <f t="shared" si="8"/>
        <v>98</v>
      </c>
      <c r="W58" s="26"/>
      <c r="Y58" s="27" t="s">
        <v>531</v>
      </c>
      <c r="Z58" s="27">
        <v>55</v>
      </c>
      <c r="AA58" s="26" t="s">
        <v>346</v>
      </c>
      <c r="AB58" s="26">
        <f t="shared" si="9"/>
        <v>166</v>
      </c>
      <c r="AE58" s="27" t="s">
        <v>531</v>
      </c>
      <c r="AF58" s="27">
        <v>55</v>
      </c>
      <c r="AG58" s="26" t="s">
        <v>824</v>
      </c>
      <c r="AH58" s="26">
        <f t="shared" si="10"/>
        <v>84</v>
      </c>
      <c r="AK58" s="27" t="s">
        <v>531</v>
      </c>
      <c r="AL58" s="27">
        <v>55</v>
      </c>
      <c r="AM58" s="26" t="s">
        <v>824</v>
      </c>
      <c r="AN58" s="26">
        <f t="shared" si="11"/>
        <v>84</v>
      </c>
      <c r="AQ58" s="27" t="s">
        <v>531</v>
      </c>
      <c r="AR58" s="27">
        <v>55</v>
      </c>
      <c r="AS58" s="26" t="s">
        <v>992</v>
      </c>
      <c r="AT58" s="26">
        <f t="shared" si="12"/>
        <v>128</v>
      </c>
      <c r="AX58" s="15"/>
      <c r="AY58" s="35">
        <f t="shared" si="13"/>
        <v>55</v>
      </c>
      <c r="AZ58" s="35" t="str">
        <f t="shared" si="14"/>
        <v>541+473</v>
      </c>
      <c r="BA58" s="35">
        <f t="shared" si="15"/>
        <v>38</v>
      </c>
      <c r="BB58" s="38">
        <f>COUNTIF($BA$4:$BA58,$BA58)</f>
        <v>2</v>
      </c>
      <c r="BC58" s="36" t="str">
        <f t="shared" si="16"/>
        <v>村</v>
      </c>
      <c r="BD58" s="36" t="str">
        <f t="shared" si="17"/>
        <v>村</v>
      </c>
      <c r="BE58" s="36" t="str">
        <f t="shared" si="18"/>
        <v>村</v>
      </c>
      <c r="BF58" s="36" t="str">
        <f t="shared" si="19"/>
        <v/>
      </c>
      <c r="BG58" s="36" t="str">
        <f t="shared" si="20"/>
        <v/>
      </c>
      <c r="BH58" s="36" t="str">
        <f t="shared" si="21"/>
        <v/>
      </c>
      <c r="BI58" s="36" t="str">
        <f t="shared" si="22"/>
        <v/>
      </c>
      <c r="BJ58" s="29" t="str">
        <f t="shared" si="23"/>
        <v>村</v>
      </c>
      <c r="BL58" s="15">
        <v>55</v>
      </c>
      <c r="BM58" s="39" t="str">
        <f t="shared" ref="BM58:CA73" si="39">IFERROR(INDEX($AZ$4:$AZ$1000,MATCH(SUMIFS($AY$4:$AY$1000,$BA$4:$BA$1000,$BL58,$BB$4:$BB$1000,BM$3,$BJ$4:$BJ$1000,"村"),$AY$4:$AY$1000,0)),"")</f>
        <v>352+300</v>
      </c>
      <c r="BN58" s="39" t="str">
        <f t="shared" si="39"/>
        <v>335+328</v>
      </c>
      <c r="BO58" s="39" t="str">
        <f t="shared" si="39"/>
        <v/>
      </c>
      <c r="BP58" s="39" t="str">
        <f t="shared" si="39"/>
        <v/>
      </c>
      <c r="BQ58" s="39" t="str">
        <f t="shared" si="39"/>
        <v/>
      </c>
      <c r="BR58" s="39" t="str">
        <f t="shared" si="39"/>
        <v/>
      </c>
      <c r="BS58" s="39" t="str">
        <f t="shared" si="39"/>
        <v/>
      </c>
      <c r="BT58" s="39" t="str">
        <f t="shared" si="39"/>
        <v/>
      </c>
      <c r="BU58" s="39" t="str">
        <f t="shared" si="39"/>
        <v/>
      </c>
      <c r="BV58" s="39" t="str">
        <f t="shared" si="39"/>
        <v/>
      </c>
      <c r="BW58" s="39" t="str">
        <f t="shared" si="39"/>
        <v/>
      </c>
      <c r="BX58" s="39" t="str">
        <f t="shared" si="39"/>
        <v/>
      </c>
      <c r="BY58" s="39" t="str">
        <f t="shared" si="39"/>
        <v/>
      </c>
      <c r="BZ58" s="39" t="str">
        <f t="shared" si="39"/>
        <v/>
      </c>
      <c r="CA58" s="39" t="str">
        <f t="shared" si="39"/>
        <v/>
      </c>
      <c r="CB58" s="39" t="str">
        <f t="shared" si="37"/>
        <v/>
      </c>
      <c r="CC58" s="39" t="str">
        <f t="shared" si="37"/>
        <v/>
      </c>
      <c r="CD58" s="39" t="str">
        <f t="shared" si="37"/>
        <v/>
      </c>
      <c r="CE58" s="39" t="str">
        <f t="shared" si="37"/>
        <v/>
      </c>
      <c r="CF58" s="39" t="str">
        <f t="shared" si="37"/>
        <v/>
      </c>
      <c r="CG58" s="39" t="str">
        <f t="shared" si="37"/>
        <v/>
      </c>
      <c r="CH58" s="39" t="str">
        <f t="shared" si="37"/>
        <v/>
      </c>
      <c r="CI58" s="39" t="str">
        <f t="shared" si="37"/>
        <v/>
      </c>
      <c r="CJ58" s="39" t="str">
        <f t="shared" si="37"/>
        <v/>
      </c>
      <c r="CK58" s="39" t="str">
        <f t="shared" si="37"/>
        <v/>
      </c>
      <c r="CL58" s="39" t="str">
        <f t="shared" si="37"/>
        <v/>
      </c>
      <c r="CM58" s="39" t="str">
        <f t="shared" si="37"/>
        <v/>
      </c>
      <c r="CN58" s="39" t="str">
        <f t="shared" si="37"/>
        <v/>
      </c>
      <c r="CO58" s="39" t="str">
        <f t="shared" si="37"/>
        <v/>
      </c>
      <c r="CP58" s="39" t="str">
        <f t="shared" si="37"/>
        <v/>
      </c>
      <c r="CQ58" s="39" t="str">
        <f t="shared" si="38"/>
        <v/>
      </c>
      <c r="CR58" s="39" t="str">
        <f t="shared" si="38"/>
        <v/>
      </c>
      <c r="CS58" s="39" t="str">
        <f t="shared" si="38"/>
        <v>383+276</v>
      </c>
      <c r="CT58" s="39" t="str">
        <f t="shared" si="38"/>
        <v/>
      </c>
      <c r="CU58" s="39" t="str">
        <f t="shared" si="38"/>
        <v/>
      </c>
      <c r="CV58" s="39" t="str">
        <f t="shared" si="38"/>
        <v/>
      </c>
      <c r="CW58" s="39" t="str">
        <f t="shared" si="38"/>
        <v/>
      </c>
      <c r="CX58" s="39" t="str">
        <f t="shared" si="38"/>
        <v/>
      </c>
      <c r="CY58" s="39" t="str">
        <f t="shared" si="38"/>
        <v/>
      </c>
      <c r="CZ58" s="39" t="str">
        <f t="shared" si="38"/>
        <v/>
      </c>
      <c r="DA58" s="39" t="str">
        <f t="shared" si="38"/>
        <v/>
      </c>
      <c r="DB58" s="39" t="str">
        <f t="shared" si="38"/>
        <v/>
      </c>
      <c r="DC58" s="39" t="str">
        <f t="shared" si="38"/>
        <v/>
      </c>
      <c r="DD58" s="39" t="str">
        <f t="shared" si="38"/>
        <v/>
      </c>
      <c r="DE58" s="39" t="str">
        <f t="shared" si="38"/>
        <v/>
      </c>
      <c r="DF58" s="37" t="str">
        <f t="shared" si="27"/>
        <v>2+0+1</v>
      </c>
      <c r="DG58" s="37" t="str">
        <f t="shared" si="28"/>
        <v>352+300|335+328</v>
      </c>
      <c r="DH58" s="37" t="str">
        <f t="shared" si="29"/>
        <v>0+0</v>
      </c>
      <c r="DI58" s="37" t="str">
        <f t="shared" si="30"/>
        <v>383+276</v>
      </c>
      <c r="DJ58" s="37" t="str">
        <f t="shared" si="31"/>
        <v>2+0+1|352+300|335+328|0+0|383+276</v>
      </c>
    </row>
    <row r="59" spans="2:114" x14ac:dyDescent="0.15">
      <c r="B59" s="15">
        <v>56</v>
      </c>
      <c r="C59" s="15" t="s">
        <v>86</v>
      </c>
      <c r="D59" s="15">
        <v>39</v>
      </c>
      <c r="G59" s="27" t="s">
        <v>531</v>
      </c>
      <c r="H59" s="27">
        <v>56</v>
      </c>
      <c r="I59" s="26" t="s">
        <v>125</v>
      </c>
      <c r="J59" s="26">
        <f t="shared" si="6"/>
        <v>58</v>
      </c>
      <c r="M59" s="27" t="s">
        <v>531</v>
      </c>
      <c r="N59" s="27">
        <v>56</v>
      </c>
      <c r="O59" s="26" t="s">
        <v>282</v>
      </c>
      <c r="P59" s="26">
        <f t="shared" si="7"/>
        <v>135</v>
      </c>
      <c r="Q59" s="26"/>
      <c r="R59" s="26"/>
      <c r="S59" s="27" t="s">
        <v>531</v>
      </c>
      <c r="T59" s="27">
        <v>56</v>
      </c>
      <c r="U59" s="26" t="s">
        <v>79</v>
      </c>
      <c r="V59" s="26">
        <f t="shared" si="8"/>
        <v>35</v>
      </c>
      <c r="W59" s="26"/>
      <c r="Y59" s="27" t="s">
        <v>531</v>
      </c>
      <c r="Z59" s="27">
        <v>56</v>
      </c>
      <c r="AA59" s="26" t="s">
        <v>344</v>
      </c>
      <c r="AB59" s="26">
        <f t="shared" si="9"/>
        <v>165</v>
      </c>
      <c r="AE59" s="27" t="s">
        <v>531</v>
      </c>
      <c r="AF59" s="27">
        <v>56</v>
      </c>
      <c r="AG59" s="26" t="s">
        <v>906</v>
      </c>
      <c r="AH59" s="26">
        <f t="shared" si="10"/>
        <v>84</v>
      </c>
      <c r="AK59" s="27" t="s">
        <v>531</v>
      </c>
      <c r="AL59" s="27">
        <v>56</v>
      </c>
      <c r="AM59" s="26" t="s">
        <v>906</v>
      </c>
      <c r="AN59" s="26">
        <f t="shared" si="11"/>
        <v>84</v>
      </c>
      <c r="AQ59" s="27" t="s">
        <v>531</v>
      </c>
      <c r="AR59" s="27">
        <v>56</v>
      </c>
      <c r="AS59" s="26" t="s">
        <v>268</v>
      </c>
      <c r="AT59" s="26">
        <f t="shared" si="12"/>
        <v>128</v>
      </c>
      <c r="AX59" s="15"/>
      <c r="AY59" s="35">
        <f t="shared" si="13"/>
        <v>56</v>
      </c>
      <c r="AZ59" s="35" t="str">
        <f t="shared" si="14"/>
        <v>574+417</v>
      </c>
      <c r="BA59" s="35">
        <f t="shared" si="15"/>
        <v>39</v>
      </c>
      <c r="BB59" s="38">
        <f>COUNTIF($BA$4:$BA59,$BA59)</f>
        <v>1</v>
      </c>
      <c r="BC59" s="36" t="str">
        <f t="shared" si="16"/>
        <v>村</v>
      </c>
      <c r="BD59" s="36" t="str">
        <f t="shared" si="17"/>
        <v>村</v>
      </c>
      <c r="BE59" s="36" t="str">
        <f t="shared" si="18"/>
        <v>村</v>
      </c>
      <c r="BF59" s="36" t="str">
        <f t="shared" si="19"/>
        <v>村</v>
      </c>
      <c r="BG59" s="36" t="str">
        <f t="shared" si="20"/>
        <v/>
      </c>
      <c r="BH59" s="36" t="str">
        <f t="shared" si="21"/>
        <v/>
      </c>
      <c r="BI59" s="36" t="str">
        <f t="shared" si="22"/>
        <v/>
      </c>
      <c r="BJ59" s="29" t="str">
        <f t="shared" si="23"/>
        <v>村</v>
      </c>
      <c r="BL59" s="15">
        <v>56</v>
      </c>
      <c r="BM59" s="39" t="str">
        <f t="shared" si="39"/>
        <v>389+326</v>
      </c>
      <c r="BN59" s="39" t="str">
        <f t="shared" si="39"/>
        <v>410+311</v>
      </c>
      <c r="BO59" s="39" t="str">
        <f t="shared" si="39"/>
        <v/>
      </c>
      <c r="BP59" s="39" t="str">
        <f t="shared" si="39"/>
        <v/>
      </c>
      <c r="BQ59" s="39" t="str">
        <f t="shared" si="39"/>
        <v/>
      </c>
      <c r="BR59" s="39" t="str">
        <f t="shared" si="39"/>
        <v/>
      </c>
      <c r="BS59" s="39" t="str">
        <f t="shared" si="39"/>
        <v/>
      </c>
      <c r="BT59" s="39" t="str">
        <f t="shared" si="39"/>
        <v/>
      </c>
      <c r="BU59" s="39" t="str">
        <f t="shared" si="39"/>
        <v/>
      </c>
      <c r="BV59" s="39" t="str">
        <f t="shared" si="39"/>
        <v/>
      </c>
      <c r="BW59" s="39" t="str">
        <f t="shared" si="39"/>
        <v/>
      </c>
      <c r="BX59" s="39" t="str">
        <f t="shared" si="39"/>
        <v/>
      </c>
      <c r="BY59" s="39" t="str">
        <f t="shared" si="39"/>
        <v/>
      </c>
      <c r="BZ59" s="39" t="str">
        <f t="shared" si="39"/>
        <v/>
      </c>
      <c r="CA59" s="39" t="str">
        <f t="shared" si="39"/>
        <v/>
      </c>
      <c r="CB59" s="39" t="str">
        <f t="shared" si="37"/>
        <v/>
      </c>
      <c r="CC59" s="39" t="str">
        <f t="shared" si="37"/>
        <v/>
      </c>
      <c r="CD59" s="39" t="str">
        <f t="shared" si="37"/>
        <v>424+350</v>
      </c>
      <c r="CE59" s="39" t="str">
        <f t="shared" si="37"/>
        <v/>
      </c>
      <c r="CF59" s="39" t="str">
        <f t="shared" si="37"/>
        <v/>
      </c>
      <c r="CG59" s="39" t="str">
        <f t="shared" si="37"/>
        <v/>
      </c>
      <c r="CH59" s="39" t="str">
        <f t="shared" si="37"/>
        <v/>
      </c>
      <c r="CI59" s="39" t="str">
        <f t="shared" si="37"/>
        <v/>
      </c>
      <c r="CJ59" s="39" t="str">
        <f t="shared" si="37"/>
        <v/>
      </c>
      <c r="CK59" s="39" t="str">
        <f t="shared" si="37"/>
        <v/>
      </c>
      <c r="CL59" s="39" t="str">
        <f t="shared" si="37"/>
        <v/>
      </c>
      <c r="CM59" s="39" t="str">
        <f t="shared" si="37"/>
        <v/>
      </c>
      <c r="CN59" s="39" t="str">
        <f t="shared" si="37"/>
        <v/>
      </c>
      <c r="CO59" s="39" t="str">
        <f t="shared" si="37"/>
        <v/>
      </c>
      <c r="CP59" s="39" t="str">
        <f t="shared" si="37"/>
        <v/>
      </c>
      <c r="CQ59" s="39" t="str">
        <f t="shared" si="38"/>
        <v/>
      </c>
      <c r="CR59" s="39" t="str">
        <f t="shared" si="38"/>
        <v/>
      </c>
      <c r="CS59" s="39" t="str">
        <f t="shared" si="38"/>
        <v/>
      </c>
      <c r="CT59" s="39" t="str">
        <f t="shared" si="38"/>
        <v>400+309</v>
      </c>
      <c r="CU59" s="39" t="str">
        <f t="shared" si="38"/>
        <v>424+336</v>
      </c>
      <c r="CV59" s="39" t="str">
        <f t="shared" si="38"/>
        <v/>
      </c>
      <c r="CW59" s="39" t="str">
        <f t="shared" si="38"/>
        <v/>
      </c>
      <c r="CX59" s="39" t="str">
        <f t="shared" si="38"/>
        <v/>
      </c>
      <c r="CY59" s="39" t="str">
        <f t="shared" si="38"/>
        <v/>
      </c>
      <c r="CZ59" s="39" t="str">
        <f t="shared" si="38"/>
        <v/>
      </c>
      <c r="DA59" s="39" t="str">
        <f t="shared" si="38"/>
        <v/>
      </c>
      <c r="DB59" s="39" t="str">
        <f t="shared" si="38"/>
        <v/>
      </c>
      <c r="DC59" s="39" t="str">
        <f t="shared" si="38"/>
        <v/>
      </c>
      <c r="DD59" s="39" t="str">
        <f t="shared" si="38"/>
        <v/>
      </c>
      <c r="DE59" s="39" t="str">
        <f t="shared" si="38"/>
        <v/>
      </c>
      <c r="DF59" s="37" t="str">
        <f t="shared" si="27"/>
        <v>2+1+2</v>
      </c>
      <c r="DG59" s="37" t="str">
        <f t="shared" si="28"/>
        <v>389+326|410+311</v>
      </c>
      <c r="DH59" s="37" t="str">
        <f t="shared" si="29"/>
        <v>424+350</v>
      </c>
      <c r="DI59" s="37" t="str">
        <f t="shared" si="30"/>
        <v>400+309|424+336</v>
      </c>
      <c r="DJ59" s="37" t="str">
        <f t="shared" si="31"/>
        <v>2+1+2|389+326|410+311|424+350|400+309|424+336</v>
      </c>
    </row>
    <row r="60" spans="2:114" x14ac:dyDescent="0.15">
      <c r="B60" s="15">
        <v>57</v>
      </c>
      <c r="C60" s="15" t="s">
        <v>87</v>
      </c>
      <c r="D60" s="15">
        <v>39</v>
      </c>
      <c r="G60" s="27" t="s">
        <v>531</v>
      </c>
      <c r="H60" s="27">
        <v>57</v>
      </c>
      <c r="I60" s="26" t="s">
        <v>124</v>
      </c>
      <c r="J60" s="26">
        <f t="shared" si="6"/>
        <v>58</v>
      </c>
      <c r="M60" s="27" t="s">
        <v>531</v>
      </c>
      <c r="N60" s="27">
        <v>57</v>
      </c>
      <c r="O60" s="26" t="s">
        <v>280</v>
      </c>
      <c r="P60" s="26">
        <f t="shared" si="7"/>
        <v>134</v>
      </c>
      <c r="Q60" s="26"/>
      <c r="R60" s="26"/>
      <c r="S60" s="27" t="s">
        <v>531</v>
      </c>
      <c r="T60" s="27">
        <v>57</v>
      </c>
      <c r="U60" s="26" t="s">
        <v>39</v>
      </c>
      <c r="V60" s="26">
        <f t="shared" si="8"/>
        <v>16</v>
      </c>
      <c r="W60" s="26"/>
      <c r="Y60" s="27" t="s">
        <v>531</v>
      </c>
      <c r="Z60" s="27">
        <v>57</v>
      </c>
      <c r="AA60" s="26" t="s">
        <v>331</v>
      </c>
      <c r="AB60" s="26">
        <f t="shared" si="9"/>
        <v>159</v>
      </c>
      <c r="AE60" s="27" t="s">
        <v>531</v>
      </c>
      <c r="AF60" s="27">
        <v>57</v>
      </c>
      <c r="AG60" s="26" t="s">
        <v>942</v>
      </c>
      <c r="AH60" s="26">
        <f t="shared" si="10"/>
        <v>88</v>
      </c>
      <c r="AK60" s="27" t="s">
        <v>531</v>
      </c>
      <c r="AL60" s="27">
        <v>57</v>
      </c>
      <c r="AM60" s="26" t="s">
        <v>184</v>
      </c>
      <c r="AN60" s="26">
        <f t="shared" si="11"/>
        <v>87</v>
      </c>
      <c r="AQ60" s="27" t="s">
        <v>531</v>
      </c>
      <c r="AR60" s="27">
        <v>57</v>
      </c>
      <c r="AS60" s="26" t="s">
        <v>261</v>
      </c>
      <c r="AT60" s="26">
        <f t="shared" si="12"/>
        <v>125</v>
      </c>
      <c r="AX60" s="15"/>
      <c r="AY60" s="35">
        <f t="shared" si="13"/>
        <v>57</v>
      </c>
      <c r="AZ60" s="35" t="str">
        <f t="shared" si="14"/>
        <v>559+428</v>
      </c>
      <c r="BA60" s="35">
        <f t="shared" si="15"/>
        <v>39</v>
      </c>
      <c r="BB60" s="38">
        <f>COUNTIF($BA$4:$BA60,$BA60)</f>
        <v>2</v>
      </c>
      <c r="BC60" s="36" t="str">
        <f t="shared" si="16"/>
        <v>村</v>
      </c>
      <c r="BD60" s="36" t="str">
        <f t="shared" si="17"/>
        <v>村</v>
      </c>
      <c r="BE60" s="36" t="str">
        <f t="shared" si="18"/>
        <v/>
      </c>
      <c r="BF60" s="36" t="str">
        <f t="shared" si="19"/>
        <v>村</v>
      </c>
      <c r="BG60" s="36" t="str">
        <f t="shared" si="20"/>
        <v/>
      </c>
      <c r="BH60" s="36" t="str">
        <f t="shared" si="21"/>
        <v/>
      </c>
      <c r="BI60" s="36" t="str">
        <f t="shared" si="22"/>
        <v/>
      </c>
      <c r="BJ60" s="29" t="str">
        <f t="shared" si="23"/>
        <v>村</v>
      </c>
      <c r="BL60" s="15">
        <v>57</v>
      </c>
      <c r="BM60" s="39" t="str">
        <f t="shared" si="39"/>
        <v>464+287</v>
      </c>
      <c r="BN60" s="39" t="str">
        <f t="shared" si="39"/>
        <v>441+296</v>
      </c>
      <c r="BO60" s="39" t="str">
        <f t="shared" si="39"/>
        <v/>
      </c>
      <c r="BP60" s="39" t="str">
        <f t="shared" si="39"/>
        <v/>
      </c>
      <c r="BQ60" s="39" t="str">
        <f t="shared" si="39"/>
        <v/>
      </c>
      <c r="BR60" s="39" t="str">
        <f t="shared" si="39"/>
        <v/>
      </c>
      <c r="BS60" s="39" t="str">
        <f t="shared" si="39"/>
        <v/>
      </c>
      <c r="BT60" s="39" t="str">
        <f t="shared" si="39"/>
        <v/>
      </c>
      <c r="BU60" s="39" t="str">
        <f t="shared" si="39"/>
        <v/>
      </c>
      <c r="BV60" s="39" t="str">
        <f t="shared" si="39"/>
        <v/>
      </c>
      <c r="BW60" s="39" t="str">
        <f t="shared" si="39"/>
        <v/>
      </c>
      <c r="BX60" s="39" t="str">
        <f t="shared" si="39"/>
        <v/>
      </c>
      <c r="BY60" s="39" t="str">
        <f t="shared" si="39"/>
        <v/>
      </c>
      <c r="BZ60" s="39" t="str">
        <f t="shared" si="39"/>
        <v/>
      </c>
      <c r="CA60" s="39" t="str">
        <f t="shared" si="39"/>
        <v/>
      </c>
      <c r="CB60" s="39" t="str">
        <f t="shared" si="37"/>
        <v/>
      </c>
      <c r="CC60" s="39" t="str">
        <f t="shared" si="37"/>
        <v/>
      </c>
      <c r="CD60" s="39" t="str">
        <f t="shared" si="37"/>
        <v>434+340</v>
      </c>
      <c r="CE60" s="39" t="str">
        <f t="shared" si="37"/>
        <v/>
      </c>
      <c r="CF60" s="39" t="str">
        <f t="shared" si="37"/>
        <v/>
      </c>
      <c r="CG60" s="39" t="str">
        <f t="shared" si="37"/>
        <v/>
      </c>
      <c r="CH60" s="39" t="str">
        <f t="shared" si="37"/>
        <v/>
      </c>
      <c r="CI60" s="39" t="str">
        <f t="shared" si="37"/>
        <v/>
      </c>
      <c r="CJ60" s="39" t="str">
        <f t="shared" si="37"/>
        <v/>
      </c>
      <c r="CK60" s="39" t="str">
        <f t="shared" si="37"/>
        <v/>
      </c>
      <c r="CL60" s="39" t="str">
        <f t="shared" si="37"/>
        <v/>
      </c>
      <c r="CM60" s="39" t="str">
        <f t="shared" si="37"/>
        <v/>
      </c>
      <c r="CN60" s="39" t="str">
        <f t="shared" si="37"/>
        <v/>
      </c>
      <c r="CO60" s="39" t="str">
        <f t="shared" si="37"/>
        <v/>
      </c>
      <c r="CP60" s="39" t="str">
        <f t="shared" si="37"/>
        <v/>
      </c>
      <c r="CQ60" s="39" t="str">
        <f t="shared" si="38"/>
        <v/>
      </c>
      <c r="CR60" s="39" t="str">
        <f t="shared" si="38"/>
        <v/>
      </c>
      <c r="CS60" s="39" t="str">
        <f t="shared" si="38"/>
        <v/>
      </c>
      <c r="CT60" s="39" t="str">
        <f t="shared" si="38"/>
        <v>487+272</v>
      </c>
      <c r="CU60" s="39" t="str">
        <f t="shared" si="38"/>
        <v/>
      </c>
      <c r="CV60" s="39" t="str">
        <f t="shared" si="38"/>
        <v/>
      </c>
      <c r="CW60" s="39" t="str">
        <f t="shared" si="38"/>
        <v/>
      </c>
      <c r="CX60" s="39" t="str">
        <f t="shared" si="38"/>
        <v/>
      </c>
      <c r="CY60" s="39" t="str">
        <f t="shared" si="38"/>
        <v/>
      </c>
      <c r="CZ60" s="39" t="str">
        <f t="shared" si="38"/>
        <v/>
      </c>
      <c r="DA60" s="39" t="str">
        <f t="shared" si="38"/>
        <v/>
      </c>
      <c r="DB60" s="39" t="str">
        <f t="shared" si="38"/>
        <v/>
      </c>
      <c r="DC60" s="39" t="str">
        <f t="shared" si="38"/>
        <v/>
      </c>
      <c r="DD60" s="39" t="str">
        <f t="shared" si="38"/>
        <v/>
      </c>
      <c r="DE60" s="39" t="str">
        <f t="shared" si="38"/>
        <v/>
      </c>
      <c r="DF60" s="37" t="str">
        <f t="shared" si="27"/>
        <v>2+1+1</v>
      </c>
      <c r="DG60" s="37" t="str">
        <f t="shared" si="28"/>
        <v>464+287|441+296</v>
      </c>
      <c r="DH60" s="37" t="str">
        <f t="shared" si="29"/>
        <v>434+340</v>
      </c>
      <c r="DI60" s="37" t="str">
        <f t="shared" si="30"/>
        <v>487+272</v>
      </c>
      <c r="DJ60" s="37" t="str">
        <f t="shared" si="31"/>
        <v>2+1+1|464+287|441+296|434+340|487+272</v>
      </c>
    </row>
    <row r="61" spans="2:114" x14ac:dyDescent="0.15">
      <c r="B61" s="15">
        <v>58</v>
      </c>
      <c r="C61" s="15" t="s">
        <v>735</v>
      </c>
      <c r="D61" s="15">
        <v>39</v>
      </c>
      <c r="G61" s="27" t="s">
        <v>531</v>
      </c>
      <c r="H61" s="27">
        <v>58</v>
      </c>
      <c r="I61" s="26" t="s">
        <v>55</v>
      </c>
      <c r="J61" s="26">
        <f t="shared" si="6"/>
        <v>23</v>
      </c>
      <c r="M61" s="27" t="s">
        <v>531</v>
      </c>
      <c r="N61" s="27">
        <v>58</v>
      </c>
      <c r="O61" s="26" t="s">
        <v>266</v>
      </c>
      <c r="P61" s="26">
        <f t="shared" si="7"/>
        <v>127</v>
      </c>
      <c r="Q61" s="26"/>
      <c r="R61" s="26"/>
      <c r="S61" s="27" t="s">
        <v>531</v>
      </c>
      <c r="T61" s="27">
        <v>58</v>
      </c>
      <c r="U61" s="26" t="s">
        <v>38</v>
      </c>
      <c r="V61" s="26">
        <f t="shared" si="8"/>
        <v>16</v>
      </c>
      <c r="W61" s="26"/>
      <c r="Y61" s="27" t="s">
        <v>531</v>
      </c>
      <c r="Z61" s="27">
        <v>58</v>
      </c>
      <c r="AA61" s="26" t="s">
        <v>330</v>
      </c>
      <c r="AB61" s="26">
        <f t="shared" si="9"/>
        <v>158</v>
      </c>
      <c r="AE61" s="27" t="s">
        <v>531</v>
      </c>
      <c r="AF61" s="27">
        <v>58</v>
      </c>
      <c r="AG61" s="26" t="s">
        <v>185</v>
      </c>
      <c r="AH61" s="26">
        <f t="shared" si="10"/>
        <v>88</v>
      </c>
      <c r="AK61" s="27" t="s">
        <v>531</v>
      </c>
      <c r="AL61" s="27">
        <v>58</v>
      </c>
      <c r="AM61" s="26" t="s">
        <v>281</v>
      </c>
      <c r="AN61" s="26">
        <f t="shared" si="11"/>
        <v>134</v>
      </c>
      <c r="AQ61" s="27" t="s">
        <v>531</v>
      </c>
      <c r="AR61" s="27">
        <v>58</v>
      </c>
      <c r="AS61" s="26" t="s">
        <v>918</v>
      </c>
      <c r="AT61" s="26">
        <f t="shared" si="12"/>
        <v>125</v>
      </c>
      <c r="AX61" s="15"/>
      <c r="AY61" s="35">
        <f t="shared" si="13"/>
        <v>58</v>
      </c>
      <c r="AZ61" s="35" t="str">
        <f t="shared" si="14"/>
        <v>538+420</v>
      </c>
      <c r="BA61" s="35">
        <f t="shared" si="15"/>
        <v>39</v>
      </c>
      <c r="BB61" s="38">
        <f>COUNTIF($BA$4:$BA61,$BA61)</f>
        <v>3</v>
      </c>
      <c r="BC61" s="36" t="str">
        <f t="shared" si="16"/>
        <v>营</v>
      </c>
      <c r="BD61" s="36" t="str">
        <f t="shared" si="17"/>
        <v>营</v>
      </c>
      <c r="BE61" s="36" t="str">
        <f t="shared" si="18"/>
        <v>营</v>
      </c>
      <c r="BF61" s="36" t="str">
        <f t="shared" si="19"/>
        <v>营</v>
      </c>
      <c r="BG61" s="36" t="str">
        <f t="shared" si="20"/>
        <v/>
      </c>
      <c r="BH61" s="36" t="str">
        <f t="shared" si="21"/>
        <v/>
      </c>
      <c r="BI61" s="36" t="str">
        <f t="shared" si="22"/>
        <v/>
      </c>
      <c r="BJ61" s="29" t="str">
        <f t="shared" si="23"/>
        <v>营</v>
      </c>
      <c r="BL61" s="15">
        <v>58</v>
      </c>
      <c r="BM61" s="39" t="str">
        <f t="shared" si="39"/>
        <v>515+264</v>
      </c>
      <c r="BN61" s="39" t="str">
        <f t="shared" si="39"/>
        <v>495+295</v>
      </c>
      <c r="BO61" s="39" t="str">
        <f t="shared" si="39"/>
        <v/>
      </c>
      <c r="BP61" s="39" t="str">
        <f t="shared" si="39"/>
        <v/>
      </c>
      <c r="BQ61" s="39" t="str">
        <f t="shared" si="39"/>
        <v/>
      </c>
      <c r="BR61" s="39" t="str">
        <f t="shared" si="39"/>
        <v/>
      </c>
      <c r="BS61" s="39" t="str">
        <f t="shared" si="39"/>
        <v/>
      </c>
      <c r="BT61" s="39" t="str">
        <f t="shared" si="39"/>
        <v/>
      </c>
      <c r="BU61" s="39" t="str">
        <f t="shared" si="39"/>
        <v/>
      </c>
      <c r="BV61" s="39" t="str">
        <f t="shared" si="39"/>
        <v/>
      </c>
      <c r="BW61" s="39" t="str">
        <f t="shared" si="39"/>
        <v/>
      </c>
      <c r="BX61" s="39" t="str">
        <f t="shared" si="39"/>
        <v/>
      </c>
      <c r="BY61" s="39" t="str">
        <f t="shared" si="39"/>
        <v/>
      </c>
      <c r="BZ61" s="39" t="str">
        <f t="shared" si="39"/>
        <v/>
      </c>
      <c r="CA61" s="39" t="str">
        <f t="shared" si="39"/>
        <v/>
      </c>
      <c r="CB61" s="39" t="str">
        <f t="shared" si="37"/>
        <v/>
      </c>
      <c r="CC61" s="39" t="str">
        <f t="shared" si="37"/>
        <v/>
      </c>
      <c r="CD61" s="39" t="str">
        <f t="shared" si="37"/>
        <v/>
      </c>
      <c r="CE61" s="39" t="str">
        <f t="shared" si="37"/>
        <v/>
      </c>
      <c r="CF61" s="39" t="str">
        <f t="shared" si="37"/>
        <v/>
      </c>
      <c r="CG61" s="39" t="str">
        <f t="shared" si="37"/>
        <v/>
      </c>
      <c r="CH61" s="39" t="str">
        <f t="shared" si="37"/>
        <v/>
      </c>
      <c r="CI61" s="39" t="str">
        <f t="shared" si="37"/>
        <v/>
      </c>
      <c r="CJ61" s="39" t="str">
        <f t="shared" si="37"/>
        <v/>
      </c>
      <c r="CK61" s="39" t="str">
        <f t="shared" si="37"/>
        <v/>
      </c>
      <c r="CL61" s="39" t="str">
        <f t="shared" si="37"/>
        <v/>
      </c>
      <c r="CM61" s="39" t="str">
        <f t="shared" si="37"/>
        <v/>
      </c>
      <c r="CN61" s="39" t="str">
        <f t="shared" si="37"/>
        <v/>
      </c>
      <c r="CO61" s="39" t="str">
        <f t="shared" si="37"/>
        <v/>
      </c>
      <c r="CP61" s="39" t="str">
        <f t="shared" si="37"/>
        <v/>
      </c>
      <c r="CQ61" s="39" t="str">
        <f t="shared" si="38"/>
        <v/>
      </c>
      <c r="CR61" s="39" t="str">
        <f t="shared" si="38"/>
        <v/>
      </c>
      <c r="CS61" s="39" t="str">
        <f t="shared" si="38"/>
        <v>499+255</v>
      </c>
      <c r="CT61" s="39" t="str">
        <f t="shared" si="38"/>
        <v>528+244</v>
      </c>
      <c r="CU61" s="39" t="str">
        <f t="shared" si="38"/>
        <v/>
      </c>
      <c r="CV61" s="39" t="str">
        <f t="shared" si="38"/>
        <v/>
      </c>
      <c r="CW61" s="39" t="str">
        <f t="shared" si="38"/>
        <v/>
      </c>
      <c r="CX61" s="39" t="str">
        <f t="shared" si="38"/>
        <v/>
      </c>
      <c r="CY61" s="39" t="str">
        <f t="shared" si="38"/>
        <v/>
      </c>
      <c r="CZ61" s="39" t="str">
        <f t="shared" si="38"/>
        <v/>
      </c>
      <c r="DA61" s="39" t="str">
        <f t="shared" si="38"/>
        <v/>
      </c>
      <c r="DB61" s="39" t="str">
        <f t="shared" si="38"/>
        <v/>
      </c>
      <c r="DC61" s="39" t="str">
        <f t="shared" si="38"/>
        <v/>
      </c>
      <c r="DD61" s="39" t="str">
        <f t="shared" si="38"/>
        <v/>
      </c>
      <c r="DE61" s="39" t="str">
        <f t="shared" si="38"/>
        <v/>
      </c>
      <c r="DF61" s="37" t="str">
        <f t="shared" si="27"/>
        <v>2+0+2</v>
      </c>
      <c r="DG61" s="37" t="str">
        <f t="shared" si="28"/>
        <v>515+264|495+295</v>
      </c>
      <c r="DH61" s="37" t="str">
        <f t="shared" si="29"/>
        <v>0+0</v>
      </c>
      <c r="DI61" s="37" t="str">
        <f t="shared" si="30"/>
        <v>499+255|528+244</v>
      </c>
      <c r="DJ61" s="37" t="str">
        <f t="shared" si="31"/>
        <v>2+0+2|515+264|495+295|0+0|499+255|528+244</v>
      </c>
    </row>
    <row r="62" spans="2:114" x14ac:dyDescent="0.15">
      <c r="B62" s="15">
        <v>59</v>
      </c>
      <c r="C62" s="15" t="s">
        <v>597</v>
      </c>
      <c r="D62" s="15">
        <v>40</v>
      </c>
      <c r="G62" s="27" t="s">
        <v>531</v>
      </c>
      <c r="H62" s="27">
        <v>59</v>
      </c>
      <c r="I62" s="26" t="s">
        <v>53</v>
      </c>
      <c r="J62" s="26">
        <f t="shared" si="6"/>
        <v>22</v>
      </c>
      <c r="M62" s="27" t="s">
        <v>531</v>
      </c>
      <c r="N62" s="27">
        <v>59</v>
      </c>
      <c r="O62" s="26" t="s">
        <v>624</v>
      </c>
      <c r="P62" s="26">
        <f t="shared" si="7"/>
        <v>84</v>
      </c>
      <c r="Q62" s="26"/>
      <c r="R62" s="26"/>
      <c r="S62" s="27" t="s">
        <v>531</v>
      </c>
      <c r="T62" s="27">
        <v>59</v>
      </c>
      <c r="U62" s="26" t="s">
        <v>27</v>
      </c>
      <c r="V62" s="26">
        <f t="shared" si="8"/>
        <v>11</v>
      </c>
      <c r="W62" s="26"/>
      <c r="Y62" s="27" t="s">
        <v>531</v>
      </c>
      <c r="Z62" s="27">
        <v>59</v>
      </c>
      <c r="AA62" s="26" t="s">
        <v>335</v>
      </c>
      <c r="AB62" s="26">
        <f t="shared" si="9"/>
        <v>161</v>
      </c>
      <c r="AE62" s="27" t="s">
        <v>531</v>
      </c>
      <c r="AF62" s="27">
        <v>59</v>
      </c>
      <c r="AG62" s="26" t="s">
        <v>310</v>
      </c>
      <c r="AH62" s="26">
        <f t="shared" si="10"/>
        <v>148</v>
      </c>
      <c r="AK62" s="27" t="s">
        <v>531</v>
      </c>
      <c r="AL62" s="27">
        <v>59</v>
      </c>
      <c r="AM62" s="26" t="s">
        <v>630</v>
      </c>
      <c r="AN62" s="26">
        <f t="shared" si="11"/>
        <v>91</v>
      </c>
      <c r="AQ62" s="27" t="s">
        <v>531</v>
      </c>
      <c r="AR62" s="27">
        <v>59</v>
      </c>
      <c r="AS62" s="26" t="s">
        <v>908</v>
      </c>
      <c r="AT62" s="26">
        <f t="shared" si="12"/>
        <v>80</v>
      </c>
      <c r="AX62" s="15"/>
      <c r="AY62" s="35">
        <f t="shared" si="13"/>
        <v>59</v>
      </c>
      <c r="AZ62" s="35" t="str">
        <f t="shared" si="14"/>
        <v>468+501</v>
      </c>
      <c r="BA62" s="35">
        <f t="shared" si="15"/>
        <v>40</v>
      </c>
      <c r="BB62" s="38">
        <f>COUNTIF($BA$4:$BA62,$BA62)</f>
        <v>1</v>
      </c>
      <c r="BC62" s="36" t="str">
        <f t="shared" si="16"/>
        <v/>
      </c>
      <c r="BD62" s="36" t="str">
        <f t="shared" si="17"/>
        <v/>
      </c>
      <c r="BE62" s="36" t="str">
        <f t="shared" si="18"/>
        <v/>
      </c>
      <c r="BF62" s="36" t="str">
        <f t="shared" si="19"/>
        <v>县</v>
      </c>
      <c r="BG62" s="36" t="str">
        <f t="shared" si="20"/>
        <v/>
      </c>
      <c r="BH62" s="36" t="str">
        <f t="shared" si="21"/>
        <v/>
      </c>
      <c r="BI62" s="36" t="str">
        <f t="shared" si="22"/>
        <v/>
      </c>
      <c r="BJ62" s="29" t="str">
        <f t="shared" si="23"/>
        <v>县</v>
      </c>
      <c r="BL62" s="15">
        <v>59</v>
      </c>
      <c r="BM62" s="39" t="str">
        <f t="shared" si="39"/>
        <v/>
      </c>
      <c r="BN62" s="39" t="str">
        <f t="shared" si="39"/>
        <v/>
      </c>
      <c r="BO62" s="39" t="str">
        <f t="shared" si="39"/>
        <v/>
      </c>
      <c r="BP62" s="39" t="str">
        <f t="shared" si="39"/>
        <v/>
      </c>
      <c r="BQ62" s="39" t="str">
        <f t="shared" si="39"/>
        <v/>
      </c>
      <c r="BR62" s="39" t="str">
        <f t="shared" si="39"/>
        <v/>
      </c>
      <c r="BS62" s="39" t="str">
        <f t="shared" si="39"/>
        <v/>
      </c>
      <c r="BT62" s="39" t="str">
        <f t="shared" si="39"/>
        <v/>
      </c>
      <c r="BU62" s="39" t="str">
        <f t="shared" si="39"/>
        <v/>
      </c>
      <c r="BV62" s="39" t="str">
        <f t="shared" si="39"/>
        <v/>
      </c>
      <c r="BW62" s="39" t="str">
        <f t="shared" si="39"/>
        <v/>
      </c>
      <c r="BX62" s="39" t="str">
        <f t="shared" si="39"/>
        <v/>
      </c>
      <c r="BY62" s="39" t="str">
        <f t="shared" si="39"/>
        <v/>
      </c>
      <c r="BZ62" s="39" t="str">
        <f t="shared" si="39"/>
        <v/>
      </c>
      <c r="CA62" s="39" t="str">
        <f t="shared" si="39"/>
        <v/>
      </c>
      <c r="CB62" s="39" t="str">
        <f t="shared" si="37"/>
        <v/>
      </c>
      <c r="CC62" s="39" t="str">
        <f t="shared" si="37"/>
        <v/>
      </c>
      <c r="CD62" s="39" t="str">
        <f t="shared" si="37"/>
        <v/>
      </c>
      <c r="CE62" s="39" t="str">
        <f t="shared" si="37"/>
        <v/>
      </c>
      <c r="CF62" s="39" t="str">
        <f t="shared" si="37"/>
        <v/>
      </c>
      <c r="CG62" s="39" t="str">
        <f t="shared" si="37"/>
        <v/>
      </c>
      <c r="CH62" s="39" t="str">
        <f t="shared" si="37"/>
        <v/>
      </c>
      <c r="CI62" s="39" t="str">
        <f t="shared" si="37"/>
        <v/>
      </c>
      <c r="CJ62" s="39" t="str">
        <f t="shared" si="37"/>
        <v/>
      </c>
      <c r="CK62" s="39" t="str">
        <f t="shared" si="37"/>
        <v/>
      </c>
      <c r="CL62" s="39" t="str">
        <f t="shared" si="37"/>
        <v/>
      </c>
      <c r="CM62" s="39" t="str">
        <f t="shared" si="37"/>
        <v/>
      </c>
      <c r="CN62" s="39" t="str">
        <f t="shared" si="37"/>
        <v/>
      </c>
      <c r="CO62" s="39" t="str">
        <f t="shared" si="37"/>
        <v/>
      </c>
      <c r="CP62" s="39" t="str">
        <f t="shared" si="37"/>
        <v/>
      </c>
      <c r="CQ62" s="39" t="str">
        <f t="shared" si="38"/>
        <v/>
      </c>
      <c r="CR62" s="39" t="str">
        <f t="shared" si="38"/>
        <v/>
      </c>
      <c r="CS62" s="39" t="str">
        <f t="shared" si="38"/>
        <v/>
      </c>
      <c r="CT62" s="39" t="str">
        <f t="shared" si="38"/>
        <v/>
      </c>
      <c r="CU62" s="39" t="str">
        <f t="shared" si="38"/>
        <v/>
      </c>
      <c r="CV62" s="39" t="str">
        <f t="shared" si="38"/>
        <v/>
      </c>
      <c r="CW62" s="39" t="str">
        <f t="shared" si="38"/>
        <v/>
      </c>
      <c r="CX62" s="39" t="str">
        <f t="shared" si="38"/>
        <v/>
      </c>
      <c r="CY62" s="39" t="str">
        <f t="shared" si="38"/>
        <v/>
      </c>
      <c r="CZ62" s="39" t="str">
        <f t="shared" si="38"/>
        <v/>
      </c>
      <c r="DA62" s="39" t="str">
        <f t="shared" si="38"/>
        <v/>
      </c>
      <c r="DB62" s="39" t="str">
        <f t="shared" si="38"/>
        <v/>
      </c>
      <c r="DC62" s="39" t="str">
        <f t="shared" si="38"/>
        <v/>
      </c>
      <c r="DD62" s="39" t="str">
        <f t="shared" si="38"/>
        <v/>
      </c>
      <c r="DE62" s="39" t="str">
        <f t="shared" si="38"/>
        <v/>
      </c>
      <c r="DF62" s="37" t="str">
        <f t="shared" si="27"/>
        <v>0+0+0</v>
      </c>
      <c r="DG62" s="37" t="str">
        <f t="shared" si="28"/>
        <v>0+0</v>
      </c>
      <c r="DH62" s="37" t="str">
        <f t="shared" si="29"/>
        <v>0+0</v>
      </c>
      <c r="DI62" s="37" t="str">
        <f t="shared" si="30"/>
        <v>0+0</v>
      </c>
      <c r="DJ62" s="37" t="str">
        <f t="shared" si="31"/>
        <v>0+0+0|0+0|0+0|0+0</v>
      </c>
    </row>
    <row r="63" spans="2:114" x14ac:dyDescent="0.15">
      <c r="B63" s="15">
        <v>60</v>
      </c>
      <c r="C63" s="15" t="s">
        <v>88</v>
      </c>
      <c r="D63" s="15">
        <v>40</v>
      </c>
      <c r="G63" s="27" t="s">
        <v>531</v>
      </c>
      <c r="H63" s="27">
        <v>60</v>
      </c>
      <c r="I63" s="26" t="s">
        <v>52</v>
      </c>
      <c r="J63" s="26">
        <f t="shared" si="6"/>
        <v>22</v>
      </c>
      <c r="M63" s="27" t="s">
        <v>531</v>
      </c>
      <c r="N63" s="27">
        <v>60</v>
      </c>
      <c r="O63" s="26" t="s">
        <v>175</v>
      </c>
      <c r="P63" s="26">
        <f t="shared" si="7"/>
        <v>83</v>
      </c>
      <c r="Q63" s="26"/>
      <c r="R63" s="26"/>
      <c r="S63" s="27" t="s">
        <v>531</v>
      </c>
      <c r="T63" s="27">
        <v>60</v>
      </c>
      <c r="U63" s="26" t="s">
        <v>41</v>
      </c>
      <c r="V63" s="26">
        <f t="shared" si="8"/>
        <v>17</v>
      </c>
      <c r="W63" s="26"/>
      <c r="Y63" s="27" t="s">
        <v>531</v>
      </c>
      <c r="Z63" s="27">
        <v>60</v>
      </c>
      <c r="AA63" s="26" t="s">
        <v>333</v>
      </c>
      <c r="AB63" s="26">
        <f t="shared" si="9"/>
        <v>160</v>
      </c>
      <c r="AE63" s="27" t="s">
        <v>531</v>
      </c>
      <c r="AF63" s="27">
        <v>60</v>
      </c>
      <c r="AG63" s="26" t="s">
        <v>952</v>
      </c>
      <c r="AH63" s="26">
        <f t="shared" si="10"/>
        <v>149</v>
      </c>
      <c r="AK63" s="27" t="s">
        <v>531</v>
      </c>
      <c r="AL63" s="27">
        <v>60</v>
      </c>
      <c r="AM63" s="26" t="s">
        <v>191</v>
      </c>
      <c r="AN63" s="26">
        <f t="shared" si="11"/>
        <v>91</v>
      </c>
      <c r="AQ63" s="27" t="s">
        <v>531</v>
      </c>
      <c r="AR63" s="27">
        <v>60</v>
      </c>
      <c r="AS63" s="26" t="s">
        <v>958</v>
      </c>
      <c r="AT63" s="26">
        <f t="shared" si="12"/>
        <v>83</v>
      </c>
      <c r="AX63" s="15"/>
      <c r="AY63" s="35">
        <f t="shared" si="13"/>
        <v>60</v>
      </c>
      <c r="AZ63" s="35" t="str">
        <f t="shared" si="14"/>
        <v>496+504</v>
      </c>
      <c r="BA63" s="35">
        <f t="shared" si="15"/>
        <v>40</v>
      </c>
      <c r="BB63" s="38">
        <f>COUNTIF($BA$4:$BA63,$BA63)</f>
        <v>2</v>
      </c>
      <c r="BC63" s="36" t="str">
        <f t="shared" si="16"/>
        <v/>
      </c>
      <c r="BD63" s="36" t="str">
        <f t="shared" si="17"/>
        <v>营</v>
      </c>
      <c r="BE63" s="36" t="str">
        <f t="shared" si="18"/>
        <v>营</v>
      </c>
      <c r="BF63" s="36" t="str">
        <f t="shared" si="19"/>
        <v>营</v>
      </c>
      <c r="BG63" s="36" t="str">
        <f t="shared" si="20"/>
        <v/>
      </c>
      <c r="BH63" s="36" t="str">
        <f t="shared" si="21"/>
        <v/>
      </c>
      <c r="BI63" s="36" t="str">
        <f t="shared" si="22"/>
        <v/>
      </c>
      <c r="BJ63" s="29" t="str">
        <f t="shared" si="23"/>
        <v>营</v>
      </c>
      <c r="BL63" s="15">
        <v>60</v>
      </c>
      <c r="BM63" s="39" t="str">
        <f t="shared" si="39"/>
        <v>479+237</v>
      </c>
      <c r="BN63" s="39" t="str">
        <f t="shared" si="39"/>
        <v>450+256</v>
      </c>
      <c r="BO63" s="39" t="str">
        <f t="shared" si="39"/>
        <v/>
      </c>
      <c r="BP63" s="39" t="str">
        <f t="shared" si="39"/>
        <v/>
      </c>
      <c r="BQ63" s="39" t="str">
        <f t="shared" si="39"/>
        <v/>
      </c>
      <c r="BR63" s="39" t="str">
        <f t="shared" si="39"/>
        <v/>
      </c>
      <c r="BS63" s="39" t="str">
        <f t="shared" si="39"/>
        <v/>
      </c>
      <c r="BT63" s="39" t="str">
        <f t="shared" si="39"/>
        <v/>
      </c>
      <c r="BU63" s="39" t="str">
        <f t="shared" si="39"/>
        <v/>
      </c>
      <c r="BV63" s="39" t="str">
        <f t="shared" si="39"/>
        <v/>
      </c>
      <c r="BW63" s="39" t="str">
        <f t="shared" si="39"/>
        <v/>
      </c>
      <c r="BX63" s="39" t="str">
        <f t="shared" si="39"/>
        <v/>
      </c>
      <c r="BY63" s="39" t="str">
        <f t="shared" si="39"/>
        <v/>
      </c>
      <c r="BZ63" s="39" t="str">
        <f t="shared" si="39"/>
        <v/>
      </c>
      <c r="CA63" s="39" t="str">
        <f t="shared" si="39"/>
        <v/>
      </c>
      <c r="CB63" s="39" t="str">
        <f t="shared" si="37"/>
        <v/>
      </c>
      <c r="CC63" s="39" t="str">
        <f t="shared" si="37"/>
        <v/>
      </c>
      <c r="CD63" s="39" t="str">
        <f t="shared" si="37"/>
        <v/>
      </c>
      <c r="CE63" s="39" t="str">
        <f t="shared" si="37"/>
        <v/>
      </c>
      <c r="CF63" s="39" t="str">
        <f t="shared" si="37"/>
        <v/>
      </c>
      <c r="CG63" s="39" t="str">
        <f t="shared" si="37"/>
        <v/>
      </c>
      <c r="CH63" s="39" t="str">
        <f t="shared" si="37"/>
        <v/>
      </c>
      <c r="CI63" s="39" t="str">
        <f t="shared" si="37"/>
        <v/>
      </c>
      <c r="CJ63" s="39" t="str">
        <f t="shared" si="37"/>
        <v/>
      </c>
      <c r="CK63" s="39" t="str">
        <f t="shared" si="37"/>
        <v/>
      </c>
      <c r="CL63" s="39" t="str">
        <f t="shared" si="37"/>
        <v/>
      </c>
      <c r="CM63" s="39" t="str">
        <f t="shared" si="37"/>
        <v/>
      </c>
      <c r="CN63" s="39" t="str">
        <f t="shared" si="37"/>
        <v/>
      </c>
      <c r="CO63" s="39" t="str">
        <f t="shared" si="37"/>
        <v/>
      </c>
      <c r="CP63" s="39" t="str">
        <f t="shared" si="37"/>
        <v/>
      </c>
      <c r="CQ63" s="39" t="str">
        <f t="shared" si="38"/>
        <v/>
      </c>
      <c r="CR63" s="39" t="str">
        <f t="shared" si="38"/>
        <v/>
      </c>
      <c r="CS63" s="39" t="str">
        <f t="shared" si="38"/>
        <v>413+247</v>
      </c>
      <c r="CT63" s="39" t="str">
        <f t="shared" si="38"/>
        <v/>
      </c>
      <c r="CU63" s="39" t="str">
        <f t="shared" si="38"/>
        <v/>
      </c>
      <c r="CV63" s="39" t="str">
        <f t="shared" si="38"/>
        <v/>
      </c>
      <c r="CW63" s="39" t="str">
        <f t="shared" si="38"/>
        <v/>
      </c>
      <c r="CX63" s="39" t="str">
        <f t="shared" si="38"/>
        <v/>
      </c>
      <c r="CY63" s="39" t="str">
        <f t="shared" si="38"/>
        <v/>
      </c>
      <c r="CZ63" s="39" t="str">
        <f t="shared" si="38"/>
        <v/>
      </c>
      <c r="DA63" s="39" t="str">
        <f t="shared" si="38"/>
        <v/>
      </c>
      <c r="DB63" s="39" t="str">
        <f t="shared" si="38"/>
        <v/>
      </c>
      <c r="DC63" s="39" t="str">
        <f t="shared" si="38"/>
        <v/>
      </c>
      <c r="DD63" s="39" t="str">
        <f t="shared" si="38"/>
        <v/>
      </c>
      <c r="DE63" s="39" t="str">
        <f t="shared" si="38"/>
        <v/>
      </c>
      <c r="DF63" s="37" t="str">
        <f t="shared" si="27"/>
        <v>2+0+1</v>
      </c>
      <c r="DG63" s="37" t="str">
        <f t="shared" si="28"/>
        <v>479+237|450+256</v>
      </c>
      <c r="DH63" s="37" t="str">
        <f t="shared" si="29"/>
        <v>0+0</v>
      </c>
      <c r="DI63" s="37" t="str">
        <f t="shared" si="30"/>
        <v>413+247</v>
      </c>
      <c r="DJ63" s="37" t="str">
        <f t="shared" si="31"/>
        <v>2+0+1|479+237|450+256|0+0|413+247</v>
      </c>
    </row>
    <row r="64" spans="2:114" x14ac:dyDescent="0.15">
      <c r="B64" s="15">
        <v>61</v>
      </c>
      <c r="C64" s="15" t="s">
        <v>734</v>
      </c>
      <c r="D64" s="15">
        <v>41</v>
      </c>
      <c r="G64" s="25" t="s">
        <v>532</v>
      </c>
      <c r="H64" s="25">
        <v>61</v>
      </c>
      <c r="I64" s="26" t="s">
        <v>109</v>
      </c>
      <c r="J64" s="26">
        <f t="shared" si="6"/>
        <v>51</v>
      </c>
      <c r="M64" s="25" t="s">
        <v>532</v>
      </c>
      <c r="N64" s="25">
        <v>61</v>
      </c>
      <c r="O64" s="26" t="s">
        <v>283</v>
      </c>
      <c r="P64" s="26">
        <f t="shared" si="7"/>
        <v>135</v>
      </c>
      <c r="Q64" s="26"/>
      <c r="R64" s="26"/>
      <c r="S64" s="25" t="s">
        <v>532</v>
      </c>
      <c r="T64" s="25">
        <v>61</v>
      </c>
      <c r="U64" s="26" t="s">
        <v>34</v>
      </c>
      <c r="V64" s="26">
        <f t="shared" si="8"/>
        <v>14</v>
      </c>
      <c r="W64" s="26"/>
      <c r="Y64" s="25" t="s">
        <v>532</v>
      </c>
      <c r="Z64" s="25">
        <v>61</v>
      </c>
      <c r="AA64" s="26" t="s">
        <v>339</v>
      </c>
      <c r="AB64" s="26">
        <f t="shared" si="9"/>
        <v>163</v>
      </c>
      <c r="AE64" s="25" t="s">
        <v>532</v>
      </c>
      <c r="AF64" s="25">
        <v>61</v>
      </c>
      <c r="AG64" s="26" t="s">
        <v>908</v>
      </c>
      <c r="AH64" s="26">
        <f t="shared" si="10"/>
        <v>80</v>
      </c>
      <c r="AK64" s="25" t="s">
        <v>532</v>
      </c>
      <c r="AL64" s="25">
        <v>61</v>
      </c>
      <c r="AM64" s="26" t="s">
        <v>845</v>
      </c>
      <c r="AN64" s="26">
        <f t="shared" si="11"/>
        <v>79</v>
      </c>
      <c r="AQ64" s="25" t="s">
        <v>532</v>
      </c>
      <c r="AR64" s="25">
        <v>61</v>
      </c>
      <c r="AS64" s="26" t="s">
        <v>965</v>
      </c>
      <c r="AT64" s="26">
        <f t="shared" si="12"/>
        <v>129</v>
      </c>
      <c r="AX64" s="15"/>
      <c r="AY64" s="35">
        <f t="shared" si="13"/>
        <v>61</v>
      </c>
      <c r="AZ64" s="35" t="str">
        <f t="shared" si="14"/>
        <v>517+435</v>
      </c>
      <c r="BA64" s="35">
        <f t="shared" si="15"/>
        <v>41</v>
      </c>
      <c r="BB64" s="38">
        <f>COUNTIF($BA$4:$BA64,$BA64)</f>
        <v>1</v>
      </c>
      <c r="BC64" s="36" t="str">
        <f t="shared" si="16"/>
        <v>营</v>
      </c>
      <c r="BD64" s="36" t="str">
        <f t="shared" si="17"/>
        <v>营</v>
      </c>
      <c r="BE64" s="36" t="str">
        <f t="shared" si="18"/>
        <v>营</v>
      </c>
      <c r="BF64" s="36" t="str">
        <f t="shared" si="19"/>
        <v>营</v>
      </c>
      <c r="BG64" s="36" t="str">
        <f t="shared" si="20"/>
        <v/>
      </c>
      <c r="BH64" s="36" t="str">
        <f t="shared" si="21"/>
        <v/>
      </c>
      <c r="BI64" s="36" t="str">
        <f t="shared" si="22"/>
        <v/>
      </c>
      <c r="BJ64" s="29" t="str">
        <f t="shared" si="23"/>
        <v>营</v>
      </c>
      <c r="BL64" s="15">
        <v>61</v>
      </c>
      <c r="BM64" s="39" t="str">
        <f t="shared" si="39"/>
        <v>494+192</v>
      </c>
      <c r="BN64" s="39" t="str">
        <f t="shared" si="39"/>
        <v>437+186</v>
      </c>
      <c r="BO64" s="39" t="str">
        <f t="shared" si="39"/>
        <v/>
      </c>
      <c r="BP64" s="39" t="str">
        <f t="shared" si="39"/>
        <v/>
      </c>
      <c r="BQ64" s="39" t="str">
        <f t="shared" si="39"/>
        <v/>
      </c>
      <c r="BR64" s="39" t="str">
        <f t="shared" si="39"/>
        <v/>
      </c>
      <c r="BS64" s="39" t="str">
        <f t="shared" si="39"/>
        <v/>
      </c>
      <c r="BT64" s="39" t="str">
        <f t="shared" si="39"/>
        <v/>
      </c>
      <c r="BU64" s="39" t="str">
        <f t="shared" si="39"/>
        <v/>
      </c>
      <c r="BV64" s="39" t="str">
        <f t="shared" si="39"/>
        <v/>
      </c>
      <c r="BW64" s="39" t="str">
        <f t="shared" si="39"/>
        <v/>
      </c>
      <c r="BX64" s="39" t="str">
        <f t="shared" si="39"/>
        <v/>
      </c>
      <c r="BY64" s="39" t="str">
        <f t="shared" si="39"/>
        <v/>
      </c>
      <c r="BZ64" s="39" t="str">
        <f t="shared" si="39"/>
        <v/>
      </c>
      <c r="CA64" s="39" t="str">
        <f t="shared" si="39"/>
        <v/>
      </c>
      <c r="CB64" s="39" t="str">
        <f t="shared" si="37"/>
        <v/>
      </c>
      <c r="CC64" s="39" t="str">
        <f t="shared" si="37"/>
        <v/>
      </c>
      <c r="CD64" s="39" t="str">
        <f t="shared" si="37"/>
        <v/>
      </c>
      <c r="CE64" s="39" t="str">
        <f t="shared" si="37"/>
        <v/>
      </c>
      <c r="CF64" s="39" t="str">
        <f t="shared" si="37"/>
        <v/>
      </c>
      <c r="CG64" s="39" t="str">
        <f t="shared" si="37"/>
        <v/>
      </c>
      <c r="CH64" s="39" t="str">
        <f t="shared" si="37"/>
        <v/>
      </c>
      <c r="CI64" s="39" t="str">
        <f t="shared" si="37"/>
        <v/>
      </c>
      <c r="CJ64" s="39" t="str">
        <f t="shared" si="37"/>
        <v/>
      </c>
      <c r="CK64" s="39" t="str">
        <f t="shared" si="37"/>
        <v/>
      </c>
      <c r="CL64" s="39" t="str">
        <f t="shared" si="37"/>
        <v/>
      </c>
      <c r="CM64" s="39" t="str">
        <f t="shared" si="37"/>
        <v/>
      </c>
      <c r="CN64" s="39" t="str">
        <f t="shared" si="37"/>
        <v/>
      </c>
      <c r="CO64" s="39" t="str">
        <f t="shared" si="37"/>
        <v/>
      </c>
      <c r="CP64" s="39" t="str">
        <f t="shared" si="37"/>
        <v/>
      </c>
      <c r="CQ64" s="39" t="str">
        <f t="shared" si="38"/>
        <v/>
      </c>
      <c r="CR64" s="39" t="str">
        <f t="shared" si="38"/>
        <v/>
      </c>
      <c r="CS64" s="39" t="str">
        <f t="shared" si="38"/>
        <v/>
      </c>
      <c r="CT64" s="39" t="str">
        <f t="shared" si="38"/>
        <v/>
      </c>
      <c r="CU64" s="39" t="str">
        <f t="shared" si="38"/>
        <v/>
      </c>
      <c r="CV64" s="39" t="str">
        <f t="shared" si="38"/>
        <v/>
      </c>
      <c r="CW64" s="39" t="str">
        <f t="shared" si="38"/>
        <v/>
      </c>
      <c r="CX64" s="39" t="str">
        <f t="shared" si="38"/>
        <v/>
      </c>
      <c r="CY64" s="39" t="str">
        <f t="shared" si="38"/>
        <v/>
      </c>
      <c r="CZ64" s="39" t="str">
        <f t="shared" si="38"/>
        <v/>
      </c>
      <c r="DA64" s="39" t="str">
        <f t="shared" si="38"/>
        <v/>
      </c>
      <c r="DB64" s="39" t="str">
        <f t="shared" si="38"/>
        <v/>
      </c>
      <c r="DC64" s="39" t="str">
        <f t="shared" si="38"/>
        <v/>
      </c>
      <c r="DD64" s="39" t="str">
        <f t="shared" si="38"/>
        <v/>
      </c>
      <c r="DE64" s="39" t="str">
        <f t="shared" si="38"/>
        <v/>
      </c>
      <c r="DF64" s="37" t="str">
        <f t="shared" si="27"/>
        <v>2+0+0</v>
      </c>
      <c r="DG64" s="37" t="str">
        <f t="shared" si="28"/>
        <v>494+192|437+186</v>
      </c>
      <c r="DH64" s="37" t="str">
        <f t="shared" si="29"/>
        <v>0+0</v>
      </c>
      <c r="DI64" s="37" t="str">
        <f t="shared" si="30"/>
        <v>0+0</v>
      </c>
      <c r="DJ64" s="37" t="str">
        <f t="shared" si="31"/>
        <v>2+0+0|494+192|437+186|0+0|0+0</v>
      </c>
    </row>
    <row r="65" spans="2:114" x14ac:dyDescent="0.15">
      <c r="B65" s="15">
        <v>62</v>
      </c>
      <c r="C65" s="15" t="s">
        <v>598</v>
      </c>
      <c r="D65" s="15">
        <v>42</v>
      </c>
      <c r="G65" s="25" t="s">
        <v>532</v>
      </c>
      <c r="H65" s="25">
        <v>62</v>
      </c>
      <c r="I65" s="26" t="s">
        <v>110</v>
      </c>
      <c r="J65" s="26">
        <f t="shared" si="6"/>
        <v>51</v>
      </c>
      <c r="M65" s="25" t="s">
        <v>532</v>
      </c>
      <c r="N65" s="25">
        <v>62</v>
      </c>
      <c r="O65" s="26" t="s">
        <v>311</v>
      </c>
      <c r="P65" s="26">
        <f t="shared" si="7"/>
        <v>148</v>
      </c>
      <c r="Q65" s="26"/>
      <c r="R65" s="26"/>
      <c r="S65" s="25" t="s">
        <v>532</v>
      </c>
      <c r="T65" s="25">
        <v>62</v>
      </c>
      <c r="U65" s="26" t="s">
        <v>35</v>
      </c>
      <c r="V65" s="26">
        <f t="shared" si="8"/>
        <v>14</v>
      </c>
      <c r="W65" s="26"/>
      <c r="Y65" s="25" t="s">
        <v>532</v>
      </c>
      <c r="Z65" s="25">
        <v>62</v>
      </c>
      <c r="AA65" s="26" t="s">
        <v>726</v>
      </c>
      <c r="AB65" s="26">
        <f t="shared" si="9"/>
        <v>163</v>
      </c>
      <c r="AE65" s="25" t="s">
        <v>532</v>
      </c>
      <c r="AF65" s="25">
        <v>62</v>
      </c>
      <c r="AG65" s="26" t="s">
        <v>909</v>
      </c>
      <c r="AH65" s="26">
        <f t="shared" si="10"/>
        <v>80</v>
      </c>
      <c r="AK65" s="25" t="s">
        <v>532</v>
      </c>
      <c r="AL65" s="25">
        <v>62</v>
      </c>
      <c r="AM65" s="26" t="s">
        <v>823</v>
      </c>
      <c r="AN65" s="26">
        <f t="shared" si="11"/>
        <v>79</v>
      </c>
      <c r="AQ65" s="25" t="s">
        <v>532</v>
      </c>
      <c r="AR65" s="25">
        <v>62</v>
      </c>
      <c r="AS65" s="26" t="s">
        <v>938</v>
      </c>
      <c r="AT65" s="26">
        <f t="shared" si="12"/>
        <v>129</v>
      </c>
      <c r="AX65" s="15"/>
      <c r="AY65" s="35">
        <f t="shared" si="13"/>
        <v>62</v>
      </c>
      <c r="AZ65" s="35" t="str">
        <f t="shared" si="14"/>
        <v>576+368</v>
      </c>
      <c r="BA65" s="35">
        <f t="shared" si="15"/>
        <v>42</v>
      </c>
      <c r="BB65" s="38">
        <f>COUNTIF($BA$4:$BA65,$BA65)</f>
        <v>1</v>
      </c>
      <c r="BC65" s="36" t="str">
        <f t="shared" si="16"/>
        <v>县</v>
      </c>
      <c r="BD65" s="36" t="str">
        <f t="shared" si="17"/>
        <v/>
      </c>
      <c r="BE65" s="36" t="str">
        <f t="shared" si="18"/>
        <v>县</v>
      </c>
      <c r="BF65" s="36" t="str">
        <f t="shared" si="19"/>
        <v>县</v>
      </c>
      <c r="BG65" s="36" t="str">
        <f t="shared" si="20"/>
        <v/>
      </c>
      <c r="BH65" s="36" t="str">
        <f t="shared" si="21"/>
        <v/>
      </c>
      <c r="BI65" s="36" t="str">
        <f t="shared" si="22"/>
        <v/>
      </c>
      <c r="BJ65" s="29" t="str">
        <f t="shared" si="23"/>
        <v>县</v>
      </c>
      <c r="BL65" s="15">
        <v>62</v>
      </c>
      <c r="BM65" s="39" t="str">
        <f t="shared" si="39"/>
        <v>460+145</v>
      </c>
      <c r="BN65" s="39" t="str">
        <f t="shared" si="39"/>
        <v>508+135</v>
      </c>
      <c r="BO65" s="39" t="str">
        <f t="shared" si="39"/>
        <v/>
      </c>
      <c r="BP65" s="39" t="str">
        <f t="shared" si="39"/>
        <v/>
      </c>
      <c r="BQ65" s="39" t="str">
        <f t="shared" si="39"/>
        <v/>
      </c>
      <c r="BR65" s="39" t="str">
        <f t="shared" si="39"/>
        <v/>
      </c>
      <c r="BS65" s="39" t="str">
        <f t="shared" si="39"/>
        <v/>
      </c>
      <c r="BT65" s="39" t="str">
        <f t="shared" si="39"/>
        <v/>
      </c>
      <c r="BU65" s="39" t="str">
        <f t="shared" si="39"/>
        <v/>
      </c>
      <c r="BV65" s="39" t="str">
        <f t="shared" si="39"/>
        <v/>
      </c>
      <c r="BW65" s="39" t="str">
        <f t="shared" si="39"/>
        <v/>
      </c>
      <c r="BX65" s="39" t="str">
        <f t="shared" si="39"/>
        <v/>
      </c>
      <c r="BY65" s="39" t="str">
        <f t="shared" si="39"/>
        <v/>
      </c>
      <c r="BZ65" s="39" t="str">
        <f t="shared" si="39"/>
        <v/>
      </c>
      <c r="CA65" s="39" t="str">
        <f t="shared" si="39"/>
        <v/>
      </c>
      <c r="CB65" s="39" t="str">
        <f t="shared" si="37"/>
        <v/>
      </c>
      <c r="CC65" s="39" t="str">
        <f t="shared" si="37"/>
        <v/>
      </c>
      <c r="CD65" s="39" t="str">
        <f t="shared" si="37"/>
        <v/>
      </c>
      <c r="CE65" s="39" t="str">
        <f t="shared" si="37"/>
        <v/>
      </c>
      <c r="CF65" s="39" t="str">
        <f t="shared" si="37"/>
        <v/>
      </c>
      <c r="CG65" s="39" t="str">
        <f t="shared" si="37"/>
        <v/>
      </c>
      <c r="CH65" s="39" t="str">
        <f t="shared" si="37"/>
        <v/>
      </c>
      <c r="CI65" s="39" t="str">
        <f t="shared" si="37"/>
        <v/>
      </c>
      <c r="CJ65" s="39" t="str">
        <f t="shared" si="37"/>
        <v/>
      </c>
      <c r="CK65" s="39" t="str">
        <f t="shared" si="37"/>
        <v/>
      </c>
      <c r="CL65" s="39" t="str">
        <f t="shared" si="37"/>
        <v/>
      </c>
      <c r="CM65" s="39" t="str">
        <f t="shared" si="37"/>
        <v/>
      </c>
      <c r="CN65" s="39" t="str">
        <f t="shared" si="37"/>
        <v/>
      </c>
      <c r="CO65" s="39" t="str">
        <f t="shared" si="37"/>
        <v/>
      </c>
      <c r="CP65" s="39" t="str">
        <f t="shared" si="37"/>
        <v/>
      </c>
      <c r="CQ65" s="39" t="str">
        <f t="shared" si="38"/>
        <v/>
      </c>
      <c r="CR65" s="39" t="str">
        <f t="shared" si="38"/>
        <v/>
      </c>
      <c r="CS65" s="39" t="str">
        <f t="shared" si="38"/>
        <v/>
      </c>
      <c r="CT65" s="39" t="str">
        <f t="shared" si="38"/>
        <v/>
      </c>
      <c r="CU65" s="39" t="str">
        <f t="shared" si="38"/>
        <v/>
      </c>
      <c r="CV65" s="39" t="str">
        <f t="shared" si="38"/>
        <v/>
      </c>
      <c r="CW65" s="39" t="str">
        <f t="shared" si="38"/>
        <v/>
      </c>
      <c r="CX65" s="39" t="str">
        <f t="shared" si="38"/>
        <v/>
      </c>
      <c r="CY65" s="39" t="str">
        <f t="shared" si="38"/>
        <v/>
      </c>
      <c r="CZ65" s="39" t="str">
        <f t="shared" si="38"/>
        <v/>
      </c>
      <c r="DA65" s="39" t="str">
        <f t="shared" si="38"/>
        <v/>
      </c>
      <c r="DB65" s="39" t="str">
        <f t="shared" si="38"/>
        <v/>
      </c>
      <c r="DC65" s="39" t="str">
        <f t="shared" si="38"/>
        <v/>
      </c>
      <c r="DD65" s="39" t="str">
        <f t="shared" si="38"/>
        <v/>
      </c>
      <c r="DE65" s="39" t="str">
        <f t="shared" si="38"/>
        <v/>
      </c>
      <c r="DF65" s="37" t="str">
        <f t="shared" si="27"/>
        <v>2+0+0</v>
      </c>
      <c r="DG65" s="37" t="str">
        <f t="shared" si="28"/>
        <v>460+145|508+135</v>
      </c>
      <c r="DH65" s="37" t="str">
        <f t="shared" si="29"/>
        <v>0+0</v>
      </c>
      <c r="DI65" s="37" t="str">
        <f t="shared" si="30"/>
        <v>0+0</v>
      </c>
      <c r="DJ65" s="37" t="str">
        <f t="shared" si="31"/>
        <v>2+0+0|460+145|508+135|0+0|0+0</v>
      </c>
    </row>
    <row r="66" spans="2:114" x14ac:dyDescent="0.15">
      <c r="B66" s="15">
        <v>63</v>
      </c>
      <c r="C66" s="15" t="s">
        <v>91</v>
      </c>
      <c r="D66" s="15">
        <v>42</v>
      </c>
      <c r="G66" s="25" t="s">
        <v>532</v>
      </c>
      <c r="H66" s="25">
        <v>63</v>
      </c>
      <c r="I66" s="26" t="s">
        <v>98</v>
      </c>
      <c r="J66" s="26">
        <f t="shared" si="6"/>
        <v>45</v>
      </c>
      <c r="M66" s="25" t="s">
        <v>532</v>
      </c>
      <c r="N66" s="25">
        <v>63</v>
      </c>
      <c r="O66" s="26" t="s">
        <v>310</v>
      </c>
      <c r="P66" s="26">
        <f t="shared" si="7"/>
        <v>148</v>
      </c>
      <c r="Q66" s="26"/>
      <c r="R66" s="26"/>
      <c r="S66" s="25" t="s">
        <v>532</v>
      </c>
      <c r="T66" s="25">
        <v>63</v>
      </c>
      <c r="U66" s="26" t="s">
        <v>80</v>
      </c>
      <c r="V66" s="26">
        <f t="shared" si="8"/>
        <v>36</v>
      </c>
      <c r="W66" s="26"/>
      <c r="Y66" s="25" t="s">
        <v>532</v>
      </c>
      <c r="Z66" s="25">
        <v>63</v>
      </c>
      <c r="AA66" s="26" t="s">
        <v>336</v>
      </c>
      <c r="AB66" s="26">
        <f t="shared" si="9"/>
        <v>161</v>
      </c>
      <c r="AE66" s="25" t="s">
        <v>532</v>
      </c>
      <c r="AF66" s="25">
        <v>63</v>
      </c>
      <c r="AG66" s="26" t="s">
        <v>910</v>
      </c>
      <c r="AH66" s="26">
        <f t="shared" si="10"/>
        <v>125</v>
      </c>
      <c r="AK66" s="25" t="s">
        <v>532</v>
      </c>
      <c r="AL66" s="25">
        <v>63</v>
      </c>
      <c r="AM66" s="26" t="s">
        <v>844</v>
      </c>
      <c r="AN66" s="26">
        <f t="shared" si="11"/>
        <v>72</v>
      </c>
      <c r="AQ66" s="25" t="s">
        <v>532</v>
      </c>
      <c r="AR66" s="25">
        <v>63</v>
      </c>
      <c r="AS66" s="26" t="s">
        <v>937</v>
      </c>
      <c r="AT66" s="26">
        <f t="shared" si="12"/>
        <v>129</v>
      </c>
      <c r="AX66" s="15"/>
      <c r="AY66" s="35">
        <f t="shared" si="13"/>
        <v>63</v>
      </c>
      <c r="AZ66" s="35" t="str">
        <f t="shared" si="14"/>
        <v>560+382</v>
      </c>
      <c r="BA66" s="35">
        <f t="shared" si="15"/>
        <v>42</v>
      </c>
      <c r="BB66" s="38">
        <f>COUNTIF($BA$4:$BA66,$BA66)</f>
        <v>2</v>
      </c>
      <c r="BC66" s="36" t="str">
        <f t="shared" si="16"/>
        <v>营</v>
      </c>
      <c r="BD66" s="36" t="str">
        <f t="shared" si="17"/>
        <v>营</v>
      </c>
      <c r="BE66" s="36" t="str">
        <f t="shared" si="18"/>
        <v>营</v>
      </c>
      <c r="BF66" s="36" t="str">
        <f t="shared" si="19"/>
        <v>营</v>
      </c>
      <c r="BG66" s="36" t="str">
        <f t="shared" si="20"/>
        <v/>
      </c>
      <c r="BH66" s="36" t="str">
        <f t="shared" si="21"/>
        <v/>
      </c>
      <c r="BI66" s="36" t="str">
        <f t="shared" si="22"/>
        <v/>
      </c>
      <c r="BJ66" s="29" t="str">
        <f t="shared" si="23"/>
        <v>营</v>
      </c>
      <c r="BL66" s="15">
        <v>63</v>
      </c>
      <c r="BM66" s="39" t="str">
        <f t="shared" si="39"/>
        <v/>
      </c>
      <c r="BN66" s="39" t="str">
        <f t="shared" si="39"/>
        <v/>
      </c>
      <c r="BO66" s="39" t="str">
        <f t="shared" si="39"/>
        <v/>
      </c>
      <c r="BP66" s="39" t="str">
        <f t="shared" si="39"/>
        <v/>
      </c>
      <c r="BQ66" s="39" t="str">
        <f t="shared" si="39"/>
        <v/>
      </c>
      <c r="BR66" s="39" t="str">
        <f t="shared" si="39"/>
        <v/>
      </c>
      <c r="BS66" s="39" t="str">
        <f t="shared" si="39"/>
        <v/>
      </c>
      <c r="BT66" s="39" t="str">
        <f t="shared" si="39"/>
        <v/>
      </c>
      <c r="BU66" s="39" t="str">
        <f t="shared" si="39"/>
        <v/>
      </c>
      <c r="BV66" s="39" t="str">
        <f t="shared" si="39"/>
        <v/>
      </c>
      <c r="BW66" s="39" t="str">
        <f t="shared" si="39"/>
        <v/>
      </c>
      <c r="BX66" s="39" t="str">
        <f t="shared" si="39"/>
        <v/>
      </c>
      <c r="BY66" s="39" t="str">
        <f t="shared" si="39"/>
        <v/>
      </c>
      <c r="BZ66" s="39" t="str">
        <f t="shared" si="39"/>
        <v/>
      </c>
      <c r="CA66" s="39" t="str">
        <f t="shared" si="39"/>
        <v/>
      </c>
      <c r="CB66" s="39" t="str">
        <f t="shared" si="37"/>
        <v/>
      </c>
      <c r="CC66" s="39" t="str">
        <f t="shared" si="37"/>
        <v/>
      </c>
      <c r="CD66" s="39" t="str">
        <f t="shared" si="37"/>
        <v/>
      </c>
      <c r="CE66" s="39" t="str">
        <f t="shared" si="37"/>
        <v/>
      </c>
      <c r="CF66" s="39" t="str">
        <f t="shared" si="37"/>
        <v/>
      </c>
      <c r="CG66" s="39" t="str">
        <f t="shared" si="37"/>
        <v/>
      </c>
      <c r="CH66" s="39" t="str">
        <f t="shared" si="37"/>
        <v/>
      </c>
      <c r="CI66" s="39" t="str">
        <f t="shared" si="37"/>
        <v/>
      </c>
      <c r="CJ66" s="39" t="str">
        <f t="shared" si="37"/>
        <v/>
      </c>
      <c r="CK66" s="39" t="str">
        <f t="shared" si="37"/>
        <v/>
      </c>
      <c r="CL66" s="39" t="str">
        <f t="shared" si="37"/>
        <v/>
      </c>
      <c r="CM66" s="39" t="str">
        <f t="shared" si="37"/>
        <v/>
      </c>
      <c r="CN66" s="39" t="str">
        <f t="shared" si="37"/>
        <v/>
      </c>
      <c r="CO66" s="39" t="str">
        <f t="shared" si="37"/>
        <v/>
      </c>
      <c r="CP66" s="39" t="str">
        <f t="shared" si="37"/>
        <v/>
      </c>
      <c r="CQ66" s="39" t="str">
        <f t="shared" si="38"/>
        <v/>
      </c>
      <c r="CR66" s="39" t="str">
        <f t="shared" si="38"/>
        <v/>
      </c>
      <c r="CS66" s="39" t="str">
        <f t="shared" si="38"/>
        <v/>
      </c>
      <c r="CT66" s="39" t="str">
        <f t="shared" si="38"/>
        <v/>
      </c>
      <c r="CU66" s="39" t="str">
        <f t="shared" si="38"/>
        <v/>
      </c>
      <c r="CV66" s="39" t="str">
        <f t="shared" si="38"/>
        <v/>
      </c>
      <c r="CW66" s="39" t="str">
        <f t="shared" si="38"/>
        <v/>
      </c>
      <c r="CX66" s="39" t="str">
        <f t="shared" si="38"/>
        <v/>
      </c>
      <c r="CY66" s="39" t="str">
        <f t="shared" si="38"/>
        <v/>
      </c>
      <c r="CZ66" s="39" t="str">
        <f t="shared" si="38"/>
        <v/>
      </c>
      <c r="DA66" s="39" t="str">
        <f t="shared" si="38"/>
        <v/>
      </c>
      <c r="DB66" s="39" t="str">
        <f t="shared" si="38"/>
        <v/>
      </c>
      <c r="DC66" s="39" t="str">
        <f t="shared" si="38"/>
        <v/>
      </c>
      <c r="DD66" s="39" t="str">
        <f t="shared" si="38"/>
        <v/>
      </c>
      <c r="DE66" s="39" t="str">
        <f t="shared" si="38"/>
        <v/>
      </c>
      <c r="DF66" s="37" t="str">
        <f t="shared" si="27"/>
        <v>0+0+0</v>
      </c>
      <c r="DG66" s="37" t="str">
        <f t="shared" si="28"/>
        <v>0+0</v>
      </c>
      <c r="DH66" s="37" t="str">
        <f t="shared" si="29"/>
        <v>0+0</v>
      </c>
      <c r="DI66" s="37" t="str">
        <f t="shared" si="30"/>
        <v>0+0</v>
      </c>
      <c r="DJ66" s="37" t="str">
        <f t="shared" si="31"/>
        <v>0+0+0|0+0|0+0|0+0</v>
      </c>
    </row>
    <row r="67" spans="2:114" x14ac:dyDescent="0.15">
      <c r="B67" s="15">
        <v>64</v>
      </c>
      <c r="C67" s="15" t="s">
        <v>93</v>
      </c>
      <c r="D67" s="15">
        <v>43</v>
      </c>
      <c r="G67" s="25" t="s">
        <v>532</v>
      </c>
      <c r="H67" s="25">
        <v>64</v>
      </c>
      <c r="I67" s="26" t="s">
        <v>54</v>
      </c>
      <c r="J67" s="26">
        <f t="shared" si="6"/>
        <v>23</v>
      </c>
      <c r="M67" s="25" t="s">
        <v>532</v>
      </c>
      <c r="N67" s="25">
        <v>64</v>
      </c>
      <c r="O67" s="26" t="s">
        <v>287</v>
      </c>
      <c r="P67" s="26">
        <f t="shared" si="7"/>
        <v>137</v>
      </c>
      <c r="Q67" s="26"/>
      <c r="R67" s="26"/>
      <c r="S67" s="25" t="s">
        <v>532</v>
      </c>
      <c r="T67" s="25">
        <v>64</v>
      </c>
      <c r="U67" s="26" t="s">
        <v>65</v>
      </c>
      <c r="V67" s="26">
        <f t="shared" si="8"/>
        <v>28</v>
      </c>
      <c r="W67" s="26"/>
      <c r="Y67" s="25" t="s">
        <v>532</v>
      </c>
      <c r="Z67" s="25">
        <v>64</v>
      </c>
      <c r="AA67" s="26" t="s">
        <v>328</v>
      </c>
      <c r="AB67" s="26">
        <f t="shared" si="9"/>
        <v>157</v>
      </c>
      <c r="AE67" s="25" t="s">
        <v>532</v>
      </c>
      <c r="AF67" s="25">
        <v>64</v>
      </c>
      <c r="AG67" s="26" t="s">
        <v>191</v>
      </c>
      <c r="AH67" s="26">
        <f t="shared" si="10"/>
        <v>91</v>
      </c>
      <c r="AK67" s="25" t="s">
        <v>532</v>
      </c>
      <c r="AL67" s="25">
        <v>64</v>
      </c>
      <c r="AM67" s="26" t="s">
        <v>282</v>
      </c>
      <c r="AN67" s="26">
        <f t="shared" si="11"/>
        <v>135</v>
      </c>
      <c r="AQ67" s="25" t="s">
        <v>532</v>
      </c>
      <c r="AR67" s="25">
        <v>64</v>
      </c>
      <c r="AS67" s="26" t="s">
        <v>914</v>
      </c>
      <c r="AT67" s="26">
        <f t="shared" si="12"/>
        <v>124</v>
      </c>
      <c r="AX67" s="15"/>
      <c r="AY67" s="35">
        <f t="shared" si="13"/>
        <v>64</v>
      </c>
      <c r="AZ67" s="35" t="str">
        <f t="shared" si="14"/>
        <v>429+491</v>
      </c>
      <c r="BA67" s="35">
        <f t="shared" si="15"/>
        <v>43</v>
      </c>
      <c r="BB67" s="38">
        <f>COUNTIF($BA$4:$BA67,$BA67)</f>
        <v>1</v>
      </c>
      <c r="BC67" s="36" t="str">
        <f t="shared" si="16"/>
        <v>村</v>
      </c>
      <c r="BD67" s="36" t="str">
        <f t="shared" si="17"/>
        <v>村</v>
      </c>
      <c r="BE67" s="36" t="str">
        <f t="shared" si="18"/>
        <v>村</v>
      </c>
      <c r="BF67" s="36" t="str">
        <f t="shared" si="19"/>
        <v>村</v>
      </c>
      <c r="BG67" s="36" t="str">
        <f t="shared" si="20"/>
        <v/>
      </c>
      <c r="BH67" s="36" t="str">
        <f t="shared" si="21"/>
        <v/>
      </c>
      <c r="BI67" s="36" t="str">
        <f t="shared" si="22"/>
        <v/>
      </c>
      <c r="BJ67" s="29" t="str">
        <f t="shared" si="23"/>
        <v>村</v>
      </c>
      <c r="BL67" s="15">
        <v>64</v>
      </c>
      <c r="BM67" s="39" t="str">
        <f t="shared" si="39"/>
        <v/>
      </c>
      <c r="BN67" s="39" t="str">
        <f t="shared" si="39"/>
        <v>928+931</v>
      </c>
      <c r="BO67" s="39" t="str">
        <f t="shared" si="39"/>
        <v/>
      </c>
      <c r="BP67" s="39" t="str">
        <f t="shared" si="39"/>
        <v/>
      </c>
      <c r="BQ67" s="39" t="str">
        <f t="shared" si="39"/>
        <v/>
      </c>
      <c r="BR67" s="39" t="str">
        <f t="shared" si="39"/>
        <v/>
      </c>
      <c r="BS67" s="39" t="str">
        <f t="shared" si="39"/>
        <v/>
      </c>
      <c r="BT67" s="39" t="str">
        <f t="shared" si="39"/>
        <v/>
      </c>
      <c r="BU67" s="39" t="str">
        <f t="shared" si="39"/>
        <v/>
      </c>
      <c r="BV67" s="39" t="str">
        <f t="shared" si="39"/>
        <v/>
      </c>
      <c r="BW67" s="39" t="str">
        <f t="shared" si="39"/>
        <v/>
      </c>
      <c r="BX67" s="39" t="str">
        <f t="shared" si="39"/>
        <v/>
      </c>
      <c r="BY67" s="39" t="str">
        <f t="shared" si="39"/>
        <v/>
      </c>
      <c r="BZ67" s="39" t="str">
        <f t="shared" si="39"/>
        <v/>
      </c>
      <c r="CA67" s="39" t="str">
        <f t="shared" si="39"/>
        <v/>
      </c>
      <c r="CB67" s="39" t="str">
        <f t="shared" si="37"/>
        <v/>
      </c>
      <c r="CC67" s="39" t="str">
        <f t="shared" si="37"/>
        <v/>
      </c>
      <c r="CD67" s="39" t="str">
        <f t="shared" si="37"/>
        <v/>
      </c>
      <c r="CE67" s="39" t="str">
        <f t="shared" si="37"/>
        <v/>
      </c>
      <c r="CF67" s="39" t="str">
        <f t="shared" si="37"/>
        <v/>
      </c>
      <c r="CG67" s="39" t="str">
        <f t="shared" si="37"/>
        <v/>
      </c>
      <c r="CH67" s="39" t="str">
        <f t="shared" si="37"/>
        <v/>
      </c>
      <c r="CI67" s="39" t="str">
        <f t="shared" si="37"/>
        <v/>
      </c>
      <c r="CJ67" s="39" t="str">
        <f t="shared" si="37"/>
        <v/>
      </c>
      <c r="CK67" s="39" t="str">
        <f t="shared" si="37"/>
        <v/>
      </c>
      <c r="CL67" s="39" t="str">
        <f t="shared" si="37"/>
        <v/>
      </c>
      <c r="CM67" s="39" t="str">
        <f t="shared" si="37"/>
        <v/>
      </c>
      <c r="CN67" s="39" t="str">
        <f t="shared" si="37"/>
        <v/>
      </c>
      <c r="CO67" s="39" t="str">
        <f t="shared" si="37"/>
        <v/>
      </c>
      <c r="CP67" s="39" t="str">
        <f t="shared" si="37"/>
        <v/>
      </c>
      <c r="CQ67" s="39" t="str">
        <f t="shared" si="38"/>
        <v>911+964</v>
      </c>
      <c r="CR67" s="39" t="str">
        <f t="shared" si="38"/>
        <v/>
      </c>
      <c r="CS67" s="39" t="str">
        <f t="shared" si="38"/>
        <v/>
      </c>
      <c r="CT67" s="39" t="str">
        <f t="shared" si="38"/>
        <v/>
      </c>
      <c r="CU67" s="39" t="str">
        <f t="shared" si="38"/>
        <v/>
      </c>
      <c r="CV67" s="39" t="str">
        <f t="shared" si="38"/>
        <v/>
      </c>
      <c r="CW67" s="39" t="str">
        <f t="shared" si="38"/>
        <v/>
      </c>
      <c r="CX67" s="39" t="str">
        <f t="shared" si="38"/>
        <v/>
      </c>
      <c r="CY67" s="39" t="str">
        <f t="shared" si="38"/>
        <v/>
      </c>
      <c r="CZ67" s="39" t="str">
        <f t="shared" si="38"/>
        <v/>
      </c>
      <c r="DA67" s="39" t="str">
        <f t="shared" si="38"/>
        <v/>
      </c>
      <c r="DB67" s="39" t="str">
        <f t="shared" si="38"/>
        <v/>
      </c>
      <c r="DC67" s="39" t="str">
        <f t="shared" si="38"/>
        <v/>
      </c>
      <c r="DD67" s="39" t="str">
        <f t="shared" si="38"/>
        <v/>
      </c>
      <c r="DE67" s="39" t="str">
        <f t="shared" si="38"/>
        <v/>
      </c>
      <c r="DF67" s="37" t="str">
        <f t="shared" si="27"/>
        <v>1+0+1</v>
      </c>
      <c r="DG67" s="37" t="str">
        <f t="shared" si="28"/>
        <v>928+931</v>
      </c>
      <c r="DH67" s="37" t="str">
        <f t="shared" si="29"/>
        <v>0+0</v>
      </c>
      <c r="DI67" s="37" t="str">
        <f t="shared" si="30"/>
        <v>911+964</v>
      </c>
      <c r="DJ67" s="37" t="str">
        <f t="shared" si="31"/>
        <v>1+0+1|928+931|0+0|911+964</v>
      </c>
    </row>
    <row r="68" spans="2:114" x14ac:dyDescent="0.15">
      <c r="B68" s="15">
        <v>65</v>
      </c>
      <c r="C68" s="15" t="s">
        <v>599</v>
      </c>
      <c r="D68" s="15">
        <v>43</v>
      </c>
      <c r="G68" s="25" t="s">
        <v>532</v>
      </c>
      <c r="H68" s="25">
        <v>65</v>
      </c>
      <c r="I68" s="26" t="s">
        <v>112</v>
      </c>
      <c r="J68" s="26">
        <f t="shared" si="6"/>
        <v>52</v>
      </c>
      <c r="M68" s="25" t="s">
        <v>532</v>
      </c>
      <c r="N68" s="25">
        <v>65</v>
      </c>
      <c r="O68" s="26" t="s">
        <v>307</v>
      </c>
      <c r="P68" s="26">
        <f t="shared" si="7"/>
        <v>146</v>
      </c>
      <c r="Q68" s="26"/>
      <c r="R68" s="26"/>
      <c r="S68" s="25" t="s">
        <v>532</v>
      </c>
      <c r="T68" s="25">
        <v>65</v>
      </c>
      <c r="U68" s="26" t="s">
        <v>64</v>
      </c>
      <c r="V68" s="26">
        <f t="shared" si="8"/>
        <v>28</v>
      </c>
      <c r="W68" s="26"/>
      <c r="Y68" s="25" t="s">
        <v>532</v>
      </c>
      <c r="Z68" s="25">
        <v>65</v>
      </c>
      <c r="AA68" s="26" t="s">
        <v>327</v>
      </c>
      <c r="AB68" s="26">
        <f t="shared" si="9"/>
        <v>157</v>
      </c>
      <c r="AE68" s="25" t="s">
        <v>532</v>
      </c>
      <c r="AF68" s="25">
        <v>65</v>
      </c>
      <c r="AG68" s="26" t="s">
        <v>630</v>
      </c>
      <c r="AH68" s="26">
        <f t="shared" si="10"/>
        <v>91</v>
      </c>
      <c r="AK68" s="25" t="s">
        <v>532</v>
      </c>
      <c r="AL68" s="25">
        <v>65</v>
      </c>
      <c r="AM68" s="26" t="s">
        <v>283</v>
      </c>
      <c r="AN68" s="26">
        <f t="shared" si="11"/>
        <v>135</v>
      </c>
      <c r="AQ68" s="25" t="s">
        <v>532</v>
      </c>
      <c r="AR68" s="25">
        <v>65</v>
      </c>
      <c r="AS68" s="26" t="s">
        <v>935</v>
      </c>
      <c r="AT68" s="26">
        <f t="shared" si="12"/>
        <v>122</v>
      </c>
      <c r="AX68" s="15"/>
      <c r="AY68" s="35">
        <f t="shared" si="13"/>
        <v>65</v>
      </c>
      <c r="AZ68" s="35" t="str">
        <f t="shared" si="14"/>
        <v>436+467</v>
      </c>
      <c r="BA68" s="35">
        <f t="shared" si="15"/>
        <v>43</v>
      </c>
      <c r="BB68" s="38">
        <f>COUNTIF($BA$4:$BA68,$BA68)</f>
        <v>2</v>
      </c>
      <c r="BC68" s="36" t="str">
        <f t="shared" si="16"/>
        <v>营</v>
      </c>
      <c r="BD68" s="36" t="str">
        <f t="shared" si="17"/>
        <v/>
      </c>
      <c r="BE68" s="36" t="str">
        <f t="shared" si="18"/>
        <v>营</v>
      </c>
      <c r="BF68" s="36" t="str">
        <f t="shared" si="19"/>
        <v/>
      </c>
      <c r="BG68" s="36" t="str">
        <f t="shared" si="20"/>
        <v/>
      </c>
      <c r="BH68" s="36" t="str">
        <f t="shared" si="21"/>
        <v/>
      </c>
      <c r="BI68" s="36" t="str">
        <f t="shared" si="22"/>
        <v>营</v>
      </c>
      <c r="BJ68" s="29" t="str">
        <f t="shared" si="23"/>
        <v>营</v>
      </c>
      <c r="BL68" s="15">
        <v>65</v>
      </c>
      <c r="BM68" s="39" t="str">
        <f t="shared" si="39"/>
        <v>846+936</v>
      </c>
      <c r="BN68" s="39" t="str">
        <f t="shared" si="39"/>
        <v>876+942</v>
      </c>
      <c r="BO68" s="39" t="str">
        <f t="shared" si="39"/>
        <v>904+903</v>
      </c>
      <c r="BP68" s="39" t="str">
        <f t="shared" si="39"/>
        <v/>
      </c>
      <c r="BQ68" s="39" t="str">
        <f t="shared" si="39"/>
        <v/>
      </c>
      <c r="BR68" s="39" t="str">
        <f t="shared" si="39"/>
        <v/>
      </c>
      <c r="BS68" s="39" t="str">
        <f t="shared" si="39"/>
        <v/>
      </c>
      <c r="BT68" s="39" t="str">
        <f t="shared" si="39"/>
        <v/>
      </c>
      <c r="BU68" s="39" t="str">
        <f t="shared" si="39"/>
        <v/>
      </c>
      <c r="BV68" s="39" t="str">
        <f t="shared" si="39"/>
        <v/>
      </c>
      <c r="BW68" s="39" t="str">
        <f t="shared" si="39"/>
        <v/>
      </c>
      <c r="BX68" s="39" t="str">
        <f t="shared" si="39"/>
        <v/>
      </c>
      <c r="BY68" s="39" t="str">
        <f t="shared" si="39"/>
        <v/>
      </c>
      <c r="BZ68" s="39" t="str">
        <f t="shared" si="39"/>
        <v/>
      </c>
      <c r="CA68" s="39" t="str">
        <f t="shared" si="39"/>
        <v/>
      </c>
      <c r="CB68" s="39" t="str">
        <f t="shared" si="37"/>
        <v/>
      </c>
      <c r="CC68" s="39" t="str">
        <f t="shared" si="37"/>
        <v/>
      </c>
      <c r="CD68" s="39" t="str">
        <f t="shared" si="37"/>
        <v/>
      </c>
      <c r="CE68" s="39" t="str">
        <f t="shared" si="37"/>
        <v/>
      </c>
      <c r="CF68" s="39" t="str">
        <f t="shared" si="37"/>
        <v/>
      </c>
      <c r="CG68" s="39" t="str">
        <f t="shared" si="37"/>
        <v/>
      </c>
      <c r="CH68" s="39" t="str">
        <f t="shared" si="37"/>
        <v/>
      </c>
      <c r="CI68" s="39" t="str">
        <f t="shared" si="37"/>
        <v/>
      </c>
      <c r="CJ68" s="39" t="str">
        <f t="shared" si="37"/>
        <v/>
      </c>
      <c r="CK68" s="39" t="str">
        <f t="shared" si="37"/>
        <v/>
      </c>
      <c r="CL68" s="39" t="str">
        <f t="shared" si="37"/>
        <v/>
      </c>
      <c r="CM68" s="39" t="str">
        <f t="shared" si="37"/>
        <v/>
      </c>
      <c r="CN68" s="39" t="str">
        <f t="shared" si="37"/>
        <v/>
      </c>
      <c r="CO68" s="39" t="str">
        <f t="shared" si="37"/>
        <v/>
      </c>
      <c r="CP68" s="39" t="str">
        <f t="shared" si="37"/>
        <v/>
      </c>
      <c r="CQ68" s="39" t="str">
        <f t="shared" si="38"/>
        <v/>
      </c>
      <c r="CR68" s="39" t="str">
        <f t="shared" si="38"/>
        <v/>
      </c>
      <c r="CS68" s="39" t="str">
        <f t="shared" si="38"/>
        <v/>
      </c>
      <c r="CT68" s="39" t="str">
        <f t="shared" si="38"/>
        <v>871+914</v>
      </c>
      <c r="CU68" s="39" t="str">
        <f t="shared" si="38"/>
        <v/>
      </c>
      <c r="CV68" s="39" t="str">
        <f t="shared" si="38"/>
        <v/>
      </c>
      <c r="CW68" s="39" t="str">
        <f t="shared" si="38"/>
        <v/>
      </c>
      <c r="CX68" s="39" t="str">
        <f t="shared" si="38"/>
        <v/>
      </c>
      <c r="CY68" s="39" t="str">
        <f t="shared" si="38"/>
        <v/>
      </c>
      <c r="CZ68" s="39" t="str">
        <f t="shared" si="38"/>
        <v/>
      </c>
      <c r="DA68" s="39" t="str">
        <f t="shared" si="38"/>
        <v/>
      </c>
      <c r="DB68" s="39" t="str">
        <f t="shared" si="38"/>
        <v/>
      </c>
      <c r="DC68" s="39" t="str">
        <f t="shared" si="38"/>
        <v/>
      </c>
      <c r="DD68" s="39" t="str">
        <f t="shared" si="38"/>
        <v/>
      </c>
      <c r="DE68" s="39" t="str">
        <f t="shared" si="38"/>
        <v/>
      </c>
      <c r="DF68" s="37" t="str">
        <f t="shared" si="27"/>
        <v>3+0+1</v>
      </c>
      <c r="DG68" s="37" t="str">
        <f t="shared" si="28"/>
        <v>846+936|876+942|904+903</v>
      </c>
      <c r="DH68" s="37" t="str">
        <f t="shared" si="29"/>
        <v>0+0</v>
      </c>
      <c r="DI68" s="37" t="str">
        <f t="shared" si="30"/>
        <v>871+914</v>
      </c>
      <c r="DJ68" s="37" t="str">
        <f t="shared" si="31"/>
        <v>3+0+1|846+936|876+942|904+903|0+0|871+914</v>
      </c>
    </row>
    <row r="69" spans="2:114" x14ac:dyDescent="0.15">
      <c r="B69" s="15">
        <v>66</v>
      </c>
      <c r="C69" s="15" t="s">
        <v>600</v>
      </c>
      <c r="D69" s="15">
        <v>43</v>
      </c>
      <c r="G69" s="25" t="s">
        <v>532</v>
      </c>
      <c r="H69" s="25">
        <v>66</v>
      </c>
      <c r="I69" s="26" t="s">
        <v>44</v>
      </c>
      <c r="J69" s="26">
        <f t="shared" ref="J69:J132" si="40">INDEX($D$4:$D$720,MATCH(I69,$C$4:$C$720,0))</f>
        <v>19</v>
      </c>
      <c r="M69" s="25" t="s">
        <v>532</v>
      </c>
      <c r="N69" s="25">
        <v>66</v>
      </c>
      <c r="O69" s="26" t="s">
        <v>264</v>
      </c>
      <c r="P69" s="26">
        <f t="shared" ref="P69:P132" si="41">INDEX($D$4:$D$720,MATCH(O69,$C$4:$C$720,0))</f>
        <v>126</v>
      </c>
      <c r="Q69" s="26"/>
      <c r="R69" s="26"/>
      <c r="S69" s="25" t="s">
        <v>532</v>
      </c>
      <c r="T69" s="25">
        <v>66</v>
      </c>
      <c r="U69" s="26" t="s">
        <v>69</v>
      </c>
      <c r="V69" s="26">
        <f t="shared" ref="V69:V132" si="42">INDEX($D$4:$D$720,MATCH(U69,$C$4:$C$720,0))</f>
        <v>30</v>
      </c>
      <c r="W69" s="26"/>
      <c r="Y69" s="25" t="s">
        <v>532</v>
      </c>
      <c r="Z69" s="25">
        <v>66</v>
      </c>
      <c r="AA69" s="26" t="s">
        <v>321</v>
      </c>
      <c r="AB69" s="26">
        <f t="shared" ref="AB69:AB132" si="43">INDEX($D$4:$D$720,MATCH(AA69,$C$4:$C$720,0))</f>
        <v>154</v>
      </c>
      <c r="AE69" s="25" t="s">
        <v>532</v>
      </c>
      <c r="AF69" s="25">
        <v>66</v>
      </c>
      <c r="AG69" s="26" t="s">
        <v>195</v>
      </c>
      <c r="AH69" s="26">
        <f t="shared" ref="AH69:AH132" si="44">INDEX($D$4:$D$720,MATCH(AG69,$C$4:$C$720,0))</f>
        <v>93</v>
      </c>
      <c r="AK69" s="25" t="s">
        <v>532</v>
      </c>
      <c r="AL69" s="25">
        <v>66</v>
      </c>
      <c r="AM69" s="26" t="s">
        <v>185</v>
      </c>
      <c r="AN69" s="26">
        <f t="shared" ref="AN69:AN132" si="45">INDEX($D$4:$D$720,MATCH(AM69,$C$4:$C$720,0))</f>
        <v>88</v>
      </c>
      <c r="AQ69" s="25" t="s">
        <v>532</v>
      </c>
      <c r="AR69" s="25">
        <v>66</v>
      </c>
      <c r="AS69" s="26" t="s">
        <v>906</v>
      </c>
      <c r="AT69" s="26">
        <f t="shared" ref="AT69:AT132" si="46">INDEX($D$4:$D$720,MATCH(AS69,$C$4:$C$720,0))</f>
        <v>84</v>
      </c>
      <c r="AX69" s="15"/>
      <c r="AY69" s="35">
        <f t="shared" ref="AY69:AY132" si="47">B69</f>
        <v>66</v>
      </c>
      <c r="AZ69" s="35" t="str">
        <f t="shared" ref="AZ69:AZ132" si="48">C69</f>
        <v>460+507</v>
      </c>
      <c r="BA69" s="35">
        <f t="shared" ref="BA69:BA132" si="49">D69</f>
        <v>43</v>
      </c>
      <c r="BB69" s="38">
        <f>COUNTIF($BA$4:$BA69,$BA69)</f>
        <v>3</v>
      </c>
      <c r="BC69" s="36" t="str">
        <f t="shared" ref="BC69:BC132" si="50">IFERROR(IF(LEFT(INDEX($G$4:$G$173,MATCH($AZ69,$I$4:$I$173,0)),1)="精","营",LEFT(INDEX($G$4:$G$173,MATCH($AZ69,$I$4:$I$173,0)),1)),"")</f>
        <v>营</v>
      </c>
      <c r="BD69" s="36" t="str">
        <f t="shared" ref="BD69:BD132" si="51">IFERROR(IF(LEFT(INDEX($M$4:$M$173,MATCH($AZ69,$O$4:$O$173,0)),1)="精","营",LEFT(INDEX($M$4:$M$173,MATCH($AZ69,$O$4:$O$173,0)),1)),"")</f>
        <v>营</v>
      </c>
      <c r="BE69" s="36" t="str">
        <f t="shared" ref="BE69:BE132" si="52">IFERROR(IF(LEFT(INDEX($S$4:$S$173,MATCH($AZ69,$U$4:$U$173,0)),1)="精","营",LEFT(INDEX($S$4:$S$173,MATCH($AZ69,$U$4:$U$173,0)),1)),"")</f>
        <v/>
      </c>
      <c r="BF69" s="36" t="str">
        <f t="shared" ref="BF69:BF132" si="53">IFERROR(IF(LEFT(INDEX($Y$4:$Y$173,MATCH($AZ69,$AA$4:$AA$173,0)),1)="精","营",LEFT(INDEX($Y$4:$Y$173,MATCH($AZ69,$AA$4:$AA$173,0)),1)),"")</f>
        <v/>
      </c>
      <c r="BG69" s="36" t="str">
        <f t="shared" ref="BG69:BG132" si="54">IFERROR(IF(LEFT(INDEX($AE$4:$AE$173,MATCH($AZ69,$AG$4:$AG$173,0)),1)="精","营",LEFT(INDEX($AE$4:$AE$173,MATCH($AZ69,$AG$4:$AG$173,0)),1)),"")</f>
        <v/>
      </c>
      <c r="BH69" s="36" t="str">
        <f t="shared" ref="BH69:BH132" si="55">IFERROR(IF(LEFT(INDEX($AK$4:$AK$173,MATCH($AZ69,$AM$4:$AM$173,0)),1)="精","营",LEFT(INDEX($AK$4:$AK$173,MATCH($AZ69,$AM$4:$AM$173,0)),1)),"")</f>
        <v/>
      </c>
      <c r="BI69" s="36" t="str">
        <f t="shared" ref="BI69:BI132" si="56">IFERROR(IF(LEFT(INDEX($AQ$4:$AQ$173,MATCH($AZ69,$AS$4:$AS$173,0)),1)="精","营",LEFT(INDEX($AQ$4:$AQ$173,MATCH($AZ69,$AS$4:$AS$173,0)),1)),"")</f>
        <v/>
      </c>
      <c r="BJ69" s="29" t="str">
        <f t="shared" ref="BJ69:BJ132" si="57">IF(BC69&lt;&gt;"",BC69,IF(BD69&lt;&gt;"",BD69,IF(BE69&lt;&gt;"",BE69,IF(BF69&lt;&gt;"",BF69,IF(BG69&lt;&gt;"",BG69,IF(BH69&lt;&gt;"",BH69,IF(BI69&lt;&gt;"",BI69,"")))))))</f>
        <v>营</v>
      </c>
      <c r="BL69" s="15">
        <v>66</v>
      </c>
      <c r="BM69" s="39" t="str">
        <f t="shared" si="39"/>
        <v>847+883</v>
      </c>
      <c r="BN69" s="39" t="str">
        <f t="shared" si="39"/>
        <v>839+850</v>
      </c>
      <c r="BO69" s="39" t="str">
        <f t="shared" si="39"/>
        <v/>
      </c>
      <c r="BP69" s="39" t="str">
        <f t="shared" si="39"/>
        <v/>
      </c>
      <c r="BQ69" s="39" t="str">
        <f t="shared" si="39"/>
        <v/>
      </c>
      <c r="BR69" s="39" t="str">
        <f t="shared" si="39"/>
        <v/>
      </c>
      <c r="BS69" s="39" t="str">
        <f t="shared" si="39"/>
        <v/>
      </c>
      <c r="BT69" s="39" t="str">
        <f t="shared" si="39"/>
        <v/>
      </c>
      <c r="BU69" s="39" t="str">
        <f t="shared" si="39"/>
        <v/>
      </c>
      <c r="BV69" s="39" t="str">
        <f t="shared" si="39"/>
        <v/>
      </c>
      <c r="BW69" s="39" t="str">
        <f t="shared" si="39"/>
        <v/>
      </c>
      <c r="BX69" s="39" t="str">
        <f t="shared" si="39"/>
        <v/>
      </c>
      <c r="BY69" s="39" t="str">
        <f t="shared" si="39"/>
        <v/>
      </c>
      <c r="BZ69" s="39" t="str">
        <f t="shared" si="39"/>
        <v/>
      </c>
      <c r="CA69" s="39" t="str">
        <f t="shared" si="39"/>
        <v/>
      </c>
      <c r="CB69" s="39" t="str">
        <f t="shared" si="37"/>
        <v/>
      </c>
      <c r="CC69" s="39" t="str">
        <f t="shared" si="37"/>
        <v/>
      </c>
      <c r="CD69" s="39" t="str">
        <f t="shared" si="37"/>
        <v/>
      </c>
      <c r="CE69" s="39" t="str">
        <f t="shared" si="37"/>
        <v/>
      </c>
      <c r="CF69" s="39" t="str">
        <f t="shared" si="37"/>
        <v/>
      </c>
      <c r="CG69" s="39" t="str">
        <f t="shared" si="37"/>
        <v/>
      </c>
      <c r="CH69" s="39" t="str">
        <f t="shared" si="37"/>
        <v/>
      </c>
      <c r="CI69" s="39" t="str">
        <f t="shared" si="37"/>
        <v/>
      </c>
      <c r="CJ69" s="39" t="str">
        <f t="shared" si="37"/>
        <v/>
      </c>
      <c r="CK69" s="39" t="str">
        <f t="shared" si="37"/>
        <v/>
      </c>
      <c r="CL69" s="39" t="str">
        <f t="shared" si="37"/>
        <v/>
      </c>
      <c r="CM69" s="39" t="str">
        <f t="shared" si="37"/>
        <v/>
      </c>
      <c r="CN69" s="39" t="str">
        <f t="shared" si="37"/>
        <v/>
      </c>
      <c r="CO69" s="39" t="str">
        <f t="shared" si="37"/>
        <v/>
      </c>
      <c r="CP69" s="39" t="str">
        <f t="shared" si="37"/>
        <v/>
      </c>
      <c r="CQ69" s="39" t="str">
        <f t="shared" si="38"/>
        <v/>
      </c>
      <c r="CR69" s="39" t="str">
        <f t="shared" si="38"/>
        <v/>
      </c>
      <c r="CS69" s="39" t="str">
        <f t="shared" si="38"/>
        <v/>
      </c>
      <c r="CT69" s="39" t="str">
        <f t="shared" si="38"/>
        <v/>
      </c>
      <c r="CU69" s="39" t="str">
        <f t="shared" si="38"/>
        <v/>
      </c>
      <c r="CV69" s="39" t="str">
        <f t="shared" si="38"/>
        <v/>
      </c>
      <c r="CW69" s="39" t="str">
        <f t="shared" si="38"/>
        <v/>
      </c>
      <c r="CX69" s="39" t="str">
        <f t="shared" si="38"/>
        <v/>
      </c>
      <c r="CY69" s="39" t="str">
        <f t="shared" si="38"/>
        <v/>
      </c>
      <c r="CZ69" s="39" t="str">
        <f t="shared" si="38"/>
        <v/>
      </c>
      <c r="DA69" s="39" t="str">
        <f t="shared" si="38"/>
        <v/>
      </c>
      <c r="DB69" s="39" t="str">
        <f t="shared" si="38"/>
        <v/>
      </c>
      <c r="DC69" s="39" t="str">
        <f t="shared" si="38"/>
        <v/>
      </c>
      <c r="DD69" s="39" t="str">
        <f t="shared" si="38"/>
        <v/>
      </c>
      <c r="DE69" s="39" t="str">
        <f t="shared" si="38"/>
        <v/>
      </c>
      <c r="DF69" s="37" t="str">
        <f t="shared" ref="DF69:DF132" si="58">(15-COUNTIF(BM69:CA69,""))&amp;"+"&amp;15-COUNTIF(CB69:CP69,"")&amp;"+"&amp;15-COUNTIF(CQ69:DE69,"")</f>
        <v>2+0+0</v>
      </c>
      <c r="DG69" s="37" t="str">
        <f t="shared" ref="DG69:DG132" si="59">IF(合并区域(BM69:CA69,"|")="","0+0",合并区域(BM69:CA69,"|"))</f>
        <v>847+883|839+850</v>
      </c>
      <c r="DH69" s="37" t="str">
        <f t="shared" ref="DH69:DH132" si="60">IF(合并区域(CB69:CP69,"|")="","0+0",合并区域(CB69:CP69,"|"))</f>
        <v>0+0</v>
      </c>
      <c r="DI69" s="37" t="str">
        <f t="shared" ref="DI69:DI132" si="61">IF(合并区域(CQ69:DE69,"|")="","0+0",合并区域(CQ69:DE69,"|"))</f>
        <v>0+0</v>
      </c>
      <c r="DJ69" s="37" t="str">
        <f t="shared" ref="DJ69:DJ132" si="62">合并区域(DF69:DI69,"|")</f>
        <v>2+0+0|847+883|839+850|0+0|0+0</v>
      </c>
    </row>
    <row r="70" spans="2:114" x14ac:dyDescent="0.15">
      <c r="B70" s="15">
        <v>67</v>
      </c>
      <c r="C70" s="15" t="s">
        <v>95</v>
      </c>
      <c r="D70" s="15">
        <v>44</v>
      </c>
      <c r="G70" s="25" t="s">
        <v>532</v>
      </c>
      <c r="H70" s="25">
        <v>67</v>
      </c>
      <c r="I70" s="26" t="s">
        <v>69</v>
      </c>
      <c r="J70" s="26">
        <f t="shared" si="40"/>
        <v>30</v>
      </c>
      <c r="M70" s="25" t="s">
        <v>532</v>
      </c>
      <c r="N70" s="25">
        <v>67</v>
      </c>
      <c r="O70" s="26" t="s">
        <v>263</v>
      </c>
      <c r="P70" s="26">
        <f t="shared" si="41"/>
        <v>126</v>
      </c>
      <c r="Q70" s="26"/>
      <c r="R70" s="26"/>
      <c r="S70" s="25" t="s">
        <v>532</v>
      </c>
      <c r="T70" s="25">
        <v>67</v>
      </c>
      <c r="U70" s="26" t="s">
        <v>68</v>
      </c>
      <c r="V70" s="26">
        <f t="shared" si="42"/>
        <v>30</v>
      </c>
      <c r="W70" s="26"/>
      <c r="Y70" s="25" t="s">
        <v>532</v>
      </c>
      <c r="Z70" s="25">
        <v>67</v>
      </c>
      <c r="AA70" s="26" t="s">
        <v>322</v>
      </c>
      <c r="AB70" s="26">
        <f t="shared" si="43"/>
        <v>154</v>
      </c>
      <c r="AE70" s="25" t="s">
        <v>532</v>
      </c>
      <c r="AF70" s="25">
        <v>67</v>
      </c>
      <c r="AG70" s="26" t="s">
        <v>314</v>
      </c>
      <c r="AH70" s="26">
        <f t="shared" si="44"/>
        <v>150</v>
      </c>
      <c r="AK70" s="25" t="s">
        <v>532</v>
      </c>
      <c r="AL70" s="25">
        <v>67</v>
      </c>
      <c r="AM70" s="26" t="s">
        <v>942</v>
      </c>
      <c r="AN70" s="26">
        <f t="shared" si="45"/>
        <v>88</v>
      </c>
      <c r="AQ70" s="25" t="s">
        <v>532</v>
      </c>
      <c r="AR70" s="25">
        <v>67</v>
      </c>
      <c r="AS70" s="26" t="s">
        <v>970</v>
      </c>
      <c r="AT70" s="26">
        <f t="shared" si="46"/>
        <v>84</v>
      </c>
      <c r="AX70" s="15"/>
      <c r="AY70" s="35">
        <f t="shared" si="47"/>
        <v>67</v>
      </c>
      <c r="AZ70" s="35" t="str">
        <f t="shared" si="48"/>
        <v>468+470</v>
      </c>
      <c r="BA70" s="35">
        <f t="shared" si="49"/>
        <v>44</v>
      </c>
      <c r="BB70" s="38">
        <f>COUNTIF($BA$4:$BA70,$BA70)</f>
        <v>1</v>
      </c>
      <c r="BC70" s="36" t="str">
        <f t="shared" si="50"/>
        <v>村</v>
      </c>
      <c r="BD70" s="36" t="str">
        <f t="shared" si="51"/>
        <v>村</v>
      </c>
      <c r="BE70" s="36" t="str">
        <f t="shared" si="52"/>
        <v>村</v>
      </c>
      <c r="BF70" s="36" t="str">
        <f t="shared" si="53"/>
        <v>村</v>
      </c>
      <c r="BG70" s="36" t="str">
        <f t="shared" si="54"/>
        <v/>
      </c>
      <c r="BH70" s="36" t="str">
        <f t="shared" si="55"/>
        <v/>
      </c>
      <c r="BI70" s="36" t="str">
        <f t="shared" si="56"/>
        <v/>
      </c>
      <c r="BJ70" s="29" t="str">
        <f t="shared" si="57"/>
        <v>村</v>
      </c>
      <c r="BL70" s="15">
        <v>67</v>
      </c>
      <c r="BM70" s="39" t="str">
        <f t="shared" si="39"/>
        <v/>
      </c>
      <c r="BN70" s="39" t="str">
        <f t="shared" si="39"/>
        <v/>
      </c>
      <c r="BO70" s="39" t="str">
        <f t="shared" si="39"/>
        <v/>
      </c>
      <c r="BP70" s="39" t="str">
        <f t="shared" si="39"/>
        <v/>
      </c>
      <c r="BQ70" s="39" t="str">
        <f t="shared" si="39"/>
        <v/>
      </c>
      <c r="BR70" s="39" t="str">
        <f t="shared" si="39"/>
        <v/>
      </c>
      <c r="BS70" s="39" t="str">
        <f t="shared" si="39"/>
        <v/>
      </c>
      <c r="BT70" s="39" t="str">
        <f t="shared" si="39"/>
        <v/>
      </c>
      <c r="BU70" s="39" t="str">
        <f t="shared" si="39"/>
        <v/>
      </c>
      <c r="BV70" s="39" t="str">
        <f t="shared" si="39"/>
        <v/>
      </c>
      <c r="BW70" s="39" t="str">
        <f t="shared" si="39"/>
        <v/>
      </c>
      <c r="BX70" s="39" t="str">
        <f t="shared" si="39"/>
        <v/>
      </c>
      <c r="BY70" s="39" t="str">
        <f t="shared" si="39"/>
        <v/>
      </c>
      <c r="BZ70" s="39" t="str">
        <f t="shared" si="39"/>
        <v/>
      </c>
      <c r="CA70" s="39" t="str">
        <f t="shared" si="39"/>
        <v/>
      </c>
      <c r="CB70" s="39" t="str">
        <f t="shared" ref="CB70:CP86" si="63">IFERROR(INDEX($AZ$4:$AZ$1000,MATCH(SUMIFS($AY$4:$AY$1000,$BA$4:$BA$1000,$BL70,$BB$4:$BB$1000,CB$3,$BJ$4:$BJ$1000,"县"),$AY$4:$AY$1000,0)),"")</f>
        <v/>
      </c>
      <c r="CC70" s="39" t="str">
        <f t="shared" si="63"/>
        <v>808+912</v>
      </c>
      <c r="CD70" s="39" t="str">
        <f t="shared" si="63"/>
        <v/>
      </c>
      <c r="CE70" s="39" t="str">
        <f t="shared" si="63"/>
        <v/>
      </c>
      <c r="CF70" s="39" t="str">
        <f t="shared" si="63"/>
        <v/>
      </c>
      <c r="CG70" s="39" t="str">
        <f t="shared" si="63"/>
        <v/>
      </c>
      <c r="CH70" s="39" t="str">
        <f t="shared" si="63"/>
        <v/>
      </c>
      <c r="CI70" s="39" t="str">
        <f t="shared" si="63"/>
        <v/>
      </c>
      <c r="CJ70" s="39" t="str">
        <f t="shared" si="63"/>
        <v/>
      </c>
      <c r="CK70" s="39" t="str">
        <f t="shared" si="63"/>
        <v/>
      </c>
      <c r="CL70" s="39" t="str">
        <f t="shared" si="63"/>
        <v/>
      </c>
      <c r="CM70" s="39" t="str">
        <f t="shared" si="63"/>
        <v/>
      </c>
      <c r="CN70" s="39" t="str">
        <f t="shared" si="63"/>
        <v/>
      </c>
      <c r="CO70" s="39" t="str">
        <f t="shared" si="63"/>
        <v/>
      </c>
      <c r="CP70" s="39" t="str">
        <f t="shared" si="63"/>
        <v/>
      </c>
      <c r="CQ70" s="39" t="str">
        <f t="shared" ref="CQ70:DE86" si="64">IFERROR(INDEX($AZ$4:$AZ$1000,MATCH(SUMIFS($AY$4:$AY$1000,$BA$4:$BA$1000,$BL70,$BB$4:$BB$1000,CQ$3,$BJ$4:$BJ$1000,"营"),$AY$4:$AY$1000,0)),"")</f>
        <v>797+926</v>
      </c>
      <c r="CR70" s="39" t="str">
        <f t="shared" si="64"/>
        <v/>
      </c>
      <c r="CS70" s="39" t="str">
        <f t="shared" si="64"/>
        <v/>
      </c>
      <c r="CT70" s="39" t="str">
        <f t="shared" si="64"/>
        <v/>
      </c>
      <c r="CU70" s="39" t="str">
        <f t="shared" si="64"/>
        <v/>
      </c>
      <c r="CV70" s="39" t="str">
        <f t="shared" si="64"/>
        <v/>
      </c>
      <c r="CW70" s="39" t="str">
        <f t="shared" si="64"/>
        <v/>
      </c>
      <c r="CX70" s="39" t="str">
        <f t="shared" si="64"/>
        <v/>
      </c>
      <c r="CY70" s="39" t="str">
        <f t="shared" si="64"/>
        <v/>
      </c>
      <c r="CZ70" s="39" t="str">
        <f t="shared" si="64"/>
        <v/>
      </c>
      <c r="DA70" s="39" t="str">
        <f t="shared" si="64"/>
        <v/>
      </c>
      <c r="DB70" s="39" t="str">
        <f t="shared" si="64"/>
        <v/>
      </c>
      <c r="DC70" s="39" t="str">
        <f t="shared" si="64"/>
        <v/>
      </c>
      <c r="DD70" s="39" t="str">
        <f t="shared" si="64"/>
        <v/>
      </c>
      <c r="DE70" s="39" t="str">
        <f t="shared" si="64"/>
        <v/>
      </c>
      <c r="DF70" s="37" t="str">
        <f t="shared" si="58"/>
        <v>0+1+1</v>
      </c>
      <c r="DG70" s="37" t="str">
        <f t="shared" si="59"/>
        <v>0+0</v>
      </c>
      <c r="DH70" s="37" t="str">
        <f t="shared" si="60"/>
        <v>808+912</v>
      </c>
      <c r="DI70" s="37" t="str">
        <f t="shared" si="61"/>
        <v>797+926</v>
      </c>
      <c r="DJ70" s="37" t="str">
        <f t="shared" si="62"/>
        <v>0+1+1|0+0|808+912|797+926</v>
      </c>
    </row>
    <row r="71" spans="2:114" x14ac:dyDescent="0.15">
      <c r="B71" s="15">
        <v>68</v>
      </c>
      <c r="C71" s="15" t="s">
        <v>96</v>
      </c>
      <c r="D71" s="15">
        <v>44</v>
      </c>
      <c r="G71" s="27" t="s">
        <v>533</v>
      </c>
      <c r="H71" s="27">
        <v>68</v>
      </c>
      <c r="I71" s="26" t="s">
        <v>96</v>
      </c>
      <c r="J71" s="26">
        <f t="shared" si="40"/>
        <v>44</v>
      </c>
      <c r="M71" s="27" t="s">
        <v>533</v>
      </c>
      <c r="N71" s="27">
        <v>68</v>
      </c>
      <c r="O71" s="26" t="s">
        <v>316</v>
      </c>
      <c r="P71" s="26">
        <f t="shared" si="41"/>
        <v>151</v>
      </c>
      <c r="Q71" s="26"/>
      <c r="R71" s="26"/>
      <c r="S71" s="27" t="s">
        <v>533</v>
      </c>
      <c r="T71" s="27">
        <v>68</v>
      </c>
      <c r="U71" s="26" t="s">
        <v>77</v>
      </c>
      <c r="V71" s="26">
        <f t="shared" si="42"/>
        <v>34</v>
      </c>
      <c r="W71" s="26"/>
      <c r="Y71" s="27" t="s">
        <v>533</v>
      </c>
      <c r="Z71" s="27">
        <v>68</v>
      </c>
      <c r="AA71" s="26" t="s">
        <v>301</v>
      </c>
      <c r="AB71" s="26">
        <f t="shared" si="43"/>
        <v>143</v>
      </c>
      <c r="AE71" s="27" t="s">
        <v>533</v>
      </c>
      <c r="AF71" s="27">
        <v>68</v>
      </c>
      <c r="AG71" s="26" t="s">
        <v>913</v>
      </c>
      <c r="AH71" s="26">
        <f t="shared" si="44"/>
        <v>124</v>
      </c>
      <c r="AK71" s="27" t="s">
        <v>533</v>
      </c>
      <c r="AL71" s="27">
        <v>68</v>
      </c>
      <c r="AM71" s="26" t="s">
        <v>841</v>
      </c>
      <c r="AN71" s="26">
        <f t="shared" si="45"/>
        <v>72</v>
      </c>
      <c r="AQ71" s="27" t="s">
        <v>533</v>
      </c>
      <c r="AR71" s="27">
        <v>68</v>
      </c>
      <c r="AS71" s="26" t="s">
        <v>978</v>
      </c>
      <c r="AT71" s="26">
        <f t="shared" si="46"/>
        <v>119</v>
      </c>
      <c r="AX71" s="15"/>
      <c r="AY71" s="35">
        <f t="shared" si="47"/>
        <v>68</v>
      </c>
      <c r="AZ71" s="35" t="str">
        <f t="shared" si="48"/>
        <v>458+446</v>
      </c>
      <c r="BA71" s="35">
        <f t="shared" si="49"/>
        <v>44</v>
      </c>
      <c r="BB71" s="38">
        <f>COUNTIF($BA$4:$BA71,$BA71)</f>
        <v>2</v>
      </c>
      <c r="BC71" s="36" t="str">
        <f t="shared" si="50"/>
        <v>村</v>
      </c>
      <c r="BD71" s="36" t="str">
        <f t="shared" si="51"/>
        <v>村</v>
      </c>
      <c r="BE71" s="36" t="str">
        <f t="shared" si="52"/>
        <v>村</v>
      </c>
      <c r="BF71" s="36" t="str">
        <f t="shared" si="53"/>
        <v>村</v>
      </c>
      <c r="BG71" s="36" t="str">
        <f t="shared" si="54"/>
        <v/>
      </c>
      <c r="BH71" s="36" t="str">
        <f t="shared" si="55"/>
        <v/>
      </c>
      <c r="BI71" s="36" t="str">
        <f t="shared" si="56"/>
        <v/>
      </c>
      <c r="BJ71" s="29" t="str">
        <f t="shared" si="57"/>
        <v>村</v>
      </c>
      <c r="BL71" s="15">
        <v>68</v>
      </c>
      <c r="BM71" s="39" t="str">
        <f t="shared" si="39"/>
        <v>794+890</v>
      </c>
      <c r="BN71" s="39" t="str">
        <f t="shared" si="39"/>
        <v>814+897</v>
      </c>
      <c r="BO71" s="39" t="str">
        <f t="shared" si="39"/>
        <v/>
      </c>
      <c r="BP71" s="39" t="str">
        <f t="shared" si="39"/>
        <v/>
      </c>
      <c r="BQ71" s="39" t="str">
        <f t="shared" si="39"/>
        <v/>
      </c>
      <c r="BR71" s="39" t="str">
        <f t="shared" si="39"/>
        <v/>
      </c>
      <c r="BS71" s="39" t="str">
        <f t="shared" si="39"/>
        <v/>
      </c>
      <c r="BT71" s="39" t="str">
        <f t="shared" si="39"/>
        <v/>
      </c>
      <c r="BU71" s="39" t="str">
        <f t="shared" si="39"/>
        <v/>
      </c>
      <c r="BV71" s="39" t="str">
        <f t="shared" si="39"/>
        <v/>
      </c>
      <c r="BW71" s="39" t="str">
        <f t="shared" si="39"/>
        <v/>
      </c>
      <c r="BX71" s="39" t="str">
        <f t="shared" si="39"/>
        <v/>
      </c>
      <c r="BY71" s="39" t="str">
        <f t="shared" si="39"/>
        <v/>
      </c>
      <c r="BZ71" s="39" t="str">
        <f t="shared" si="39"/>
        <v/>
      </c>
      <c r="CA71" s="39" t="str">
        <f t="shared" si="39"/>
        <v/>
      </c>
      <c r="CB71" s="39" t="str">
        <f t="shared" si="63"/>
        <v/>
      </c>
      <c r="CC71" s="39" t="str">
        <f t="shared" si="63"/>
        <v/>
      </c>
      <c r="CD71" s="39" t="str">
        <f t="shared" si="63"/>
        <v/>
      </c>
      <c r="CE71" s="39" t="str">
        <f t="shared" si="63"/>
        <v/>
      </c>
      <c r="CF71" s="39" t="str">
        <f t="shared" si="63"/>
        <v/>
      </c>
      <c r="CG71" s="39" t="str">
        <f t="shared" si="63"/>
        <v/>
      </c>
      <c r="CH71" s="39" t="str">
        <f t="shared" si="63"/>
        <v/>
      </c>
      <c r="CI71" s="39" t="str">
        <f t="shared" si="63"/>
        <v/>
      </c>
      <c r="CJ71" s="39" t="str">
        <f t="shared" si="63"/>
        <v/>
      </c>
      <c r="CK71" s="39" t="str">
        <f t="shared" si="63"/>
        <v/>
      </c>
      <c r="CL71" s="39" t="str">
        <f t="shared" si="63"/>
        <v/>
      </c>
      <c r="CM71" s="39" t="str">
        <f t="shared" si="63"/>
        <v/>
      </c>
      <c r="CN71" s="39" t="str">
        <f t="shared" si="63"/>
        <v/>
      </c>
      <c r="CO71" s="39" t="str">
        <f t="shared" si="63"/>
        <v/>
      </c>
      <c r="CP71" s="39" t="str">
        <f t="shared" si="63"/>
        <v/>
      </c>
      <c r="CQ71" s="39" t="str">
        <f t="shared" si="64"/>
        <v/>
      </c>
      <c r="CR71" s="39" t="str">
        <f t="shared" si="64"/>
        <v/>
      </c>
      <c r="CS71" s="39" t="str">
        <f t="shared" si="64"/>
        <v/>
      </c>
      <c r="CT71" s="39" t="str">
        <f t="shared" si="64"/>
        <v/>
      </c>
      <c r="CU71" s="39" t="str">
        <f t="shared" si="64"/>
        <v/>
      </c>
      <c r="CV71" s="39" t="str">
        <f t="shared" si="64"/>
        <v/>
      </c>
      <c r="CW71" s="39" t="str">
        <f t="shared" si="64"/>
        <v/>
      </c>
      <c r="CX71" s="39" t="str">
        <f t="shared" si="64"/>
        <v/>
      </c>
      <c r="CY71" s="39" t="str">
        <f t="shared" si="64"/>
        <v/>
      </c>
      <c r="CZ71" s="39" t="str">
        <f t="shared" si="64"/>
        <v/>
      </c>
      <c r="DA71" s="39" t="str">
        <f t="shared" si="64"/>
        <v/>
      </c>
      <c r="DB71" s="39" t="str">
        <f t="shared" si="64"/>
        <v/>
      </c>
      <c r="DC71" s="39" t="str">
        <f t="shared" si="64"/>
        <v/>
      </c>
      <c r="DD71" s="39" t="str">
        <f t="shared" si="64"/>
        <v/>
      </c>
      <c r="DE71" s="39" t="str">
        <f t="shared" si="64"/>
        <v/>
      </c>
      <c r="DF71" s="37" t="str">
        <f t="shared" si="58"/>
        <v>2+0+0</v>
      </c>
      <c r="DG71" s="37" t="str">
        <f t="shared" si="59"/>
        <v>794+890|814+897</v>
      </c>
      <c r="DH71" s="37" t="str">
        <f t="shared" si="60"/>
        <v>0+0</v>
      </c>
      <c r="DI71" s="37" t="str">
        <f t="shared" si="61"/>
        <v>0+0</v>
      </c>
      <c r="DJ71" s="37" t="str">
        <f t="shared" si="62"/>
        <v>2+0+0|794+890|814+897|0+0|0+0</v>
      </c>
    </row>
    <row r="72" spans="2:114" x14ac:dyDescent="0.15">
      <c r="B72" s="15">
        <v>69</v>
      </c>
      <c r="C72" s="15" t="s">
        <v>97</v>
      </c>
      <c r="D72" s="15">
        <v>45</v>
      </c>
      <c r="G72" s="27" t="s">
        <v>533</v>
      </c>
      <c r="H72" s="27">
        <v>69</v>
      </c>
      <c r="I72" s="26" t="s">
        <v>95</v>
      </c>
      <c r="J72" s="26">
        <f t="shared" si="40"/>
        <v>44</v>
      </c>
      <c r="M72" s="27" t="s">
        <v>533</v>
      </c>
      <c r="N72" s="27">
        <v>69</v>
      </c>
      <c r="O72" s="26" t="s">
        <v>327</v>
      </c>
      <c r="P72" s="26">
        <f t="shared" si="41"/>
        <v>157</v>
      </c>
      <c r="Q72" s="26"/>
      <c r="R72" s="26"/>
      <c r="S72" s="27" t="s">
        <v>533</v>
      </c>
      <c r="T72" s="27">
        <v>69</v>
      </c>
      <c r="U72" s="26" t="s">
        <v>76</v>
      </c>
      <c r="V72" s="26">
        <f t="shared" si="42"/>
        <v>34</v>
      </c>
      <c r="W72" s="26"/>
      <c r="Y72" s="27" t="s">
        <v>533</v>
      </c>
      <c r="Z72" s="27">
        <v>69</v>
      </c>
      <c r="AA72" s="26" t="s">
        <v>300</v>
      </c>
      <c r="AB72" s="26">
        <f t="shared" si="43"/>
        <v>143</v>
      </c>
      <c r="AE72" s="27" t="s">
        <v>533</v>
      </c>
      <c r="AF72" s="27">
        <v>69</v>
      </c>
      <c r="AG72" s="26" t="s">
        <v>914</v>
      </c>
      <c r="AH72" s="26">
        <f t="shared" si="44"/>
        <v>124</v>
      </c>
      <c r="AK72" s="27" t="s">
        <v>533</v>
      </c>
      <c r="AL72" s="27">
        <v>69</v>
      </c>
      <c r="AM72" s="26" t="s">
        <v>925</v>
      </c>
      <c r="AN72" s="26">
        <f t="shared" si="45"/>
        <v>78</v>
      </c>
      <c r="AQ72" s="27" t="s">
        <v>533</v>
      </c>
      <c r="AR72" s="27">
        <v>69</v>
      </c>
      <c r="AS72" s="26" t="s">
        <v>655</v>
      </c>
      <c r="AT72" s="26">
        <f t="shared" si="46"/>
        <v>130</v>
      </c>
      <c r="AX72" s="15"/>
      <c r="AY72" s="35">
        <f t="shared" si="47"/>
        <v>69</v>
      </c>
      <c r="AZ72" s="35" t="str">
        <f t="shared" si="48"/>
        <v>521+404</v>
      </c>
      <c r="BA72" s="35">
        <f t="shared" si="49"/>
        <v>45</v>
      </c>
      <c r="BB72" s="38">
        <f>COUNTIF($BA$4:$BA72,$BA72)</f>
        <v>1</v>
      </c>
      <c r="BC72" s="36" t="str">
        <f t="shared" si="50"/>
        <v>村</v>
      </c>
      <c r="BD72" s="36" t="str">
        <f t="shared" si="51"/>
        <v>村</v>
      </c>
      <c r="BE72" s="36" t="str">
        <f t="shared" si="52"/>
        <v/>
      </c>
      <c r="BF72" s="36" t="str">
        <f t="shared" si="53"/>
        <v>村</v>
      </c>
      <c r="BG72" s="36" t="str">
        <f t="shared" si="54"/>
        <v/>
      </c>
      <c r="BH72" s="36" t="str">
        <f t="shared" si="55"/>
        <v/>
      </c>
      <c r="BI72" s="36" t="str">
        <f t="shared" si="56"/>
        <v/>
      </c>
      <c r="BJ72" s="29" t="str">
        <f t="shared" si="57"/>
        <v>村</v>
      </c>
      <c r="BL72" s="15">
        <v>69</v>
      </c>
      <c r="BM72" s="39" t="str">
        <f t="shared" si="39"/>
        <v>764+845</v>
      </c>
      <c r="BN72" s="39" t="str">
        <f t="shared" si="39"/>
        <v/>
      </c>
      <c r="BO72" s="39" t="str">
        <f t="shared" si="39"/>
        <v>786+844</v>
      </c>
      <c r="BP72" s="39" t="str">
        <f t="shared" si="39"/>
        <v/>
      </c>
      <c r="BQ72" s="39" t="str">
        <f t="shared" si="39"/>
        <v/>
      </c>
      <c r="BR72" s="39" t="str">
        <f t="shared" si="39"/>
        <v/>
      </c>
      <c r="BS72" s="39" t="str">
        <f t="shared" si="39"/>
        <v/>
      </c>
      <c r="BT72" s="39" t="str">
        <f t="shared" si="39"/>
        <v/>
      </c>
      <c r="BU72" s="39" t="str">
        <f t="shared" si="39"/>
        <v/>
      </c>
      <c r="BV72" s="39" t="str">
        <f t="shared" si="39"/>
        <v/>
      </c>
      <c r="BW72" s="39" t="str">
        <f t="shared" si="39"/>
        <v/>
      </c>
      <c r="BX72" s="39" t="str">
        <f t="shared" si="39"/>
        <v/>
      </c>
      <c r="BY72" s="39" t="str">
        <f t="shared" si="39"/>
        <v/>
      </c>
      <c r="BZ72" s="39" t="str">
        <f t="shared" si="39"/>
        <v/>
      </c>
      <c r="CA72" s="39" t="str">
        <f t="shared" si="39"/>
        <v/>
      </c>
      <c r="CB72" s="39" t="str">
        <f t="shared" si="63"/>
        <v/>
      </c>
      <c r="CC72" s="39" t="str">
        <f t="shared" si="63"/>
        <v/>
      </c>
      <c r="CD72" s="39" t="str">
        <f t="shared" si="63"/>
        <v/>
      </c>
      <c r="CE72" s="39" t="str">
        <f t="shared" si="63"/>
        <v/>
      </c>
      <c r="CF72" s="39" t="str">
        <f t="shared" si="63"/>
        <v/>
      </c>
      <c r="CG72" s="39" t="str">
        <f t="shared" si="63"/>
        <v/>
      </c>
      <c r="CH72" s="39" t="str">
        <f t="shared" si="63"/>
        <v/>
      </c>
      <c r="CI72" s="39" t="str">
        <f t="shared" si="63"/>
        <v/>
      </c>
      <c r="CJ72" s="39" t="str">
        <f t="shared" si="63"/>
        <v/>
      </c>
      <c r="CK72" s="39" t="str">
        <f t="shared" si="63"/>
        <v/>
      </c>
      <c r="CL72" s="39" t="str">
        <f t="shared" si="63"/>
        <v/>
      </c>
      <c r="CM72" s="39" t="str">
        <f t="shared" si="63"/>
        <v/>
      </c>
      <c r="CN72" s="39" t="str">
        <f t="shared" si="63"/>
        <v/>
      </c>
      <c r="CO72" s="39" t="str">
        <f t="shared" si="63"/>
        <v/>
      </c>
      <c r="CP72" s="39" t="str">
        <f t="shared" si="63"/>
        <v/>
      </c>
      <c r="CQ72" s="39" t="str">
        <f t="shared" si="64"/>
        <v/>
      </c>
      <c r="CR72" s="39" t="str">
        <f t="shared" si="64"/>
        <v>778+866</v>
      </c>
      <c r="CS72" s="39" t="str">
        <f t="shared" si="64"/>
        <v/>
      </c>
      <c r="CT72" s="39" t="str">
        <f t="shared" si="64"/>
        <v>800+859</v>
      </c>
      <c r="CU72" s="39" t="str">
        <f t="shared" si="64"/>
        <v/>
      </c>
      <c r="CV72" s="39" t="str">
        <f t="shared" si="64"/>
        <v/>
      </c>
      <c r="CW72" s="39" t="str">
        <f t="shared" si="64"/>
        <v/>
      </c>
      <c r="CX72" s="39" t="str">
        <f t="shared" si="64"/>
        <v/>
      </c>
      <c r="CY72" s="39" t="str">
        <f t="shared" si="64"/>
        <v/>
      </c>
      <c r="CZ72" s="39" t="str">
        <f t="shared" si="64"/>
        <v/>
      </c>
      <c r="DA72" s="39" t="str">
        <f t="shared" si="64"/>
        <v/>
      </c>
      <c r="DB72" s="39" t="str">
        <f t="shared" si="64"/>
        <v/>
      </c>
      <c r="DC72" s="39" t="str">
        <f t="shared" si="64"/>
        <v/>
      </c>
      <c r="DD72" s="39" t="str">
        <f t="shared" si="64"/>
        <v/>
      </c>
      <c r="DE72" s="39" t="str">
        <f t="shared" si="64"/>
        <v/>
      </c>
      <c r="DF72" s="37" t="str">
        <f t="shared" si="58"/>
        <v>2+0+2</v>
      </c>
      <c r="DG72" s="37" t="str">
        <f t="shared" si="59"/>
        <v>764+845|786+844</v>
      </c>
      <c r="DH72" s="37" t="str">
        <f t="shared" si="60"/>
        <v>0+0</v>
      </c>
      <c r="DI72" s="37" t="str">
        <f t="shared" si="61"/>
        <v>778+866|800+859</v>
      </c>
      <c r="DJ72" s="37" t="str">
        <f t="shared" si="62"/>
        <v>2+0+2|764+845|786+844|0+0|778+866|800+859</v>
      </c>
    </row>
    <row r="73" spans="2:114" x14ac:dyDescent="0.15">
      <c r="B73" s="15">
        <v>70</v>
      </c>
      <c r="C73" s="15" t="s">
        <v>98</v>
      </c>
      <c r="D73" s="15">
        <v>45</v>
      </c>
      <c r="G73" s="27" t="s">
        <v>533</v>
      </c>
      <c r="H73" s="27">
        <v>70</v>
      </c>
      <c r="I73" s="26" t="s">
        <v>87</v>
      </c>
      <c r="J73" s="26">
        <f t="shared" si="40"/>
        <v>39</v>
      </c>
      <c r="M73" s="27" t="s">
        <v>533</v>
      </c>
      <c r="N73" s="27">
        <v>70</v>
      </c>
      <c r="O73" s="26" t="s">
        <v>319</v>
      </c>
      <c r="P73" s="26">
        <f t="shared" si="41"/>
        <v>153</v>
      </c>
      <c r="Q73" s="26"/>
      <c r="R73" s="26"/>
      <c r="S73" s="27" t="s">
        <v>533</v>
      </c>
      <c r="T73" s="27">
        <v>70</v>
      </c>
      <c r="U73" s="26" t="s">
        <v>856</v>
      </c>
      <c r="V73" s="26">
        <f t="shared" si="42"/>
        <v>26</v>
      </c>
      <c r="W73" s="26"/>
      <c r="Y73" s="27" t="s">
        <v>533</v>
      </c>
      <c r="Z73" s="27">
        <v>70</v>
      </c>
      <c r="AA73" s="26" t="s">
        <v>325</v>
      </c>
      <c r="AB73" s="26">
        <f t="shared" si="43"/>
        <v>156</v>
      </c>
      <c r="AE73" s="27" t="s">
        <v>533</v>
      </c>
      <c r="AF73" s="27">
        <v>70</v>
      </c>
      <c r="AG73" s="26" t="s">
        <v>187</v>
      </c>
      <c r="AH73" s="26">
        <f t="shared" si="44"/>
        <v>89</v>
      </c>
      <c r="AK73" s="27" t="s">
        <v>533</v>
      </c>
      <c r="AL73" s="27">
        <v>70</v>
      </c>
      <c r="AM73" s="26" t="s">
        <v>941</v>
      </c>
      <c r="AN73" s="26">
        <f t="shared" si="45"/>
        <v>136</v>
      </c>
      <c r="AQ73" s="27" t="s">
        <v>533</v>
      </c>
      <c r="AR73" s="27">
        <v>70</v>
      </c>
      <c r="AS73" s="26" t="s">
        <v>964</v>
      </c>
      <c r="AT73" s="26">
        <f t="shared" si="46"/>
        <v>120</v>
      </c>
      <c r="AX73" s="15"/>
      <c r="AY73" s="35">
        <f t="shared" si="47"/>
        <v>70</v>
      </c>
      <c r="AZ73" s="35" t="str">
        <f t="shared" si="48"/>
        <v>492+405</v>
      </c>
      <c r="BA73" s="35">
        <f t="shared" si="49"/>
        <v>45</v>
      </c>
      <c r="BB73" s="38">
        <f>COUNTIF($BA$4:$BA73,$BA73)</f>
        <v>2</v>
      </c>
      <c r="BC73" s="36" t="str">
        <f t="shared" si="50"/>
        <v>村</v>
      </c>
      <c r="BD73" s="36" t="str">
        <f t="shared" si="51"/>
        <v>村</v>
      </c>
      <c r="BE73" s="36" t="str">
        <f t="shared" si="52"/>
        <v>村</v>
      </c>
      <c r="BF73" s="36" t="str">
        <f t="shared" si="53"/>
        <v>村</v>
      </c>
      <c r="BG73" s="36" t="str">
        <f t="shared" si="54"/>
        <v/>
      </c>
      <c r="BH73" s="36" t="str">
        <f t="shared" si="55"/>
        <v/>
      </c>
      <c r="BI73" s="36" t="str">
        <f t="shared" si="56"/>
        <v/>
      </c>
      <c r="BJ73" s="29" t="str">
        <f t="shared" si="57"/>
        <v>村</v>
      </c>
      <c r="BL73" s="15">
        <v>70</v>
      </c>
      <c r="BM73" s="39" t="str">
        <f t="shared" si="39"/>
        <v/>
      </c>
      <c r="BN73" s="39" t="str">
        <f t="shared" si="39"/>
        <v>798+825</v>
      </c>
      <c r="BO73" s="39" t="str">
        <f t="shared" si="39"/>
        <v>771+817</v>
      </c>
      <c r="BP73" s="39" t="str">
        <f t="shared" si="39"/>
        <v/>
      </c>
      <c r="BQ73" s="39" t="str">
        <f t="shared" si="39"/>
        <v/>
      </c>
      <c r="BR73" s="39" t="str">
        <f t="shared" si="39"/>
        <v/>
      </c>
      <c r="BS73" s="39" t="str">
        <f t="shared" si="39"/>
        <v/>
      </c>
      <c r="BT73" s="39" t="str">
        <f t="shared" si="39"/>
        <v/>
      </c>
      <c r="BU73" s="39" t="str">
        <f t="shared" si="39"/>
        <v/>
      </c>
      <c r="BV73" s="39" t="str">
        <f t="shared" si="39"/>
        <v/>
      </c>
      <c r="BW73" s="39" t="str">
        <f t="shared" si="39"/>
        <v/>
      </c>
      <c r="BX73" s="39" t="str">
        <f t="shared" si="39"/>
        <v/>
      </c>
      <c r="BY73" s="39" t="str">
        <f t="shared" si="39"/>
        <v/>
      </c>
      <c r="BZ73" s="39" t="str">
        <f t="shared" si="39"/>
        <v/>
      </c>
      <c r="CA73" s="39" t="str">
        <f t="shared" si="39"/>
        <v/>
      </c>
      <c r="CB73" s="39" t="str">
        <f t="shared" si="63"/>
        <v/>
      </c>
      <c r="CC73" s="39" t="str">
        <f t="shared" si="63"/>
        <v/>
      </c>
      <c r="CD73" s="39" t="str">
        <f t="shared" si="63"/>
        <v/>
      </c>
      <c r="CE73" s="39" t="str">
        <f t="shared" si="63"/>
        <v/>
      </c>
      <c r="CF73" s="39" t="str">
        <f t="shared" si="63"/>
        <v/>
      </c>
      <c r="CG73" s="39" t="str">
        <f t="shared" si="63"/>
        <v/>
      </c>
      <c r="CH73" s="39" t="str">
        <f t="shared" si="63"/>
        <v/>
      </c>
      <c r="CI73" s="39" t="str">
        <f t="shared" si="63"/>
        <v/>
      </c>
      <c r="CJ73" s="39" t="str">
        <f t="shared" si="63"/>
        <v/>
      </c>
      <c r="CK73" s="39" t="str">
        <f t="shared" si="63"/>
        <v/>
      </c>
      <c r="CL73" s="39" t="str">
        <f t="shared" si="63"/>
        <v/>
      </c>
      <c r="CM73" s="39" t="str">
        <f t="shared" si="63"/>
        <v/>
      </c>
      <c r="CN73" s="39" t="str">
        <f t="shared" si="63"/>
        <v/>
      </c>
      <c r="CO73" s="39" t="str">
        <f t="shared" si="63"/>
        <v/>
      </c>
      <c r="CP73" s="39" t="str">
        <f t="shared" si="63"/>
        <v/>
      </c>
      <c r="CQ73" s="39" t="str">
        <f t="shared" si="64"/>
        <v>821+820</v>
      </c>
      <c r="CR73" s="39" t="str">
        <f t="shared" si="64"/>
        <v/>
      </c>
      <c r="CS73" s="39" t="str">
        <f t="shared" si="64"/>
        <v/>
      </c>
      <c r="CT73" s="39" t="str">
        <f t="shared" si="64"/>
        <v/>
      </c>
      <c r="CU73" s="39" t="str">
        <f t="shared" si="64"/>
        <v/>
      </c>
      <c r="CV73" s="39" t="str">
        <f t="shared" si="64"/>
        <v/>
      </c>
      <c r="CW73" s="39" t="str">
        <f t="shared" si="64"/>
        <v/>
      </c>
      <c r="CX73" s="39" t="str">
        <f t="shared" si="64"/>
        <v/>
      </c>
      <c r="CY73" s="39" t="str">
        <f t="shared" si="64"/>
        <v/>
      </c>
      <c r="CZ73" s="39" t="str">
        <f t="shared" si="64"/>
        <v/>
      </c>
      <c r="DA73" s="39" t="str">
        <f t="shared" si="64"/>
        <v/>
      </c>
      <c r="DB73" s="39" t="str">
        <f t="shared" si="64"/>
        <v/>
      </c>
      <c r="DC73" s="39" t="str">
        <f t="shared" si="64"/>
        <v/>
      </c>
      <c r="DD73" s="39" t="str">
        <f t="shared" si="64"/>
        <v/>
      </c>
      <c r="DE73" s="39" t="str">
        <f t="shared" si="64"/>
        <v/>
      </c>
      <c r="DF73" s="37" t="str">
        <f t="shared" si="58"/>
        <v>2+0+1</v>
      </c>
      <c r="DG73" s="37" t="str">
        <f t="shared" si="59"/>
        <v>798+825|771+817</v>
      </c>
      <c r="DH73" s="37" t="str">
        <f t="shared" si="60"/>
        <v>0+0</v>
      </c>
      <c r="DI73" s="37" t="str">
        <f t="shared" si="61"/>
        <v>821+820</v>
      </c>
      <c r="DJ73" s="37" t="str">
        <f t="shared" si="62"/>
        <v>2+0+1|798+825|771+817|0+0|821+820</v>
      </c>
    </row>
    <row r="74" spans="2:114" x14ac:dyDescent="0.15">
      <c r="B74" s="15">
        <v>71</v>
      </c>
      <c r="C74" s="15" t="s">
        <v>99</v>
      </c>
      <c r="D74" s="15">
        <v>46</v>
      </c>
      <c r="G74" s="27" t="s">
        <v>533</v>
      </c>
      <c r="H74" s="27">
        <v>71</v>
      </c>
      <c r="I74" s="26" t="s">
        <v>97</v>
      </c>
      <c r="J74" s="26">
        <f t="shared" si="40"/>
        <v>45</v>
      </c>
      <c r="M74" s="27" t="s">
        <v>533</v>
      </c>
      <c r="N74" s="27">
        <v>71</v>
      </c>
      <c r="O74" s="26" t="s">
        <v>320</v>
      </c>
      <c r="P74" s="26">
        <f t="shared" si="41"/>
        <v>153</v>
      </c>
      <c r="Q74" s="26"/>
      <c r="R74" s="26"/>
      <c r="S74" s="27" t="s">
        <v>533</v>
      </c>
      <c r="T74" s="27">
        <v>71</v>
      </c>
      <c r="U74" s="26" t="s">
        <v>857</v>
      </c>
      <c r="V74" s="26">
        <f t="shared" si="42"/>
        <v>27</v>
      </c>
      <c r="W74" s="26"/>
      <c r="Y74" s="27" t="s">
        <v>533</v>
      </c>
      <c r="Z74" s="27">
        <v>71</v>
      </c>
      <c r="AA74" s="26" t="s">
        <v>725</v>
      </c>
      <c r="AB74" s="26">
        <f t="shared" si="43"/>
        <v>156</v>
      </c>
      <c r="AE74" s="27" t="s">
        <v>533</v>
      </c>
      <c r="AF74" s="27">
        <v>71</v>
      </c>
      <c r="AG74" s="26" t="s">
        <v>1013</v>
      </c>
      <c r="AH74" s="26">
        <f t="shared" si="44"/>
        <v>85</v>
      </c>
      <c r="AK74" s="27" t="s">
        <v>533</v>
      </c>
      <c r="AL74" s="27">
        <v>71</v>
      </c>
      <c r="AM74" s="26" t="s">
        <v>940</v>
      </c>
      <c r="AN74" s="26">
        <f t="shared" si="45"/>
        <v>136</v>
      </c>
      <c r="AQ74" s="27" t="s">
        <v>533</v>
      </c>
      <c r="AR74" s="27">
        <v>71</v>
      </c>
      <c r="AS74" s="26" t="s">
        <v>980</v>
      </c>
      <c r="AT74" s="26">
        <f t="shared" si="46"/>
        <v>120</v>
      </c>
      <c r="AX74" s="15"/>
      <c r="AY74" s="35">
        <f t="shared" si="47"/>
        <v>71</v>
      </c>
      <c r="AZ74" s="35" t="str">
        <f t="shared" si="48"/>
        <v>402+487</v>
      </c>
      <c r="BA74" s="35">
        <f t="shared" si="49"/>
        <v>46</v>
      </c>
      <c r="BB74" s="38">
        <f>COUNTIF($BA$4:$BA74,$BA74)</f>
        <v>1</v>
      </c>
      <c r="BC74" s="36" t="str">
        <f t="shared" si="50"/>
        <v>村</v>
      </c>
      <c r="BD74" s="36" t="str">
        <f t="shared" si="51"/>
        <v>村</v>
      </c>
      <c r="BE74" s="36" t="str">
        <f t="shared" si="52"/>
        <v/>
      </c>
      <c r="BF74" s="36" t="str">
        <f t="shared" si="53"/>
        <v>村</v>
      </c>
      <c r="BG74" s="36" t="str">
        <f t="shared" si="54"/>
        <v/>
      </c>
      <c r="BH74" s="36" t="str">
        <f t="shared" si="55"/>
        <v/>
      </c>
      <c r="BI74" s="36" t="str">
        <f t="shared" si="56"/>
        <v/>
      </c>
      <c r="BJ74" s="29" t="str">
        <f t="shared" si="57"/>
        <v>村</v>
      </c>
      <c r="BL74" s="15">
        <v>71</v>
      </c>
      <c r="BM74" s="39" t="str">
        <f t="shared" ref="BM74:CA89" si="65">IFERROR(INDEX($AZ$4:$AZ$1000,MATCH(SUMIFS($AY$4:$AY$1000,$BA$4:$BA$1000,$BL74,$BB$4:$BB$1000,BM$3,$BJ$4:$BJ$1000,"村"),$AY$4:$AY$1000,0)),"")</f>
        <v/>
      </c>
      <c r="BN74" s="39" t="str">
        <f t="shared" si="65"/>
        <v>720+819</v>
      </c>
      <c r="BO74" s="39" t="str">
        <f t="shared" si="65"/>
        <v>736+839</v>
      </c>
      <c r="BP74" s="39" t="str">
        <f t="shared" si="65"/>
        <v>700+805</v>
      </c>
      <c r="BQ74" s="39" t="str">
        <f t="shared" si="65"/>
        <v/>
      </c>
      <c r="BR74" s="39" t="str">
        <f t="shared" si="65"/>
        <v/>
      </c>
      <c r="BS74" s="39" t="str">
        <f t="shared" si="65"/>
        <v/>
      </c>
      <c r="BT74" s="39" t="str">
        <f t="shared" si="65"/>
        <v/>
      </c>
      <c r="BU74" s="39" t="str">
        <f t="shared" si="65"/>
        <v/>
      </c>
      <c r="BV74" s="39" t="str">
        <f t="shared" si="65"/>
        <v/>
      </c>
      <c r="BW74" s="39" t="str">
        <f t="shared" si="65"/>
        <v/>
      </c>
      <c r="BX74" s="39" t="str">
        <f t="shared" si="65"/>
        <v/>
      </c>
      <c r="BY74" s="39" t="str">
        <f t="shared" si="65"/>
        <v/>
      </c>
      <c r="BZ74" s="39" t="str">
        <f t="shared" si="65"/>
        <v/>
      </c>
      <c r="CA74" s="39" t="str">
        <f t="shared" si="65"/>
        <v/>
      </c>
      <c r="CB74" s="39" t="str">
        <f t="shared" si="63"/>
        <v/>
      </c>
      <c r="CC74" s="39" t="str">
        <f t="shared" si="63"/>
        <v/>
      </c>
      <c r="CD74" s="39" t="str">
        <f t="shared" si="63"/>
        <v/>
      </c>
      <c r="CE74" s="39" t="str">
        <f t="shared" si="63"/>
        <v/>
      </c>
      <c r="CF74" s="39" t="str">
        <f t="shared" si="63"/>
        <v/>
      </c>
      <c r="CG74" s="39" t="str">
        <f t="shared" si="63"/>
        <v/>
      </c>
      <c r="CH74" s="39" t="str">
        <f t="shared" si="63"/>
        <v/>
      </c>
      <c r="CI74" s="39" t="str">
        <f t="shared" si="63"/>
        <v/>
      </c>
      <c r="CJ74" s="39" t="str">
        <f t="shared" si="63"/>
        <v/>
      </c>
      <c r="CK74" s="39" t="str">
        <f t="shared" si="63"/>
        <v/>
      </c>
      <c r="CL74" s="39" t="str">
        <f t="shared" si="63"/>
        <v/>
      </c>
      <c r="CM74" s="39" t="str">
        <f t="shared" si="63"/>
        <v/>
      </c>
      <c r="CN74" s="39" t="str">
        <f t="shared" si="63"/>
        <v/>
      </c>
      <c r="CO74" s="39" t="str">
        <f t="shared" si="63"/>
        <v/>
      </c>
      <c r="CP74" s="39" t="str">
        <f t="shared" si="63"/>
        <v/>
      </c>
      <c r="CQ74" s="39" t="str">
        <f t="shared" si="64"/>
        <v>740+822</v>
      </c>
      <c r="CR74" s="39" t="str">
        <f t="shared" si="64"/>
        <v/>
      </c>
      <c r="CS74" s="39" t="str">
        <f t="shared" si="64"/>
        <v/>
      </c>
      <c r="CT74" s="39" t="str">
        <f t="shared" si="64"/>
        <v/>
      </c>
      <c r="CU74" s="39" t="str">
        <f t="shared" si="64"/>
        <v>760+823</v>
      </c>
      <c r="CV74" s="39" t="str">
        <f t="shared" si="64"/>
        <v/>
      </c>
      <c r="CW74" s="39" t="str">
        <f t="shared" si="64"/>
        <v/>
      </c>
      <c r="CX74" s="39" t="str">
        <f t="shared" si="64"/>
        <v/>
      </c>
      <c r="CY74" s="39" t="str">
        <f t="shared" si="64"/>
        <v/>
      </c>
      <c r="CZ74" s="39" t="str">
        <f t="shared" si="64"/>
        <v/>
      </c>
      <c r="DA74" s="39" t="str">
        <f t="shared" si="64"/>
        <v/>
      </c>
      <c r="DB74" s="39" t="str">
        <f t="shared" si="64"/>
        <v/>
      </c>
      <c r="DC74" s="39" t="str">
        <f t="shared" si="64"/>
        <v/>
      </c>
      <c r="DD74" s="39" t="str">
        <f t="shared" si="64"/>
        <v/>
      </c>
      <c r="DE74" s="39" t="str">
        <f t="shared" si="64"/>
        <v/>
      </c>
      <c r="DF74" s="37" t="str">
        <f t="shared" si="58"/>
        <v>3+0+2</v>
      </c>
      <c r="DG74" s="37" t="str">
        <f t="shared" si="59"/>
        <v>720+819|736+839|700+805</v>
      </c>
      <c r="DH74" s="37" t="str">
        <f t="shared" si="60"/>
        <v>0+0</v>
      </c>
      <c r="DI74" s="37" t="str">
        <f t="shared" si="61"/>
        <v>740+822|760+823</v>
      </c>
      <c r="DJ74" s="37" t="str">
        <f t="shared" si="62"/>
        <v>3+0+2|720+819|736+839|700+805|0+0|740+822|760+823</v>
      </c>
    </row>
    <row r="75" spans="2:114" x14ac:dyDescent="0.15">
      <c r="B75" s="15">
        <v>72</v>
      </c>
      <c r="C75" s="15" t="s">
        <v>100</v>
      </c>
      <c r="D75" s="15">
        <v>46</v>
      </c>
      <c r="G75" s="27" t="s">
        <v>533</v>
      </c>
      <c r="H75" s="27">
        <v>72</v>
      </c>
      <c r="I75" s="26" t="s">
        <v>68</v>
      </c>
      <c r="J75" s="26">
        <f t="shared" si="40"/>
        <v>30</v>
      </c>
      <c r="M75" s="27" t="s">
        <v>533</v>
      </c>
      <c r="N75" s="27">
        <v>72</v>
      </c>
      <c r="O75" s="26" t="s">
        <v>265</v>
      </c>
      <c r="P75" s="26">
        <f t="shared" si="41"/>
        <v>127</v>
      </c>
      <c r="Q75" s="26"/>
      <c r="R75" s="26"/>
      <c r="S75" s="27" t="s">
        <v>533</v>
      </c>
      <c r="T75" s="27">
        <v>72</v>
      </c>
      <c r="U75" s="26" t="s">
        <v>59</v>
      </c>
      <c r="V75" s="26">
        <f t="shared" si="42"/>
        <v>25</v>
      </c>
      <c r="W75" s="26"/>
      <c r="Y75" s="27" t="s">
        <v>533</v>
      </c>
      <c r="Z75" s="27">
        <v>72</v>
      </c>
      <c r="AA75" s="26" t="s">
        <v>319</v>
      </c>
      <c r="AB75" s="26">
        <f t="shared" si="43"/>
        <v>153</v>
      </c>
      <c r="AE75" s="27" t="s">
        <v>533</v>
      </c>
      <c r="AF75" s="27">
        <v>72</v>
      </c>
      <c r="AG75" s="26" t="s">
        <v>324</v>
      </c>
      <c r="AH75" s="26">
        <f t="shared" si="44"/>
        <v>155</v>
      </c>
      <c r="AK75" s="27" t="s">
        <v>533</v>
      </c>
      <c r="AL75" s="27">
        <v>72</v>
      </c>
      <c r="AM75" s="26" t="s">
        <v>311</v>
      </c>
      <c r="AN75" s="26">
        <f t="shared" si="45"/>
        <v>148</v>
      </c>
      <c r="AQ75" s="27" t="s">
        <v>533</v>
      </c>
      <c r="AR75" s="27">
        <v>72</v>
      </c>
      <c r="AS75" s="26" t="s">
        <v>903</v>
      </c>
      <c r="AT75" s="26">
        <f t="shared" si="46"/>
        <v>111</v>
      </c>
      <c r="AX75" s="15"/>
      <c r="AY75" s="35">
        <f t="shared" si="47"/>
        <v>72</v>
      </c>
      <c r="AZ75" s="35" t="str">
        <f t="shared" si="48"/>
        <v>415+471</v>
      </c>
      <c r="BA75" s="35">
        <f t="shared" si="49"/>
        <v>46</v>
      </c>
      <c r="BB75" s="38">
        <f>COUNTIF($BA$4:$BA75,$BA75)</f>
        <v>2</v>
      </c>
      <c r="BC75" s="36" t="str">
        <f t="shared" si="50"/>
        <v>村</v>
      </c>
      <c r="BD75" s="36" t="str">
        <f t="shared" si="51"/>
        <v>村</v>
      </c>
      <c r="BE75" s="36" t="str">
        <f t="shared" si="52"/>
        <v/>
      </c>
      <c r="BF75" s="36" t="str">
        <f t="shared" si="53"/>
        <v>村</v>
      </c>
      <c r="BG75" s="36" t="str">
        <f t="shared" si="54"/>
        <v/>
      </c>
      <c r="BH75" s="36" t="str">
        <f t="shared" si="55"/>
        <v/>
      </c>
      <c r="BI75" s="36" t="str">
        <f t="shared" si="56"/>
        <v/>
      </c>
      <c r="BJ75" s="29" t="str">
        <f t="shared" si="57"/>
        <v>村</v>
      </c>
      <c r="BL75" s="15">
        <v>72</v>
      </c>
      <c r="BM75" s="39" t="str">
        <f t="shared" si="65"/>
        <v/>
      </c>
      <c r="BN75" s="39" t="str">
        <f t="shared" si="65"/>
        <v>692+851</v>
      </c>
      <c r="BO75" s="39" t="str">
        <f t="shared" si="65"/>
        <v>681+836</v>
      </c>
      <c r="BP75" s="39" t="str">
        <f t="shared" si="65"/>
        <v/>
      </c>
      <c r="BQ75" s="39" t="str">
        <f t="shared" si="65"/>
        <v/>
      </c>
      <c r="BR75" s="39" t="str">
        <f t="shared" si="65"/>
        <v/>
      </c>
      <c r="BS75" s="39" t="str">
        <f t="shared" si="65"/>
        <v/>
      </c>
      <c r="BT75" s="39" t="str">
        <f t="shared" si="65"/>
        <v/>
      </c>
      <c r="BU75" s="39" t="str">
        <f t="shared" si="65"/>
        <v/>
      </c>
      <c r="BV75" s="39" t="str">
        <f t="shared" si="65"/>
        <v/>
      </c>
      <c r="BW75" s="39" t="str">
        <f t="shared" si="65"/>
        <v/>
      </c>
      <c r="BX75" s="39" t="str">
        <f t="shared" si="65"/>
        <v/>
      </c>
      <c r="BY75" s="39" t="str">
        <f t="shared" si="65"/>
        <v/>
      </c>
      <c r="BZ75" s="39" t="str">
        <f t="shared" si="65"/>
        <v/>
      </c>
      <c r="CA75" s="39" t="str">
        <f t="shared" si="65"/>
        <v/>
      </c>
      <c r="CB75" s="39" t="str">
        <f t="shared" si="63"/>
        <v/>
      </c>
      <c r="CC75" s="39" t="str">
        <f t="shared" si="63"/>
        <v/>
      </c>
      <c r="CD75" s="39" t="str">
        <f t="shared" si="63"/>
        <v/>
      </c>
      <c r="CE75" s="39" t="str">
        <f t="shared" si="63"/>
        <v/>
      </c>
      <c r="CF75" s="39" t="str">
        <f t="shared" si="63"/>
        <v/>
      </c>
      <c r="CG75" s="39" t="str">
        <f t="shared" si="63"/>
        <v/>
      </c>
      <c r="CH75" s="39" t="str">
        <f t="shared" si="63"/>
        <v/>
      </c>
      <c r="CI75" s="39" t="str">
        <f t="shared" si="63"/>
        <v/>
      </c>
      <c r="CJ75" s="39" t="str">
        <f t="shared" si="63"/>
        <v/>
      </c>
      <c r="CK75" s="39" t="str">
        <f t="shared" si="63"/>
        <v/>
      </c>
      <c r="CL75" s="39" t="str">
        <f t="shared" si="63"/>
        <v/>
      </c>
      <c r="CM75" s="39" t="str">
        <f t="shared" si="63"/>
        <v/>
      </c>
      <c r="CN75" s="39" t="str">
        <f t="shared" si="63"/>
        <v/>
      </c>
      <c r="CO75" s="39" t="str">
        <f t="shared" si="63"/>
        <v/>
      </c>
      <c r="CP75" s="39" t="str">
        <f t="shared" si="63"/>
        <v/>
      </c>
      <c r="CQ75" s="39" t="str">
        <f t="shared" si="64"/>
        <v>706+842</v>
      </c>
      <c r="CR75" s="39" t="str">
        <f t="shared" si="64"/>
        <v/>
      </c>
      <c r="CS75" s="39" t="str">
        <f t="shared" si="64"/>
        <v/>
      </c>
      <c r="CT75" s="39" t="str">
        <f t="shared" si="64"/>
        <v>725+848</v>
      </c>
      <c r="CU75" s="39" t="str">
        <f t="shared" si="64"/>
        <v/>
      </c>
      <c r="CV75" s="39" t="str">
        <f t="shared" si="64"/>
        <v/>
      </c>
      <c r="CW75" s="39" t="str">
        <f t="shared" si="64"/>
        <v/>
      </c>
      <c r="CX75" s="39" t="str">
        <f t="shared" si="64"/>
        <v/>
      </c>
      <c r="CY75" s="39" t="str">
        <f t="shared" si="64"/>
        <v/>
      </c>
      <c r="CZ75" s="39" t="str">
        <f t="shared" si="64"/>
        <v/>
      </c>
      <c r="DA75" s="39" t="str">
        <f t="shared" si="64"/>
        <v/>
      </c>
      <c r="DB75" s="39" t="str">
        <f t="shared" si="64"/>
        <v/>
      </c>
      <c r="DC75" s="39" t="str">
        <f t="shared" si="64"/>
        <v/>
      </c>
      <c r="DD75" s="39" t="str">
        <f t="shared" si="64"/>
        <v/>
      </c>
      <c r="DE75" s="39" t="str">
        <f t="shared" si="64"/>
        <v/>
      </c>
      <c r="DF75" s="37" t="str">
        <f t="shared" si="58"/>
        <v>2+0+2</v>
      </c>
      <c r="DG75" s="37" t="str">
        <f t="shared" si="59"/>
        <v>692+851|681+836</v>
      </c>
      <c r="DH75" s="37" t="str">
        <f t="shared" si="60"/>
        <v>0+0</v>
      </c>
      <c r="DI75" s="37" t="str">
        <f t="shared" si="61"/>
        <v>706+842|725+848</v>
      </c>
      <c r="DJ75" s="37" t="str">
        <f t="shared" si="62"/>
        <v>2+0+2|692+851|681+836|0+0|706+842|725+848</v>
      </c>
    </row>
    <row r="76" spans="2:114" x14ac:dyDescent="0.15">
      <c r="B76" s="15">
        <v>73</v>
      </c>
      <c r="C76" s="15" t="s">
        <v>101</v>
      </c>
      <c r="D76" s="15">
        <v>47</v>
      </c>
      <c r="G76" s="27" t="s">
        <v>533</v>
      </c>
      <c r="H76" s="27">
        <v>73</v>
      </c>
      <c r="I76" s="26" t="s">
        <v>56</v>
      </c>
      <c r="J76" s="26">
        <f t="shared" si="40"/>
        <v>24</v>
      </c>
      <c r="M76" s="27" t="s">
        <v>533</v>
      </c>
      <c r="N76" s="27">
        <v>73</v>
      </c>
      <c r="O76" s="26" t="s">
        <v>261</v>
      </c>
      <c r="P76" s="26">
        <f t="shared" si="41"/>
        <v>125</v>
      </c>
      <c r="Q76" s="26"/>
      <c r="R76" s="26"/>
      <c r="S76" s="27" t="s">
        <v>533</v>
      </c>
      <c r="T76" s="27">
        <v>73</v>
      </c>
      <c r="U76" s="26" t="s">
        <v>58</v>
      </c>
      <c r="V76" s="26">
        <f t="shared" si="42"/>
        <v>25</v>
      </c>
      <c r="W76" s="26"/>
      <c r="Y76" s="27" t="s">
        <v>533</v>
      </c>
      <c r="Z76" s="27">
        <v>73</v>
      </c>
      <c r="AA76" s="26" t="s">
        <v>320</v>
      </c>
      <c r="AB76" s="26">
        <f t="shared" si="43"/>
        <v>153</v>
      </c>
      <c r="AE76" s="27" t="s">
        <v>533</v>
      </c>
      <c r="AF76" s="27">
        <v>73</v>
      </c>
      <c r="AG76" s="26" t="s">
        <v>197</v>
      </c>
      <c r="AH76" s="26">
        <f t="shared" si="44"/>
        <v>94</v>
      </c>
      <c r="AK76" s="27" t="s">
        <v>533</v>
      </c>
      <c r="AL76" s="27">
        <v>73</v>
      </c>
      <c r="AM76" s="26" t="s">
        <v>310</v>
      </c>
      <c r="AN76" s="26">
        <f t="shared" si="45"/>
        <v>148</v>
      </c>
      <c r="AQ76" s="27" t="s">
        <v>533</v>
      </c>
      <c r="AR76" s="27">
        <v>73</v>
      </c>
      <c r="AS76" s="26" t="s">
        <v>1013</v>
      </c>
      <c r="AT76" s="26">
        <f t="shared" si="46"/>
        <v>85</v>
      </c>
      <c r="AX76" s="15"/>
      <c r="AY76" s="35">
        <f t="shared" si="47"/>
        <v>73</v>
      </c>
      <c r="AZ76" s="35" t="str">
        <f t="shared" si="48"/>
        <v>435+410</v>
      </c>
      <c r="BA76" s="35">
        <f t="shared" si="49"/>
        <v>47</v>
      </c>
      <c r="BB76" s="38">
        <f>COUNTIF($BA$4:$BA76,$BA76)</f>
        <v>1</v>
      </c>
      <c r="BC76" s="36" t="str">
        <f t="shared" si="50"/>
        <v>营</v>
      </c>
      <c r="BD76" s="36" t="str">
        <f t="shared" si="51"/>
        <v>营</v>
      </c>
      <c r="BE76" s="36" t="str">
        <f t="shared" si="52"/>
        <v/>
      </c>
      <c r="BF76" s="36" t="str">
        <f t="shared" si="53"/>
        <v>营</v>
      </c>
      <c r="BG76" s="36" t="str">
        <f t="shared" si="54"/>
        <v/>
      </c>
      <c r="BH76" s="36" t="str">
        <f t="shared" si="55"/>
        <v/>
      </c>
      <c r="BI76" s="36" t="str">
        <f t="shared" si="56"/>
        <v/>
      </c>
      <c r="BJ76" s="29" t="str">
        <f t="shared" si="57"/>
        <v>营</v>
      </c>
      <c r="BL76" s="15">
        <v>73</v>
      </c>
      <c r="BM76" s="39" t="str">
        <f t="shared" si="65"/>
        <v>700+890</v>
      </c>
      <c r="BN76" s="39" t="str">
        <f t="shared" si="65"/>
        <v/>
      </c>
      <c r="BO76" s="39" t="str">
        <f t="shared" si="65"/>
        <v/>
      </c>
      <c r="BP76" s="39" t="str">
        <f t="shared" si="65"/>
        <v>716+867</v>
      </c>
      <c r="BQ76" s="39" t="str">
        <f t="shared" si="65"/>
        <v>735+878</v>
      </c>
      <c r="BR76" s="39" t="str">
        <f t="shared" si="65"/>
        <v/>
      </c>
      <c r="BS76" s="39" t="str">
        <f t="shared" si="65"/>
        <v/>
      </c>
      <c r="BT76" s="39" t="str">
        <f t="shared" si="65"/>
        <v/>
      </c>
      <c r="BU76" s="39" t="str">
        <f t="shared" si="65"/>
        <v/>
      </c>
      <c r="BV76" s="39" t="str">
        <f t="shared" si="65"/>
        <v/>
      </c>
      <c r="BW76" s="39" t="str">
        <f t="shared" si="65"/>
        <v/>
      </c>
      <c r="BX76" s="39" t="str">
        <f t="shared" si="65"/>
        <v/>
      </c>
      <c r="BY76" s="39" t="str">
        <f t="shared" si="65"/>
        <v/>
      </c>
      <c r="BZ76" s="39" t="str">
        <f t="shared" si="65"/>
        <v/>
      </c>
      <c r="CA76" s="39" t="str">
        <f t="shared" si="65"/>
        <v/>
      </c>
      <c r="CB76" s="39" t="str">
        <f t="shared" si="63"/>
        <v/>
      </c>
      <c r="CC76" s="39" t="str">
        <f t="shared" si="63"/>
        <v>726+897</v>
      </c>
      <c r="CD76" s="39" t="str">
        <f t="shared" si="63"/>
        <v/>
      </c>
      <c r="CE76" s="39" t="str">
        <f t="shared" si="63"/>
        <v/>
      </c>
      <c r="CF76" s="39" t="str">
        <f t="shared" si="63"/>
        <v/>
      </c>
      <c r="CG76" s="39" t="str">
        <f t="shared" si="63"/>
        <v/>
      </c>
      <c r="CH76" s="39" t="str">
        <f t="shared" si="63"/>
        <v/>
      </c>
      <c r="CI76" s="39" t="str">
        <f t="shared" si="63"/>
        <v/>
      </c>
      <c r="CJ76" s="39" t="str">
        <f t="shared" si="63"/>
        <v/>
      </c>
      <c r="CK76" s="39" t="str">
        <f t="shared" si="63"/>
        <v/>
      </c>
      <c r="CL76" s="39" t="str">
        <f t="shared" si="63"/>
        <v/>
      </c>
      <c r="CM76" s="39" t="str">
        <f t="shared" si="63"/>
        <v/>
      </c>
      <c r="CN76" s="39" t="str">
        <f t="shared" si="63"/>
        <v/>
      </c>
      <c r="CO76" s="39" t="str">
        <f t="shared" si="63"/>
        <v/>
      </c>
      <c r="CP76" s="39" t="str">
        <f t="shared" si="63"/>
        <v/>
      </c>
      <c r="CQ76" s="39" t="str">
        <f t="shared" si="64"/>
        <v/>
      </c>
      <c r="CR76" s="39" t="str">
        <f t="shared" si="64"/>
        <v/>
      </c>
      <c r="CS76" s="39" t="str">
        <f t="shared" si="64"/>
        <v>690+875</v>
      </c>
      <c r="CT76" s="39" t="str">
        <f t="shared" si="64"/>
        <v/>
      </c>
      <c r="CU76" s="39" t="str">
        <f t="shared" si="64"/>
        <v/>
      </c>
      <c r="CV76" s="39" t="str">
        <f t="shared" si="64"/>
        <v/>
      </c>
      <c r="CW76" s="39" t="str">
        <f t="shared" si="64"/>
        <v/>
      </c>
      <c r="CX76" s="39" t="str">
        <f t="shared" si="64"/>
        <v/>
      </c>
      <c r="CY76" s="39" t="str">
        <f t="shared" si="64"/>
        <v/>
      </c>
      <c r="CZ76" s="39" t="str">
        <f t="shared" si="64"/>
        <v/>
      </c>
      <c r="DA76" s="39" t="str">
        <f t="shared" si="64"/>
        <v/>
      </c>
      <c r="DB76" s="39" t="str">
        <f t="shared" si="64"/>
        <v/>
      </c>
      <c r="DC76" s="39" t="str">
        <f t="shared" si="64"/>
        <v/>
      </c>
      <c r="DD76" s="39" t="str">
        <f t="shared" si="64"/>
        <v/>
      </c>
      <c r="DE76" s="39" t="str">
        <f t="shared" si="64"/>
        <v/>
      </c>
      <c r="DF76" s="37" t="str">
        <f t="shared" si="58"/>
        <v>3+1+1</v>
      </c>
      <c r="DG76" s="37" t="str">
        <f t="shared" si="59"/>
        <v>700+890|716+867|735+878</v>
      </c>
      <c r="DH76" s="37" t="str">
        <f t="shared" si="60"/>
        <v>726+897</v>
      </c>
      <c r="DI76" s="37" t="str">
        <f t="shared" si="61"/>
        <v>690+875</v>
      </c>
      <c r="DJ76" s="37" t="str">
        <f t="shared" si="62"/>
        <v>3+1+1|700+890|716+867|735+878|726+897|690+875</v>
      </c>
    </row>
    <row r="77" spans="2:114" x14ac:dyDescent="0.15">
      <c r="B77" s="15">
        <v>74</v>
      </c>
      <c r="C77" s="15" t="s">
        <v>103</v>
      </c>
      <c r="D77" s="15">
        <v>48</v>
      </c>
      <c r="G77" s="27" t="s">
        <v>533</v>
      </c>
      <c r="H77" s="27">
        <v>74</v>
      </c>
      <c r="I77" s="26" t="s">
        <v>59</v>
      </c>
      <c r="J77" s="26">
        <f t="shared" si="40"/>
        <v>25</v>
      </c>
      <c r="M77" s="27" t="s">
        <v>533</v>
      </c>
      <c r="N77" s="27">
        <v>74</v>
      </c>
      <c r="O77" s="26" t="s">
        <v>268</v>
      </c>
      <c r="P77" s="26">
        <f t="shared" si="41"/>
        <v>128</v>
      </c>
      <c r="Q77" s="26"/>
      <c r="R77" s="26"/>
      <c r="S77" s="27" t="s">
        <v>533</v>
      </c>
      <c r="T77" s="27">
        <v>74</v>
      </c>
      <c r="U77" s="26" t="s">
        <v>86</v>
      </c>
      <c r="V77" s="26">
        <f t="shared" si="42"/>
        <v>39</v>
      </c>
      <c r="W77" s="26"/>
      <c r="Y77" s="27" t="s">
        <v>533</v>
      </c>
      <c r="Z77" s="27">
        <v>74</v>
      </c>
      <c r="AA77" s="26" t="s">
        <v>329</v>
      </c>
      <c r="AB77" s="26">
        <f t="shared" si="43"/>
        <v>158</v>
      </c>
      <c r="AE77" s="27" t="s">
        <v>533</v>
      </c>
      <c r="AF77" s="27">
        <v>74</v>
      </c>
      <c r="AG77" s="26" t="s">
        <v>196</v>
      </c>
      <c r="AH77" s="26">
        <f t="shared" si="44"/>
        <v>93</v>
      </c>
      <c r="AK77" s="27" t="s">
        <v>533</v>
      </c>
      <c r="AL77" s="27">
        <v>74</v>
      </c>
      <c r="AM77" s="26" t="s">
        <v>982</v>
      </c>
      <c r="AN77" s="26">
        <f t="shared" si="45"/>
        <v>147</v>
      </c>
      <c r="AQ77" s="27" t="s">
        <v>533</v>
      </c>
      <c r="AR77" s="27">
        <v>74</v>
      </c>
      <c r="AS77" s="26" t="s">
        <v>187</v>
      </c>
      <c r="AT77" s="26">
        <f t="shared" si="46"/>
        <v>89</v>
      </c>
      <c r="AX77" s="15"/>
      <c r="AY77" s="35">
        <f t="shared" si="47"/>
        <v>74</v>
      </c>
      <c r="AZ77" s="35" t="str">
        <f t="shared" si="48"/>
        <v>393+421</v>
      </c>
      <c r="BA77" s="35">
        <f t="shared" si="49"/>
        <v>48</v>
      </c>
      <c r="BB77" s="38">
        <f>COUNTIF($BA$4:$BA77,$BA77)</f>
        <v>1</v>
      </c>
      <c r="BC77" s="36" t="str">
        <f t="shared" si="50"/>
        <v>村</v>
      </c>
      <c r="BD77" s="36" t="str">
        <f t="shared" si="51"/>
        <v>村</v>
      </c>
      <c r="BE77" s="36" t="str">
        <f t="shared" si="52"/>
        <v/>
      </c>
      <c r="BF77" s="36" t="str">
        <f t="shared" si="53"/>
        <v>村</v>
      </c>
      <c r="BG77" s="36" t="str">
        <f t="shared" si="54"/>
        <v/>
      </c>
      <c r="BH77" s="36" t="str">
        <f t="shared" si="55"/>
        <v/>
      </c>
      <c r="BI77" s="36" t="str">
        <f t="shared" si="56"/>
        <v/>
      </c>
      <c r="BJ77" s="29" t="str">
        <f t="shared" si="57"/>
        <v>村</v>
      </c>
      <c r="BL77" s="15">
        <v>74</v>
      </c>
      <c r="BM77" s="39" t="str">
        <f t="shared" si="65"/>
        <v>711+926</v>
      </c>
      <c r="BN77" s="39" t="str">
        <f t="shared" si="65"/>
        <v/>
      </c>
      <c r="BO77" s="39" t="str">
        <f t="shared" si="65"/>
        <v/>
      </c>
      <c r="BP77" s="39" t="str">
        <f t="shared" si="65"/>
        <v/>
      </c>
      <c r="BQ77" s="39" t="str">
        <f t="shared" si="65"/>
        <v/>
      </c>
      <c r="BR77" s="39" t="str">
        <f t="shared" si="65"/>
        <v/>
      </c>
      <c r="BS77" s="39" t="str">
        <f t="shared" si="65"/>
        <v/>
      </c>
      <c r="BT77" s="39" t="str">
        <f t="shared" si="65"/>
        <v/>
      </c>
      <c r="BU77" s="39" t="str">
        <f t="shared" si="65"/>
        <v/>
      </c>
      <c r="BV77" s="39" t="str">
        <f t="shared" si="65"/>
        <v/>
      </c>
      <c r="BW77" s="39" t="str">
        <f t="shared" si="65"/>
        <v/>
      </c>
      <c r="BX77" s="39" t="str">
        <f t="shared" si="65"/>
        <v/>
      </c>
      <c r="BY77" s="39" t="str">
        <f t="shared" si="65"/>
        <v/>
      </c>
      <c r="BZ77" s="39" t="str">
        <f t="shared" si="65"/>
        <v/>
      </c>
      <c r="CA77" s="39" t="str">
        <f t="shared" si="65"/>
        <v/>
      </c>
      <c r="CB77" s="39" t="str">
        <f t="shared" si="63"/>
        <v/>
      </c>
      <c r="CC77" s="39" t="str">
        <f t="shared" si="63"/>
        <v/>
      </c>
      <c r="CD77" s="39" t="str">
        <f t="shared" si="63"/>
        <v/>
      </c>
      <c r="CE77" s="39" t="str">
        <f t="shared" si="63"/>
        <v/>
      </c>
      <c r="CF77" s="39" t="str">
        <f t="shared" si="63"/>
        <v/>
      </c>
      <c r="CG77" s="39" t="str">
        <f t="shared" si="63"/>
        <v/>
      </c>
      <c r="CH77" s="39" t="str">
        <f t="shared" si="63"/>
        <v/>
      </c>
      <c r="CI77" s="39" t="str">
        <f t="shared" si="63"/>
        <v/>
      </c>
      <c r="CJ77" s="39" t="str">
        <f t="shared" si="63"/>
        <v/>
      </c>
      <c r="CK77" s="39" t="str">
        <f t="shared" si="63"/>
        <v/>
      </c>
      <c r="CL77" s="39" t="str">
        <f t="shared" si="63"/>
        <v/>
      </c>
      <c r="CM77" s="39" t="str">
        <f t="shared" si="63"/>
        <v/>
      </c>
      <c r="CN77" s="39" t="str">
        <f t="shared" si="63"/>
        <v/>
      </c>
      <c r="CO77" s="39" t="str">
        <f t="shared" si="63"/>
        <v/>
      </c>
      <c r="CP77" s="39" t="str">
        <f t="shared" si="63"/>
        <v/>
      </c>
      <c r="CQ77" s="39" t="str">
        <f t="shared" si="64"/>
        <v/>
      </c>
      <c r="CR77" s="39" t="str">
        <f t="shared" si="64"/>
        <v/>
      </c>
      <c r="CS77" s="39" t="str">
        <f t="shared" si="64"/>
        <v/>
      </c>
      <c r="CT77" s="39" t="str">
        <f t="shared" si="64"/>
        <v/>
      </c>
      <c r="CU77" s="39" t="str">
        <f t="shared" si="64"/>
        <v/>
      </c>
      <c r="CV77" s="39" t="str">
        <f t="shared" si="64"/>
        <v/>
      </c>
      <c r="CW77" s="39" t="str">
        <f t="shared" si="64"/>
        <v/>
      </c>
      <c r="CX77" s="39" t="str">
        <f t="shared" si="64"/>
        <v/>
      </c>
      <c r="CY77" s="39" t="str">
        <f t="shared" si="64"/>
        <v/>
      </c>
      <c r="CZ77" s="39" t="str">
        <f t="shared" si="64"/>
        <v/>
      </c>
      <c r="DA77" s="39" t="str">
        <f t="shared" si="64"/>
        <v/>
      </c>
      <c r="DB77" s="39" t="str">
        <f t="shared" si="64"/>
        <v/>
      </c>
      <c r="DC77" s="39" t="str">
        <f t="shared" si="64"/>
        <v/>
      </c>
      <c r="DD77" s="39" t="str">
        <f t="shared" si="64"/>
        <v/>
      </c>
      <c r="DE77" s="39" t="str">
        <f t="shared" si="64"/>
        <v/>
      </c>
      <c r="DF77" s="37" t="str">
        <f t="shared" si="58"/>
        <v>1+0+0</v>
      </c>
      <c r="DG77" s="37" t="str">
        <f t="shared" si="59"/>
        <v>711+926</v>
      </c>
      <c r="DH77" s="37" t="str">
        <f t="shared" si="60"/>
        <v>0+0</v>
      </c>
      <c r="DI77" s="37" t="str">
        <f t="shared" si="61"/>
        <v>0+0</v>
      </c>
      <c r="DJ77" s="37" t="str">
        <f t="shared" si="62"/>
        <v>1+0+0|711+926|0+0|0+0</v>
      </c>
    </row>
    <row r="78" spans="2:114" x14ac:dyDescent="0.15">
      <c r="B78" s="15">
        <v>75</v>
      </c>
      <c r="C78" s="15" t="s">
        <v>104</v>
      </c>
      <c r="D78" s="15">
        <v>48</v>
      </c>
      <c r="G78" s="25" t="s">
        <v>534</v>
      </c>
      <c r="H78" s="25">
        <v>75</v>
      </c>
      <c r="I78" s="26" t="s">
        <v>330</v>
      </c>
      <c r="J78" s="26">
        <f t="shared" si="40"/>
        <v>158</v>
      </c>
      <c r="M78" s="25" t="s">
        <v>534</v>
      </c>
      <c r="N78" s="25">
        <v>75</v>
      </c>
      <c r="O78" s="26" t="s">
        <v>330</v>
      </c>
      <c r="P78" s="26">
        <f t="shared" si="41"/>
        <v>158</v>
      </c>
      <c r="Q78" s="26"/>
      <c r="R78" s="26"/>
      <c r="S78" s="25" t="s">
        <v>534</v>
      </c>
      <c r="T78" s="25">
        <v>75</v>
      </c>
      <c r="U78" s="26" t="s">
        <v>858</v>
      </c>
      <c r="V78" s="26">
        <f t="shared" si="42"/>
        <v>29</v>
      </c>
      <c r="W78" s="26"/>
      <c r="Y78" s="25" t="s">
        <v>534</v>
      </c>
      <c r="Z78" s="25">
        <v>75</v>
      </c>
      <c r="AA78" s="26" t="s">
        <v>288</v>
      </c>
      <c r="AB78" s="26">
        <f t="shared" si="43"/>
        <v>138</v>
      </c>
      <c r="AE78" s="25" t="s">
        <v>534</v>
      </c>
      <c r="AF78" s="25">
        <v>75</v>
      </c>
      <c r="AG78" s="26" t="s">
        <v>261</v>
      </c>
      <c r="AH78" s="26">
        <f t="shared" si="44"/>
        <v>125</v>
      </c>
      <c r="AK78" s="25" t="s">
        <v>534</v>
      </c>
      <c r="AL78" s="25">
        <v>75</v>
      </c>
      <c r="AM78" s="26" t="s">
        <v>968</v>
      </c>
      <c r="AN78" s="26">
        <f t="shared" si="45"/>
        <v>73</v>
      </c>
      <c r="AQ78" s="25" t="s">
        <v>534</v>
      </c>
      <c r="AR78" s="25">
        <v>75</v>
      </c>
      <c r="AS78" s="26" t="s">
        <v>977</v>
      </c>
      <c r="AT78" s="26">
        <f t="shared" si="46"/>
        <v>137</v>
      </c>
      <c r="AX78" s="15"/>
      <c r="AY78" s="35">
        <f t="shared" si="47"/>
        <v>75</v>
      </c>
      <c r="AZ78" s="35" t="str">
        <f t="shared" si="48"/>
        <v>405+432</v>
      </c>
      <c r="BA78" s="35">
        <f t="shared" si="49"/>
        <v>48</v>
      </c>
      <c r="BB78" s="38">
        <f>COUNTIF($BA$4:$BA78,$BA78)</f>
        <v>2</v>
      </c>
      <c r="BC78" s="36" t="str">
        <f t="shared" si="50"/>
        <v>村</v>
      </c>
      <c r="BD78" s="36" t="str">
        <f t="shared" si="51"/>
        <v>村</v>
      </c>
      <c r="BE78" s="36" t="str">
        <f t="shared" si="52"/>
        <v/>
      </c>
      <c r="BF78" s="36" t="str">
        <f t="shared" si="53"/>
        <v>村</v>
      </c>
      <c r="BG78" s="36" t="str">
        <f t="shared" si="54"/>
        <v/>
      </c>
      <c r="BH78" s="36" t="str">
        <f t="shared" si="55"/>
        <v/>
      </c>
      <c r="BI78" s="36" t="str">
        <f t="shared" si="56"/>
        <v/>
      </c>
      <c r="BJ78" s="29" t="str">
        <f t="shared" si="57"/>
        <v>村</v>
      </c>
      <c r="BL78" s="15">
        <v>75</v>
      </c>
      <c r="BM78" s="39" t="str">
        <f t="shared" si="65"/>
        <v/>
      </c>
      <c r="BN78" s="39" t="str">
        <f t="shared" si="65"/>
        <v>750+878</v>
      </c>
      <c r="BO78" s="39" t="str">
        <f t="shared" si="65"/>
        <v/>
      </c>
      <c r="BP78" s="39" t="str">
        <f t="shared" si="65"/>
        <v/>
      </c>
      <c r="BQ78" s="39" t="str">
        <f t="shared" si="65"/>
        <v/>
      </c>
      <c r="BR78" s="39" t="str">
        <f t="shared" si="65"/>
        <v/>
      </c>
      <c r="BS78" s="39" t="str">
        <f t="shared" si="65"/>
        <v/>
      </c>
      <c r="BT78" s="39" t="str">
        <f t="shared" si="65"/>
        <v/>
      </c>
      <c r="BU78" s="39" t="str">
        <f t="shared" si="65"/>
        <v/>
      </c>
      <c r="BV78" s="39" t="str">
        <f t="shared" si="65"/>
        <v/>
      </c>
      <c r="BW78" s="39" t="str">
        <f t="shared" si="65"/>
        <v/>
      </c>
      <c r="BX78" s="39" t="str">
        <f t="shared" si="65"/>
        <v/>
      </c>
      <c r="BY78" s="39" t="str">
        <f t="shared" si="65"/>
        <v/>
      </c>
      <c r="BZ78" s="39" t="str">
        <f t="shared" si="65"/>
        <v/>
      </c>
      <c r="CA78" s="39" t="str">
        <f t="shared" si="65"/>
        <v/>
      </c>
      <c r="CB78" s="39" t="str">
        <f t="shared" si="63"/>
        <v/>
      </c>
      <c r="CC78" s="39" t="str">
        <f t="shared" si="63"/>
        <v/>
      </c>
      <c r="CD78" s="39" t="str">
        <f t="shared" si="63"/>
        <v>741+862</v>
      </c>
      <c r="CE78" s="39" t="str">
        <f t="shared" si="63"/>
        <v/>
      </c>
      <c r="CF78" s="39" t="str">
        <f t="shared" si="63"/>
        <v/>
      </c>
      <c r="CG78" s="39" t="str">
        <f t="shared" si="63"/>
        <v/>
      </c>
      <c r="CH78" s="39" t="str">
        <f t="shared" si="63"/>
        <v/>
      </c>
      <c r="CI78" s="39" t="str">
        <f t="shared" si="63"/>
        <v/>
      </c>
      <c r="CJ78" s="39" t="str">
        <f t="shared" si="63"/>
        <v/>
      </c>
      <c r="CK78" s="39" t="str">
        <f t="shared" si="63"/>
        <v/>
      </c>
      <c r="CL78" s="39" t="str">
        <f t="shared" si="63"/>
        <v/>
      </c>
      <c r="CM78" s="39" t="str">
        <f t="shared" si="63"/>
        <v/>
      </c>
      <c r="CN78" s="39" t="str">
        <f t="shared" si="63"/>
        <v/>
      </c>
      <c r="CO78" s="39" t="str">
        <f t="shared" si="63"/>
        <v/>
      </c>
      <c r="CP78" s="39" t="str">
        <f t="shared" si="63"/>
        <v/>
      </c>
      <c r="CQ78" s="39" t="str">
        <f t="shared" si="64"/>
        <v>775+889</v>
      </c>
      <c r="CR78" s="39" t="str">
        <f t="shared" si="64"/>
        <v/>
      </c>
      <c r="CS78" s="39" t="str">
        <f t="shared" si="64"/>
        <v/>
      </c>
      <c r="CT78" s="39" t="str">
        <f t="shared" si="64"/>
        <v/>
      </c>
      <c r="CU78" s="39" t="str">
        <f t="shared" si="64"/>
        <v/>
      </c>
      <c r="CV78" s="39" t="str">
        <f t="shared" si="64"/>
        <v/>
      </c>
      <c r="CW78" s="39" t="str">
        <f t="shared" si="64"/>
        <v/>
      </c>
      <c r="CX78" s="39" t="str">
        <f t="shared" si="64"/>
        <v/>
      </c>
      <c r="CY78" s="39" t="str">
        <f t="shared" si="64"/>
        <v/>
      </c>
      <c r="CZ78" s="39" t="str">
        <f t="shared" si="64"/>
        <v/>
      </c>
      <c r="DA78" s="39" t="str">
        <f t="shared" si="64"/>
        <v/>
      </c>
      <c r="DB78" s="39" t="str">
        <f t="shared" si="64"/>
        <v/>
      </c>
      <c r="DC78" s="39" t="str">
        <f t="shared" si="64"/>
        <v/>
      </c>
      <c r="DD78" s="39" t="str">
        <f t="shared" si="64"/>
        <v/>
      </c>
      <c r="DE78" s="39" t="str">
        <f t="shared" si="64"/>
        <v/>
      </c>
      <c r="DF78" s="37" t="str">
        <f t="shared" si="58"/>
        <v>1+1+1</v>
      </c>
      <c r="DG78" s="37" t="str">
        <f t="shared" si="59"/>
        <v>750+878</v>
      </c>
      <c r="DH78" s="37" t="str">
        <f t="shared" si="60"/>
        <v>741+862</v>
      </c>
      <c r="DI78" s="37" t="str">
        <f t="shared" si="61"/>
        <v>775+889</v>
      </c>
      <c r="DJ78" s="37" t="str">
        <f t="shared" si="62"/>
        <v>1+1+1|750+878|741+862|775+889</v>
      </c>
    </row>
    <row r="79" spans="2:114" x14ac:dyDescent="0.15">
      <c r="B79" s="15">
        <v>76</v>
      </c>
      <c r="C79" s="15" t="s">
        <v>601</v>
      </c>
      <c r="D79" s="15">
        <v>48</v>
      </c>
      <c r="G79" s="25" t="s">
        <v>534</v>
      </c>
      <c r="H79" s="25">
        <v>76</v>
      </c>
      <c r="I79" s="26" t="s">
        <v>329</v>
      </c>
      <c r="J79" s="26">
        <f t="shared" si="40"/>
        <v>158</v>
      </c>
      <c r="M79" s="25" t="s">
        <v>534</v>
      </c>
      <c r="N79" s="25">
        <v>76</v>
      </c>
      <c r="O79" s="26" t="s">
        <v>329</v>
      </c>
      <c r="P79" s="26">
        <f t="shared" si="41"/>
        <v>158</v>
      </c>
      <c r="Q79" s="26"/>
      <c r="R79" s="26"/>
      <c r="S79" s="25" t="s">
        <v>534</v>
      </c>
      <c r="T79" s="25">
        <v>76</v>
      </c>
      <c r="U79" s="26" t="s">
        <v>859</v>
      </c>
      <c r="V79" s="26">
        <f t="shared" si="42"/>
        <v>29</v>
      </c>
      <c r="W79" s="26"/>
      <c r="Y79" s="25" t="s">
        <v>534</v>
      </c>
      <c r="Z79" s="25">
        <v>76</v>
      </c>
      <c r="AA79" s="26" t="s">
        <v>276</v>
      </c>
      <c r="AB79" s="26">
        <f t="shared" si="43"/>
        <v>132</v>
      </c>
      <c r="AE79" s="25" t="s">
        <v>534</v>
      </c>
      <c r="AF79" s="25">
        <v>76</v>
      </c>
      <c r="AG79" s="26" t="s">
        <v>264</v>
      </c>
      <c r="AH79" s="26">
        <f t="shared" si="44"/>
        <v>126</v>
      </c>
      <c r="AK79" s="25" t="s">
        <v>534</v>
      </c>
      <c r="AL79" s="25">
        <v>76</v>
      </c>
      <c r="AM79" s="26" t="s">
        <v>967</v>
      </c>
      <c r="AN79" s="26">
        <f t="shared" si="45"/>
        <v>73</v>
      </c>
      <c r="AQ79" s="25" t="s">
        <v>534</v>
      </c>
      <c r="AR79" s="25">
        <v>76</v>
      </c>
      <c r="AS79" s="26" t="s">
        <v>286</v>
      </c>
      <c r="AT79" s="26">
        <f t="shared" si="46"/>
        <v>137</v>
      </c>
      <c r="AX79" s="15"/>
      <c r="AY79" s="35">
        <f t="shared" si="47"/>
        <v>76</v>
      </c>
      <c r="AZ79" s="35" t="str">
        <f t="shared" si="48"/>
        <v>424+438</v>
      </c>
      <c r="BA79" s="35">
        <f t="shared" si="49"/>
        <v>48</v>
      </c>
      <c r="BB79" s="38">
        <f>COUNTIF($BA$4:$BA79,$BA79)</f>
        <v>3</v>
      </c>
      <c r="BC79" s="36" t="str">
        <f t="shared" si="50"/>
        <v>营</v>
      </c>
      <c r="BD79" s="36" t="str">
        <f t="shared" si="51"/>
        <v>营</v>
      </c>
      <c r="BE79" s="36" t="str">
        <f t="shared" si="52"/>
        <v/>
      </c>
      <c r="BF79" s="36" t="str">
        <f t="shared" si="53"/>
        <v/>
      </c>
      <c r="BG79" s="36" t="str">
        <f t="shared" si="54"/>
        <v/>
      </c>
      <c r="BH79" s="36" t="str">
        <f t="shared" si="55"/>
        <v/>
      </c>
      <c r="BI79" s="36" t="str">
        <f t="shared" si="56"/>
        <v/>
      </c>
      <c r="BJ79" s="29" t="str">
        <f t="shared" si="57"/>
        <v>营</v>
      </c>
      <c r="BL79" s="15">
        <v>76</v>
      </c>
      <c r="BM79" s="39" t="str">
        <f t="shared" si="65"/>
        <v>750+923</v>
      </c>
      <c r="BN79" s="39" t="str">
        <f t="shared" si="65"/>
        <v>736+939</v>
      </c>
      <c r="BO79" s="39" t="str">
        <f t="shared" si="65"/>
        <v>748+906</v>
      </c>
      <c r="BP79" s="39" t="str">
        <f t="shared" si="65"/>
        <v/>
      </c>
      <c r="BQ79" s="39" t="str">
        <f t="shared" si="65"/>
        <v/>
      </c>
      <c r="BR79" s="39" t="str">
        <f t="shared" si="65"/>
        <v/>
      </c>
      <c r="BS79" s="39" t="str">
        <f t="shared" si="65"/>
        <v/>
      </c>
      <c r="BT79" s="39" t="str">
        <f t="shared" si="65"/>
        <v/>
      </c>
      <c r="BU79" s="39" t="str">
        <f t="shared" si="65"/>
        <v/>
      </c>
      <c r="BV79" s="39" t="str">
        <f t="shared" si="65"/>
        <v/>
      </c>
      <c r="BW79" s="39" t="str">
        <f t="shared" si="65"/>
        <v/>
      </c>
      <c r="BX79" s="39" t="str">
        <f t="shared" si="65"/>
        <v/>
      </c>
      <c r="BY79" s="39" t="str">
        <f t="shared" si="65"/>
        <v/>
      </c>
      <c r="BZ79" s="39" t="str">
        <f t="shared" si="65"/>
        <v/>
      </c>
      <c r="CA79" s="39" t="str">
        <f t="shared" si="65"/>
        <v/>
      </c>
      <c r="CB79" s="39" t="str">
        <f t="shared" si="63"/>
        <v/>
      </c>
      <c r="CC79" s="39" t="str">
        <f t="shared" si="63"/>
        <v/>
      </c>
      <c r="CD79" s="39" t="str">
        <f t="shared" si="63"/>
        <v/>
      </c>
      <c r="CE79" s="39" t="str">
        <f t="shared" si="63"/>
        <v>772+949</v>
      </c>
      <c r="CF79" s="39" t="str">
        <f t="shared" si="63"/>
        <v/>
      </c>
      <c r="CG79" s="39" t="str">
        <f t="shared" si="63"/>
        <v/>
      </c>
      <c r="CH79" s="39" t="str">
        <f t="shared" si="63"/>
        <v/>
      </c>
      <c r="CI79" s="39" t="str">
        <f t="shared" si="63"/>
        <v/>
      </c>
      <c r="CJ79" s="39" t="str">
        <f t="shared" si="63"/>
        <v/>
      </c>
      <c r="CK79" s="39" t="str">
        <f t="shared" si="63"/>
        <v/>
      </c>
      <c r="CL79" s="39" t="str">
        <f t="shared" si="63"/>
        <v/>
      </c>
      <c r="CM79" s="39" t="str">
        <f t="shared" si="63"/>
        <v/>
      </c>
      <c r="CN79" s="39" t="str">
        <f t="shared" si="63"/>
        <v/>
      </c>
      <c r="CO79" s="39" t="str">
        <f t="shared" si="63"/>
        <v/>
      </c>
      <c r="CP79" s="39" t="str">
        <f t="shared" si="63"/>
        <v/>
      </c>
      <c r="CQ79" s="39" t="str">
        <f t="shared" si="64"/>
        <v/>
      </c>
      <c r="CR79" s="39" t="str">
        <f t="shared" si="64"/>
        <v/>
      </c>
      <c r="CS79" s="39" t="str">
        <f t="shared" si="64"/>
        <v/>
      </c>
      <c r="CT79" s="39" t="str">
        <f t="shared" si="64"/>
        <v/>
      </c>
      <c r="CU79" s="39" t="str">
        <f t="shared" si="64"/>
        <v/>
      </c>
      <c r="CV79" s="39" t="str">
        <f t="shared" si="64"/>
        <v/>
      </c>
      <c r="CW79" s="39" t="str">
        <f t="shared" si="64"/>
        <v/>
      </c>
      <c r="CX79" s="39" t="str">
        <f t="shared" si="64"/>
        <v/>
      </c>
      <c r="CY79" s="39" t="str">
        <f t="shared" si="64"/>
        <v/>
      </c>
      <c r="CZ79" s="39" t="str">
        <f t="shared" si="64"/>
        <v/>
      </c>
      <c r="DA79" s="39" t="str">
        <f t="shared" si="64"/>
        <v/>
      </c>
      <c r="DB79" s="39" t="str">
        <f t="shared" si="64"/>
        <v/>
      </c>
      <c r="DC79" s="39" t="str">
        <f t="shared" si="64"/>
        <v/>
      </c>
      <c r="DD79" s="39" t="str">
        <f t="shared" si="64"/>
        <v/>
      </c>
      <c r="DE79" s="39" t="str">
        <f t="shared" si="64"/>
        <v/>
      </c>
      <c r="DF79" s="37" t="str">
        <f t="shared" si="58"/>
        <v>3+1+0</v>
      </c>
      <c r="DG79" s="37" t="str">
        <f t="shared" si="59"/>
        <v>750+923|736+939|748+906</v>
      </c>
      <c r="DH79" s="37" t="str">
        <f t="shared" si="60"/>
        <v>772+949</v>
      </c>
      <c r="DI79" s="37" t="str">
        <f t="shared" si="61"/>
        <v>0+0</v>
      </c>
      <c r="DJ79" s="37" t="str">
        <f t="shared" si="62"/>
        <v>3+1+0|750+923|736+939|748+906|772+949|0+0</v>
      </c>
    </row>
    <row r="80" spans="2:114" x14ac:dyDescent="0.15">
      <c r="B80" s="15">
        <v>77</v>
      </c>
      <c r="C80" s="15" t="s">
        <v>105</v>
      </c>
      <c r="D80" s="15">
        <v>49</v>
      </c>
      <c r="G80" s="25" t="s">
        <v>534</v>
      </c>
      <c r="H80" s="25">
        <v>77</v>
      </c>
      <c r="I80" s="26" t="s">
        <v>327</v>
      </c>
      <c r="J80" s="26">
        <f t="shared" si="40"/>
        <v>157</v>
      </c>
      <c r="M80" s="25" t="s">
        <v>534</v>
      </c>
      <c r="N80" s="25">
        <v>77</v>
      </c>
      <c r="O80" s="26" t="s">
        <v>95</v>
      </c>
      <c r="P80" s="26">
        <f t="shared" si="41"/>
        <v>44</v>
      </c>
      <c r="Q80" s="26"/>
      <c r="R80" s="26"/>
      <c r="S80" s="25" t="s">
        <v>534</v>
      </c>
      <c r="T80" s="25">
        <v>77</v>
      </c>
      <c r="U80" s="26" t="s">
        <v>202</v>
      </c>
      <c r="V80" s="26">
        <f t="shared" si="42"/>
        <v>96</v>
      </c>
      <c r="W80" s="26"/>
      <c r="Y80" s="25" t="s">
        <v>534</v>
      </c>
      <c r="Z80" s="25">
        <v>77</v>
      </c>
      <c r="AA80" s="26" t="s">
        <v>302</v>
      </c>
      <c r="AB80" s="26">
        <f t="shared" si="43"/>
        <v>144</v>
      </c>
      <c r="AE80" s="25" t="s">
        <v>534</v>
      </c>
      <c r="AF80" s="25">
        <v>77</v>
      </c>
      <c r="AG80" s="26" t="s">
        <v>918</v>
      </c>
      <c r="AH80" s="26">
        <f t="shared" si="44"/>
        <v>125</v>
      </c>
      <c r="AK80" s="25" t="s">
        <v>534</v>
      </c>
      <c r="AL80" s="25">
        <v>77</v>
      </c>
      <c r="AM80" s="26" t="s">
        <v>842</v>
      </c>
      <c r="AN80" s="26">
        <f t="shared" si="45"/>
        <v>73</v>
      </c>
      <c r="AQ80" s="25" t="s">
        <v>534</v>
      </c>
      <c r="AR80" s="25">
        <v>77</v>
      </c>
      <c r="AS80" s="26" t="s">
        <v>997</v>
      </c>
      <c r="AT80" s="26">
        <f t="shared" si="46"/>
        <v>132</v>
      </c>
      <c r="AX80" s="15"/>
      <c r="AY80" s="35">
        <f t="shared" si="47"/>
        <v>77</v>
      </c>
      <c r="AZ80" s="35" t="str">
        <f t="shared" si="48"/>
        <v>355+457</v>
      </c>
      <c r="BA80" s="35">
        <f t="shared" si="49"/>
        <v>49</v>
      </c>
      <c r="BB80" s="38">
        <f>COUNTIF($BA$4:$BA80,$BA80)</f>
        <v>1</v>
      </c>
      <c r="BC80" s="36" t="str">
        <f t="shared" si="50"/>
        <v>村</v>
      </c>
      <c r="BD80" s="36" t="str">
        <f t="shared" si="51"/>
        <v/>
      </c>
      <c r="BE80" s="36" t="str">
        <f t="shared" si="52"/>
        <v/>
      </c>
      <c r="BF80" s="36" t="str">
        <f t="shared" si="53"/>
        <v>村</v>
      </c>
      <c r="BG80" s="36" t="str">
        <f t="shared" si="54"/>
        <v/>
      </c>
      <c r="BH80" s="36" t="str">
        <f t="shared" si="55"/>
        <v/>
      </c>
      <c r="BI80" s="36" t="str">
        <f t="shared" si="56"/>
        <v/>
      </c>
      <c r="BJ80" s="29" t="str">
        <f t="shared" si="57"/>
        <v>村</v>
      </c>
      <c r="BL80" s="15">
        <v>77</v>
      </c>
      <c r="BM80" s="39" t="str">
        <f t="shared" si="65"/>
        <v/>
      </c>
      <c r="BN80" s="39" t="str">
        <f t="shared" si="65"/>
        <v/>
      </c>
      <c r="BO80" s="39" t="str">
        <f t="shared" si="65"/>
        <v/>
      </c>
      <c r="BP80" s="39" t="str">
        <f t="shared" si="65"/>
        <v/>
      </c>
      <c r="BQ80" s="39" t="str">
        <f t="shared" si="65"/>
        <v/>
      </c>
      <c r="BR80" s="39" t="str">
        <f t="shared" si="65"/>
        <v/>
      </c>
      <c r="BS80" s="39" t="str">
        <f t="shared" si="65"/>
        <v/>
      </c>
      <c r="BT80" s="39" t="str">
        <f t="shared" si="65"/>
        <v/>
      </c>
      <c r="BU80" s="39" t="str">
        <f t="shared" si="65"/>
        <v/>
      </c>
      <c r="BV80" s="39" t="str">
        <f t="shared" si="65"/>
        <v/>
      </c>
      <c r="BW80" s="39" t="str">
        <f t="shared" si="65"/>
        <v/>
      </c>
      <c r="BX80" s="39" t="str">
        <f t="shared" si="65"/>
        <v/>
      </c>
      <c r="BY80" s="39" t="str">
        <f t="shared" si="65"/>
        <v/>
      </c>
      <c r="BZ80" s="39" t="str">
        <f t="shared" si="65"/>
        <v/>
      </c>
      <c r="CA80" s="39" t="str">
        <f t="shared" si="65"/>
        <v/>
      </c>
      <c r="CB80" s="39" t="str">
        <f t="shared" si="63"/>
        <v/>
      </c>
      <c r="CC80" s="39" t="str">
        <f t="shared" si="63"/>
        <v/>
      </c>
      <c r="CD80" s="39" t="str">
        <f t="shared" si="63"/>
        <v/>
      </c>
      <c r="CE80" s="39" t="str">
        <f t="shared" si="63"/>
        <v/>
      </c>
      <c r="CF80" s="39" t="str">
        <f t="shared" si="63"/>
        <v/>
      </c>
      <c r="CG80" s="39" t="str">
        <f t="shared" si="63"/>
        <v/>
      </c>
      <c r="CH80" s="39" t="str">
        <f t="shared" si="63"/>
        <v/>
      </c>
      <c r="CI80" s="39" t="str">
        <f t="shared" si="63"/>
        <v/>
      </c>
      <c r="CJ80" s="39" t="str">
        <f t="shared" si="63"/>
        <v/>
      </c>
      <c r="CK80" s="39" t="str">
        <f t="shared" si="63"/>
        <v/>
      </c>
      <c r="CL80" s="39" t="str">
        <f t="shared" si="63"/>
        <v/>
      </c>
      <c r="CM80" s="39" t="str">
        <f t="shared" si="63"/>
        <v/>
      </c>
      <c r="CN80" s="39" t="str">
        <f t="shared" si="63"/>
        <v/>
      </c>
      <c r="CO80" s="39" t="str">
        <f t="shared" si="63"/>
        <v/>
      </c>
      <c r="CP80" s="39" t="str">
        <f t="shared" si="63"/>
        <v/>
      </c>
      <c r="CQ80" s="39" t="str">
        <f t="shared" si="64"/>
        <v>640+952</v>
      </c>
      <c r="CR80" s="39" t="str">
        <f t="shared" si="64"/>
        <v/>
      </c>
      <c r="CS80" s="39" t="str">
        <f t="shared" si="64"/>
        <v/>
      </c>
      <c r="CT80" s="39" t="str">
        <f t="shared" si="64"/>
        <v/>
      </c>
      <c r="CU80" s="39" t="str">
        <f t="shared" si="64"/>
        <v/>
      </c>
      <c r="CV80" s="39" t="str">
        <f t="shared" si="64"/>
        <v/>
      </c>
      <c r="CW80" s="39" t="str">
        <f t="shared" si="64"/>
        <v/>
      </c>
      <c r="CX80" s="39" t="str">
        <f t="shared" si="64"/>
        <v/>
      </c>
      <c r="CY80" s="39" t="str">
        <f t="shared" si="64"/>
        <v/>
      </c>
      <c r="CZ80" s="39" t="str">
        <f t="shared" si="64"/>
        <v/>
      </c>
      <c r="DA80" s="39" t="str">
        <f t="shared" si="64"/>
        <v/>
      </c>
      <c r="DB80" s="39" t="str">
        <f t="shared" si="64"/>
        <v/>
      </c>
      <c r="DC80" s="39" t="str">
        <f t="shared" si="64"/>
        <v/>
      </c>
      <c r="DD80" s="39" t="str">
        <f t="shared" si="64"/>
        <v/>
      </c>
      <c r="DE80" s="39" t="str">
        <f t="shared" si="64"/>
        <v/>
      </c>
      <c r="DF80" s="37" t="str">
        <f t="shared" si="58"/>
        <v>0+0+1</v>
      </c>
      <c r="DG80" s="37" t="str">
        <f t="shared" si="59"/>
        <v>0+0</v>
      </c>
      <c r="DH80" s="37" t="str">
        <f t="shared" si="60"/>
        <v>0+0</v>
      </c>
      <c r="DI80" s="37" t="str">
        <f t="shared" si="61"/>
        <v>640+952</v>
      </c>
      <c r="DJ80" s="37" t="str">
        <f t="shared" si="62"/>
        <v>0+0+1|0+0|0+0|640+952</v>
      </c>
    </row>
    <row r="81" spans="2:114" x14ac:dyDescent="0.15">
      <c r="B81" s="15">
        <v>78</v>
      </c>
      <c r="C81" s="15" t="s">
        <v>106</v>
      </c>
      <c r="D81" s="15">
        <v>49</v>
      </c>
      <c r="G81" s="25" t="s">
        <v>534</v>
      </c>
      <c r="H81" s="25">
        <v>78</v>
      </c>
      <c r="I81" s="26" t="s">
        <v>317</v>
      </c>
      <c r="J81" s="26">
        <f t="shared" si="40"/>
        <v>151</v>
      </c>
      <c r="M81" s="25" t="s">
        <v>534</v>
      </c>
      <c r="N81" s="25">
        <v>78</v>
      </c>
      <c r="O81" s="26" t="s">
        <v>96</v>
      </c>
      <c r="P81" s="26">
        <f t="shared" si="41"/>
        <v>44</v>
      </c>
      <c r="Q81" s="26"/>
      <c r="R81" s="26"/>
      <c r="S81" s="25" t="s">
        <v>534</v>
      </c>
      <c r="T81" s="25">
        <v>78</v>
      </c>
      <c r="U81" s="26" t="s">
        <v>201</v>
      </c>
      <c r="V81" s="26">
        <f t="shared" si="42"/>
        <v>96</v>
      </c>
      <c r="W81" s="26"/>
      <c r="Y81" s="25" t="s">
        <v>534</v>
      </c>
      <c r="Z81" s="25">
        <v>78</v>
      </c>
      <c r="AA81" s="26" t="s">
        <v>303</v>
      </c>
      <c r="AB81" s="26">
        <f t="shared" si="43"/>
        <v>144</v>
      </c>
      <c r="AE81" s="25" t="s">
        <v>534</v>
      </c>
      <c r="AF81" s="25">
        <v>78</v>
      </c>
      <c r="AG81" s="26" t="s">
        <v>955</v>
      </c>
      <c r="AH81" s="26">
        <f t="shared" si="44"/>
        <v>125</v>
      </c>
      <c r="AK81" s="25" t="s">
        <v>534</v>
      </c>
      <c r="AL81" s="25">
        <v>78</v>
      </c>
      <c r="AM81" s="26" t="s">
        <v>969</v>
      </c>
      <c r="AN81" s="26">
        <f t="shared" si="45"/>
        <v>76</v>
      </c>
      <c r="AQ81" s="25" t="s">
        <v>534</v>
      </c>
      <c r="AR81" s="25">
        <v>78</v>
      </c>
      <c r="AS81" s="26" t="s">
        <v>289</v>
      </c>
      <c r="AT81" s="26">
        <f t="shared" si="46"/>
        <v>138</v>
      </c>
      <c r="AX81" s="15"/>
      <c r="AY81" s="35">
        <f t="shared" si="47"/>
        <v>78</v>
      </c>
      <c r="AZ81" s="35" t="str">
        <f t="shared" si="48"/>
        <v>375+445</v>
      </c>
      <c r="BA81" s="35">
        <f t="shared" si="49"/>
        <v>49</v>
      </c>
      <c r="BB81" s="38">
        <f>COUNTIF($BA$4:$BA81,$BA81)</f>
        <v>2</v>
      </c>
      <c r="BC81" s="36" t="str">
        <f t="shared" si="50"/>
        <v>村</v>
      </c>
      <c r="BD81" s="36" t="str">
        <f t="shared" si="51"/>
        <v>村</v>
      </c>
      <c r="BE81" s="36" t="str">
        <f t="shared" si="52"/>
        <v/>
      </c>
      <c r="BF81" s="36" t="str">
        <f t="shared" si="53"/>
        <v>村</v>
      </c>
      <c r="BG81" s="36" t="str">
        <f t="shared" si="54"/>
        <v/>
      </c>
      <c r="BH81" s="36" t="str">
        <f t="shared" si="55"/>
        <v/>
      </c>
      <c r="BI81" s="36" t="str">
        <f t="shared" si="56"/>
        <v/>
      </c>
      <c r="BJ81" s="29" t="str">
        <f t="shared" si="57"/>
        <v>村</v>
      </c>
      <c r="BL81" s="15">
        <v>78</v>
      </c>
      <c r="BM81" s="39" t="str">
        <f t="shared" si="65"/>
        <v>671+875</v>
      </c>
      <c r="BN81" s="39" t="str">
        <f t="shared" si="65"/>
        <v>649+899</v>
      </c>
      <c r="BO81" s="39" t="str">
        <f t="shared" si="65"/>
        <v>660+861</v>
      </c>
      <c r="BP81" s="39" t="str">
        <f t="shared" si="65"/>
        <v>659+856</v>
      </c>
      <c r="BQ81" s="39" t="str">
        <f t="shared" si="65"/>
        <v>653+851</v>
      </c>
      <c r="BR81" s="39" t="str">
        <f t="shared" si="65"/>
        <v>642+886</v>
      </c>
      <c r="BS81" s="39" t="str">
        <f t="shared" si="65"/>
        <v/>
      </c>
      <c r="BT81" s="39" t="str">
        <f t="shared" si="65"/>
        <v/>
      </c>
      <c r="BU81" s="39" t="str">
        <f t="shared" si="65"/>
        <v/>
      </c>
      <c r="BV81" s="39" t="str">
        <f t="shared" si="65"/>
        <v/>
      </c>
      <c r="BW81" s="39" t="str">
        <f t="shared" si="65"/>
        <v/>
      </c>
      <c r="BX81" s="39" t="str">
        <f t="shared" si="65"/>
        <v/>
      </c>
      <c r="BY81" s="39" t="str">
        <f t="shared" si="65"/>
        <v/>
      </c>
      <c r="BZ81" s="39" t="str">
        <f t="shared" si="65"/>
        <v/>
      </c>
      <c r="CA81" s="39" t="str">
        <f t="shared" si="65"/>
        <v/>
      </c>
      <c r="CB81" s="39" t="str">
        <f t="shared" si="63"/>
        <v/>
      </c>
      <c r="CC81" s="39" t="str">
        <f t="shared" si="63"/>
        <v/>
      </c>
      <c r="CD81" s="39" t="str">
        <f t="shared" si="63"/>
        <v/>
      </c>
      <c r="CE81" s="39" t="str">
        <f t="shared" si="63"/>
        <v/>
      </c>
      <c r="CF81" s="39" t="str">
        <f t="shared" si="63"/>
        <v/>
      </c>
      <c r="CG81" s="39" t="str">
        <f t="shared" si="63"/>
        <v/>
      </c>
      <c r="CH81" s="39" t="str">
        <f t="shared" si="63"/>
        <v/>
      </c>
      <c r="CI81" s="39" t="str">
        <f t="shared" si="63"/>
        <v/>
      </c>
      <c r="CJ81" s="39" t="str">
        <f t="shared" si="63"/>
        <v/>
      </c>
      <c r="CK81" s="39" t="str">
        <f t="shared" si="63"/>
        <v/>
      </c>
      <c r="CL81" s="39" t="str">
        <f t="shared" si="63"/>
        <v/>
      </c>
      <c r="CM81" s="39" t="str">
        <f t="shared" si="63"/>
        <v/>
      </c>
      <c r="CN81" s="39" t="str">
        <f t="shared" si="63"/>
        <v/>
      </c>
      <c r="CO81" s="39" t="str">
        <f t="shared" si="63"/>
        <v/>
      </c>
      <c r="CP81" s="39" t="str">
        <f t="shared" si="63"/>
        <v/>
      </c>
      <c r="CQ81" s="39" t="str">
        <f t="shared" si="64"/>
        <v/>
      </c>
      <c r="CR81" s="39" t="str">
        <f t="shared" si="64"/>
        <v/>
      </c>
      <c r="CS81" s="39" t="str">
        <f t="shared" si="64"/>
        <v/>
      </c>
      <c r="CT81" s="39" t="str">
        <f t="shared" si="64"/>
        <v/>
      </c>
      <c r="CU81" s="39" t="str">
        <f t="shared" si="64"/>
        <v/>
      </c>
      <c r="CV81" s="39" t="str">
        <f t="shared" si="64"/>
        <v/>
      </c>
      <c r="CW81" s="39" t="str">
        <f t="shared" si="64"/>
        <v/>
      </c>
      <c r="CX81" s="39" t="str">
        <f t="shared" si="64"/>
        <v/>
      </c>
      <c r="CY81" s="39" t="str">
        <f t="shared" si="64"/>
        <v/>
      </c>
      <c r="CZ81" s="39" t="str">
        <f t="shared" si="64"/>
        <v/>
      </c>
      <c r="DA81" s="39" t="str">
        <f t="shared" si="64"/>
        <v/>
      </c>
      <c r="DB81" s="39" t="str">
        <f t="shared" si="64"/>
        <v/>
      </c>
      <c r="DC81" s="39" t="str">
        <f t="shared" si="64"/>
        <v/>
      </c>
      <c r="DD81" s="39" t="str">
        <f t="shared" si="64"/>
        <v/>
      </c>
      <c r="DE81" s="39" t="str">
        <f t="shared" si="64"/>
        <v/>
      </c>
      <c r="DF81" s="37" t="str">
        <f t="shared" si="58"/>
        <v>6+0+0</v>
      </c>
      <c r="DG81" s="37" t="str">
        <f t="shared" si="59"/>
        <v>671+875|649+899|660+861|659+856|653+851|642+886</v>
      </c>
      <c r="DH81" s="37" t="str">
        <f t="shared" si="60"/>
        <v>0+0</v>
      </c>
      <c r="DI81" s="37" t="str">
        <f t="shared" si="61"/>
        <v>0+0</v>
      </c>
      <c r="DJ81" s="37" t="str">
        <f t="shared" si="62"/>
        <v>6+0+0|671+875|649+899|660+861|659+856|653+851|642+886|0+0|0+0</v>
      </c>
    </row>
    <row r="82" spans="2:114" x14ac:dyDescent="0.15">
      <c r="B82" s="15">
        <v>79</v>
      </c>
      <c r="C82" s="15" t="s">
        <v>602</v>
      </c>
      <c r="D82" s="15">
        <v>49</v>
      </c>
      <c r="G82" s="25" t="s">
        <v>534</v>
      </c>
      <c r="H82" s="25">
        <v>79</v>
      </c>
      <c r="I82" s="26" t="s">
        <v>84</v>
      </c>
      <c r="J82" s="26">
        <f t="shared" si="40"/>
        <v>38</v>
      </c>
      <c r="M82" s="25" t="s">
        <v>534</v>
      </c>
      <c r="N82" s="25">
        <v>79</v>
      </c>
      <c r="O82" s="26" t="s">
        <v>321</v>
      </c>
      <c r="P82" s="26">
        <f t="shared" si="41"/>
        <v>154</v>
      </c>
      <c r="Q82" s="26"/>
      <c r="R82" s="26"/>
      <c r="S82" s="25" t="s">
        <v>534</v>
      </c>
      <c r="T82" s="25">
        <v>79</v>
      </c>
      <c r="U82" s="26" t="s">
        <v>85</v>
      </c>
      <c r="V82" s="26">
        <f t="shared" si="42"/>
        <v>38</v>
      </c>
      <c r="W82" s="26"/>
      <c r="Y82" s="25" t="s">
        <v>534</v>
      </c>
      <c r="Z82" s="25">
        <v>79</v>
      </c>
      <c r="AA82" s="26" t="s">
        <v>323</v>
      </c>
      <c r="AB82" s="26">
        <f t="shared" si="43"/>
        <v>155</v>
      </c>
      <c r="AE82" s="25" t="s">
        <v>534</v>
      </c>
      <c r="AF82" s="25">
        <v>79</v>
      </c>
      <c r="AG82" s="26" t="s">
        <v>945</v>
      </c>
      <c r="AH82" s="26">
        <f t="shared" si="44"/>
        <v>110</v>
      </c>
      <c r="AK82" s="25" t="s">
        <v>534</v>
      </c>
      <c r="AL82" s="25">
        <v>79</v>
      </c>
      <c r="AM82" s="26" t="s">
        <v>279</v>
      </c>
      <c r="AN82" s="26">
        <f t="shared" si="45"/>
        <v>133</v>
      </c>
      <c r="AQ82" s="25" t="s">
        <v>534</v>
      </c>
      <c r="AR82" s="25">
        <v>79</v>
      </c>
      <c r="AS82" s="26" t="s">
        <v>249</v>
      </c>
      <c r="AT82" s="26">
        <f t="shared" si="46"/>
        <v>119</v>
      </c>
      <c r="AX82" s="15"/>
      <c r="AY82" s="35">
        <f t="shared" si="47"/>
        <v>79</v>
      </c>
      <c r="AZ82" s="35" t="str">
        <f t="shared" si="48"/>
        <v>383+471</v>
      </c>
      <c r="BA82" s="35">
        <f t="shared" si="49"/>
        <v>49</v>
      </c>
      <c r="BB82" s="38">
        <f>COUNTIF($BA$4:$BA82,$BA82)</f>
        <v>3</v>
      </c>
      <c r="BC82" s="36" t="str">
        <f t="shared" si="50"/>
        <v/>
      </c>
      <c r="BD82" s="36" t="str">
        <f t="shared" si="51"/>
        <v/>
      </c>
      <c r="BE82" s="36" t="str">
        <f t="shared" si="52"/>
        <v/>
      </c>
      <c r="BF82" s="36" t="str">
        <f t="shared" si="53"/>
        <v>营</v>
      </c>
      <c r="BG82" s="36" t="str">
        <f t="shared" si="54"/>
        <v/>
      </c>
      <c r="BH82" s="36" t="str">
        <f t="shared" si="55"/>
        <v/>
      </c>
      <c r="BI82" s="36" t="str">
        <f t="shared" si="56"/>
        <v/>
      </c>
      <c r="BJ82" s="29" t="str">
        <f t="shared" si="57"/>
        <v>营</v>
      </c>
      <c r="BL82" s="15">
        <v>79</v>
      </c>
      <c r="BM82" s="39" t="str">
        <f t="shared" si="65"/>
        <v>664+825</v>
      </c>
      <c r="BN82" s="39" t="str">
        <f t="shared" si="65"/>
        <v/>
      </c>
      <c r="BO82" s="39" t="str">
        <f t="shared" si="65"/>
        <v>650+792</v>
      </c>
      <c r="BP82" s="39" t="str">
        <f t="shared" si="65"/>
        <v/>
      </c>
      <c r="BQ82" s="39" t="str">
        <f t="shared" si="65"/>
        <v/>
      </c>
      <c r="BR82" s="39" t="str">
        <f t="shared" si="65"/>
        <v>654+811</v>
      </c>
      <c r="BS82" s="39" t="str">
        <f t="shared" si="65"/>
        <v/>
      </c>
      <c r="BT82" s="39" t="str">
        <f t="shared" si="65"/>
        <v/>
      </c>
      <c r="BU82" s="39" t="str">
        <f t="shared" si="65"/>
        <v/>
      </c>
      <c r="BV82" s="39" t="str">
        <f t="shared" si="65"/>
        <v/>
      </c>
      <c r="BW82" s="39" t="str">
        <f t="shared" si="65"/>
        <v/>
      </c>
      <c r="BX82" s="39" t="str">
        <f t="shared" si="65"/>
        <v/>
      </c>
      <c r="BY82" s="39" t="str">
        <f t="shared" si="65"/>
        <v/>
      </c>
      <c r="BZ82" s="39" t="str">
        <f t="shared" si="65"/>
        <v/>
      </c>
      <c r="CA82" s="39" t="str">
        <f t="shared" si="65"/>
        <v/>
      </c>
      <c r="CB82" s="39" t="str">
        <f t="shared" si="63"/>
        <v/>
      </c>
      <c r="CC82" s="39" t="str">
        <f t="shared" si="63"/>
        <v/>
      </c>
      <c r="CD82" s="39" t="str">
        <f t="shared" si="63"/>
        <v/>
      </c>
      <c r="CE82" s="39" t="str">
        <f t="shared" si="63"/>
        <v/>
      </c>
      <c r="CF82" s="39" t="str">
        <f t="shared" si="63"/>
        <v/>
      </c>
      <c r="CG82" s="39" t="str">
        <f t="shared" si="63"/>
        <v/>
      </c>
      <c r="CH82" s="39" t="str">
        <f t="shared" si="63"/>
        <v/>
      </c>
      <c r="CI82" s="39" t="str">
        <f t="shared" si="63"/>
        <v/>
      </c>
      <c r="CJ82" s="39" t="str">
        <f t="shared" si="63"/>
        <v/>
      </c>
      <c r="CK82" s="39" t="str">
        <f t="shared" si="63"/>
        <v/>
      </c>
      <c r="CL82" s="39" t="str">
        <f t="shared" si="63"/>
        <v/>
      </c>
      <c r="CM82" s="39" t="str">
        <f t="shared" si="63"/>
        <v/>
      </c>
      <c r="CN82" s="39" t="str">
        <f t="shared" si="63"/>
        <v/>
      </c>
      <c r="CO82" s="39" t="str">
        <f t="shared" si="63"/>
        <v/>
      </c>
      <c r="CP82" s="39" t="str">
        <f t="shared" si="63"/>
        <v/>
      </c>
      <c r="CQ82" s="39" t="str">
        <f t="shared" si="64"/>
        <v/>
      </c>
      <c r="CR82" s="39" t="str">
        <f t="shared" si="64"/>
        <v>640+819</v>
      </c>
      <c r="CS82" s="39" t="str">
        <f t="shared" si="64"/>
        <v/>
      </c>
      <c r="CT82" s="39" t="str">
        <f t="shared" si="64"/>
        <v>677+812</v>
      </c>
      <c r="CU82" s="39" t="str">
        <f t="shared" si="64"/>
        <v>672+802</v>
      </c>
      <c r="CV82" s="39" t="str">
        <f t="shared" si="64"/>
        <v/>
      </c>
      <c r="CW82" s="39" t="str">
        <f t="shared" si="64"/>
        <v/>
      </c>
      <c r="CX82" s="39" t="str">
        <f t="shared" si="64"/>
        <v/>
      </c>
      <c r="CY82" s="39" t="str">
        <f t="shared" si="64"/>
        <v/>
      </c>
      <c r="CZ82" s="39" t="str">
        <f t="shared" si="64"/>
        <v/>
      </c>
      <c r="DA82" s="39" t="str">
        <f t="shared" si="64"/>
        <v/>
      </c>
      <c r="DB82" s="39" t="str">
        <f t="shared" si="64"/>
        <v/>
      </c>
      <c r="DC82" s="39" t="str">
        <f t="shared" si="64"/>
        <v/>
      </c>
      <c r="DD82" s="39" t="str">
        <f t="shared" si="64"/>
        <v/>
      </c>
      <c r="DE82" s="39" t="str">
        <f t="shared" si="64"/>
        <v/>
      </c>
      <c r="DF82" s="37" t="str">
        <f t="shared" si="58"/>
        <v>3+0+3</v>
      </c>
      <c r="DG82" s="37" t="str">
        <f t="shared" si="59"/>
        <v>664+825|650+792|654+811</v>
      </c>
      <c r="DH82" s="37" t="str">
        <f t="shared" si="60"/>
        <v>0+0</v>
      </c>
      <c r="DI82" s="37" t="str">
        <f t="shared" si="61"/>
        <v>640+819|677+812|672+802</v>
      </c>
      <c r="DJ82" s="37" t="str">
        <f t="shared" si="62"/>
        <v>3+0+3|664+825|650+792|654+811|0+0|640+819|677+812|672+802</v>
      </c>
    </row>
    <row r="83" spans="2:114" x14ac:dyDescent="0.15">
      <c r="B83" s="15">
        <v>80</v>
      </c>
      <c r="C83" s="15" t="s">
        <v>107</v>
      </c>
      <c r="D83" s="15">
        <v>50</v>
      </c>
      <c r="G83" s="25" t="s">
        <v>534</v>
      </c>
      <c r="H83" s="25">
        <v>80</v>
      </c>
      <c r="I83" s="26" t="s">
        <v>85</v>
      </c>
      <c r="J83" s="26">
        <f>INDEX($D$4:$D$720,MATCH(I83,$C$4:$C$720,0))</f>
        <v>38</v>
      </c>
      <c r="M83" s="25" t="s">
        <v>534</v>
      </c>
      <c r="N83" s="25">
        <v>80</v>
      </c>
      <c r="O83" s="26" t="s">
        <v>332</v>
      </c>
      <c r="P83" s="26">
        <f t="shared" si="41"/>
        <v>159</v>
      </c>
      <c r="Q83" s="26"/>
      <c r="R83" s="26"/>
      <c r="S83" s="25" t="s">
        <v>534</v>
      </c>
      <c r="T83" s="25">
        <v>80</v>
      </c>
      <c r="U83" s="26" t="s">
        <v>84</v>
      </c>
      <c r="V83" s="26">
        <f t="shared" si="42"/>
        <v>38</v>
      </c>
      <c r="W83" s="26"/>
      <c r="Y83" s="25" t="s">
        <v>534</v>
      </c>
      <c r="Z83" s="25">
        <v>80</v>
      </c>
      <c r="AA83" s="26" t="s">
        <v>198</v>
      </c>
      <c r="AB83" s="26">
        <f t="shared" si="43"/>
        <v>94</v>
      </c>
      <c r="AE83" s="25" t="s">
        <v>534</v>
      </c>
      <c r="AF83" s="25">
        <v>80</v>
      </c>
      <c r="AG83" s="26" t="s">
        <v>834</v>
      </c>
      <c r="AH83" s="26">
        <f t="shared" si="44"/>
        <v>110</v>
      </c>
      <c r="AK83" s="25" t="s">
        <v>534</v>
      </c>
      <c r="AL83" s="25">
        <v>80</v>
      </c>
      <c r="AM83" s="26" t="s">
        <v>278</v>
      </c>
      <c r="AN83" s="26">
        <f t="shared" si="45"/>
        <v>133</v>
      </c>
      <c r="AQ83" s="25" t="s">
        <v>534</v>
      </c>
      <c r="AR83" s="25">
        <v>80</v>
      </c>
      <c r="AS83" s="26" t="s">
        <v>277</v>
      </c>
      <c r="AT83" s="26">
        <f t="shared" si="46"/>
        <v>132</v>
      </c>
      <c r="AX83" s="15"/>
      <c r="AY83" s="35">
        <f t="shared" si="47"/>
        <v>80</v>
      </c>
      <c r="AZ83" s="35" t="str">
        <f t="shared" si="48"/>
        <v>372+361</v>
      </c>
      <c r="BA83" s="35">
        <f t="shared" si="49"/>
        <v>50</v>
      </c>
      <c r="BB83" s="38">
        <f>COUNTIF($BA$4:$BA83,$BA83)</f>
        <v>1</v>
      </c>
      <c r="BC83" s="36" t="str">
        <f t="shared" si="50"/>
        <v>村</v>
      </c>
      <c r="BD83" s="36" t="str">
        <f t="shared" si="51"/>
        <v/>
      </c>
      <c r="BE83" s="36" t="str">
        <f t="shared" si="52"/>
        <v/>
      </c>
      <c r="BF83" s="36" t="str">
        <f t="shared" si="53"/>
        <v>村</v>
      </c>
      <c r="BG83" s="36" t="str">
        <f t="shared" si="54"/>
        <v/>
      </c>
      <c r="BH83" s="36" t="str">
        <f t="shared" si="55"/>
        <v/>
      </c>
      <c r="BI83" s="36" t="str">
        <f t="shared" si="56"/>
        <v/>
      </c>
      <c r="BJ83" s="29" t="str">
        <f t="shared" si="57"/>
        <v>村</v>
      </c>
      <c r="BL83" s="15">
        <v>80</v>
      </c>
      <c r="BM83" s="39" t="str">
        <f t="shared" si="65"/>
        <v>574+827</v>
      </c>
      <c r="BN83" s="39" t="str">
        <f t="shared" si="65"/>
        <v>569+866</v>
      </c>
      <c r="BO83" s="39" t="str">
        <f t="shared" si="65"/>
        <v>583+890</v>
      </c>
      <c r="BP83" s="39" t="str">
        <f t="shared" si="65"/>
        <v/>
      </c>
      <c r="BQ83" s="39" t="str">
        <f t="shared" si="65"/>
        <v/>
      </c>
      <c r="BR83" s="39" t="str">
        <f t="shared" si="65"/>
        <v/>
      </c>
      <c r="BS83" s="39" t="str">
        <f t="shared" si="65"/>
        <v/>
      </c>
      <c r="BT83" s="39" t="str">
        <f t="shared" si="65"/>
        <v/>
      </c>
      <c r="BU83" s="39" t="str">
        <f t="shared" si="65"/>
        <v/>
      </c>
      <c r="BV83" s="39" t="str">
        <f t="shared" si="65"/>
        <v/>
      </c>
      <c r="BW83" s="39" t="str">
        <f t="shared" si="65"/>
        <v/>
      </c>
      <c r="BX83" s="39" t="str">
        <f t="shared" si="65"/>
        <v/>
      </c>
      <c r="BY83" s="39" t="str">
        <f t="shared" si="65"/>
        <v/>
      </c>
      <c r="BZ83" s="39" t="str">
        <f t="shared" si="65"/>
        <v/>
      </c>
      <c r="CA83" s="39" t="str">
        <f t="shared" si="65"/>
        <v/>
      </c>
      <c r="CB83" s="39" t="str">
        <f t="shared" si="63"/>
        <v/>
      </c>
      <c r="CC83" s="39" t="str">
        <f t="shared" si="63"/>
        <v/>
      </c>
      <c r="CD83" s="39" t="str">
        <f t="shared" si="63"/>
        <v/>
      </c>
      <c r="CE83" s="39" t="str">
        <f t="shared" si="63"/>
        <v>580+920</v>
      </c>
      <c r="CF83" s="39" t="str">
        <f t="shared" si="63"/>
        <v/>
      </c>
      <c r="CG83" s="39" t="str">
        <f t="shared" si="63"/>
        <v/>
      </c>
      <c r="CH83" s="39" t="str">
        <f t="shared" si="63"/>
        <v/>
      </c>
      <c r="CI83" s="39" t="str">
        <f t="shared" si="63"/>
        <v/>
      </c>
      <c r="CJ83" s="39" t="str">
        <f t="shared" si="63"/>
        <v/>
      </c>
      <c r="CK83" s="39" t="str">
        <f t="shared" si="63"/>
        <v/>
      </c>
      <c r="CL83" s="39" t="str">
        <f t="shared" si="63"/>
        <v/>
      </c>
      <c r="CM83" s="39" t="str">
        <f t="shared" si="63"/>
        <v/>
      </c>
      <c r="CN83" s="39" t="str">
        <f t="shared" si="63"/>
        <v/>
      </c>
      <c r="CO83" s="39" t="str">
        <f t="shared" si="63"/>
        <v/>
      </c>
      <c r="CP83" s="39" t="str">
        <f t="shared" si="63"/>
        <v/>
      </c>
      <c r="CQ83" s="39" t="str">
        <f t="shared" si="64"/>
        <v/>
      </c>
      <c r="CR83" s="39" t="str">
        <f t="shared" si="64"/>
        <v/>
      </c>
      <c r="CS83" s="39" t="str">
        <f t="shared" si="64"/>
        <v/>
      </c>
      <c r="CT83" s="39" t="str">
        <f t="shared" si="64"/>
        <v/>
      </c>
      <c r="CU83" s="39" t="str">
        <f t="shared" si="64"/>
        <v/>
      </c>
      <c r="CV83" s="39" t="str">
        <f t="shared" si="64"/>
        <v/>
      </c>
      <c r="CW83" s="39" t="str">
        <f t="shared" si="64"/>
        <v/>
      </c>
      <c r="CX83" s="39" t="str">
        <f t="shared" si="64"/>
        <v/>
      </c>
      <c r="CY83" s="39" t="str">
        <f t="shared" si="64"/>
        <v/>
      </c>
      <c r="CZ83" s="39" t="str">
        <f t="shared" si="64"/>
        <v/>
      </c>
      <c r="DA83" s="39" t="str">
        <f t="shared" si="64"/>
        <v/>
      </c>
      <c r="DB83" s="39" t="str">
        <f t="shared" si="64"/>
        <v/>
      </c>
      <c r="DC83" s="39" t="str">
        <f t="shared" si="64"/>
        <v/>
      </c>
      <c r="DD83" s="39" t="str">
        <f t="shared" si="64"/>
        <v/>
      </c>
      <c r="DE83" s="39" t="str">
        <f t="shared" si="64"/>
        <v/>
      </c>
      <c r="DF83" s="37" t="str">
        <f t="shared" si="58"/>
        <v>3+1+0</v>
      </c>
      <c r="DG83" s="37" t="str">
        <f t="shared" si="59"/>
        <v>574+827|569+866|583+890</v>
      </c>
      <c r="DH83" s="37" t="str">
        <f t="shared" si="60"/>
        <v>580+920</v>
      </c>
      <c r="DI83" s="37" t="str">
        <f t="shared" si="61"/>
        <v>0+0</v>
      </c>
      <c r="DJ83" s="37" t="str">
        <f t="shared" si="62"/>
        <v>3+1+0|574+827|569+866|583+890|580+920|0+0</v>
      </c>
    </row>
    <row r="84" spans="2:114" x14ac:dyDescent="0.15">
      <c r="B84" s="15">
        <v>81</v>
      </c>
      <c r="C84" s="15" t="s">
        <v>108</v>
      </c>
      <c r="D84" s="15">
        <v>50</v>
      </c>
      <c r="G84" s="25" t="s">
        <v>534</v>
      </c>
      <c r="H84" s="25">
        <v>81</v>
      </c>
      <c r="I84" s="26" t="s">
        <v>71</v>
      </c>
      <c r="J84" s="26">
        <f t="shared" si="40"/>
        <v>31</v>
      </c>
      <c r="M84" s="25" t="s">
        <v>534</v>
      </c>
      <c r="N84" s="25">
        <v>81</v>
      </c>
      <c r="O84" s="26" t="s">
        <v>279</v>
      </c>
      <c r="P84" s="26">
        <f t="shared" si="41"/>
        <v>133</v>
      </c>
      <c r="Q84" s="26"/>
      <c r="R84" s="26"/>
      <c r="S84" s="25" t="s">
        <v>534</v>
      </c>
      <c r="T84" s="25">
        <v>81</v>
      </c>
      <c r="U84" s="26" t="s">
        <v>111</v>
      </c>
      <c r="V84" s="26">
        <f t="shared" si="42"/>
        <v>52</v>
      </c>
      <c r="W84" s="26"/>
      <c r="Y84" s="25" t="s">
        <v>534</v>
      </c>
      <c r="Z84" s="25">
        <v>81</v>
      </c>
      <c r="AA84" s="26" t="s">
        <v>317</v>
      </c>
      <c r="AB84" s="26">
        <f t="shared" si="43"/>
        <v>151</v>
      </c>
      <c r="AE84" s="25" t="s">
        <v>534</v>
      </c>
      <c r="AF84" s="25">
        <v>81</v>
      </c>
      <c r="AG84" s="26" t="s">
        <v>194</v>
      </c>
      <c r="AH84" s="26">
        <f t="shared" si="44"/>
        <v>92</v>
      </c>
      <c r="AK84" s="25" t="s">
        <v>534</v>
      </c>
      <c r="AL84" s="25">
        <v>81</v>
      </c>
      <c r="AM84" s="26" t="s">
        <v>307</v>
      </c>
      <c r="AN84" s="26">
        <f t="shared" si="45"/>
        <v>146</v>
      </c>
      <c r="AQ84" s="25" t="s">
        <v>534</v>
      </c>
      <c r="AR84" s="25">
        <v>81</v>
      </c>
      <c r="AS84" s="26" t="s">
        <v>188</v>
      </c>
      <c r="AT84" s="26">
        <f t="shared" si="46"/>
        <v>89</v>
      </c>
      <c r="AX84" s="15"/>
      <c r="AY84" s="35">
        <f t="shared" si="47"/>
        <v>81</v>
      </c>
      <c r="AZ84" s="35" t="str">
        <f t="shared" si="48"/>
        <v>392+378</v>
      </c>
      <c r="BA84" s="35">
        <f t="shared" si="49"/>
        <v>50</v>
      </c>
      <c r="BB84" s="38">
        <f>COUNTIF($BA$4:$BA84,$BA84)</f>
        <v>2</v>
      </c>
      <c r="BC84" s="36" t="str">
        <f t="shared" si="50"/>
        <v/>
      </c>
      <c r="BD84" s="36" t="str">
        <f t="shared" si="51"/>
        <v>村</v>
      </c>
      <c r="BE84" s="36" t="str">
        <f t="shared" si="52"/>
        <v/>
      </c>
      <c r="BF84" s="36" t="str">
        <f t="shared" si="53"/>
        <v>村</v>
      </c>
      <c r="BG84" s="36" t="str">
        <f t="shared" si="54"/>
        <v/>
      </c>
      <c r="BH84" s="36" t="str">
        <f t="shared" si="55"/>
        <v/>
      </c>
      <c r="BI84" s="36" t="str">
        <f t="shared" si="56"/>
        <v/>
      </c>
      <c r="BJ84" s="29" t="str">
        <f t="shared" si="57"/>
        <v>村</v>
      </c>
      <c r="BL84" s="15">
        <v>81</v>
      </c>
      <c r="BM84" s="39" t="str">
        <f t="shared" si="65"/>
        <v>595+932</v>
      </c>
      <c r="BN84" s="39" t="str">
        <f t="shared" si="65"/>
        <v>623+909</v>
      </c>
      <c r="BO84" s="39" t="str">
        <f t="shared" si="65"/>
        <v/>
      </c>
      <c r="BP84" s="39" t="str">
        <f t="shared" si="65"/>
        <v/>
      </c>
      <c r="BQ84" s="39" t="str">
        <f t="shared" si="65"/>
        <v/>
      </c>
      <c r="BR84" s="39" t="str">
        <f t="shared" si="65"/>
        <v/>
      </c>
      <c r="BS84" s="39" t="str">
        <f t="shared" si="65"/>
        <v/>
      </c>
      <c r="BT84" s="39" t="str">
        <f t="shared" si="65"/>
        <v/>
      </c>
      <c r="BU84" s="39" t="str">
        <f t="shared" si="65"/>
        <v/>
      </c>
      <c r="BV84" s="39" t="str">
        <f t="shared" si="65"/>
        <v/>
      </c>
      <c r="BW84" s="39" t="str">
        <f t="shared" si="65"/>
        <v/>
      </c>
      <c r="BX84" s="39" t="str">
        <f t="shared" si="65"/>
        <v/>
      </c>
      <c r="BY84" s="39" t="str">
        <f t="shared" si="65"/>
        <v/>
      </c>
      <c r="BZ84" s="39" t="str">
        <f t="shared" si="65"/>
        <v/>
      </c>
      <c r="CA84" s="39" t="str">
        <f t="shared" si="65"/>
        <v/>
      </c>
      <c r="CB84" s="39" t="str">
        <f t="shared" si="63"/>
        <v/>
      </c>
      <c r="CC84" s="39" t="str">
        <f t="shared" si="63"/>
        <v/>
      </c>
      <c r="CD84" s="39" t="str">
        <f t="shared" si="63"/>
        <v/>
      </c>
      <c r="CE84" s="39" t="str">
        <f t="shared" si="63"/>
        <v/>
      </c>
      <c r="CF84" s="39" t="str">
        <f t="shared" si="63"/>
        <v/>
      </c>
      <c r="CG84" s="39" t="str">
        <f t="shared" si="63"/>
        <v/>
      </c>
      <c r="CH84" s="39" t="str">
        <f t="shared" si="63"/>
        <v/>
      </c>
      <c r="CI84" s="39" t="str">
        <f t="shared" si="63"/>
        <v/>
      </c>
      <c r="CJ84" s="39" t="str">
        <f t="shared" si="63"/>
        <v/>
      </c>
      <c r="CK84" s="39" t="str">
        <f t="shared" si="63"/>
        <v/>
      </c>
      <c r="CL84" s="39" t="str">
        <f t="shared" si="63"/>
        <v/>
      </c>
      <c r="CM84" s="39" t="str">
        <f t="shared" si="63"/>
        <v/>
      </c>
      <c r="CN84" s="39" t="str">
        <f t="shared" si="63"/>
        <v/>
      </c>
      <c r="CO84" s="39" t="str">
        <f t="shared" si="63"/>
        <v/>
      </c>
      <c r="CP84" s="39" t="str">
        <f t="shared" si="63"/>
        <v/>
      </c>
      <c r="CQ84" s="39" t="str">
        <f t="shared" si="64"/>
        <v/>
      </c>
      <c r="CR84" s="39" t="str">
        <f t="shared" si="64"/>
        <v/>
      </c>
      <c r="CS84" s="39" t="str">
        <f t="shared" si="64"/>
        <v>613+892</v>
      </c>
      <c r="CT84" s="39" t="str">
        <f t="shared" si="64"/>
        <v>596+915</v>
      </c>
      <c r="CU84" s="39" t="str">
        <f t="shared" si="64"/>
        <v/>
      </c>
      <c r="CV84" s="39" t="str">
        <f t="shared" si="64"/>
        <v/>
      </c>
      <c r="CW84" s="39" t="str">
        <f t="shared" si="64"/>
        <v/>
      </c>
      <c r="CX84" s="39" t="str">
        <f t="shared" si="64"/>
        <v/>
      </c>
      <c r="CY84" s="39" t="str">
        <f t="shared" si="64"/>
        <v/>
      </c>
      <c r="CZ84" s="39" t="str">
        <f t="shared" si="64"/>
        <v/>
      </c>
      <c r="DA84" s="39" t="str">
        <f t="shared" si="64"/>
        <v/>
      </c>
      <c r="DB84" s="39" t="str">
        <f t="shared" si="64"/>
        <v/>
      </c>
      <c r="DC84" s="39" t="str">
        <f t="shared" si="64"/>
        <v/>
      </c>
      <c r="DD84" s="39" t="str">
        <f t="shared" si="64"/>
        <v/>
      </c>
      <c r="DE84" s="39" t="str">
        <f t="shared" si="64"/>
        <v/>
      </c>
      <c r="DF84" s="37" t="str">
        <f t="shared" si="58"/>
        <v>2+0+2</v>
      </c>
      <c r="DG84" s="37" t="str">
        <f t="shared" si="59"/>
        <v>595+932|623+909</v>
      </c>
      <c r="DH84" s="37" t="str">
        <f t="shared" si="60"/>
        <v>0+0</v>
      </c>
      <c r="DI84" s="37" t="str">
        <f t="shared" si="61"/>
        <v>613+892|596+915</v>
      </c>
      <c r="DJ84" s="37" t="str">
        <f t="shared" si="62"/>
        <v>2+0+2|595+932|623+909|0+0|613+892|596+915</v>
      </c>
    </row>
    <row r="85" spans="2:114" x14ac:dyDescent="0.15">
      <c r="B85" s="15">
        <v>82</v>
      </c>
      <c r="C85" s="15" t="s">
        <v>408</v>
      </c>
      <c r="D85" s="15">
        <v>50</v>
      </c>
      <c r="G85" s="27" t="s">
        <v>535</v>
      </c>
      <c r="H85" s="27">
        <v>82</v>
      </c>
      <c r="I85" s="26" t="s">
        <v>306</v>
      </c>
      <c r="J85" s="26">
        <f t="shared" si="40"/>
        <v>146</v>
      </c>
      <c r="M85" s="27" t="s">
        <v>535</v>
      </c>
      <c r="N85" s="27">
        <v>82</v>
      </c>
      <c r="O85" s="26" t="s">
        <v>93</v>
      </c>
      <c r="P85" s="26">
        <f t="shared" si="41"/>
        <v>43</v>
      </c>
      <c r="Q85" s="26"/>
      <c r="R85" s="26"/>
      <c r="S85" s="27" t="s">
        <v>535</v>
      </c>
      <c r="T85" s="27">
        <v>82</v>
      </c>
      <c r="U85" s="26" t="s">
        <v>198</v>
      </c>
      <c r="V85" s="26">
        <f t="shared" si="42"/>
        <v>94</v>
      </c>
      <c r="W85" s="26"/>
      <c r="Y85" s="27" t="s">
        <v>535</v>
      </c>
      <c r="Z85" s="27">
        <v>82</v>
      </c>
      <c r="AA85" s="26" t="s">
        <v>289</v>
      </c>
      <c r="AB85" s="26">
        <f t="shared" si="43"/>
        <v>138</v>
      </c>
      <c r="AE85" s="27" t="s">
        <v>535</v>
      </c>
      <c r="AF85" s="27">
        <v>82</v>
      </c>
      <c r="AG85" s="26" t="s">
        <v>263</v>
      </c>
      <c r="AH85" s="26">
        <f t="shared" si="44"/>
        <v>126</v>
      </c>
      <c r="AK85" s="27" t="s">
        <v>535</v>
      </c>
      <c r="AL85" s="27">
        <v>82</v>
      </c>
      <c r="AM85" s="26" t="s">
        <v>839</v>
      </c>
      <c r="AN85" s="26">
        <f t="shared" si="45"/>
        <v>71</v>
      </c>
      <c r="AQ85" s="27" t="s">
        <v>535</v>
      </c>
      <c r="AR85" s="27">
        <v>82</v>
      </c>
      <c r="AS85" s="26" t="s">
        <v>995</v>
      </c>
      <c r="AT85" s="26">
        <f t="shared" si="46"/>
        <v>138</v>
      </c>
      <c r="AX85" s="15"/>
      <c r="AY85" s="35">
        <f t="shared" si="47"/>
        <v>82</v>
      </c>
      <c r="AZ85" s="35" t="str">
        <f t="shared" si="48"/>
        <v>386+370</v>
      </c>
      <c r="BA85" s="35">
        <f t="shared" si="49"/>
        <v>50</v>
      </c>
      <c r="BB85" s="38">
        <f>COUNTIF($BA$4:$BA85,$BA85)</f>
        <v>3</v>
      </c>
      <c r="BC85" s="36" t="str">
        <f t="shared" si="50"/>
        <v>营</v>
      </c>
      <c r="BD85" s="36" t="str">
        <f t="shared" si="51"/>
        <v>营</v>
      </c>
      <c r="BE85" s="36" t="str">
        <f t="shared" si="52"/>
        <v/>
      </c>
      <c r="BF85" s="36" t="str">
        <f t="shared" si="53"/>
        <v>营</v>
      </c>
      <c r="BG85" s="36" t="str">
        <f t="shared" si="54"/>
        <v/>
      </c>
      <c r="BH85" s="36" t="str">
        <f t="shared" si="55"/>
        <v/>
      </c>
      <c r="BI85" s="36" t="str">
        <f t="shared" si="56"/>
        <v/>
      </c>
      <c r="BJ85" s="29" t="str">
        <f t="shared" si="57"/>
        <v>营</v>
      </c>
      <c r="BL85" s="15">
        <v>82</v>
      </c>
      <c r="BM85" s="39" t="str">
        <f t="shared" si="65"/>
        <v>608+867</v>
      </c>
      <c r="BN85" s="39" t="str">
        <f t="shared" si="65"/>
        <v/>
      </c>
      <c r="BO85" s="39" t="str">
        <f t="shared" si="65"/>
        <v/>
      </c>
      <c r="BP85" s="39" t="str">
        <f t="shared" si="65"/>
        <v>594+866</v>
      </c>
      <c r="BQ85" s="39" t="str">
        <f t="shared" si="65"/>
        <v/>
      </c>
      <c r="BR85" s="39" t="str">
        <f t="shared" si="65"/>
        <v/>
      </c>
      <c r="BS85" s="39" t="str">
        <f t="shared" si="65"/>
        <v/>
      </c>
      <c r="BT85" s="39" t="str">
        <f t="shared" si="65"/>
        <v/>
      </c>
      <c r="BU85" s="39" t="str">
        <f t="shared" si="65"/>
        <v/>
      </c>
      <c r="BV85" s="39" t="str">
        <f t="shared" si="65"/>
        <v/>
      </c>
      <c r="BW85" s="39" t="str">
        <f t="shared" si="65"/>
        <v/>
      </c>
      <c r="BX85" s="39" t="str">
        <f t="shared" si="65"/>
        <v/>
      </c>
      <c r="BY85" s="39" t="str">
        <f t="shared" si="65"/>
        <v/>
      </c>
      <c r="BZ85" s="39" t="str">
        <f t="shared" si="65"/>
        <v/>
      </c>
      <c r="CA85" s="39" t="str">
        <f t="shared" si="65"/>
        <v/>
      </c>
      <c r="CB85" s="39" t="str">
        <f t="shared" si="63"/>
        <v/>
      </c>
      <c r="CC85" s="39" t="str">
        <f t="shared" si="63"/>
        <v>629+850</v>
      </c>
      <c r="CD85" s="39" t="str">
        <f t="shared" si="63"/>
        <v/>
      </c>
      <c r="CE85" s="39" t="str">
        <f t="shared" si="63"/>
        <v/>
      </c>
      <c r="CF85" s="39" t="str">
        <f t="shared" si="63"/>
        <v/>
      </c>
      <c r="CG85" s="39" t="str">
        <f t="shared" si="63"/>
        <v/>
      </c>
      <c r="CH85" s="39" t="str">
        <f t="shared" si="63"/>
        <v/>
      </c>
      <c r="CI85" s="39" t="str">
        <f t="shared" si="63"/>
        <v/>
      </c>
      <c r="CJ85" s="39" t="str">
        <f t="shared" si="63"/>
        <v/>
      </c>
      <c r="CK85" s="39" t="str">
        <f t="shared" si="63"/>
        <v/>
      </c>
      <c r="CL85" s="39" t="str">
        <f t="shared" si="63"/>
        <v/>
      </c>
      <c r="CM85" s="39" t="str">
        <f t="shared" si="63"/>
        <v/>
      </c>
      <c r="CN85" s="39" t="str">
        <f t="shared" si="63"/>
        <v/>
      </c>
      <c r="CO85" s="39" t="str">
        <f t="shared" si="63"/>
        <v/>
      </c>
      <c r="CP85" s="39" t="str">
        <f t="shared" si="63"/>
        <v/>
      </c>
      <c r="CQ85" s="39" t="str">
        <f t="shared" si="64"/>
        <v/>
      </c>
      <c r="CR85" s="39" t="str">
        <f t="shared" si="64"/>
        <v/>
      </c>
      <c r="CS85" s="39" t="str">
        <f t="shared" si="64"/>
        <v>618+861</v>
      </c>
      <c r="CT85" s="39" t="str">
        <f t="shared" si="64"/>
        <v/>
      </c>
      <c r="CU85" s="39" t="str">
        <f t="shared" si="64"/>
        <v>592+844</v>
      </c>
      <c r="CV85" s="39" t="str">
        <f t="shared" si="64"/>
        <v/>
      </c>
      <c r="CW85" s="39" t="str">
        <f t="shared" si="64"/>
        <v/>
      </c>
      <c r="CX85" s="39" t="str">
        <f t="shared" si="64"/>
        <v/>
      </c>
      <c r="CY85" s="39" t="str">
        <f t="shared" si="64"/>
        <v/>
      </c>
      <c r="CZ85" s="39" t="str">
        <f t="shared" si="64"/>
        <v/>
      </c>
      <c r="DA85" s="39" t="str">
        <f t="shared" si="64"/>
        <v/>
      </c>
      <c r="DB85" s="39" t="str">
        <f t="shared" si="64"/>
        <v/>
      </c>
      <c r="DC85" s="39" t="str">
        <f t="shared" si="64"/>
        <v/>
      </c>
      <c r="DD85" s="39" t="str">
        <f t="shared" si="64"/>
        <v/>
      </c>
      <c r="DE85" s="39" t="str">
        <f t="shared" si="64"/>
        <v/>
      </c>
      <c r="DF85" s="37" t="str">
        <f t="shared" si="58"/>
        <v>2+1+2</v>
      </c>
      <c r="DG85" s="37" t="str">
        <f t="shared" si="59"/>
        <v>608+867|594+866</v>
      </c>
      <c r="DH85" s="37" t="str">
        <f t="shared" si="60"/>
        <v>629+850</v>
      </c>
      <c r="DI85" s="37" t="str">
        <f t="shared" si="61"/>
        <v>618+861|592+844</v>
      </c>
      <c r="DJ85" s="37" t="str">
        <f t="shared" si="62"/>
        <v>2+1+2|608+867|594+866|629+850|618+861|592+844</v>
      </c>
    </row>
    <row r="86" spans="2:114" x14ac:dyDescent="0.15">
      <c r="B86" s="15">
        <v>83</v>
      </c>
      <c r="C86" s="15" t="s">
        <v>109</v>
      </c>
      <c r="D86" s="15">
        <v>51</v>
      </c>
      <c r="G86" s="27" t="s">
        <v>535</v>
      </c>
      <c r="H86" s="27">
        <v>83</v>
      </c>
      <c r="I86" s="26" t="s">
        <v>305</v>
      </c>
      <c r="J86" s="26">
        <f t="shared" si="40"/>
        <v>145</v>
      </c>
      <c r="M86" s="27" t="s">
        <v>535</v>
      </c>
      <c r="N86" s="27">
        <v>83</v>
      </c>
      <c r="O86" s="26" t="s">
        <v>100</v>
      </c>
      <c r="P86" s="26">
        <f t="shared" si="41"/>
        <v>46</v>
      </c>
      <c r="Q86" s="26"/>
      <c r="R86" s="26"/>
      <c r="S86" s="27" t="s">
        <v>535</v>
      </c>
      <c r="T86" s="27">
        <v>83</v>
      </c>
      <c r="U86" s="26" t="s">
        <v>197</v>
      </c>
      <c r="V86" s="26">
        <f t="shared" si="42"/>
        <v>94</v>
      </c>
      <c r="W86" s="26"/>
      <c r="Y86" s="27" t="s">
        <v>535</v>
      </c>
      <c r="Z86" s="27">
        <v>83</v>
      </c>
      <c r="AA86" s="26" t="s">
        <v>286</v>
      </c>
      <c r="AB86" s="26">
        <f t="shared" si="43"/>
        <v>137</v>
      </c>
      <c r="AE86" s="27" t="s">
        <v>535</v>
      </c>
      <c r="AF86" s="27">
        <v>83</v>
      </c>
      <c r="AG86" s="26" t="s">
        <v>916</v>
      </c>
      <c r="AH86" s="26">
        <f t="shared" si="44"/>
        <v>126</v>
      </c>
      <c r="AK86" s="27" t="s">
        <v>535</v>
      </c>
      <c r="AL86" s="27">
        <v>83</v>
      </c>
      <c r="AM86" s="26" t="s">
        <v>880</v>
      </c>
      <c r="AN86" s="26">
        <f t="shared" si="45"/>
        <v>71</v>
      </c>
      <c r="AQ86" s="27" t="s">
        <v>535</v>
      </c>
      <c r="AR86" s="27">
        <v>83</v>
      </c>
      <c r="AS86" s="26" t="s">
        <v>303</v>
      </c>
      <c r="AT86" s="26">
        <f t="shared" si="46"/>
        <v>144</v>
      </c>
      <c r="AX86" s="15"/>
      <c r="AY86" s="35">
        <f t="shared" si="47"/>
        <v>83</v>
      </c>
      <c r="AZ86" s="35" t="str">
        <f t="shared" si="48"/>
        <v>468+329</v>
      </c>
      <c r="BA86" s="35">
        <f t="shared" si="49"/>
        <v>51</v>
      </c>
      <c r="BB86" s="38">
        <f>COUNTIF($BA$4:$BA86,$BA86)</f>
        <v>1</v>
      </c>
      <c r="BC86" s="36" t="str">
        <f t="shared" si="50"/>
        <v>村</v>
      </c>
      <c r="BD86" s="36" t="str">
        <f t="shared" si="51"/>
        <v/>
      </c>
      <c r="BE86" s="36" t="str">
        <f t="shared" si="52"/>
        <v/>
      </c>
      <c r="BF86" s="36" t="str">
        <f t="shared" si="53"/>
        <v>村</v>
      </c>
      <c r="BG86" s="36" t="str">
        <f t="shared" si="54"/>
        <v/>
      </c>
      <c r="BH86" s="36" t="str">
        <f t="shared" si="55"/>
        <v/>
      </c>
      <c r="BI86" s="36" t="str">
        <f t="shared" si="56"/>
        <v/>
      </c>
      <c r="BJ86" s="29" t="str">
        <f t="shared" si="57"/>
        <v>村</v>
      </c>
      <c r="BL86" s="15">
        <v>83</v>
      </c>
      <c r="BM86" s="39" t="str">
        <f t="shared" si="65"/>
        <v>597+814</v>
      </c>
      <c r="BN86" s="39" t="str">
        <f t="shared" si="65"/>
        <v/>
      </c>
      <c r="BO86" s="39" t="str">
        <f t="shared" si="65"/>
        <v/>
      </c>
      <c r="BP86" s="39" t="str">
        <f t="shared" si="65"/>
        <v>581+805</v>
      </c>
      <c r="BQ86" s="39" t="str">
        <f t="shared" si="65"/>
        <v/>
      </c>
      <c r="BR86" s="39" t="str">
        <f t="shared" si="65"/>
        <v/>
      </c>
      <c r="BS86" s="39" t="str">
        <f t="shared" si="65"/>
        <v/>
      </c>
      <c r="BT86" s="39" t="str">
        <f t="shared" si="65"/>
        <v/>
      </c>
      <c r="BU86" s="39" t="str">
        <f t="shared" si="65"/>
        <v/>
      </c>
      <c r="BV86" s="39" t="str">
        <f t="shared" si="65"/>
        <v/>
      </c>
      <c r="BW86" s="39" t="str">
        <f t="shared" si="65"/>
        <v/>
      </c>
      <c r="BX86" s="39" t="str">
        <f t="shared" si="65"/>
        <v/>
      </c>
      <c r="BY86" s="39" t="str">
        <f t="shared" si="65"/>
        <v/>
      </c>
      <c r="BZ86" s="39" t="str">
        <f t="shared" si="65"/>
        <v/>
      </c>
      <c r="CA86" s="39" t="str">
        <f t="shared" si="65"/>
        <v/>
      </c>
      <c r="CB86" s="39" t="str">
        <f t="shared" si="63"/>
        <v/>
      </c>
      <c r="CC86" s="39" t="str">
        <f t="shared" si="63"/>
        <v>615+836</v>
      </c>
      <c r="CD86" s="39" t="str">
        <f t="shared" si="63"/>
        <v/>
      </c>
      <c r="CE86" s="39" t="str">
        <f t="shared" si="63"/>
        <v/>
      </c>
      <c r="CF86" s="39" t="str">
        <f t="shared" si="63"/>
        <v/>
      </c>
      <c r="CG86" s="39" t="str">
        <f t="shared" si="63"/>
        <v/>
      </c>
      <c r="CH86" s="39" t="str">
        <f t="shared" si="63"/>
        <v/>
      </c>
      <c r="CI86" s="39" t="str">
        <f t="shared" si="63"/>
        <v/>
      </c>
      <c r="CJ86" s="39" t="str">
        <f t="shared" si="63"/>
        <v/>
      </c>
      <c r="CK86" s="39" t="str">
        <f t="shared" si="63"/>
        <v/>
      </c>
      <c r="CL86" s="39" t="str">
        <f t="shared" si="63"/>
        <v/>
      </c>
      <c r="CM86" s="39" t="str">
        <f t="shared" si="63"/>
        <v/>
      </c>
      <c r="CN86" s="39" t="str">
        <f t="shared" si="63"/>
        <v/>
      </c>
      <c r="CO86" s="39" t="str">
        <f t="shared" si="63"/>
        <v/>
      </c>
      <c r="CP86" s="39" t="str">
        <f t="shared" si="63"/>
        <v/>
      </c>
      <c r="CQ86" s="39" t="str">
        <f t="shared" si="64"/>
        <v/>
      </c>
      <c r="CR86" s="39" t="str">
        <f t="shared" si="64"/>
        <v/>
      </c>
      <c r="CS86" s="39" t="str">
        <f t="shared" si="64"/>
        <v>591+799</v>
      </c>
      <c r="CT86" s="39" t="str">
        <f t="shared" si="64"/>
        <v/>
      </c>
      <c r="CU86" s="39" t="str">
        <f t="shared" si="64"/>
        <v/>
      </c>
      <c r="CV86" s="39" t="str">
        <f t="shared" si="64"/>
        <v/>
      </c>
      <c r="CW86" s="39" t="str">
        <f t="shared" si="64"/>
        <v/>
      </c>
      <c r="CX86" s="39" t="str">
        <f t="shared" si="64"/>
        <v/>
      </c>
      <c r="CY86" s="39" t="str">
        <f t="shared" si="64"/>
        <v/>
      </c>
      <c r="CZ86" s="39" t="str">
        <f t="shared" si="64"/>
        <v/>
      </c>
      <c r="DA86" s="39" t="str">
        <f t="shared" si="64"/>
        <v/>
      </c>
      <c r="DB86" s="39" t="str">
        <f t="shared" si="64"/>
        <v/>
      </c>
      <c r="DC86" s="39" t="str">
        <f t="shared" si="64"/>
        <v/>
      </c>
      <c r="DD86" s="39" t="str">
        <f t="shared" si="64"/>
        <v/>
      </c>
      <c r="DE86" s="39" t="str">
        <f t="shared" si="64"/>
        <v/>
      </c>
      <c r="DF86" s="37" t="str">
        <f t="shared" si="58"/>
        <v>2+1+1</v>
      </c>
      <c r="DG86" s="37" t="str">
        <f t="shared" si="59"/>
        <v>597+814|581+805</v>
      </c>
      <c r="DH86" s="37" t="str">
        <f t="shared" si="60"/>
        <v>615+836</v>
      </c>
      <c r="DI86" s="37" t="str">
        <f t="shared" si="61"/>
        <v>591+799</v>
      </c>
      <c r="DJ86" s="37" t="str">
        <f t="shared" si="62"/>
        <v>2+1+1|597+814|581+805|615+836|591+799</v>
      </c>
    </row>
    <row r="87" spans="2:114" x14ac:dyDescent="0.15">
      <c r="B87" s="15">
        <v>84</v>
      </c>
      <c r="C87" s="15" t="s">
        <v>110</v>
      </c>
      <c r="D87" s="15">
        <v>51</v>
      </c>
      <c r="G87" s="27" t="s">
        <v>535</v>
      </c>
      <c r="H87" s="27">
        <v>84</v>
      </c>
      <c r="I87" s="26" t="s">
        <v>307</v>
      </c>
      <c r="J87" s="26">
        <f t="shared" si="40"/>
        <v>146</v>
      </c>
      <c r="M87" s="27" t="s">
        <v>535</v>
      </c>
      <c r="N87" s="27">
        <v>84</v>
      </c>
      <c r="O87" s="26" t="s">
        <v>84</v>
      </c>
      <c r="P87" s="26">
        <f t="shared" si="41"/>
        <v>38</v>
      </c>
      <c r="Q87" s="26"/>
      <c r="R87" s="26"/>
      <c r="S87" s="27" t="s">
        <v>535</v>
      </c>
      <c r="T87" s="27">
        <v>84</v>
      </c>
      <c r="U87" s="26" t="s">
        <v>193</v>
      </c>
      <c r="V87" s="26">
        <f t="shared" si="42"/>
        <v>92</v>
      </c>
      <c r="W87" s="26"/>
      <c r="Y87" s="27" t="s">
        <v>535</v>
      </c>
      <c r="Z87" s="27">
        <v>84</v>
      </c>
      <c r="AA87" s="26" t="s">
        <v>305</v>
      </c>
      <c r="AB87" s="26">
        <f t="shared" si="43"/>
        <v>145</v>
      </c>
      <c r="AE87" s="27" t="s">
        <v>535</v>
      </c>
      <c r="AF87" s="27">
        <v>84</v>
      </c>
      <c r="AG87" s="26" t="s">
        <v>265</v>
      </c>
      <c r="AH87" s="26">
        <f t="shared" si="44"/>
        <v>127</v>
      </c>
      <c r="AK87" s="27" t="s">
        <v>535</v>
      </c>
      <c r="AL87" s="27">
        <v>84</v>
      </c>
      <c r="AM87" s="26" t="s">
        <v>866</v>
      </c>
      <c r="AN87" s="26">
        <f t="shared" si="45"/>
        <v>75</v>
      </c>
      <c r="AQ87" s="27" t="s">
        <v>535</v>
      </c>
      <c r="AR87" s="27">
        <v>84</v>
      </c>
      <c r="AS87" s="26" t="s">
        <v>998</v>
      </c>
      <c r="AT87" s="26">
        <f t="shared" si="46"/>
        <v>138</v>
      </c>
      <c r="AX87" s="15"/>
      <c r="AY87" s="35">
        <f t="shared" si="47"/>
        <v>84</v>
      </c>
      <c r="AZ87" s="35" t="str">
        <f t="shared" si="48"/>
        <v>451+348</v>
      </c>
      <c r="BA87" s="35">
        <f t="shared" si="49"/>
        <v>51</v>
      </c>
      <c r="BB87" s="38">
        <f>COUNTIF($BA$4:$BA87,$BA87)</f>
        <v>2</v>
      </c>
      <c r="BC87" s="36" t="str">
        <f t="shared" si="50"/>
        <v>村</v>
      </c>
      <c r="BD87" s="36" t="str">
        <f t="shared" si="51"/>
        <v/>
      </c>
      <c r="BE87" s="36" t="str">
        <f t="shared" si="52"/>
        <v>村</v>
      </c>
      <c r="BF87" s="36" t="str">
        <f t="shared" si="53"/>
        <v>村</v>
      </c>
      <c r="BG87" s="36" t="str">
        <f t="shared" si="54"/>
        <v/>
      </c>
      <c r="BH87" s="36" t="str">
        <f t="shared" si="55"/>
        <v/>
      </c>
      <c r="BI87" s="36" t="str">
        <f t="shared" si="56"/>
        <v/>
      </c>
      <c r="BJ87" s="29" t="str">
        <f t="shared" si="57"/>
        <v>村</v>
      </c>
      <c r="BL87" s="15">
        <v>84</v>
      </c>
      <c r="BM87" s="39" t="str">
        <f t="shared" si="65"/>
        <v>623+802</v>
      </c>
      <c r="BN87" s="39" t="str">
        <f t="shared" si="65"/>
        <v/>
      </c>
      <c r="BO87" s="39" t="str">
        <f t="shared" si="65"/>
        <v>612+781</v>
      </c>
      <c r="BP87" s="39" t="str">
        <f t="shared" si="65"/>
        <v>631+772</v>
      </c>
      <c r="BQ87" s="39" t="str">
        <f t="shared" si="65"/>
        <v>628+814</v>
      </c>
      <c r="BR87" s="39" t="str">
        <f t="shared" si="65"/>
        <v/>
      </c>
      <c r="BS87" s="39" t="str">
        <f t="shared" si="65"/>
        <v/>
      </c>
      <c r="BT87" s="39" t="str">
        <f t="shared" si="65"/>
        <v/>
      </c>
      <c r="BU87" s="39" t="str">
        <f t="shared" si="65"/>
        <v/>
      </c>
      <c r="BV87" s="39" t="str">
        <f t="shared" si="65"/>
        <v/>
      </c>
      <c r="BW87" s="39" t="str">
        <f t="shared" si="65"/>
        <v/>
      </c>
      <c r="BX87" s="39" t="str">
        <f t="shared" si="65"/>
        <v/>
      </c>
      <c r="BY87" s="39" t="str">
        <f t="shared" si="65"/>
        <v/>
      </c>
      <c r="BZ87" s="39" t="str">
        <f t="shared" si="65"/>
        <v/>
      </c>
      <c r="CA87" s="39" t="str">
        <f t="shared" si="65"/>
        <v/>
      </c>
      <c r="CB87" s="39" t="str">
        <f t="shared" ref="CB87:CP103" si="66">IFERROR(INDEX($AZ$4:$AZ$1000,MATCH(SUMIFS($AY$4:$AY$1000,$BA$4:$BA$1000,$BL87,$BB$4:$BB$1000,CB$3,$BJ$4:$BJ$1000,"县"),$AY$4:$AY$1000,0)),"")</f>
        <v/>
      </c>
      <c r="CC87" s="39" t="str">
        <f t="shared" si="66"/>
        <v/>
      </c>
      <c r="CD87" s="39" t="str">
        <f t="shared" si="66"/>
        <v/>
      </c>
      <c r="CE87" s="39" t="str">
        <f t="shared" si="66"/>
        <v/>
      </c>
      <c r="CF87" s="39" t="str">
        <f t="shared" si="66"/>
        <v/>
      </c>
      <c r="CG87" s="39" t="str">
        <f t="shared" si="66"/>
        <v/>
      </c>
      <c r="CH87" s="39" t="str">
        <f t="shared" si="66"/>
        <v/>
      </c>
      <c r="CI87" s="39" t="str">
        <f t="shared" si="66"/>
        <v/>
      </c>
      <c r="CJ87" s="39" t="str">
        <f t="shared" si="66"/>
        <v/>
      </c>
      <c r="CK87" s="39" t="str">
        <f t="shared" si="66"/>
        <v/>
      </c>
      <c r="CL87" s="39" t="str">
        <f t="shared" si="66"/>
        <v/>
      </c>
      <c r="CM87" s="39" t="str">
        <f t="shared" si="66"/>
        <v/>
      </c>
      <c r="CN87" s="39" t="str">
        <f t="shared" si="66"/>
        <v/>
      </c>
      <c r="CO87" s="39" t="str">
        <f t="shared" si="66"/>
        <v/>
      </c>
      <c r="CP87" s="39" t="str">
        <f t="shared" si="66"/>
        <v/>
      </c>
      <c r="CQ87" s="39" t="str">
        <f t="shared" ref="CQ87:DE103" si="67">IFERROR(INDEX($AZ$4:$AZ$1000,MATCH(SUMIFS($AY$4:$AY$1000,$BA$4:$BA$1000,$BL87,$BB$4:$BB$1000,CQ$3,$BJ$4:$BJ$1000,"营"),$AY$4:$AY$1000,0)),"")</f>
        <v/>
      </c>
      <c r="CR87" s="39" t="str">
        <f t="shared" si="67"/>
        <v>633+792</v>
      </c>
      <c r="CS87" s="39" t="str">
        <f t="shared" si="67"/>
        <v/>
      </c>
      <c r="CT87" s="39" t="str">
        <f t="shared" si="67"/>
        <v/>
      </c>
      <c r="CU87" s="39" t="str">
        <f t="shared" si="67"/>
        <v/>
      </c>
      <c r="CV87" s="39" t="str">
        <f t="shared" si="67"/>
        <v/>
      </c>
      <c r="CW87" s="39" t="str">
        <f t="shared" si="67"/>
        <v/>
      </c>
      <c r="CX87" s="39" t="str">
        <f t="shared" si="67"/>
        <v/>
      </c>
      <c r="CY87" s="39" t="str">
        <f t="shared" si="67"/>
        <v/>
      </c>
      <c r="CZ87" s="39" t="str">
        <f t="shared" si="67"/>
        <v/>
      </c>
      <c r="DA87" s="39" t="str">
        <f t="shared" si="67"/>
        <v/>
      </c>
      <c r="DB87" s="39" t="str">
        <f t="shared" si="67"/>
        <v/>
      </c>
      <c r="DC87" s="39" t="str">
        <f t="shared" si="67"/>
        <v/>
      </c>
      <c r="DD87" s="39" t="str">
        <f t="shared" si="67"/>
        <v/>
      </c>
      <c r="DE87" s="39" t="str">
        <f t="shared" si="67"/>
        <v/>
      </c>
      <c r="DF87" s="37" t="str">
        <f t="shared" si="58"/>
        <v>4+0+1</v>
      </c>
      <c r="DG87" s="37" t="str">
        <f t="shared" si="59"/>
        <v>623+802|612+781|631+772|628+814</v>
      </c>
      <c r="DH87" s="37" t="str">
        <f t="shared" si="60"/>
        <v>0+0</v>
      </c>
      <c r="DI87" s="37" t="str">
        <f t="shared" si="61"/>
        <v>633+792</v>
      </c>
      <c r="DJ87" s="37" t="str">
        <f t="shared" si="62"/>
        <v>4+0+1|623+802|612+781|631+772|628+814|0+0|633+792</v>
      </c>
    </row>
    <row r="88" spans="2:114" x14ac:dyDescent="0.15">
      <c r="B88" s="15">
        <v>85</v>
      </c>
      <c r="C88" s="15" t="s">
        <v>426</v>
      </c>
      <c r="D88" s="15">
        <v>51</v>
      </c>
      <c r="G88" s="27" t="s">
        <v>535</v>
      </c>
      <c r="H88" s="27">
        <v>85</v>
      </c>
      <c r="I88" s="26" t="s">
        <v>287</v>
      </c>
      <c r="J88" s="26">
        <f t="shared" si="40"/>
        <v>137</v>
      </c>
      <c r="M88" s="27" t="s">
        <v>535</v>
      </c>
      <c r="N88" s="27">
        <v>85</v>
      </c>
      <c r="O88" s="26" t="s">
        <v>85</v>
      </c>
      <c r="P88" s="26">
        <f t="shared" si="41"/>
        <v>38</v>
      </c>
      <c r="Q88" s="26"/>
      <c r="R88" s="26"/>
      <c r="S88" s="27" t="s">
        <v>535</v>
      </c>
      <c r="T88" s="27">
        <v>85</v>
      </c>
      <c r="U88" s="26" t="s">
        <v>194</v>
      </c>
      <c r="V88" s="26">
        <f t="shared" si="42"/>
        <v>92</v>
      </c>
      <c r="W88" s="26"/>
      <c r="Y88" s="27" t="s">
        <v>535</v>
      </c>
      <c r="Z88" s="27">
        <v>85</v>
      </c>
      <c r="AA88" s="26" t="s">
        <v>304</v>
      </c>
      <c r="AB88" s="26">
        <f t="shared" si="43"/>
        <v>145</v>
      </c>
      <c r="AE88" s="27" t="s">
        <v>535</v>
      </c>
      <c r="AF88" s="27">
        <v>85</v>
      </c>
      <c r="AG88" s="26" t="s">
        <v>266</v>
      </c>
      <c r="AH88" s="26">
        <f t="shared" si="44"/>
        <v>127</v>
      </c>
      <c r="AK88" s="27" t="s">
        <v>535</v>
      </c>
      <c r="AL88" s="27">
        <v>85</v>
      </c>
      <c r="AM88" s="26" t="s">
        <v>881</v>
      </c>
      <c r="AN88" s="26">
        <f t="shared" si="45"/>
        <v>69</v>
      </c>
      <c r="AQ88" s="27" t="s">
        <v>535</v>
      </c>
      <c r="AR88" s="27">
        <v>85</v>
      </c>
      <c r="AS88" s="26" t="s">
        <v>301</v>
      </c>
      <c r="AT88" s="26">
        <f t="shared" si="46"/>
        <v>143</v>
      </c>
      <c r="AX88" s="15"/>
      <c r="AY88" s="35">
        <f t="shared" si="47"/>
        <v>85</v>
      </c>
      <c r="AZ88" s="35" t="str">
        <f t="shared" si="48"/>
        <v>484+361</v>
      </c>
      <c r="BA88" s="35">
        <f t="shared" si="49"/>
        <v>51</v>
      </c>
      <c r="BB88" s="38">
        <f>COUNTIF($BA$4:$BA88,$BA88)</f>
        <v>3</v>
      </c>
      <c r="BC88" s="36" t="str">
        <f t="shared" si="50"/>
        <v>营</v>
      </c>
      <c r="BD88" s="36" t="str">
        <f t="shared" si="51"/>
        <v/>
      </c>
      <c r="BE88" s="36" t="str">
        <f t="shared" si="52"/>
        <v>营</v>
      </c>
      <c r="BF88" s="36" t="str">
        <f t="shared" si="53"/>
        <v>营</v>
      </c>
      <c r="BG88" s="36" t="str">
        <f t="shared" si="54"/>
        <v/>
      </c>
      <c r="BH88" s="36" t="str">
        <f t="shared" si="55"/>
        <v/>
      </c>
      <c r="BI88" s="36" t="str">
        <f t="shared" si="56"/>
        <v/>
      </c>
      <c r="BJ88" s="29" t="str">
        <f t="shared" si="57"/>
        <v>营</v>
      </c>
      <c r="BL88" s="15">
        <v>85</v>
      </c>
      <c r="BM88" s="39" t="str">
        <f t="shared" si="65"/>
        <v>655+739</v>
      </c>
      <c r="BN88" s="39" t="str">
        <f t="shared" si="65"/>
        <v>628+731</v>
      </c>
      <c r="BO88" s="39" t="str">
        <f t="shared" si="65"/>
        <v/>
      </c>
      <c r="BP88" s="39" t="str">
        <f t="shared" si="65"/>
        <v/>
      </c>
      <c r="BQ88" s="39" t="str">
        <f t="shared" si="65"/>
        <v>647+749</v>
      </c>
      <c r="BR88" s="39" t="str">
        <f t="shared" si="65"/>
        <v/>
      </c>
      <c r="BS88" s="39" t="str">
        <f t="shared" si="65"/>
        <v/>
      </c>
      <c r="BT88" s="39" t="str">
        <f t="shared" si="65"/>
        <v/>
      </c>
      <c r="BU88" s="39" t="str">
        <f t="shared" si="65"/>
        <v/>
      </c>
      <c r="BV88" s="39" t="str">
        <f t="shared" si="65"/>
        <v/>
      </c>
      <c r="BW88" s="39" t="str">
        <f t="shared" si="65"/>
        <v/>
      </c>
      <c r="BX88" s="39" t="str">
        <f t="shared" si="65"/>
        <v/>
      </c>
      <c r="BY88" s="39" t="str">
        <f t="shared" si="65"/>
        <v/>
      </c>
      <c r="BZ88" s="39" t="str">
        <f t="shared" si="65"/>
        <v/>
      </c>
      <c r="CA88" s="39" t="str">
        <f t="shared" si="65"/>
        <v/>
      </c>
      <c r="CB88" s="39" t="str">
        <f t="shared" si="66"/>
        <v/>
      </c>
      <c r="CC88" s="39" t="str">
        <f t="shared" si="66"/>
        <v/>
      </c>
      <c r="CD88" s="39" t="str">
        <f t="shared" si="66"/>
        <v>663+738</v>
      </c>
      <c r="CE88" s="39" t="str">
        <f t="shared" si="66"/>
        <v/>
      </c>
      <c r="CF88" s="39" t="str">
        <f t="shared" si="66"/>
        <v/>
      </c>
      <c r="CG88" s="39" t="str">
        <f t="shared" si="66"/>
        <v/>
      </c>
      <c r="CH88" s="39" t="str">
        <f t="shared" si="66"/>
        <v/>
      </c>
      <c r="CI88" s="39" t="str">
        <f t="shared" si="66"/>
        <v/>
      </c>
      <c r="CJ88" s="39" t="str">
        <f t="shared" si="66"/>
        <v/>
      </c>
      <c r="CK88" s="39" t="str">
        <f t="shared" si="66"/>
        <v/>
      </c>
      <c r="CL88" s="39" t="str">
        <f t="shared" si="66"/>
        <v/>
      </c>
      <c r="CM88" s="39" t="str">
        <f t="shared" si="66"/>
        <v/>
      </c>
      <c r="CN88" s="39" t="str">
        <f t="shared" si="66"/>
        <v/>
      </c>
      <c r="CO88" s="39" t="str">
        <f t="shared" si="66"/>
        <v/>
      </c>
      <c r="CP88" s="39" t="str">
        <f t="shared" si="66"/>
        <v/>
      </c>
      <c r="CQ88" s="39" t="str">
        <f t="shared" si="67"/>
        <v/>
      </c>
      <c r="CR88" s="39" t="str">
        <f t="shared" si="67"/>
        <v/>
      </c>
      <c r="CS88" s="39" t="str">
        <f t="shared" si="67"/>
        <v/>
      </c>
      <c r="CT88" s="39" t="str">
        <f t="shared" si="67"/>
        <v>639+752</v>
      </c>
      <c r="CU88" s="39" t="str">
        <f t="shared" si="67"/>
        <v/>
      </c>
      <c r="CV88" s="39" t="str">
        <f t="shared" si="67"/>
        <v/>
      </c>
      <c r="CW88" s="39" t="str">
        <f t="shared" si="67"/>
        <v/>
      </c>
      <c r="CX88" s="39" t="str">
        <f t="shared" si="67"/>
        <v/>
      </c>
      <c r="CY88" s="39" t="str">
        <f t="shared" si="67"/>
        <v/>
      </c>
      <c r="CZ88" s="39" t="str">
        <f t="shared" si="67"/>
        <v/>
      </c>
      <c r="DA88" s="39" t="str">
        <f t="shared" si="67"/>
        <v/>
      </c>
      <c r="DB88" s="39" t="str">
        <f t="shared" si="67"/>
        <v/>
      </c>
      <c r="DC88" s="39" t="str">
        <f t="shared" si="67"/>
        <v/>
      </c>
      <c r="DD88" s="39" t="str">
        <f t="shared" si="67"/>
        <v/>
      </c>
      <c r="DE88" s="39" t="str">
        <f t="shared" si="67"/>
        <v/>
      </c>
      <c r="DF88" s="37" t="str">
        <f t="shared" si="58"/>
        <v>3+1+1</v>
      </c>
      <c r="DG88" s="37" t="str">
        <f t="shared" si="59"/>
        <v>655+739|628+731|647+749</v>
      </c>
      <c r="DH88" s="37" t="str">
        <f t="shared" si="60"/>
        <v>663+738</v>
      </c>
      <c r="DI88" s="37" t="str">
        <f t="shared" si="61"/>
        <v>639+752</v>
      </c>
      <c r="DJ88" s="37" t="str">
        <f t="shared" si="62"/>
        <v>3+1+1|655+739|628+731|647+749|663+738|639+752</v>
      </c>
    </row>
    <row r="89" spans="2:114" x14ac:dyDescent="0.15">
      <c r="B89" s="15">
        <v>86</v>
      </c>
      <c r="C89" s="15" t="s">
        <v>111</v>
      </c>
      <c r="D89" s="15">
        <v>52</v>
      </c>
      <c r="G89" s="27" t="s">
        <v>535</v>
      </c>
      <c r="H89" s="27">
        <v>86</v>
      </c>
      <c r="I89" s="26" t="s">
        <v>725</v>
      </c>
      <c r="J89" s="26">
        <f t="shared" si="40"/>
        <v>156</v>
      </c>
      <c r="M89" s="27" t="s">
        <v>535</v>
      </c>
      <c r="N89" s="27">
        <v>86</v>
      </c>
      <c r="O89" s="26" t="s">
        <v>99</v>
      </c>
      <c r="P89" s="26">
        <f t="shared" si="41"/>
        <v>46</v>
      </c>
      <c r="Q89" s="26"/>
      <c r="R89" s="26"/>
      <c r="S89" s="27" t="s">
        <v>535</v>
      </c>
      <c r="T89" s="27">
        <v>86</v>
      </c>
      <c r="U89" s="26" t="s">
        <v>861</v>
      </c>
      <c r="V89" s="26">
        <f t="shared" si="42"/>
        <v>37</v>
      </c>
      <c r="W89" s="26"/>
      <c r="Y89" s="27" t="s">
        <v>535</v>
      </c>
      <c r="Z89" s="27">
        <v>86</v>
      </c>
      <c r="AA89" s="26" t="s">
        <v>202</v>
      </c>
      <c r="AB89" s="26">
        <f t="shared" si="43"/>
        <v>96</v>
      </c>
      <c r="AE89" s="27" t="s">
        <v>535</v>
      </c>
      <c r="AF89" s="27">
        <v>86</v>
      </c>
      <c r="AG89" s="26" t="s">
        <v>832</v>
      </c>
      <c r="AH89" s="26">
        <f t="shared" si="44"/>
        <v>109</v>
      </c>
      <c r="AK89" s="27" t="s">
        <v>535</v>
      </c>
      <c r="AL89" s="27">
        <v>86</v>
      </c>
      <c r="AM89" s="26" t="s">
        <v>286</v>
      </c>
      <c r="AN89" s="26">
        <f t="shared" si="45"/>
        <v>137</v>
      </c>
      <c r="AQ89" s="27" t="s">
        <v>535</v>
      </c>
      <c r="AR89" s="27">
        <v>86</v>
      </c>
      <c r="AS89" s="26" t="s">
        <v>276</v>
      </c>
      <c r="AT89" s="26">
        <f t="shared" si="46"/>
        <v>132</v>
      </c>
      <c r="AX89" s="15"/>
      <c r="AY89" s="35">
        <f t="shared" si="47"/>
        <v>86</v>
      </c>
      <c r="AZ89" s="35" t="str">
        <f t="shared" si="48"/>
        <v>503+348</v>
      </c>
      <c r="BA89" s="35">
        <f t="shared" si="49"/>
        <v>52</v>
      </c>
      <c r="BB89" s="38">
        <f>COUNTIF($BA$4:$BA89,$BA89)</f>
        <v>1</v>
      </c>
      <c r="BC89" s="36" t="str">
        <f t="shared" si="50"/>
        <v/>
      </c>
      <c r="BD89" s="36" t="str">
        <f t="shared" si="51"/>
        <v/>
      </c>
      <c r="BE89" s="36" t="str">
        <f t="shared" si="52"/>
        <v>村</v>
      </c>
      <c r="BF89" s="36" t="str">
        <f t="shared" si="53"/>
        <v>村</v>
      </c>
      <c r="BG89" s="36" t="str">
        <f t="shared" si="54"/>
        <v/>
      </c>
      <c r="BH89" s="36" t="str">
        <f t="shared" si="55"/>
        <v/>
      </c>
      <c r="BI89" s="36" t="str">
        <f t="shared" si="56"/>
        <v/>
      </c>
      <c r="BJ89" s="29" t="str">
        <f t="shared" si="57"/>
        <v>村</v>
      </c>
      <c r="BL89" s="15">
        <v>86</v>
      </c>
      <c r="BM89" s="39" t="str">
        <f t="shared" si="65"/>
        <v>607+749</v>
      </c>
      <c r="BN89" s="39" t="str">
        <f t="shared" si="65"/>
        <v/>
      </c>
      <c r="BO89" s="39" t="str">
        <f t="shared" si="65"/>
        <v>605+730</v>
      </c>
      <c r="BP89" s="39" t="str">
        <f t="shared" si="65"/>
        <v/>
      </c>
      <c r="BQ89" s="39" t="str">
        <f t="shared" si="65"/>
        <v/>
      </c>
      <c r="BR89" s="39" t="str">
        <f t="shared" si="65"/>
        <v/>
      </c>
      <c r="BS89" s="39" t="str">
        <f t="shared" si="65"/>
        <v/>
      </c>
      <c r="BT89" s="39" t="str">
        <f t="shared" si="65"/>
        <v/>
      </c>
      <c r="BU89" s="39" t="str">
        <f t="shared" si="65"/>
        <v/>
      </c>
      <c r="BV89" s="39" t="str">
        <f t="shared" si="65"/>
        <v/>
      </c>
      <c r="BW89" s="39" t="str">
        <f t="shared" si="65"/>
        <v/>
      </c>
      <c r="BX89" s="39" t="str">
        <f t="shared" si="65"/>
        <v/>
      </c>
      <c r="BY89" s="39" t="str">
        <f t="shared" si="65"/>
        <v/>
      </c>
      <c r="BZ89" s="39" t="str">
        <f t="shared" si="65"/>
        <v/>
      </c>
      <c r="CA89" s="39" t="str">
        <f t="shared" si="65"/>
        <v/>
      </c>
      <c r="CB89" s="39" t="str">
        <f t="shared" si="66"/>
        <v/>
      </c>
      <c r="CC89" s="39" t="str">
        <f t="shared" si="66"/>
        <v/>
      </c>
      <c r="CD89" s="39" t="str">
        <f t="shared" si="66"/>
        <v/>
      </c>
      <c r="CE89" s="39" t="str">
        <f t="shared" si="66"/>
        <v/>
      </c>
      <c r="CF89" s="39" t="str">
        <f t="shared" si="66"/>
        <v/>
      </c>
      <c r="CG89" s="39" t="str">
        <f t="shared" si="66"/>
        <v/>
      </c>
      <c r="CH89" s="39" t="str">
        <f t="shared" si="66"/>
        <v/>
      </c>
      <c r="CI89" s="39" t="str">
        <f t="shared" si="66"/>
        <v/>
      </c>
      <c r="CJ89" s="39" t="str">
        <f t="shared" si="66"/>
        <v/>
      </c>
      <c r="CK89" s="39" t="str">
        <f t="shared" si="66"/>
        <v/>
      </c>
      <c r="CL89" s="39" t="str">
        <f t="shared" si="66"/>
        <v/>
      </c>
      <c r="CM89" s="39" t="str">
        <f t="shared" si="66"/>
        <v/>
      </c>
      <c r="CN89" s="39" t="str">
        <f t="shared" si="66"/>
        <v/>
      </c>
      <c r="CO89" s="39" t="str">
        <f t="shared" si="66"/>
        <v/>
      </c>
      <c r="CP89" s="39" t="str">
        <f t="shared" si="66"/>
        <v/>
      </c>
      <c r="CQ89" s="39" t="str">
        <f t="shared" si="67"/>
        <v/>
      </c>
      <c r="CR89" s="39" t="str">
        <f t="shared" si="67"/>
        <v>589+758</v>
      </c>
      <c r="CS89" s="39" t="str">
        <f t="shared" si="67"/>
        <v/>
      </c>
      <c r="CT89" s="39" t="str">
        <f t="shared" si="67"/>
        <v/>
      </c>
      <c r="CU89" s="39" t="str">
        <f t="shared" si="67"/>
        <v/>
      </c>
      <c r="CV89" s="39" t="str">
        <f t="shared" si="67"/>
        <v/>
      </c>
      <c r="CW89" s="39" t="str">
        <f t="shared" si="67"/>
        <v/>
      </c>
      <c r="CX89" s="39" t="str">
        <f t="shared" si="67"/>
        <v/>
      </c>
      <c r="CY89" s="39" t="str">
        <f t="shared" si="67"/>
        <v/>
      </c>
      <c r="CZ89" s="39" t="str">
        <f t="shared" si="67"/>
        <v/>
      </c>
      <c r="DA89" s="39" t="str">
        <f t="shared" si="67"/>
        <v/>
      </c>
      <c r="DB89" s="39" t="str">
        <f t="shared" si="67"/>
        <v/>
      </c>
      <c r="DC89" s="39" t="str">
        <f t="shared" si="67"/>
        <v/>
      </c>
      <c r="DD89" s="39" t="str">
        <f t="shared" si="67"/>
        <v/>
      </c>
      <c r="DE89" s="39" t="str">
        <f t="shared" si="67"/>
        <v/>
      </c>
      <c r="DF89" s="37" t="str">
        <f t="shared" si="58"/>
        <v>2+0+1</v>
      </c>
      <c r="DG89" s="37" t="str">
        <f t="shared" si="59"/>
        <v>607+749|605+730</v>
      </c>
      <c r="DH89" s="37" t="str">
        <f t="shared" si="60"/>
        <v>0+0</v>
      </c>
      <c r="DI89" s="37" t="str">
        <f t="shared" si="61"/>
        <v>589+758</v>
      </c>
      <c r="DJ89" s="37" t="str">
        <f t="shared" si="62"/>
        <v>2+0+1|607+749|605+730|0+0|589+758</v>
      </c>
    </row>
    <row r="90" spans="2:114" x14ac:dyDescent="0.15">
      <c r="B90" s="15">
        <v>87</v>
      </c>
      <c r="C90" s="15" t="s">
        <v>112</v>
      </c>
      <c r="D90" s="15">
        <v>52</v>
      </c>
      <c r="G90" s="27" t="s">
        <v>535</v>
      </c>
      <c r="H90" s="27">
        <v>87</v>
      </c>
      <c r="I90" s="26" t="s">
        <v>325</v>
      </c>
      <c r="J90" s="26">
        <f t="shared" si="40"/>
        <v>156</v>
      </c>
      <c r="M90" s="27" t="s">
        <v>535</v>
      </c>
      <c r="N90" s="27">
        <v>87</v>
      </c>
      <c r="O90" s="26" t="s">
        <v>106</v>
      </c>
      <c r="P90" s="26">
        <f t="shared" si="41"/>
        <v>49</v>
      </c>
      <c r="Q90" s="26"/>
      <c r="R90" s="26"/>
      <c r="S90" s="27" t="s">
        <v>535</v>
      </c>
      <c r="T90" s="27">
        <v>87</v>
      </c>
      <c r="U90" s="26" t="s">
        <v>328</v>
      </c>
      <c r="V90" s="26">
        <f t="shared" si="42"/>
        <v>157</v>
      </c>
      <c r="W90" s="26"/>
      <c r="Y90" s="27" t="s">
        <v>535</v>
      </c>
      <c r="Z90" s="27">
        <v>87</v>
      </c>
      <c r="AA90" s="26" t="s">
        <v>201</v>
      </c>
      <c r="AB90" s="26">
        <f t="shared" si="43"/>
        <v>96</v>
      </c>
      <c r="AE90" s="27" t="s">
        <v>535</v>
      </c>
      <c r="AF90" s="27">
        <v>87</v>
      </c>
      <c r="AG90" s="26" t="s">
        <v>226</v>
      </c>
      <c r="AH90" s="26">
        <f t="shared" si="44"/>
        <v>108</v>
      </c>
      <c r="AK90" s="27" t="s">
        <v>535</v>
      </c>
      <c r="AL90" s="27">
        <v>87</v>
      </c>
      <c r="AM90" s="26" t="s">
        <v>977</v>
      </c>
      <c r="AN90" s="26">
        <f t="shared" si="45"/>
        <v>137</v>
      </c>
      <c r="AQ90" s="27" t="s">
        <v>535</v>
      </c>
      <c r="AR90" s="27">
        <v>87</v>
      </c>
      <c r="AS90" s="26" t="s">
        <v>288</v>
      </c>
      <c r="AT90" s="26">
        <f t="shared" si="46"/>
        <v>138</v>
      </c>
      <c r="AX90" s="15"/>
      <c r="AY90" s="35">
        <f t="shared" si="47"/>
        <v>87</v>
      </c>
      <c r="AZ90" s="35" t="str">
        <f t="shared" si="48"/>
        <v>527+336</v>
      </c>
      <c r="BA90" s="35">
        <f t="shared" si="49"/>
        <v>52</v>
      </c>
      <c r="BB90" s="38">
        <f>COUNTIF($BA$4:$BA90,$BA90)</f>
        <v>2</v>
      </c>
      <c r="BC90" s="36" t="str">
        <f t="shared" si="50"/>
        <v>村</v>
      </c>
      <c r="BD90" s="36" t="str">
        <f t="shared" si="51"/>
        <v/>
      </c>
      <c r="BE90" s="36" t="str">
        <f t="shared" si="52"/>
        <v/>
      </c>
      <c r="BF90" s="36" t="str">
        <f t="shared" si="53"/>
        <v>村</v>
      </c>
      <c r="BG90" s="36" t="str">
        <f t="shared" si="54"/>
        <v/>
      </c>
      <c r="BH90" s="36" t="str">
        <f t="shared" si="55"/>
        <v/>
      </c>
      <c r="BI90" s="36" t="str">
        <f t="shared" si="56"/>
        <v/>
      </c>
      <c r="BJ90" s="29" t="str">
        <f t="shared" si="57"/>
        <v>村</v>
      </c>
      <c r="BL90" s="15">
        <v>87</v>
      </c>
      <c r="BM90" s="39" t="str">
        <f t="shared" ref="BM90:CA105" si="68">IFERROR(INDEX($AZ$4:$AZ$1000,MATCH(SUMIFS($AY$4:$AY$1000,$BA$4:$BA$1000,$BL90,$BB$4:$BB$1000,BM$3,$BJ$4:$BJ$1000,"村"),$AY$4:$AY$1000,0)),"")</f>
        <v>606+700</v>
      </c>
      <c r="BN90" s="39" t="str">
        <f t="shared" si="68"/>
        <v/>
      </c>
      <c r="BO90" s="39" t="str">
        <f t="shared" si="68"/>
        <v>642+697</v>
      </c>
      <c r="BP90" s="39" t="str">
        <f t="shared" si="68"/>
        <v/>
      </c>
      <c r="BQ90" s="39" t="str">
        <f t="shared" si="68"/>
        <v/>
      </c>
      <c r="BR90" s="39" t="str">
        <f t="shared" si="68"/>
        <v/>
      </c>
      <c r="BS90" s="39" t="str">
        <f t="shared" si="68"/>
        <v/>
      </c>
      <c r="BT90" s="39" t="str">
        <f t="shared" si="68"/>
        <v/>
      </c>
      <c r="BU90" s="39" t="str">
        <f t="shared" si="68"/>
        <v/>
      </c>
      <c r="BV90" s="39" t="str">
        <f t="shared" si="68"/>
        <v/>
      </c>
      <c r="BW90" s="39" t="str">
        <f t="shared" si="68"/>
        <v/>
      </c>
      <c r="BX90" s="39" t="str">
        <f t="shared" si="68"/>
        <v/>
      </c>
      <c r="BY90" s="39" t="str">
        <f t="shared" si="68"/>
        <v/>
      </c>
      <c r="BZ90" s="39" t="str">
        <f t="shared" si="68"/>
        <v/>
      </c>
      <c r="CA90" s="39" t="str">
        <f t="shared" si="68"/>
        <v/>
      </c>
      <c r="CB90" s="39" t="str">
        <f t="shared" si="66"/>
        <v/>
      </c>
      <c r="CC90" s="39" t="str">
        <f t="shared" si="66"/>
        <v/>
      </c>
      <c r="CD90" s="39" t="str">
        <f t="shared" si="66"/>
        <v/>
      </c>
      <c r="CE90" s="39" t="str">
        <f t="shared" si="66"/>
        <v/>
      </c>
      <c r="CF90" s="39" t="str">
        <f t="shared" si="66"/>
        <v/>
      </c>
      <c r="CG90" s="39" t="str">
        <f t="shared" si="66"/>
        <v/>
      </c>
      <c r="CH90" s="39" t="str">
        <f t="shared" si="66"/>
        <v/>
      </c>
      <c r="CI90" s="39" t="str">
        <f t="shared" si="66"/>
        <v/>
      </c>
      <c r="CJ90" s="39" t="str">
        <f t="shared" si="66"/>
        <v/>
      </c>
      <c r="CK90" s="39" t="str">
        <f t="shared" si="66"/>
        <v/>
      </c>
      <c r="CL90" s="39" t="str">
        <f t="shared" si="66"/>
        <v/>
      </c>
      <c r="CM90" s="39" t="str">
        <f t="shared" si="66"/>
        <v/>
      </c>
      <c r="CN90" s="39" t="str">
        <f t="shared" si="66"/>
        <v/>
      </c>
      <c r="CO90" s="39" t="str">
        <f t="shared" si="66"/>
        <v/>
      </c>
      <c r="CP90" s="39" t="str">
        <f t="shared" si="66"/>
        <v/>
      </c>
      <c r="CQ90" s="39" t="str">
        <f t="shared" si="67"/>
        <v/>
      </c>
      <c r="CR90" s="39" t="str">
        <f t="shared" si="67"/>
        <v>620+688</v>
      </c>
      <c r="CS90" s="39" t="str">
        <f t="shared" si="67"/>
        <v/>
      </c>
      <c r="CT90" s="39" t="str">
        <f t="shared" si="67"/>
        <v/>
      </c>
      <c r="CU90" s="39" t="str">
        <f t="shared" si="67"/>
        <v/>
      </c>
      <c r="CV90" s="39" t="str">
        <f t="shared" si="67"/>
        <v/>
      </c>
      <c r="CW90" s="39" t="str">
        <f t="shared" si="67"/>
        <v/>
      </c>
      <c r="CX90" s="39" t="str">
        <f t="shared" si="67"/>
        <v/>
      </c>
      <c r="CY90" s="39" t="str">
        <f t="shared" si="67"/>
        <v/>
      </c>
      <c r="CZ90" s="39" t="str">
        <f t="shared" si="67"/>
        <v/>
      </c>
      <c r="DA90" s="39" t="str">
        <f t="shared" si="67"/>
        <v/>
      </c>
      <c r="DB90" s="39" t="str">
        <f t="shared" si="67"/>
        <v/>
      </c>
      <c r="DC90" s="39" t="str">
        <f t="shared" si="67"/>
        <v/>
      </c>
      <c r="DD90" s="39" t="str">
        <f t="shared" si="67"/>
        <v/>
      </c>
      <c r="DE90" s="39" t="str">
        <f t="shared" si="67"/>
        <v/>
      </c>
      <c r="DF90" s="37" t="str">
        <f t="shared" si="58"/>
        <v>2+0+1</v>
      </c>
      <c r="DG90" s="37" t="str">
        <f t="shared" si="59"/>
        <v>606+700|642+697</v>
      </c>
      <c r="DH90" s="37" t="str">
        <f t="shared" si="60"/>
        <v>0+0</v>
      </c>
      <c r="DI90" s="37" t="str">
        <f t="shared" si="61"/>
        <v>620+688</v>
      </c>
      <c r="DJ90" s="37" t="str">
        <f t="shared" si="62"/>
        <v>2+0+1|606+700|642+697|0+0|620+688</v>
      </c>
    </row>
    <row r="91" spans="2:114" x14ac:dyDescent="0.15">
      <c r="B91" s="15">
        <v>88</v>
      </c>
      <c r="C91" s="15" t="s">
        <v>603</v>
      </c>
      <c r="D91" s="15">
        <v>52</v>
      </c>
      <c r="G91" s="27" t="s">
        <v>535</v>
      </c>
      <c r="H91" s="27">
        <v>88</v>
      </c>
      <c r="I91" s="26" t="s">
        <v>58</v>
      </c>
      <c r="J91" s="26">
        <f t="shared" si="40"/>
        <v>25</v>
      </c>
      <c r="M91" s="27" t="s">
        <v>535</v>
      </c>
      <c r="N91" s="27">
        <v>88</v>
      </c>
      <c r="O91" s="26" t="s">
        <v>278</v>
      </c>
      <c r="P91" s="26">
        <f t="shared" si="41"/>
        <v>133</v>
      </c>
      <c r="Q91" s="26"/>
      <c r="R91" s="26"/>
      <c r="S91" s="27" t="s">
        <v>535</v>
      </c>
      <c r="T91" s="27">
        <v>88</v>
      </c>
      <c r="U91" s="26" t="s">
        <v>110</v>
      </c>
      <c r="V91" s="26">
        <f t="shared" si="42"/>
        <v>51</v>
      </c>
      <c r="W91" s="26"/>
      <c r="Y91" s="27" t="s">
        <v>535</v>
      </c>
      <c r="Z91" s="27">
        <v>88</v>
      </c>
      <c r="AA91" s="26" t="s">
        <v>315</v>
      </c>
      <c r="AB91" s="26">
        <f t="shared" si="43"/>
        <v>150</v>
      </c>
      <c r="AE91" s="27" t="s">
        <v>535</v>
      </c>
      <c r="AF91" s="27">
        <v>88</v>
      </c>
      <c r="AG91" s="26" t="s">
        <v>193</v>
      </c>
      <c r="AH91" s="26">
        <f t="shared" si="44"/>
        <v>92</v>
      </c>
      <c r="AK91" s="27" t="s">
        <v>535</v>
      </c>
      <c r="AL91" s="27">
        <v>88</v>
      </c>
      <c r="AM91" s="26" t="s">
        <v>304</v>
      </c>
      <c r="AN91" s="26">
        <f t="shared" si="45"/>
        <v>145</v>
      </c>
      <c r="AQ91" s="27" t="s">
        <v>535</v>
      </c>
      <c r="AR91" s="27">
        <v>88</v>
      </c>
      <c r="AS91" s="26" t="s">
        <v>189</v>
      </c>
      <c r="AT91" s="26">
        <f t="shared" si="46"/>
        <v>90</v>
      </c>
      <c r="AX91" s="15"/>
      <c r="AY91" s="35">
        <f t="shared" si="47"/>
        <v>88</v>
      </c>
      <c r="AZ91" s="35" t="str">
        <f t="shared" si="48"/>
        <v>516+318</v>
      </c>
      <c r="BA91" s="35">
        <f t="shared" si="49"/>
        <v>52</v>
      </c>
      <c r="BB91" s="38">
        <f>COUNTIF($BA$4:$BA91,$BA91)</f>
        <v>3</v>
      </c>
      <c r="BC91" s="36" t="str">
        <f t="shared" si="50"/>
        <v/>
      </c>
      <c r="BD91" s="36" t="str">
        <f t="shared" si="51"/>
        <v/>
      </c>
      <c r="BE91" s="36" t="str">
        <f t="shared" si="52"/>
        <v/>
      </c>
      <c r="BF91" s="36" t="str">
        <f t="shared" si="53"/>
        <v>县</v>
      </c>
      <c r="BG91" s="36" t="str">
        <f t="shared" si="54"/>
        <v/>
      </c>
      <c r="BH91" s="36" t="str">
        <f t="shared" si="55"/>
        <v/>
      </c>
      <c r="BI91" s="36" t="str">
        <f t="shared" si="56"/>
        <v/>
      </c>
      <c r="BJ91" s="29" t="str">
        <f t="shared" si="57"/>
        <v>县</v>
      </c>
      <c r="BL91" s="15">
        <v>88</v>
      </c>
      <c r="BM91" s="39" t="str">
        <f t="shared" si="68"/>
        <v>596+677</v>
      </c>
      <c r="BN91" s="39" t="str">
        <f t="shared" si="68"/>
        <v>579+685</v>
      </c>
      <c r="BO91" s="39" t="str">
        <f t="shared" si="68"/>
        <v/>
      </c>
      <c r="BP91" s="39" t="str">
        <f t="shared" si="68"/>
        <v>586+668</v>
      </c>
      <c r="BQ91" s="39" t="str">
        <f t="shared" si="68"/>
        <v/>
      </c>
      <c r="BR91" s="39" t="str">
        <f t="shared" si="68"/>
        <v/>
      </c>
      <c r="BS91" s="39" t="str">
        <f t="shared" si="68"/>
        <v/>
      </c>
      <c r="BT91" s="39" t="str">
        <f t="shared" si="68"/>
        <v/>
      </c>
      <c r="BU91" s="39" t="str">
        <f t="shared" si="68"/>
        <v/>
      </c>
      <c r="BV91" s="39" t="str">
        <f t="shared" si="68"/>
        <v/>
      </c>
      <c r="BW91" s="39" t="str">
        <f t="shared" si="68"/>
        <v/>
      </c>
      <c r="BX91" s="39" t="str">
        <f t="shared" si="68"/>
        <v/>
      </c>
      <c r="BY91" s="39" t="str">
        <f t="shared" si="68"/>
        <v/>
      </c>
      <c r="BZ91" s="39" t="str">
        <f t="shared" si="68"/>
        <v/>
      </c>
      <c r="CA91" s="39" t="str">
        <f t="shared" si="68"/>
        <v/>
      </c>
      <c r="CB91" s="39" t="str">
        <f t="shared" si="66"/>
        <v/>
      </c>
      <c r="CC91" s="39" t="str">
        <f t="shared" si="66"/>
        <v/>
      </c>
      <c r="CD91" s="39" t="str">
        <f t="shared" si="66"/>
        <v/>
      </c>
      <c r="CE91" s="39" t="str">
        <f t="shared" si="66"/>
        <v/>
      </c>
      <c r="CF91" s="39" t="str">
        <f t="shared" si="66"/>
        <v/>
      </c>
      <c r="CG91" s="39" t="str">
        <f t="shared" si="66"/>
        <v/>
      </c>
      <c r="CH91" s="39" t="str">
        <f t="shared" si="66"/>
        <v/>
      </c>
      <c r="CI91" s="39" t="str">
        <f t="shared" si="66"/>
        <v/>
      </c>
      <c r="CJ91" s="39" t="str">
        <f t="shared" si="66"/>
        <v/>
      </c>
      <c r="CK91" s="39" t="str">
        <f t="shared" si="66"/>
        <v/>
      </c>
      <c r="CL91" s="39" t="str">
        <f t="shared" si="66"/>
        <v/>
      </c>
      <c r="CM91" s="39" t="str">
        <f t="shared" si="66"/>
        <v/>
      </c>
      <c r="CN91" s="39" t="str">
        <f t="shared" si="66"/>
        <v/>
      </c>
      <c r="CO91" s="39" t="str">
        <f t="shared" si="66"/>
        <v/>
      </c>
      <c r="CP91" s="39" t="str">
        <f t="shared" si="66"/>
        <v/>
      </c>
      <c r="CQ91" s="39" t="str">
        <f t="shared" si="67"/>
        <v/>
      </c>
      <c r="CR91" s="39" t="str">
        <f t="shared" si="67"/>
        <v/>
      </c>
      <c r="CS91" s="39" t="str">
        <f t="shared" si="67"/>
        <v>573+703</v>
      </c>
      <c r="CT91" s="39" t="str">
        <f t="shared" si="67"/>
        <v/>
      </c>
      <c r="CU91" s="39" t="str">
        <f t="shared" si="67"/>
        <v/>
      </c>
      <c r="CV91" s="39" t="str">
        <f t="shared" si="67"/>
        <v/>
      </c>
      <c r="CW91" s="39" t="str">
        <f t="shared" si="67"/>
        <v/>
      </c>
      <c r="CX91" s="39" t="str">
        <f t="shared" si="67"/>
        <v/>
      </c>
      <c r="CY91" s="39" t="str">
        <f t="shared" si="67"/>
        <v/>
      </c>
      <c r="CZ91" s="39" t="str">
        <f t="shared" si="67"/>
        <v/>
      </c>
      <c r="DA91" s="39" t="str">
        <f t="shared" si="67"/>
        <v/>
      </c>
      <c r="DB91" s="39" t="str">
        <f t="shared" si="67"/>
        <v/>
      </c>
      <c r="DC91" s="39" t="str">
        <f t="shared" si="67"/>
        <v/>
      </c>
      <c r="DD91" s="39" t="str">
        <f t="shared" si="67"/>
        <v/>
      </c>
      <c r="DE91" s="39" t="str">
        <f t="shared" si="67"/>
        <v/>
      </c>
      <c r="DF91" s="37" t="str">
        <f t="shared" si="58"/>
        <v>3+0+1</v>
      </c>
      <c r="DG91" s="37" t="str">
        <f t="shared" si="59"/>
        <v>596+677|579+685|586+668</v>
      </c>
      <c r="DH91" s="37" t="str">
        <f t="shared" si="60"/>
        <v>0+0</v>
      </c>
      <c r="DI91" s="37" t="str">
        <f t="shared" si="61"/>
        <v>573+703</v>
      </c>
      <c r="DJ91" s="37" t="str">
        <f t="shared" si="62"/>
        <v>3+0+1|596+677|579+685|586+668|0+0|573+703</v>
      </c>
    </row>
    <row r="92" spans="2:114" x14ac:dyDescent="0.15">
      <c r="B92" s="15">
        <v>89</v>
      </c>
      <c r="C92" s="15" t="s">
        <v>696</v>
      </c>
      <c r="D92" s="15">
        <v>52</v>
      </c>
      <c r="G92" s="27" t="s">
        <v>535</v>
      </c>
      <c r="H92" s="27">
        <v>89</v>
      </c>
      <c r="I92" s="26" t="s">
        <v>86</v>
      </c>
      <c r="J92" s="26">
        <f t="shared" si="40"/>
        <v>39</v>
      </c>
      <c r="M92" s="27" t="s">
        <v>535</v>
      </c>
      <c r="N92" s="27">
        <v>89</v>
      </c>
      <c r="O92" s="26" t="s">
        <v>286</v>
      </c>
      <c r="P92" s="26">
        <f t="shared" si="41"/>
        <v>137</v>
      </c>
      <c r="Q92" s="26"/>
      <c r="R92" s="26"/>
      <c r="S92" s="27" t="s">
        <v>535</v>
      </c>
      <c r="T92" s="27">
        <v>89</v>
      </c>
      <c r="U92" s="26" t="s">
        <v>98</v>
      </c>
      <c r="V92" s="26">
        <f t="shared" si="42"/>
        <v>45</v>
      </c>
      <c r="W92" s="26"/>
      <c r="Y92" s="27" t="s">
        <v>535</v>
      </c>
      <c r="Z92" s="27">
        <v>89</v>
      </c>
      <c r="AA92" s="26" t="s">
        <v>314</v>
      </c>
      <c r="AB92" s="26">
        <f t="shared" si="43"/>
        <v>150</v>
      </c>
      <c r="AE92" s="27" t="s">
        <v>535</v>
      </c>
      <c r="AF92" s="27">
        <v>89</v>
      </c>
      <c r="AG92" s="26" t="s">
        <v>211</v>
      </c>
      <c r="AH92" s="26">
        <f t="shared" si="44"/>
        <v>101</v>
      </c>
      <c r="AK92" s="27" t="s">
        <v>535</v>
      </c>
      <c r="AL92" s="27">
        <v>89</v>
      </c>
      <c r="AM92" s="26" t="s">
        <v>305</v>
      </c>
      <c r="AN92" s="26">
        <f t="shared" si="45"/>
        <v>145</v>
      </c>
      <c r="AQ92" s="27" t="s">
        <v>535</v>
      </c>
      <c r="AR92" s="27">
        <v>89</v>
      </c>
      <c r="AS92" s="26" t="s">
        <v>190</v>
      </c>
      <c r="AT92" s="26">
        <f t="shared" si="46"/>
        <v>90</v>
      </c>
      <c r="AX92" s="15"/>
      <c r="AY92" s="35">
        <f t="shared" si="47"/>
        <v>89</v>
      </c>
      <c r="AZ92" s="35" t="str">
        <f t="shared" si="48"/>
        <v>478+309</v>
      </c>
      <c r="BA92" s="35">
        <f t="shared" si="49"/>
        <v>52</v>
      </c>
      <c r="BB92" s="38">
        <f>COUNTIF($BA$4:$BA92,$BA92)</f>
        <v>4</v>
      </c>
      <c r="BC92" s="36" t="str">
        <f t="shared" si="50"/>
        <v>营</v>
      </c>
      <c r="BD92" s="36" t="str">
        <f t="shared" si="51"/>
        <v/>
      </c>
      <c r="BE92" s="36" t="str">
        <f t="shared" si="52"/>
        <v/>
      </c>
      <c r="BF92" s="36" t="str">
        <f t="shared" si="53"/>
        <v>营</v>
      </c>
      <c r="BG92" s="36" t="str">
        <f t="shared" si="54"/>
        <v/>
      </c>
      <c r="BH92" s="36" t="str">
        <f t="shared" si="55"/>
        <v/>
      </c>
      <c r="BI92" s="36" t="str">
        <f t="shared" si="56"/>
        <v/>
      </c>
      <c r="BJ92" s="29" t="str">
        <f t="shared" si="57"/>
        <v>营</v>
      </c>
      <c r="BL92" s="15">
        <v>89</v>
      </c>
      <c r="BM92" s="39" t="str">
        <f t="shared" si="68"/>
        <v>656+708</v>
      </c>
      <c r="BN92" s="39" t="str">
        <f t="shared" si="68"/>
        <v>682+710</v>
      </c>
      <c r="BO92" s="39" t="str">
        <f t="shared" si="68"/>
        <v/>
      </c>
      <c r="BP92" s="39" t="str">
        <f t="shared" si="68"/>
        <v/>
      </c>
      <c r="BQ92" s="39" t="str">
        <f t="shared" si="68"/>
        <v/>
      </c>
      <c r="BR92" s="39" t="str">
        <f t="shared" si="68"/>
        <v/>
      </c>
      <c r="BS92" s="39" t="str">
        <f t="shared" si="68"/>
        <v/>
      </c>
      <c r="BT92" s="39" t="str">
        <f t="shared" si="68"/>
        <v/>
      </c>
      <c r="BU92" s="39" t="str">
        <f t="shared" si="68"/>
        <v/>
      </c>
      <c r="BV92" s="39" t="str">
        <f t="shared" si="68"/>
        <v/>
      </c>
      <c r="BW92" s="39" t="str">
        <f t="shared" si="68"/>
        <v/>
      </c>
      <c r="BX92" s="39" t="str">
        <f t="shared" si="68"/>
        <v/>
      </c>
      <c r="BY92" s="39" t="str">
        <f t="shared" si="68"/>
        <v/>
      </c>
      <c r="BZ92" s="39" t="str">
        <f t="shared" si="68"/>
        <v/>
      </c>
      <c r="CA92" s="39" t="str">
        <f t="shared" si="68"/>
        <v/>
      </c>
      <c r="CB92" s="39" t="str">
        <f t="shared" si="66"/>
        <v/>
      </c>
      <c r="CC92" s="39" t="str">
        <f t="shared" si="66"/>
        <v/>
      </c>
      <c r="CD92" s="39" t="str">
        <f t="shared" si="66"/>
        <v/>
      </c>
      <c r="CE92" s="39" t="str">
        <f t="shared" si="66"/>
        <v/>
      </c>
      <c r="CF92" s="39" t="str">
        <f t="shared" si="66"/>
        <v/>
      </c>
      <c r="CG92" s="39" t="str">
        <f t="shared" si="66"/>
        <v/>
      </c>
      <c r="CH92" s="39" t="str">
        <f t="shared" si="66"/>
        <v/>
      </c>
      <c r="CI92" s="39" t="str">
        <f t="shared" si="66"/>
        <v/>
      </c>
      <c r="CJ92" s="39" t="str">
        <f t="shared" si="66"/>
        <v/>
      </c>
      <c r="CK92" s="39" t="str">
        <f t="shared" si="66"/>
        <v/>
      </c>
      <c r="CL92" s="39" t="str">
        <f t="shared" si="66"/>
        <v/>
      </c>
      <c r="CM92" s="39" t="str">
        <f t="shared" si="66"/>
        <v/>
      </c>
      <c r="CN92" s="39" t="str">
        <f t="shared" si="66"/>
        <v/>
      </c>
      <c r="CO92" s="39" t="str">
        <f t="shared" si="66"/>
        <v/>
      </c>
      <c r="CP92" s="39" t="str">
        <f t="shared" si="66"/>
        <v/>
      </c>
      <c r="CQ92" s="39" t="str">
        <f t="shared" si="67"/>
        <v/>
      </c>
      <c r="CR92" s="39" t="str">
        <f t="shared" si="67"/>
        <v/>
      </c>
      <c r="CS92" s="39" t="str">
        <f t="shared" si="67"/>
        <v>671+714</v>
      </c>
      <c r="CT92" s="39" t="str">
        <f t="shared" si="67"/>
        <v/>
      </c>
      <c r="CU92" s="39" t="str">
        <f t="shared" si="67"/>
        <v/>
      </c>
      <c r="CV92" s="39" t="str">
        <f t="shared" si="67"/>
        <v/>
      </c>
      <c r="CW92" s="39" t="str">
        <f t="shared" si="67"/>
        <v/>
      </c>
      <c r="CX92" s="39" t="str">
        <f t="shared" si="67"/>
        <v/>
      </c>
      <c r="CY92" s="39" t="str">
        <f t="shared" si="67"/>
        <v/>
      </c>
      <c r="CZ92" s="39" t="str">
        <f t="shared" si="67"/>
        <v/>
      </c>
      <c r="DA92" s="39" t="str">
        <f t="shared" si="67"/>
        <v/>
      </c>
      <c r="DB92" s="39" t="str">
        <f t="shared" si="67"/>
        <v/>
      </c>
      <c r="DC92" s="39" t="str">
        <f t="shared" si="67"/>
        <v/>
      </c>
      <c r="DD92" s="39" t="str">
        <f t="shared" si="67"/>
        <v/>
      </c>
      <c r="DE92" s="39" t="str">
        <f t="shared" si="67"/>
        <v/>
      </c>
      <c r="DF92" s="37" t="str">
        <f t="shared" si="58"/>
        <v>2+0+1</v>
      </c>
      <c r="DG92" s="37" t="str">
        <f t="shared" si="59"/>
        <v>656+708|682+710</v>
      </c>
      <c r="DH92" s="37" t="str">
        <f t="shared" si="60"/>
        <v>0+0</v>
      </c>
      <c r="DI92" s="37" t="str">
        <f t="shared" si="61"/>
        <v>671+714</v>
      </c>
      <c r="DJ92" s="37" t="str">
        <f t="shared" si="62"/>
        <v>2+0+1|656+708|682+710|0+0|671+714</v>
      </c>
    </row>
    <row r="93" spans="2:114" x14ac:dyDescent="0.15">
      <c r="B93" s="15">
        <v>90</v>
      </c>
      <c r="C93" s="15" t="s">
        <v>113</v>
      </c>
      <c r="D93" s="15">
        <v>53</v>
      </c>
      <c r="G93" s="25" t="s">
        <v>536</v>
      </c>
      <c r="H93" s="25">
        <v>90</v>
      </c>
      <c r="I93" s="26" t="s">
        <v>286</v>
      </c>
      <c r="J93" s="26">
        <f t="shared" si="40"/>
        <v>137</v>
      </c>
      <c r="M93" s="25" t="s">
        <v>536</v>
      </c>
      <c r="N93" s="25">
        <v>90</v>
      </c>
      <c r="O93" s="26" t="s">
        <v>104</v>
      </c>
      <c r="P93" s="26">
        <f t="shared" si="41"/>
        <v>48</v>
      </c>
      <c r="Q93" s="26"/>
      <c r="R93" s="26"/>
      <c r="S93" s="25" t="s">
        <v>536</v>
      </c>
      <c r="T93" s="25">
        <v>90</v>
      </c>
      <c r="U93" s="26" t="s">
        <v>324</v>
      </c>
      <c r="V93" s="26">
        <f t="shared" si="42"/>
        <v>155</v>
      </c>
      <c r="W93" s="26"/>
      <c r="Y93" s="25" t="s">
        <v>536</v>
      </c>
      <c r="Z93" s="25">
        <v>90</v>
      </c>
      <c r="AA93" s="26" t="s">
        <v>278</v>
      </c>
      <c r="AB93" s="26">
        <f t="shared" si="43"/>
        <v>133</v>
      </c>
      <c r="AE93" s="25" t="s">
        <v>536</v>
      </c>
      <c r="AF93" s="25">
        <v>90</v>
      </c>
      <c r="AG93" s="26" t="s">
        <v>280</v>
      </c>
      <c r="AH93" s="26">
        <f t="shared" si="44"/>
        <v>134</v>
      </c>
      <c r="AK93" s="25" t="s">
        <v>536</v>
      </c>
      <c r="AL93" s="25">
        <v>90</v>
      </c>
      <c r="AM93" s="26" t="s">
        <v>903</v>
      </c>
      <c r="AN93" s="26">
        <f t="shared" si="45"/>
        <v>111</v>
      </c>
      <c r="AQ93" s="25" t="s">
        <v>536</v>
      </c>
      <c r="AR93" s="25">
        <v>90</v>
      </c>
      <c r="AS93" s="26" t="s">
        <v>302</v>
      </c>
      <c r="AT93" s="26">
        <f t="shared" si="46"/>
        <v>144</v>
      </c>
      <c r="AX93" s="15"/>
      <c r="AY93" s="35">
        <f t="shared" si="47"/>
        <v>90</v>
      </c>
      <c r="AZ93" s="35" t="str">
        <f t="shared" si="48"/>
        <v>328+395</v>
      </c>
      <c r="BA93" s="35">
        <f t="shared" si="49"/>
        <v>53</v>
      </c>
      <c r="BB93" s="38">
        <f>COUNTIF($BA$4:$BA93,$BA93)</f>
        <v>1</v>
      </c>
      <c r="BC93" s="36" t="str">
        <f t="shared" si="50"/>
        <v>村</v>
      </c>
      <c r="BD93" s="36" t="str">
        <f t="shared" si="51"/>
        <v/>
      </c>
      <c r="BE93" s="36" t="str">
        <f t="shared" si="52"/>
        <v/>
      </c>
      <c r="BF93" s="36" t="str">
        <f t="shared" si="53"/>
        <v>村</v>
      </c>
      <c r="BG93" s="36" t="str">
        <f t="shared" si="54"/>
        <v/>
      </c>
      <c r="BH93" s="36" t="str">
        <f t="shared" si="55"/>
        <v/>
      </c>
      <c r="BI93" s="36" t="str">
        <f t="shared" si="56"/>
        <v/>
      </c>
      <c r="BJ93" s="29" t="str">
        <f t="shared" si="57"/>
        <v>村</v>
      </c>
      <c r="BL93" s="15">
        <v>90</v>
      </c>
      <c r="BM93" s="39" t="str">
        <f t="shared" si="68"/>
        <v>709+689</v>
      </c>
      <c r="BN93" s="39" t="str">
        <f t="shared" si="68"/>
        <v>688+672</v>
      </c>
      <c r="BO93" s="39" t="str">
        <f t="shared" si="68"/>
        <v/>
      </c>
      <c r="BP93" s="39" t="str">
        <f t="shared" si="68"/>
        <v/>
      </c>
      <c r="BQ93" s="39" t="str">
        <f t="shared" si="68"/>
        <v/>
      </c>
      <c r="BR93" s="39" t="str">
        <f t="shared" si="68"/>
        <v/>
      </c>
      <c r="BS93" s="39" t="str">
        <f t="shared" si="68"/>
        <v/>
      </c>
      <c r="BT93" s="39" t="str">
        <f t="shared" si="68"/>
        <v/>
      </c>
      <c r="BU93" s="39" t="str">
        <f t="shared" si="68"/>
        <v/>
      </c>
      <c r="BV93" s="39" t="str">
        <f t="shared" si="68"/>
        <v/>
      </c>
      <c r="BW93" s="39" t="str">
        <f t="shared" si="68"/>
        <v/>
      </c>
      <c r="BX93" s="39" t="str">
        <f t="shared" si="68"/>
        <v/>
      </c>
      <c r="BY93" s="39" t="str">
        <f t="shared" si="68"/>
        <v/>
      </c>
      <c r="BZ93" s="39" t="str">
        <f t="shared" si="68"/>
        <v/>
      </c>
      <c r="CA93" s="39" t="str">
        <f t="shared" si="68"/>
        <v/>
      </c>
      <c r="CB93" s="39" t="str">
        <f t="shared" si="66"/>
        <v/>
      </c>
      <c r="CC93" s="39" t="str">
        <f t="shared" si="66"/>
        <v/>
      </c>
      <c r="CD93" s="39" t="str">
        <f t="shared" si="66"/>
        <v/>
      </c>
      <c r="CE93" s="39" t="str">
        <f t="shared" si="66"/>
        <v/>
      </c>
      <c r="CF93" s="39" t="str">
        <f t="shared" si="66"/>
        <v/>
      </c>
      <c r="CG93" s="39" t="str">
        <f t="shared" si="66"/>
        <v/>
      </c>
      <c r="CH93" s="39" t="str">
        <f t="shared" si="66"/>
        <v/>
      </c>
      <c r="CI93" s="39" t="str">
        <f t="shared" si="66"/>
        <v/>
      </c>
      <c r="CJ93" s="39" t="str">
        <f t="shared" si="66"/>
        <v/>
      </c>
      <c r="CK93" s="39" t="str">
        <f t="shared" si="66"/>
        <v/>
      </c>
      <c r="CL93" s="39" t="str">
        <f t="shared" si="66"/>
        <v/>
      </c>
      <c r="CM93" s="39" t="str">
        <f t="shared" si="66"/>
        <v/>
      </c>
      <c r="CN93" s="39" t="str">
        <f t="shared" si="66"/>
        <v/>
      </c>
      <c r="CO93" s="39" t="str">
        <f t="shared" si="66"/>
        <v/>
      </c>
      <c r="CP93" s="39" t="str">
        <f t="shared" si="66"/>
        <v/>
      </c>
      <c r="CQ93" s="39" t="str">
        <f t="shared" si="67"/>
        <v/>
      </c>
      <c r="CR93" s="39" t="str">
        <f t="shared" si="67"/>
        <v/>
      </c>
      <c r="CS93" s="39" t="str">
        <f t="shared" si="67"/>
        <v>703+663</v>
      </c>
      <c r="CT93" s="39" t="str">
        <f t="shared" si="67"/>
        <v>706+711</v>
      </c>
      <c r="CU93" s="39" t="str">
        <f t="shared" si="67"/>
        <v/>
      </c>
      <c r="CV93" s="39" t="str">
        <f t="shared" si="67"/>
        <v/>
      </c>
      <c r="CW93" s="39" t="str">
        <f t="shared" si="67"/>
        <v/>
      </c>
      <c r="CX93" s="39" t="str">
        <f t="shared" si="67"/>
        <v/>
      </c>
      <c r="CY93" s="39" t="str">
        <f t="shared" si="67"/>
        <v/>
      </c>
      <c r="CZ93" s="39" t="str">
        <f t="shared" si="67"/>
        <v/>
      </c>
      <c r="DA93" s="39" t="str">
        <f t="shared" si="67"/>
        <v/>
      </c>
      <c r="DB93" s="39" t="str">
        <f t="shared" si="67"/>
        <v/>
      </c>
      <c r="DC93" s="39" t="str">
        <f t="shared" si="67"/>
        <v/>
      </c>
      <c r="DD93" s="39" t="str">
        <f t="shared" si="67"/>
        <v/>
      </c>
      <c r="DE93" s="39" t="str">
        <f t="shared" si="67"/>
        <v/>
      </c>
      <c r="DF93" s="37" t="str">
        <f t="shared" si="58"/>
        <v>2+0+2</v>
      </c>
      <c r="DG93" s="37" t="str">
        <f t="shared" si="59"/>
        <v>709+689|688+672</v>
      </c>
      <c r="DH93" s="37" t="str">
        <f t="shared" si="60"/>
        <v>0+0</v>
      </c>
      <c r="DI93" s="37" t="str">
        <f t="shared" si="61"/>
        <v>703+663|706+711</v>
      </c>
      <c r="DJ93" s="37" t="str">
        <f t="shared" si="62"/>
        <v>2+0+2|709+689|688+672|0+0|703+663|706+711</v>
      </c>
    </row>
    <row r="94" spans="2:114" x14ac:dyDescent="0.15">
      <c r="B94" s="15">
        <v>91</v>
      </c>
      <c r="C94" s="15" t="s">
        <v>114</v>
      </c>
      <c r="D94" s="15">
        <v>53</v>
      </c>
      <c r="G94" s="25" t="s">
        <v>536</v>
      </c>
      <c r="H94" s="25">
        <v>91</v>
      </c>
      <c r="I94" s="26" t="s">
        <v>289</v>
      </c>
      <c r="J94" s="26">
        <f t="shared" si="40"/>
        <v>138</v>
      </c>
      <c r="M94" s="25" t="s">
        <v>536</v>
      </c>
      <c r="N94" s="25">
        <v>91</v>
      </c>
      <c r="O94" s="26" t="s">
        <v>103</v>
      </c>
      <c r="P94" s="26">
        <f t="shared" si="41"/>
        <v>48</v>
      </c>
      <c r="Q94" s="26"/>
      <c r="R94" s="26"/>
      <c r="S94" s="25" t="s">
        <v>536</v>
      </c>
      <c r="T94" s="25">
        <v>91</v>
      </c>
      <c r="U94" s="26" t="s">
        <v>325</v>
      </c>
      <c r="V94" s="26">
        <f t="shared" si="42"/>
        <v>156</v>
      </c>
      <c r="W94" s="26"/>
      <c r="Y94" s="25" t="s">
        <v>536</v>
      </c>
      <c r="Z94" s="25">
        <v>91</v>
      </c>
      <c r="AA94" s="26" t="s">
        <v>279</v>
      </c>
      <c r="AB94" s="26">
        <f t="shared" si="43"/>
        <v>133</v>
      </c>
      <c r="AE94" s="25" t="s">
        <v>536</v>
      </c>
      <c r="AF94" s="25">
        <v>91</v>
      </c>
      <c r="AG94" s="26" t="s">
        <v>917</v>
      </c>
      <c r="AH94" s="26">
        <f t="shared" si="44"/>
        <v>134</v>
      </c>
      <c r="AK94" s="25" t="s">
        <v>536</v>
      </c>
      <c r="AL94" s="25">
        <v>91</v>
      </c>
      <c r="AM94" s="26" t="s">
        <v>970</v>
      </c>
      <c r="AN94" s="26">
        <f t="shared" si="45"/>
        <v>84</v>
      </c>
      <c r="AQ94" s="25" t="s">
        <v>536</v>
      </c>
      <c r="AR94" s="25">
        <v>91</v>
      </c>
      <c r="AS94" s="26" t="s">
        <v>322</v>
      </c>
      <c r="AT94" s="26">
        <f t="shared" si="46"/>
        <v>154</v>
      </c>
      <c r="AX94" s="15"/>
      <c r="AY94" s="35">
        <f t="shared" si="47"/>
        <v>91</v>
      </c>
      <c r="AZ94" s="35" t="str">
        <f t="shared" si="48"/>
        <v>346+378</v>
      </c>
      <c r="BA94" s="35">
        <f t="shared" si="49"/>
        <v>53</v>
      </c>
      <c r="BB94" s="38">
        <f>COUNTIF($BA$4:$BA94,$BA94)</f>
        <v>2</v>
      </c>
      <c r="BC94" s="36" t="str">
        <f t="shared" si="50"/>
        <v/>
      </c>
      <c r="BD94" s="36" t="str">
        <f t="shared" si="51"/>
        <v/>
      </c>
      <c r="BE94" s="36" t="str">
        <f t="shared" si="52"/>
        <v/>
      </c>
      <c r="BF94" s="36" t="str">
        <f t="shared" si="53"/>
        <v>村</v>
      </c>
      <c r="BG94" s="36" t="str">
        <f t="shared" si="54"/>
        <v/>
      </c>
      <c r="BH94" s="36" t="str">
        <f t="shared" si="55"/>
        <v/>
      </c>
      <c r="BI94" s="36" t="str">
        <f t="shared" si="56"/>
        <v/>
      </c>
      <c r="BJ94" s="29" t="str">
        <f t="shared" si="57"/>
        <v>村</v>
      </c>
      <c r="BL94" s="15">
        <v>91</v>
      </c>
      <c r="BM94" s="39" t="str">
        <f t="shared" si="68"/>
        <v>621+660</v>
      </c>
      <c r="BN94" s="39" t="str">
        <f t="shared" si="68"/>
        <v>636+668</v>
      </c>
      <c r="BO94" s="39" t="str">
        <f t="shared" si="68"/>
        <v/>
      </c>
      <c r="BP94" s="39" t="str">
        <f t="shared" si="68"/>
        <v/>
      </c>
      <c r="BQ94" s="39" t="str">
        <f t="shared" si="68"/>
        <v/>
      </c>
      <c r="BR94" s="39" t="str">
        <f t="shared" si="68"/>
        <v/>
      </c>
      <c r="BS94" s="39" t="str">
        <f t="shared" si="68"/>
        <v/>
      </c>
      <c r="BT94" s="39" t="str">
        <f t="shared" si="68"/>
        <v/>
      </c>
      <c r="BU94" s="39" t="str">
        <f t="shared" si="68"/>
        <v/>
      </c>
      <c r="BV94" s="39" t="str">
        <f t="shared" si="68"/>
        <v/>
      </c>
      <c r="BW94" s="39" t="str">
        <f t="shared" si="68"/>
        <v/>
      </c>
      <c r="BX94" s="39" t="str">
        <f t="shared" si="68"/>
        <v/>
      </c>
      <c r="BY94" s="39" t="str">
        <f t="shared" si="68"/>
        <v/>
      </c>
      <c r="BZ94" s="39" t="str">
        <f t="shared" si="68"/>
        <v/>
      </c>
      <c r="CA94" s="39" t="str">
        <f t="shared" si="68"/>
        <v/>
      </c>
      <c r="CB94" s="39" t="str">
        <f t="shared" si="66"/>
        <v/>
      </c>
      <c r="CC94" s="39" t="str">
        <f t="shared" si="66"/>
        <v/>
      </c>
      <c r="CD94" s="39" t="str">
        <f t="shared" si="66"/>
        <v/>
      </c>
      <c r="CE94" s="39" t="str">
        <f t="shared" si="66"/>
        <v/>
      </c>
      <c r="CF94" s="39" t="str">
        <f t="shared" si="66"/>
        <v/>
      </c>
      <c r="CG94" s="39" t="str">
        <f t="shared" si="66"/>
        <v/>
      </c>
      <c r="CH94" s="39" t="str">
        <f t="shared" si="66"/>
        <v/>
      </c>
      <c r="CI94" s="39" t="str">
        <f t="shared" si="66"/>
        <v/>
      </c>
      <c r="CJ94" s="39" t="str">
        <f t="shared" si="66"/>
        <v/>
      </c>
      <c r="CK94" s="39" t="str">
        <f t="shared" si="66"/>
        <v/>
      </c>
      <c r="CL94" s="39" t="str">
        <f t="shared" si="66"/>
        <v/>
      </c>
      <c r="CM94" s="39" t="str">
        <f t="shared" si="66"/>
        <v/>
      </c>
      <c r="CN94" s="39" t="str">
        <f t="shared" si="66"/>
        <v/>
      </c>
      <c r="CO94" s="39" t="str">
        <f t="shared" si="66"/>
        <v/>
      </c>
      <c r="CP94" s="39" t="str">
        <f t="shared" si="66"/>
        <v/>
      </c>
      <c r="CQ94" s="39" t="str">
        <f t="shared" si="67"/>
        <v/>
      </c>
      <c r="CR94" s="39" t="str">
        <f t="shared" si="67"/>
        <v/>
      </c>
      <c r="CS94" s="39" t="str">
        <f t="shared" si="67"/>
        <v>648+668</v>
      </c>
      <c r="CT94" s="39" t="str">
        <f t="shared" si="67"/>
        <v>605+657</v>
      </c>
      <c r="CU94" s="39" t="str">
        <f t="shared" si="67"/>
        <v/>
      </c>
      <c r="CV94" s="39" t="str">
        <f t="shared" si="67"/>
        <v/>
      </c>
      <c r="CW94" s="39" t="str">
        <f t="shared" si="67"/>
        <v/>
      </c>
      <c r="CX94" s="39" t="str">
        <f t="shared" si="67"/>
        <v/>
      </c>
      <c r="CY94" s="39" t="str">
        <f t="shared" si="67"/>
        <v/>
      </c>
      <c r="CZ94" s="39" t="str">
        <f t="shared" si="67"/>
        <v/>
      </c>
      <c r="DA94" s="39" t="str">
        <f t="shared" si="67"/>
        <v/>
      </c>
      <c r="DB94" s="39" t="str">
        <f t="shared" si="67"/>
        <v/>
      </c>
      <c r="DC94" s="39" t="str">
        <f t="shared" si="67"/>
        <v/>
      </c>
      <c r="DD94" s="39" t="str">
        <f t="shared" si="67"/>
        <v/>
      </c>
      <c r="DE94" s="39" t="str">
        <f t="shared" si="67"/>
        <v/>
      </c>
      <c r="DF94" s="37" t="str">
        <f t="shared" si="58"/>
        <v>2+0+2</v>
      </c>
      <c r="DG94" s="37" t="str">
        <f t="shared" si="59"/>
        <v>621+660|636+668</v>
      </c>
      <c r="DH94" s="37" t="str">
        <f t="shared" si="60"/>
        <v>0+0</v>
      </c>
      <c r="DI94" s="37" t="str">
        <f t="shared" si="61"/>
        <v>648+668|605+657</v>
      </c>
      <c r="DJ94" s="37" t="str">
        <f t="shared" si="62"/>
        <v>2+0+2|621+660|636+668|0+0|648+668|605+657</v>
      </c>
    </row>
    <row r="95" spans="2:114" x14ac:dyDescent="0.15">
      <c r="B95" s="15">
        <v>92</v>
      </c>
      <c r="C95" s="15" t="s">
        <v>697</v>
      </c>
      <c r="D95" s="15">
        <v>53</v>
      </c>
      <c r="G95" s="25" t="s">
        <v>536</v>
      </c>
      <c r="H95" s="25">
        <v>92</v>
      </c>
      <c r="I95" s="26" t="s">
        <v>278</v>
      </c>
      <c r="J95" s="26">
        <f t="shared" si="40"/>
        <v>133</v>
      </c>
      <c r="M95" s="25" t="s">
        <v>536</v>
      </c>
      <c r="N95" s="25">
        <v>92</v>
      </c>
      <c r="O95" s="26" t="s">
        <v>87</v>
      </c>
      <c r="P95" s="26">
        <f t="shared" si="41"/>
        <v>39</v>
      </c>
      <c r="Q95" s="26"/>
      <c r="R95" s="26"/>
      <c r="S95" s="25" t="s">
        <v>536</v>
      </c>
      <c r="T95" s="25">
        <v>92</v>
      </c>
      <c r="U95" s="26" t="s">
        <v>196</v>
      </c>
      <c r="V95" s="26">
        <f t="shared" si="42"/>
        <v>93</v>
      </c>
      <c r="W95" s="26"/>
      <c r="Y95" s="25" t="s">
        <v>536</v>
      </c>
      <c r="Z95" s="25">
        <v>92</v>
      </c>
      <c r="AA95" s="26" t="s">
        <v>307</v>
      </c>
      <c r="AB95" s="26">
        <f t="shared" si="43"/>
        <v>146</v>
      </c>
      <c r="AE95" s="25" t="s">
        <v>536</v>
      </c>
      <c r="AF95" s="25">
        <v>92</v>
      </c>
      <c r="AG95" s="26" t="s">
        <v>282</v>
      </c>
      <c r="AH95" s="26">
        <f t="shared" si="44"/>
        <v>135</v>
      </c>
      <c r="AK95" s="25" t="s">
        <v>536</v>
      </c>
      <c r="AL95" s="25">
        <v>92</v>
      </c>
      <c r="AM95" s="26" t="s">
        <v>878</v>
      </c>
      <c r="AN95" s="26">
        <f t="shared" si="45"/>
        <v>71</v>
      </c>
      <c r="AQ95" s="25" t="s">
        <v>536</v>
      </c>
      <c r="AR95" s="25">
        <v>92</v>
      </c>
      <c r="AS95" s="26" t="s">
        <v>333</v>
      </c>
      <c r="AT95" s="26">
        <f t="shared" si="46"/>
        <v>160</v>
      </c>
      <c r="AX95" s="15"/>
      <c r="AY95" s="35">
        <f t="shared" si="47"/>
        <v>92</v>
      </c>
      <c r="AZ95" s="35" t="str">
        <f t="shared" si="48"/>
        <v>316+373</v>
      </c>
      <c r="BA95" s="35">
        <f t="shared" si="49"/>
        <v>53</v>
      </c>
      <c r="BB95" s="38">
        <f>COUNTIF($BA$4:$BA95,$BA95)</f>
        <v>3</v>
      </c>
      <c r="BC95" s="36" t="str">
        <f t="shared" si="50"/>
        <v>县</v>
      </c>
      <c r="BD95" s="36" t="str">
        <f t="shared" si="51"/>
        <v/>
      </c>
      <c r="BE95" s="36" t="str">
        <f t="shared" si="52"/>
        <v/>
      </c>
      <c r="BF95" s="36" t="str">
        <f t="shared" si="53"/>
        <v>县</v>
      </c>
      <c r="BG95" s="36" t="str">
        <f t="shared" si="54"/>
        <v/>
      </c>
      <c r="BH95" s="36" t="str">
        <f t="shared" si="55"/>
        <v/>
      </c>
      <c r="BI95" s="36" t="str">
        <f t="shared" si="56"/>
        <v/>
      </c>
      <c r="BJ95" s="29" t="str">
        <f t="shared" si="57"/>
        <v>县</v>
      </c>
      <c r="BL95" s="15">
        <v>92</v>
      </c>
      <c r="BM95" s="39" t="str">
        <f t="shared" si="68"/>
        <v>610+632</v>
      </c>
      <c r="BN95" s="39" t="str">
        <f t="shared" si="68"/>
        <v>602+608</v>
      </c>
      <c r="BO95" s="39" t="str">
        <f t="shared" si="68"/>
        <v/>
      </c>
      <c r="BP95" s="39" t="str">
        <f t="shared" si="68"/>
        <v/>
      </c>
      <c r="BQ95" s="39" t="str">
        <f t="shared" si="68"/>
        <v/>
      </c>
      <c r="BR95" s="39" t="str">
        <f t="shared" si="68"/>
        <v/>
      </c>
      <c r="BS95" s="39" t="str">
        <f t="shared" si="68"/>
        <v/>
      </c>
      <c r="BT95" s="39" t="str">
        <f t="shared" si="68"/>
        <v/>
      </c>
      <c r="BU95" s="39" t="str">
        <f t="shared" si="68"/>
        <v/>
      </c>
      <c r="BV95" s="39" t="str">
        <f t="shared" si="68"/>
        <v/>
      </c>
      <c r="BW95" s="39" t="str">
        <f t="shared" si="68"/>
        <v/>
      </c>
      <c r="BX95" s="39" t="str">
        <f t="shared" si="68"/>
        <v/>
      </c>
      <c r="BY95" s="39" t="str">
        <f t="shared" si="68"/>
        <v/>
      </c>
      <c r="BZ95" s="39" t="str">
        <f t="shared" si="68"/>
        <v/>
      </c>
      <c r="CA95" s="39" t="str">
        <f t="shared" si="68"/>
        <v/>
      </c>
      <c r="CB95" s="39" t="str">
        <f t="shared" si="66"/>
        <v/>
      </c>
      <c r="CC95" s="39" t="str">
        <f t="shared" si="66"/>
        <v/>
      </c>
      <c r="CD95" s="39" t="str">
        <f t="shared" si="66"/>
        <v/>
      </c>
      <c r="CE95" s="39" t="str">
        <f t="shared" si="66"/>
        <v/>
      </c>
      <c r="CF95" s="39" t="str">
        <f t="shared" si="66"/>
        <v/>
      </c>
      <c r="CG95" s="39" t="str">
        <f t="shared" si="66"/>
        <v/>
      </c>
      <c r="CH95" s="39" t="str">
        <f t="shared" si="66"/>
        <v/>
      </c>
      <c r="CI95" s="39" t="str">
        <f t="shared" si="66"/>
        <v/>
      </c>
      <c r="CJ95" s="39" t="str">
        <f t="shared" si="66"/>
        <v/>
      </c>
      <c r="CK95" s="39" t="str">
        <f t="shared" si="66"/>
        <v/>
      </c>
      <c r="CL95" s="39" t="str">
        <f t="shared" si="66"/>
        <v/>
      </c>
      <c r="CM95" s="39" t="str">
        <f t="shared" si="66"/>
        <v/>
      </c>
      <c r="CN95" s="39" t="str">
        <f t="shared" si="66"/>
        <v/>
      </c>
      <c r="CO95" s="39" t="str">
        <f t="shared" si="66"/>
        <v/>
      </c>
      <c r="CP95" s="39" t="str">
        <f t="shared" si="66"/>
        <v/>
      </c>
      <c r="CQ95" s="39" t="str">
        <f t="shared" si="67"/>
        <v/>
      </c>
      <c r="CR95" s="39" t="str">
        <f t="shared" si="67"/>
        <v/>
      </c>
      <c r="CS95" s="39" t="str">
        <f t="shared" si="67"/>
        <v>595+635</v>
      </c>
      <c r="CT95" s="39" t="str">
        <f t="shared" si="67"/>
        <v/>
      </c>
      <c r="CU95" s="39" t="str">
        <f t="shared" si="67"/>
        <v/>
      </c>
      <c r="CV95" s="39" t="str">
        <f t="shared" si="67"/>
        <v/>
      </c>
      <c r="CW95" s="39" t="str">
        <f t="shared" si="67"/>
        <v/>
      </c>
      <c r="CX95" s="39" t="str">
        <f t="shared" si="67"/>
        <v/>
      </c>
      <c r="CY95" s="39" t="str">
        <f t="shared" si="67"/>
        <v/>
      </c>
      <c r="CZ95" s="39" t="str">
        <f t="shared" si="67"/>
        <v/>
      </c>
      <c r="DA95" s="39" t="str">
        <f t="shared" si="67"/>
        <v/>
      </c>
      <c r="DB95" s="39" t="str">
        <f t="shared" si="67"/>
        <v/>
      </c>
      <c r="DC95" s="39" t="str">
        <f t="shared" si="67"/>
        <v/>
      </c>
      <c r="DD95" s="39" t="str">
        <f t="shared" si="67"/>
        <v/>
      </c>
      <c r="DE95" s="39" t="str">
        <f t="shared" si="67"/>
        <v/>
      </c>
      <c r="DF95" s="37" t="str">
        <f t="shared" si="58"/>
        <v>2+0+1</v>
      </c>
      <c r="DG95" s="37" t="str">
        <f t="shared" si="59"/>
        <v>610+632|602+608</v>
      </c>
      <c r="DH95" s="37" t="str">
        <f t="shared" si="60"/>
        <v>0+0</v>
      </c>
      <c r="DI95" s="37" t="str">
        <f t="shared" si="61"/>
        <v>595+635</v>
      </c>
      <c r="DJ95" s="37" t="str">
        <f t="shared" si="62"/>
        <v>2+0+1|610+632|602+608|0+0|595+635</v>
      </c>
    </row>
    <row r="96" spans="2:114" x14ac:dyDescent="0.15">
      <c r="B96" s="15">
        <v>93</v>
      </c>
      <c r="C96" s="15" t="s">
        <v>117</v>
      </c>
      <c r="D96" s="15">
        <v>54</v>
      </c>
      <c r="G96" s="25" t="s">
        <v>536</v>
      </c>
      <c r="H96" s="25">
        <v>93</v>
      </c>
      <c r="I96" s="26" t="s">
        <v>279</v>
      </c>
      <c r="J96" s="26">
        <f t="shared" si="40"/>
        <v>133</v>
      </c>
      <c r="M96" s="25" t="s">
        <v>536</v>
      </c>
      <c r="N96" s="25">
        <v>93</v>
      </c>
      <c r="O96" s="26" t="s">
        <v>86</v>
      </c>
      <c r="P96" s="26">
        <f t="shared" si="41"/>
        <v>39</v>
      </c>
      <c r="Q96" s="26"/>
      <c r="R96" s="26"/>
      <c r="S96" s="25" t="s">
        <v>536</v>
      </c>
      <c r="T96" s="25">
        <v>93</v>
      </c>
      <c r="U96" s="26" t="s">
        <v>314</v>
      </c>
      <c r="V96" s="26">
        <f t="shared" si="42"/>
        <v>150</v>
      </c>
      <c r="W96" s="26"/>
      <c r="Y96" s="25" t="s">
        <v>536</v>
      </c>
      <c r="Z96" s="25">
        <v>93</v>
      </c>
      <c r="AA96" s="26" t="s">
        <v>306</v>
      </c>
      <c r="AB96" s="26">
        <f t="shared" si="43"/>
        <v>146</v>
      </c>
      <c r="AE96" s="25" t="s">
        <v>536</v>
      </c>
      <c r="AF96" s="25">
        <v>93</v>
      </c>
      <c r="AG96" s="26" t="s">
        <v>283</v>
      </c>
      <c r="AH96" s="26">
        <f t="shared" si="44"/>
        <v>135</v>
      </c>
      <c r="AK96" s="25" t="s">
        <v>536</v>
      </c>
      <c r="AL96" s="25">
        <v>93</v>
      </c>
      <c r="AM96" s="26" t="s">
        <v>837</v>
      </c>
      <c r="AN96" s="26">
        <f t="shared" si="45"/>
        <v>112</v>
      </c>
      <c r="AQ96" s="25" t="s">
        <v>536</v>
      </c>
      <c r="AR96" s="25">
        <v>93</v>
      </c>
      <c r="AS96" s="26" t="s">
        <v>335</v>
      </c>
      <c r="AT96" s="26">
        <f t="shared" si="46"/>
        <v>161</v>
      </c>
      <c r="AX96" s="15"/>
      <c r="AY96" s="35">
        <f t="shared" si="47"/>
        <v>93</v>
      </c>
      <c r="AZ96" s="35" t="str">
        <f t="shared" si="48"/>
        <v>224+396</v>
      </c>
      <c r="BA96" s="35">
        <f t="shared" si="49"/>
        <v>54</v>
      </c>
      <c r="BB96" s="38">
        <f>COUNTIF($BA$4:$BA96,$BA96)</f>
        <v>1</v>
      </c>
      <c r="BC96" s="36" t="str">
        <f t="shared" si="50"/>
        <v>县</v>
      </c>
      <c r="BD96" s="36" t="str">
        <f t="shared" si="51"/>
        <v/>
      </c>
      <c r="BE96" s="36" t="str">
        <f t="shared" si="52"/>
        <v/>
      </c>
      <c r="BF96" s="36" t="str">
        <f t="shared" si="53"/>
        <v/>
      </c>
      <c r="BG96" s="36" t="str">
        <f t="shared" si="54"/>
        <v/>
      </c>
      <c r="BH96" s="36" t="str">
        <f t="shared" si="55"/>
        <v/>
      </c>
      <c r="BI96" s="36" t="str">
        <f t="shared" si="56"/>
        <v/>
      </c>
      <c r="BJ96" s="29" t="str">
        <f t="shared" si="57"/>
        <v>县</v>
      </c>
      <c r="BL96" s="15">
        <v>93</v>
      </c>
      <c r="BM96" s="39" t="str">
        <f t="shared" si="68"/>
        <v>581+630</v>
      </c>
      <c r="BN96" s="39" t="str">
        <f t="shared" si="68"/>
        <v>569+613</v>
      </c>
      <c r="BO96" s="39" t="str">
        <f t="shared" si="68"/>
        <v/>
      </c>
      <c r="BP96" s="39" t="str">
        <f t="shared" si="68"/>
        <v/>
      </c>
      <c r="BQ96" s="39" t="str">
        <f t="shared" si="68"/>
        <v/>
      </c>
      <c r="BR96" s="39" t="str">
        <f t="shared" si="68"/>
        <v/>
      </c>
      <c r="BS96" s="39" t="str">
        <f t="shared" si="68"/>
        <v/>
      </c>
      <c r="BT96" s="39" t="str">
        <f t="shared" si="68"/>
        <v/>
      </c>
      <c r="BU96" s="39" t="str">
        <f t="shared" si="68"/>
        <v/>
      </c>
      <c r="BV96" s="39" t="str">
        <f t="shared" si="68"/>
        <v/>
      </c>
      <c r="BW96" s="39" t="str">
        <f t="shared" si="68"/>
        <v/>
      </c>
      <c r="BX96" s="39" t="str">
        <f t="shared" si="68"/>
        <v/>
      </c>
      <c r="BY96" s="39" t="str">
        <f t="shared" si="68"/>
        <v/>
      </c>
      <c r="BZ96" s="39" t="str">
        <f t="shared" si="68"/>
        <v/>
      </c>
      <c r="CA96" s="39" t="str">
        <f t="shared" si="68"/>
        <v/>
      </c>
      <c r="CB96" s="39" t="str">
        <f t="shared" si="66"/>
        <v/>
      </c>
      <c r="CC96" s="39" t="str">
        <f t="shared" si="66"/>
        <v/>
      </c>
      <c r="CD96" s="39" t="str">
        <f t="shared" si="66"/>
        <v>574+643</v>
      </c>
      <c r="CE96" s="39" t="str">
        <f t="shared" si="66"/>
        <v/>
      </c>
      <c r="CF96" s="39" t="str">
        <f t="shared" si="66"/>
        <v>569+596</v>
      </c>
      <c r="CG96" s="39" t="str">
        <f t="shared" si="66"/>
        <v/>
      </c>
      <c r="CH96" s="39" t="str">
        <f t="shared" si="66"/>
        <v/>
      </c>
      <c r="CI96" s="39" t="str">
        <f t="shared" si="66"/>
        <v/>
      </c>
      <c r="CJ96" s="39" t="str">
        <f t="shared" si="66"/>
        <v/>
      </c>
      <c r="CK96" s="39" t="str">
        <f t="shared" si="66"/>
        <v/>
      </c>
      <c r="CL96" s="39" t="str">
        <f t="shared" si="66"/>
        <v/>
      </c>
      <c r="CM96" s="39" t="str">
        <f t="shared" si="66"/>
        <v/>
      </c>
      <c r="CN96" s="39" t="str">
        <f t="shared" si="66"/>
        <v/>
      </c>
      <c r="CO96" s="39" t="str">
        <f t="shared" si="66"/>
        <v/>
      </c>
      <c r="CP96" s="39" t="str">
        <f t="shared" si="66"/>
        <v/>
      </c>
      <c r="CQ96" s="39" t="str">
        <f t="shared" si="67"/>
        <v/>
      </c>
      <c r="CR96" s="39" t="str">
        <f t="shared" si="67"/>
        <v/>
      </c>
      <c r="CS96" s="39" t="str">
        <f t="shared" si="67"/>
        <v/>
      </c>
      <c r="CT96" s="39" t="str">
        <f t="shared" si="67"/>
        <v>592+610</v>
      </c>
      <c r="CU96" s="39" t="str">
        <f t="shared" si="67"/>
        <v/>
      </c>
      <c r="CV96" s="39" t="str">
        <f t="shared" si="67"/>
        <v/>
      </c>
      <c r="CW96" s="39" t="str">
        <f t="shared" si="67"/>
        <v/>
      </c>
      <c r="CX96" s="39" t="str">
        <f t="shared" si="67"/>
        <v/>
      </c>
      <c r="CY96" s="39" t="str">
        <f t="shared" si="67"/>
        <v/>
      </c>
      <c r="CZ96" s="39" t="str">
        <f t="shared" si="67"/>
        <v/>
      </c>
      <c r="DA96" s="39" t="str">
        <f t="shared" si="67"/>
        <v/>
      </c>
      <c r="DB96" s="39" t="str">
        <f t="shared" si="67"/>
        <v/>
      </c>
      <c r="DC96" s="39" t="str">
        <f t="shared" si="67"/>
        <v/>
      </c>
      <c r="DD96" s="39" t="str">
        <f t="shared" si="67"/>
        <v/>
      </c>
      <c r="DE96" s="39" t="str">
        <f t="shared" si="67"/>
        <v/>
      </c>
      <c r="DF96" s="37" t="str">
        <f t="shared" si="58"/>
        <v>2+2+1</v>
      </c>
      <c r="DG96" s="37" t="str">
        <f t="shared" si="59"/>
        <v>581+630|569+613</v>
      </c>
      <c r="DH96" s="37" t="str">
        <f t="shared" si="60"/>
        <v>574+643|569+596</v>
      </c>
      <c r="DI96" s="37" t="str">
        <f t="shared" si="61"/>
        <v>592+610</v>
      </c>
      <c r="DJ96" s="37" t="str">
        <f t="shared" si="62"/>
        <v>2+2+1|581+630|569+613|574+643|569+596|592+610</v>
      </c>
    </row>
    <row r="97" spans="2:114" x14ac:dyDescent="0.15">
      <c r="B97" s="15">
        <v>94</v>
      </c>
      <c r="C97" s="15" t="s">
        <v>115</v>
      </c>
      <c r="D97" s="15">
        <v>54</v>
      </c>
      <c r="G97" s="25" t="s">
        <v>536</v>
      </c>
      <c r="H97" s="25">
        <v>94</v>
      </c>
      <c r="I97" s="26" t="s">
        <v>323</v>
      </c>
      <c r="J97" s="26">
        <f t="shared" si="40"/>
        <v>155</v>
      </c>
      <c r="M97" s="25" t="s">
        <v>536</v>
      </c>
      <c r="N97" s="25">
        <v>94</v>
      </c>
      <c r="O97" s="26" t="s">
        <v>108</v>
      </c>
      <c r="P97" s="26">
        <f t="shared" si="41"/>
        <v>50</v>
      </c>
      <c r="Q97" s="26"/>
      <c r="R97" s="26"/>
      <c r="S97" s="25" t="s">
        <v>536</v>
      </c>
      <c r="T97" s="25">
        <v>94</v>
      </c>
      <c r="U97" s="26" t="s">
        <v>330</v>
      </c>
      <c r="V97" s="26">
        <f t="shared" si="42"/>
        <v>158</v>
      </c>
      <c r="W97" s="26"/>
      <c r="Y97" s="25" t="s">
        <v>536</v>
      </c>
      <c r="Z97" s="25">
        <v>94</v>
      </c>
      <c r="AA97" s="26" t="s">
        <v>76</v>
      </c>
      <c r="AB97" s="26">
        <f t="shared" si="43"/>
        <v>34</v>
      </c>
      <c r="AE97" s="25" t="s">
        <v>536</v>
      </c>
      <c r="AF97" s="25">
        <v>94</v>
      </c>
      <c r="AG97" s="26" t="s">
        <v>189</v>
      </c>
      <c r="AH97" s="26">
        <f t="shared" si="44"/>
        <v>90</v>
      </c>
      <c r="AK97" s="25" t="s">
        <v>536</v>
      </c>
      <c r="AL97" s="25">
        <v>94</v>
      </c>
      <c r="AM97" s="26" t="s">
        <v>277</v>
      </c>
      <c r="AN97" s="26">
        <f t="shared" si="45"/>
        <v>132</v>
      </c>
      <c r="AQ97" s="25" t="s">
        <v>536</v>
      </c>
      <c r="AR97" s="25">
        <v>94</v>
      </c>
      <c r="AS97" s="26" t="s">
        <v>300</v>
      </c>
      <c r="AT97" s="26">
        <f t="shared" si="46"/>
        <v>143</v>
      </c>
      <c r="AX97" s="15"/>
      <c r="AY97" s="35">
        <f t="shared" si="47"/>
        <v>94</v>
      </c>
      <c r="AZ97" s="35" t="str">
        <f t="shared" si="48"/>
        <v>295+364</v>
      </c>
      <c r="BA97" s="35">
        <f t="shared" si="49"/>
        <v>54</v>
      </c>
      <c r="BB97" s="38">
        <f>COUNTIF($BA$4:$BA97,$BA97)</f>
        <v>2</v>
      </c>
      <c r="BC97" s="36" t="str">
        <f t="shared" si="50"/>
        <v>营</v>
      </c>
      <c r="BD97" s="36" t="str">
        <f t="shared" si="51"/>
        <v/>
      </c>
      <c r="BE97" s="36" t="str">
        <f t="shared" si="52"/>
        <v/>
      </c>
      <c r="BF97" s="36" t="str">
        <f t="shared" si="53"/>
        <v>营</v>
      </c>
      <c r="BG97" s="36" t="str">
        <f t="shared" si="54"/>
        <v/>
      </c>
      <c r="BH97" s="36" t="str">
        <f t="shared" si="55"/>
        <v/>
      </c>
      <c r="BI97" s="36" t="str">
        <f t="shared" si="56"/>
        <v/>
      </c>
      <c r="BJ97" s="29" t="str">
        <f t="shared" si="57"/>
        <v>营</v>
      </c>
      <c r="BL97" s="15">
        <v>94</v>
      </c>
      <c r="BM97" s="39" t="str">
        <f t="shared" si="68"/>
        <v>580+582</v>
      </c>
      <c r="BN97" s="39" t="str">
        <f t="shared" si="68"/>
        <v>596+566</v>
      </c>
      <c r="BO97" s="39" t="str">
        <f t="shared" si="68"/>
        <v/>
      </c>
      <c r="BP97" s="39" t="str">
        <f t="shared" si="68"/>
        <v/>
      </c>
      <c r="BQ97" s="39" t="str">
        <f t="shared" si="68"/>
        <v/>
      </c>
      <c r="BR97" s="39" t="str">
        <f t="shared" si="68"/>
        <v/>
      </c>
      <c r="BS97" s="39" t="str">
        <f t="shared" si="68"/>
        <v/>
      </c>
      <c r="BT97" s="39" t="str">
        <f t="shared" si="68"/>
        <v/>
      </c>
      <c r="BU97" s="39" t="str">
        <f t="shared" si="68"/>
        <v/>
      </c>
      <c r="BV97" s="39" t="str">
        <f t="shared" si="68"/>
        <v/>
      </c>
      <c r="BW97" s="39" t="str">
        <f t="shared" si="68"/>
        <v/>
      </c>
      <c r="BX97" s="39" t="str">
        <f t="shared" si="68"/>
        <v/>
      </c>
      <c r="BY97" s="39" t="str">
        <f t="shared" si="68"/>
        <v/>
      </c>
      <c r="BZ97" s="39" t="str">
        <f t="shared" si="68"/>
        <v/>
      </c>
      <c r="CA97" s="39" t="str">
        <f t="shared" si="68"/>
        <v/>
      </c>
      <c r="CB97" s="39" t="str">
        <f t="shared" si="66"/>
        <v/>
      </c>
      <c r="CC97" s="39" t="str">
        <f t="shared" si="66"/>
        <v/>
      </c>
      <c r="CD97" s="39" t="str">
        <f t="shared" si="66"/>
        <v/>
      </c>
      <c r="CE97" s="39" t="str">
        <f t="shared" si="66"/>
        <v/>
      </c>
      <c r="CF97" s="39" t="str">
        <f t="shared" si="66"/>
        <v/>
      </c>
      <c r="CG97" s="39" t="str">
        <f t="shared" si="66"/>
        <v/>
      </c>
      <c r="CH97" s="39" t="str">
        <f t="shared" si="66"/>
        <v/>
      </c>
      <c r="CI97" s="39" t="str">
        <f t="shared" si="66"/>
        <v/>
      </c>
      <c r="CJ97" s="39" t="str">
        <f t="shared" si="66"/>
        <v/>
      </c>
      <c r="CK97" s="39" t="str">
        <f t="shared" si="66"/>
        <v/>
      </c>
      <c r="CL97" s="39" t="str">
        <f t="shared" si="66"/>
        <v/>
      </c>
      <c r="CM97" s="39" t="str">
        <f t="shared" si="66"/>
        <v/>
      </c>
      <c r="CN97" s="39" t="str">
        <f t="shared" si="66"/>
        <v/>
      </c>
      <c r="CO97" s="39" t="str">
        <f t="shared" si="66"/>
        <v/>
      </c>
      <c r="CP97" s="39" t="str">
        <f t="shared" si="66"/>
        <v/>
      </c>
      <c r="CQ97" s="39" t="str">
        <f t="shared" si="67"/>
        <v/>
      </c>
      <c r="CR97" s="39" t="str">
        <f t="shared" si="67"/>
        <v/>
      </c>
      <c r="CS97" s="39" t="str">
        <f t="shared" si="67"/>
        <v/>
      </c>
      <c r="CT97" s="39" t="str">
        <f t="shared" si="67"/>
        <v/>
      </c>
      <c r="CU97" s="39" t="str">
        <f t="shared" si="67"/>
        <v/>
      </c>
      <c r="CV97" s="39" t="str">
        <f t="shared" si="67"/>
        <v/>
      </c>
      <c r="CW97" s="39" t="str">
        <f t="shared" si="67"/>
        <v/>
      </c>
      <c r="CX97" s="39" t="str">
        <f t="shared" si="67"/>
        <v/>
      </c>
      <c r="CY97" s="39" t="str">
        <f t="shared" si="67"/>
        <v/>
      </c>
      <c r="CZ97" s="39" t="str">
        <f t="shared" si="67"/>
        <v/>
      </c>
      <c r="DA97" s="39" t="str">
        <f t="shared" si="67"/>
        <v/>
      </c>
      <c r="DB97" s="39" t="str">
        <f t="shared" si="67"/>
        <v/>
      </c>
      <c r="DC97" s="39" t="str">
        <f t="shared" si="67"/>
        <v/>
      </c>
      <c r="DD97" s="39" t="str">
        <f t="shared" si="67"/>
        <v/>
      </c>
      <c r="DE97" s="39" t="str">
        <f t="shared" si="67"/>
        <v/>
      </c>
      <c r="DF97" s="37" t="str">
        <f t="shared" si="58"/>
        <v>2+0+0</v>
      </c>
      <c r="DG97" s="37" t="str">
        <f t="shared" si="59"/>
        <v>580+582|596+566</v>
      </c>
      <c r="DH97" s="37" t="str">
        <f t="shared" si="60"/>
        <v>0+0</v>
      </c>
      <c r="DI97" s="37" t="str">
        <f t="shared" si="61"/>
        <v>0+0</v>
      </c>
      <c r="DJ97" s="37" t="str">
        <f t="shared" si="62"/>
        <v>2+0+0|580+582|596+566|0+0|0+0</v>
      </c>
    </row>
    <row r="98" spans="2:114" x14ac:dyDescent="0.15">
      <c r="B98" s="15">
        <v>95</v>
      </c>
      <c r="C98" s="15" t="s">
        <v>118</v>
      </c>
      <c r="D98" s="15">
        <v>55</v>
      </c>
      <c r="G98" s="25" t="s">
        <v>536</v>
      </c>
      <c r="H98" s="25">
        <v>95</v>
      </c>
      <c r="I98" s="26" t="s">
        <v>324</v>
      </c>
      <c r="J98" s="26">
        <f t="shared" si="40"/>
        <v>155</v>
      </c>
      <c r="M98" s="25" t="s">
        <v>536</v>
      </c>
      <c r="N98" s="25">
        <v>95</v>
      </c>
      <c r="O98" s="26" t="s">
        <v>120</v>
      </c>
      <c r="P98" s="26">
        <f t="shared" si="41"/>
        <v>56</v>
      </c>
      <c r="Q98" s="26"/>
      <c r="R98" s="26"/>
      <c r="S98" s="25" t="s">
        <v>536</v>
      </c>
      <c r="T98" s="25">
        <v>95</v>
      </c>
      <c r="U98" s="26" t="s">
        <v>329</v>
      </c>
      <c r="V98" s="26">
        <f t="shared" si="42"/>
        <v>158</v>
      </c>
      <c r="W98" s="26"/>
      <c r="Y98" s="25" t="s">
        <v>536</v>
      </c>
      <c r="Z98" s="25">
        <v>95</v>
      </c>
      <c r="AA98" s="26" t="s">
        <v>77</v>
      </c>
      <c r="AB98" s="26">
        <f t="shared" si="43"/>
        <v>34</v>
      </c>
      <c r="AE98" s="25" t="s">
        <v>536</v>
      </c>
      <c r="AF98" s="25">
        <v>95</v>
      </c>
      <c r="AG98" s="26" t="s">
        <v>188</v>
      </c>
      <c r="AH98" s="26">
        <f t="shared" si="44"/>
        <v>89</v>
      </c>
      <c r="AK98" s="25" t="s">
        <v>536</v>
      </c>
      <c r="AL98" s="25">
        <v>95</v>
      </c>
      <c r="AM98" s="26" t="s">
        <v>655</v>
      </c>
      <c r="AN98" s="26">
        <f t="shared" si="45"/>
        <v>130</v>
      </c>
      <c r="AQ98" s="25" t="s">
        <v>536</v>
      </c>
      <c r="AR98" s="25">
        <v>95</v>
      </c>
      <c r="AS98" s="26" t="s">
        <v>290</v>
      </c>
      <c r="AT98" s="26">
        <f t="shared" si="46"/>
        <v>139</v>
      </c>
      <c r="AX98" s="15"/>
      <c r="AY98" s="35">
        <f t="shared" si="47"/>
        <v>95</v>
      </c>
      <c r="AZ98" s="35" t="str">
        <f t="shared" si="48"/>
        <v>352+300</v>
      </c>
      <c r="BA98" s="35">
        <f t="shared" si="49"/>
        <v>55</v>
      </c>
      <c r="BB98" s="38">
        <f>COUNTIF($BA$4:$BA98,$BA98)</f>
        <v>1</v>
      </c>
      <c r="BC98" s="36" t="str">
        <f t="shared" si="50"/>
        <v>村</v>
      </c>
      <c r="BD98" s="36" t="str">
        <f t="shared" si="51"/>
        <v/>
      </c>
      <c r="BE98" s="36" t="str">
        <f t="shared" si="52"/>
        <v/>
      </c>
      <c r="BF98" s="36" t="str">
        <f t="shared" si="53"/>
        <v/>
      </c>
      <c r="BG98" s="36" t="str">
        <f t="shared" si="54"/>
        <v/>
      </c>
      <c r="BH98" s="36" t="str">
        <f t="shared" si="55"/>
        <v/>
      </c>
      <c r="BI98" s="36" t="str">
        <f t="shared" si="56"/>
        <v/>
      </c>
      <c r="BJ98" s="29" t="str">
        <f t="shared" si="57"/>
        <v>村</v>
      </c>
      <c r="BL98" s="15">
        <v>95</v>
      </c>
      <c r="BM98" s="39" t="str">
        <f t="shared" si="68"/>
        <v/>
      </c>
      <c r="BN98" s="39" t="str">
        <f t="shared" si="68"/>
        <v/>
      </c>
      <c r="BO98" s="39" t="str">
        <f t="shared" si="68"/>
        <v/>
      </c>
      <c r="BP98" s="39" t="str">
        <f t="shared" si="68"/>
        <v/>
      </c>
      <c r="BQ98" s="39" t="str">
        <f t="shared" si="68"/>
        <v/>
      </c>
      <c r="BR98" s="39" t="str">
        <f t="shared" si="68"/>
        <v/>
      </c>
      <c r="BS98" s="39" t="str">
        <f t="shared" si="68"/>
        <v/>
      </c>
      <c r="BT98" s="39" t="str">
        <f t="shared" si="68"/>
        <v/>
      </c>
      <c r="BU98" s="39" t="str">
        <f t="shared" si="68"/>
        <v/>
      </c>
      <c r="BV98" s="39" t="str">
        <f t="shared" si="68"/>
        <v/>
      </c>
      <c r="BW98" s="39" t="str">
        <f t="shared" si="68"/>
        <v/>
      </c>
      <c r="BX98" s="39" t="str">
        <f t="shared" si="68"/>
        <v/>
      </c>
      <c r="BY98" s="39" t="str">
        <f t="shared" si="68"/>
        <v/>
      </c>
      <c r="BZ98" s="39" t="str">
        <f t="shared" si="68"/>
        <v/>
      </c>
      <c r="CA98" s="39" t="str">
        <f t="shared" si="68"/>
        <v/>
      </c>
      <c r="CB98" s="39" t="str">
        <f t="shared" si="66"/>
        <v>592+532</v>
      </c>
      <c r="CC98" s="39" t="str">
        <f t="shared" si="66"/>
        <v/>
      </c>
      <c r="CD98" s="39" t="str">
        <f t="shared" si="66"/>
        <v/>
      </c>
      <c r="CE98" s="39" t="str">
        <f t="shared" si="66"/>
        <v/>
      </c>
      <c r="CF98" s="39" t="str">
        <f t="shared" si="66"/>
        <v/>
      </c>
      <c r="CG98" s="39" t="str">
        <f t="shared" si="66"/>
        <v/>
      </c>
      <c r="CH98" s="39" t="str">
        <f t="shared" si="66"/>
        <v/>
      </c>
      <c r="CI98" s="39" t="str">
        <f t="shared" si="66"/>
        <v/>
      </c>
      <c r="CJ98" s="39" t="str">
        <f t="shared" si="66"/>
        <v/>
      </c>
      <c r="CK98" s="39" t="str">
        <f t="shared" si="66"/>
        <v/>
      </c>
      <c r="CL98" s="39" t="str">
        <f t="shared" si="66"/>
        <v/>
      </c>
      <c r="CM98" s="39" t="str">
        <f t="shared" si="66"/>
        <v/>
      </c>
      <c r="CN98" s="39" t="str">
        <f t="shared" si="66"/>
        <v/>
      </c>
      <c r="CO98" s="39" t="str">
        <f t="shared" si="66"/>
        <v/>
      </c>
      <c r="CP98" s="39" t="str">
        <f t="shared" si="66"/>
        <v/>
      </c>
      <c r="CQ98" s="39" t="str">
        <f t="shared" si="67"/>
        <v/>
      </c>
      <c r="CR98" s="39" t="str">
        <f t="shared" si="67"/>
        <v>607+534</v>
      </c>
      <c r="CS98" s="39" t="str">
        <f t="shared" si="67"/>
        <v/>
      </c>
      <c r="CT98" s="39" t="str">
        <f t="shared" si="67"/>
        <v/>
      </c>
      <c r="CU98" s="39" t="str">
        <f t="shared" si="67"/>
        <v/>
      </c>
      <c r="CV98" s="39" t="str">
        <f t="shared" si="67"/>
        <v/>
      </c>
      <c r="CW98" s="39" t="str">
        <f t="shared" si="67"/>
        <v/>
      </c>
      <c r="CX98" s="39" t="str">
        <f t="shared" si="67"/>
        <v/>
      </c>
      <c r="CY98" s="39" t="str">
        <f t="shared" si="67"/>
        <v/>
      </c>
      <c r="CZ98" s="39" t="str">
        <f t="shared" si="67"/>
        <v/>
      </c>
      <c r="DA98" s="39" t="str">
        <f t="shared" si="67"/>
        <v/>
      </c>
      <c r="DB98" s="39" t="str">
        <f t="shared" si="67"/>
        <v/>
      </c>
      <c r="DC98" s="39" t="str">
        <f t="shared" si="67"/>
        <v/>
      </c>
      <c r="DD98" s="39" t="str">
        <f t="shared" si="67"/>
        <v/>
      </c>
      <c r="DE98" s="39" t="str">
        <f t="shared" si="67"/>
        <v/>
      </c>
      <c r="DF98" s="37" t="str">
        <f t="shared" si="58"/>
        <v>0+1+1</v>
      </c>
      <c r="DG98" s="37" t="str">
        <f t="shared" si="59"/>
        <v>0+0</v>
      </c>
      <c r="DH98" s="37" t="str">
        <f t="shared" si="60"/>
        <v>592+532</v>
      </c>
      <c r="DI98" s="37" t="str">
        <f t="shared" si="61"/>
        <v>607+534</v>
      </c>
      <c r="DJ98" s="37" t="str">
        <f t="shared" si="62"/>
        <v>0+1+1|0+0|592+532|607+534</v>
      </c>
    </row>
    <row r="99" spans="2:114" x14ac:dyDescent="0.15">
      <c r="B99" s="15">
        <v>96</v>
      </c>
      <c r="C99" s="15" t="s">
        <v>119</v>
      </c>
      <c r="D99" s="15">
        <v>55</v>
      </c>
      <c r="G99" s="25" t="s">
        <v>536</v>
      </c>
      <c r="H99" s="25">
        <v>96</v>
      </c>
      <c r="I99" s="26" t="s">
        <v>65</v>
      </c>
      <c r="J99" s="26">
        <f t="shared" si="40"/>
        <v>28</v>
      </c>
      <c r="M99" s="25" t="s">
        <v>536</v>
      </c>
      <c r="N99" s="25">
        <v>96</v>
      </c>
      <c r="O99" s="26" t="s">
        <v>304</v>
      </c>
      <c r="P99" s="26">
        <f t="shared" si="41"/>
        <v>145</v>
      </c>
      <c r="Q99" s="26"/>
      <c r="R99" s="26"/>
      <c r="S99" s="25" t="s">
        <v>536</v>
      </c>
      <c r="T99" s="25">
        <v>96</v>
      </c>
      <c r="U99" s="26" t="s">
        <v>95</v>
      </c>
      <c r="V99" s="26">
        <f t="shared" si="42"/>
        <v>44</v>
      </c>
      <c r="W99" s="26"/>
      <c r="Y99" s="25" t="s">
        <v>536</v>
      </c>
      <c r="Z99" s="25">
        <v>96</v>
      </c>
      <c r="AA99" s="26" t="s">
        <v>196</v>
      </c>
      <c r="AB99" s="26">
        <f t="shared" si="43"/>
        <v>93</v>
      </c>
      <c r="AE99" s="25" t="s">
        <v>536</v>
      </c>
      <c r="AF99" s="25">
        <v>96</v>
      </c>
      <c r="AG99" s="26" t="s">
        <v>214</v>
      </c>
      <c r="AH99" s="26">
        <f t="shared" si="44"/>
        <v>102</v>
      </c>
      <c r="AK99" s="25" t="s">
        <v>536</v>
      </c>
      <c r="AL99" s="25">
        <v>96</v>
      </c>
      <c r="AM99" s="26" t="s">
        <v>303</v>
      </c>
      <c r="AN99" s="26">
        <f t="shared" si="45"/>
        <v>144</v>
      </c>
      <c r="AQ99" s="25" t="s">
        <v>536</v>
      </c>
      <c r="AR99" s="25">
        <v>96</v>
      </c>
      <c r="AS99" s="26" t="s">
        <v>213</v>
      </c>
      <c r="AT99" s="26">
        <f t="shared" si="46"/>
        <v>102</v>
      </c>
      <c r="AX99" s="15"/>
      <c r="AY99" s="35">
        <f t="shared" si="47"/>
        <v>96</v>
      </c>
      <c r="AZ99" s="35" t="str">
        <f t="shared" si="48"/>
        <v>335+328</v>
      </c>
      <c r="BA99" s="35">
        <f t="shared" si="49"/>
        <v>55</v>
      </c>
      <c r="BB99" s="38">
        <f>COUNTIF($BA$4:$BA99,$BA99)</f>
        <v>2</v>
      </c>
      <c r="BC99" s="36" t="str">
        <f t="shared" si="50"/>
        <v>村</v>
      </c>
      <c r="BD99" s="36" t="str">
        <f t="shared" si="51"/>
        <v/>
      </c>
      <c r="BE99" s="36" t="str">
        <f t="shared" si="52"/>
        <v/>
      </c>
      <c r="BF99" s="36" t="str">
        <f t="shared" si="53"/>
        <v>村</v>
      </c>
      <c r="BG99" s="36" t="str">
        <f t="shared" si="54"/>
        <v/>
      </c>
      <c r="BH99" s="36" t="str">
        <f t="shared" si="55"/>
        <v/>
      </c>
      <c r="BI99" s="36" t="str">
        <f t="shared" si="56"/>
        <v/>
      </c>
      <c r="BJ99" s="29" t="str">
        <f t="shared" si="57"/>
        <v>村</v>
      </c>
      <c r="BL99" s="15">
        <v>96</v>
      </c>
      <c r="BM99" s="39" t="str">
        <f t="shared" si="68"/>
        <v>648+580</v>
      </c>
      <c r="BN99" s="39" t="str">
        <f t="shared" si="68"/>
        <v>637+563</v>
      </c>
      <c r="BO99" s="39" t="str">
        <f t="shared" si="68"/>
        <v/>
      </c>
      <c r="BP99" s="39" t="str">
        <f t="shared" si="68"/>
        <v/>
      </c>
      <c r="BQ99" s="39" t="str">
        <f t="shared" si="68"/>
        <v/>
      </c>
      <c r="BR99" s="39" t="str">
        <f t="shared" si="68"/>
        <v/>
      </c>
      <c r="BS99" s="39" t="str">
        <f t="shared" si="68"/>
        <v/>
      </c>
      <c r="BT99" s="39" t="str">
        <f t="shared" si="68"/>
        <v/>
      </c>
      <c r="BU99" s="39" t="str">
        <f t="shared" si="68"/>
        <v/>
      </c>
      <c r="BV99" s="39" t="str">
        <f t="shared" si="68"/>
        <v/>
      </c>
      <c r="BW99" s="39" t="str">
        <f t="shared" si="68"/>
        <v/>
      </c>
      <c r="BX99" s="39" t="str">
        <f t="shared" si="68"/>
        <v/>
      </c>
      <c r="BY99" s="39" t="str">
        <f t="shared" si="68"/>
        <v/>
      </c>
      <c r="BZ99" s="39" t="str">
        <f t="shared" si="68"/>
        <v/>
      </c>
      <c r="CA99" s="39" t="str">
        <f t="shared" si="68"/>
        <v/>
      </c>
      <c r="CB99" s="39" t="str">
        <f t="shared" si="66"/>
        <v/>
      </c>
      <c r="CC99" s="39" t="str">
        <f t="shared" si="66"/>
        <v/>
      </c>
      <c r="CD99" s="39" t="str">
        <f t="shared" si="66"/>
        <v/>
      </c>
      <c r="CE99" s="39" t="str">
        <f t="shared" si="66"/>
        <v/>
      </c>
      <c r="CF99" s="39" t="str">
        <f t="shared" si="66"/>
        <v/>
      </c>
      <c r="CG99" s="39" t="str">
        <f t="shared" si="66"/>
        <v/>
      </c>
      <c r="CH99" s="39" t="str">
        <f t="shared" si="66"/>
        <v/>
      </c>
      <c r="CI99" s="39" t="str">
        <f t="shared" si="66"/>
        <v/>
      </c>
      <c r="CJ99" s="39" t="str">
        <f t="shared" si="66"/>
        <v/>
      </c>
      <c r="CK99" s="39" t="str">
        <f t="shared" si="66"/>
        <v/>
      </c>
      <c r="CL99" s="39" t="str">
        <f t="shared" si="66"/>
        <v/>
      </c>
      <c r="CM99" s="39" t="str">
        <f t="shared" si="66"/>
        <v/>
      </c>
      <c r="CN99" s="39" t="str">
        <f t="shared" si="66"/>
        <v/>
      </c>
      <c r="CO99" s="39" t="str">
        <f t="shared" si="66"/>
        <v/>
      </c>
      <c r="CP99" s="39" t="str">
        <f t="shared" si="66"/>
        <v/>
      </c>
      <c r="CQ99" s="39" t="str">
        <f t="shared" si="67"/>
        <v/>
      </c>
      <c r="CR99" s="39" t="str">
        <f t="shared" si="67"/>
        <v/>
      </c>
      <c r="CS99" s="39" t="str">
        <f t="shared" si="67"/>
        <v>650+558</v>
      </c>
      <c r="CT99" s="39" t="str">
        <f t="shared" si="67"/>
        <v/>
      </c>
      <c r="CU99" s="39" t="str">
        <f t="shared" si="67"/>
        <v/>
      </c>
      <c r="CV99" s="39" t="str">
        <f t="shared" si="67"/>
        <v/>
      </c>
      <c r="CW99" s="39" t="str">
        <f t="shared" si="67"/>
        <v/>
      </c>
      <c r="CX99" s="39" t="str">
        <f t="shared" si="67"/>
        <v/>
      </c>
      <c r="CY99" s="39" t="str">
        <f t="shared" si="67"/>
        <v/>
      </c>
      <c r="CZ99" s="39" t="str">
        <f t="shared" si="67"/>
        <v/>
      </c>
      <c r="DA99" s="39" t="str">
        <f t="shared" si="67"/>
        <v/>
      </c>
      <c r="DB99" s="39" t="str">
        <f t="shared" si="67"/>
        <v/>
      </c>
      <c r="DC99" s="39" t="str">
        <f t="shared" si="67"/>
        <v/>
      </c>
      <c r="DD99" s="39" t="str">
        <f t="shared" si="67"/>
        <v/>
      </c>
      <c r="DE99" s="39" t="str">
        <f t="shared" si="67"/>
        <v/>
      </c>
      <c r="DF99" s="37" t="str">
        <f t="shared" si="58"/>
        <v>2+0+1</v>
      </c>
      <c r="DG99" s="37" t="str">
        <f t="shared" si="59"/>
        <v>648+580|637+563</v>
      </c>
      <c r="DH99" s="37" t="str">
        <f t="shared" si="60"/>
        <v>0+0</v>
      </c>
      <c r="DI99" s="37" t="str">
        <f t="shared" si="61"/>
        <v>650+558</v>
      </c>
      <c r="DJ99" s="37" t="str">
        <f t="shared" si="62"/>
        <v>2+0+1|648+580|637+563|0+0|650+558</v>
      </c>
    </row>
    <row r="100" spans="2:114" x14ac:dyDescent="0.15">
      <c r="B100" s="15">
        <v>97</v>
      </c>
      <c r="C100" s="15" t="s">
        <v>424</v>
      </c>
      <c r="D100" s="15">
        <v>55</v>
      </c>
      <c r="G100" s="25" t="s">
        <v>536</v>
      </c>
      <c r="H100" s="25">
        <v>97</v>
      </c>
      <c r="I100" s="26" t="s">
        <v>64</v>
      </c>
      <c r="J100" s="26">
        <f t="shared" si="40"/>
        <v>28</v>
      </c>
      <c r="M100" s="25" t="s">
        <v>536</v>
      </c>
      <c r="N100" s="25">
        <v>97</v>
      </c>
      <c r="O100" s="26" t="s">
        <v>305</v>
      </c>
      <c r="P100" s="26">
        <f t="shared" si="41"/>
        <v>145</v>
      </c>
      <c r="Q100" s="26"/>
      <c r="R100" s="26"/>
      <c r="S100" s="25" t="s">
        <v>536</v>
      </c>
      <c r="T100" s="25">
        <v>97</v>
      </c>
      <c r="U100" s="26" t="s">
        <v>96</v>
      </c>
      <c r="V100" s="26">
        <f t="shared" si="42"/>
        <v>44</v>
      </c>
      <c r="W100" s="26"/>
      <c r="Y100" s="25" t="s">
        <v>536</v>
      </c>
      <c r="Z100" s="25">
        <v>97</v>
      </c>
      <c r="AA100" s="26" t="s">
        <v>197</v>
      </c>
      <c r="AB100" s="26">
        <f t="shared" si="43"/>
        <v>94</v>
      </c>
      <c r="AE100" s="25" t="s">
        <v>536</v>
      </c>
      <c r="AF100" s="25">
        <v>97</v>
      </c>
      <c r="AG100" s="26" t="s">
        <v>213</v>
      </c>
      <c r="AH100" s="26">
        <f t="shared" si="44"/>
        <v>102</v>
      </c>
      <c r="AK100" s="25" t="s">
        <v>536</v>
      </c>
      <c r="AL100" s="25">
        <v>97</v>
      </c>
      <c r="AM100" s="26" t="s">
        <v>302</v>
      </c>
      <c r="AN100" s="26">
        <f t="shared" si="45"/>
        <v>144</v>
      </c>
      <c r="AQ100" s="25" t="s">
        <v>536</v>
      </c>
      <c r="AR100" s="25">
        <v>97</v>
      </c>
      <c r="AS100" s="26" t="s">
        <v>214</v>
      </c>
      <c r="AT100" s="26">
        <f t="shared" si="46"/>
        <v>102</v>
      </c>
      <c r="AX100" s="15"/>
      <c r="AY100" s="35">
        <f t="shared" si="47"/>
        <v>97</v>
      </c>
      <c r="AZ100" s="35" t="str">
        <f t="shared" si="48"/>
        <v>383+276</v>
      </c>
      <c r="BA100" s="35">
        <f t="shared" si="49"/>
        <v>55</v>
      </c>
      <c r="BB100" s="38">
        <f>COUNTIF($BA$4:$BA100,$BA100)</f>
        <v>3</v>
      </c>
      <c r="BC100" s="36" t="str">
        <f t="shared" si="50"/>
        <v>营</v>
      </c>
      <c r="BD100" s="36" t="str">
        <f t="shared" si="51"/>
        <v/>
      </c>
      <c r="BE100" s="36" t="str">
        <f t="shared" si="52"/>
        <v/>
      </c>
      <c r="BF100" s="36" t="str">
        <f t="shared" si="53"/>
        <v>营</v>
      </c>
      <c r="BG100" s="36" t="str">
        <f t="shared" si="54"/>
        <v/>
      </c>
      <c r="BH100" s="36" t="str">
        <f t="shared" si="55"/>
        <v/>
      </c>
      <c r="BI100" s="36" t="str">
        <f t="shared" si="56"/>
        <v/>
      </c>
      <c r="BJ100" s="29" t="str">
        <f t="shared" si="57"/>
        <v>营</v>
      </c>
      <c r="BL100" s="15">
        <v>97</v>
      </c>
      <c r="BM100" s="39" t="str">
        <f t="shared" si="68"/>
        <v>686+566</v>
      </c>
      <c r="BN100" s="39" t="str">
        <f t="shared" si="68"/>
        <v>700+571</v>
      </c>
      <c r="BO100" s="39" t="str">
        <f t="shared" si="68"/>
        <v/>
      </c>
      <c r="BP100" s="39" t="str">
        <f t="shared" si="68"/>
        <v/>
      </c>
      <c r="BQ100" s="39" t="str">
        <f t="shared" si="68"/>
        <v/>
      </c>
      <c r="BR100" s="39" t="str">
        <f t="shared" si="68"/>
        <v/>
      </c>
      <c r="BS100" s="39" t="str">
        <f t="shared" si="68"/>
        <v/>
      </c>
      <c r="BT100" s="39" t="str">
        <f t="shared" si="68"/>
        <v/>
      </c>
      <c r="BU100" s="39" t="str">
        <f t="shared" si="68"/>
        <v/>
      </c>
      <c r="BV100" s="39" t="str">
        <f t="shared" si="68"/>
        <v/>
      </c>
      <c r="BW100" s="39" t="str">
        <f t="shared" si="68"/>
        <v/>
      </c>
      <c r="BX100" s="39" t="str">
        <f t="shared" si="68"/>
        <v/>
      </c>
      <c r="BY100" s="39" t="str">
        <f t="shared" si="68"/>
        <v/>
      </c>
      <c r="BZ100" s="39" t="str">
        <f t="shared" si="68"/>
        <v/>
      </c>
      <c r="CA100" s="39" t="str">
        <f t="shared" si="68"/>
        <v/>
      </c>
      <c r="CB100" s="39" t="str">
        <f t="shared" si="66"/>
        <v/>
      </c>
      <c r="CC100" s="39" t="str">
        <f t="shared" si="66"/>
        <v/>
      </c>
      <c r="CD100" s="39" t="str">
        <f t="shared" si="66"/>
        <v/>
      </c>
      <c r="CE100" s="39" t="str">
        <f t="shared" si="66"/>
        <v/>
      </c>
      <c r="CF100" s="39" t="str">
        <f t="shared" si="66"/>
        <v/>
      </c>
      <c r="CG100" s="39" t="str">
        <f t="shared" si="66"/>
        <v/>
      </c>
      <c r="CH100" s="39" t="str">
        <f t="shared" si="66"/>
        <v/>
      </c>
      <c r="CI100" s="39" t="str">
        <f t="shared" si="66"/>
        <v/>
      </c>
      <c r="CJ100" s="39" t="str">
        <f t="shared" si="66"/>
        <v/>
      </c>
      <c r="CK100" s="39" t="str">
        <f t="shared" si="66"/>
        <v/>
      </c>
      <c r="CL100" s="39" t="str">
        <f t="shared" si="66"/>
        <v/>
      </c>
      <c r="CM100" s="39" t="str">
        <f t="shared" si="66"/>
        <v/>
      </c>
      <c r="CN100" s="39" t="str">
        <f t="shared" si="66"/>
        <v/>
      </c>
      <c r="CO100" s="39" t="str">
        <f t="shared" si="66"/>
        <v/>
      </c>
      <c r="CP100" s="39" t="str">
        <f t="shared" si="66"/>
        <v/>
      </c>
      <c r="CQ100" s="39" t="str">
        <f t="shared" si="67"/>
        <v/>
      </c>
      <c r="CR100" s="39" t="str">
        <f t="shared" si="67"/>
        <v/>
      </c>
      <c r="CS100" s="39" t="str">
        <f t="shared" si="67"/>
        <v/>
      </c>
      <c r="CT100" s="39" t="str">
        <f t="shared" si="67"/>
        <v/>
      </c>
      <c r="CU100" s="39" t="str">
        <f t="shared" si="67"/>
        <v/>
      </c>
      <c r="CV100" s="39" t="str">
        <f t="shared" si="67"/>
        <v/>
      </c>
      <c r="CW100" s="39" t="str">
        <f t="shared" si="67"/>
        <v/>
      </c>
      <c r="CX100" s="39" t="str">
        <f t="shared" si="67"/>
        <v/>
      </c>
      <c r="CY100" s="39" t="str">
        <f t="shared" si="67"/>
        <v/>
      </c>
      <c r="CZ100" s="39" t="str">
        <f t="shared" si="67"/>
        <v/>
      </c>
      <c r="DA100" s="39" t="str">
        <f t="shared" si="67"/>
        <v/>
      </c>
      <c r="DB100" s="39" t="str">
        <f t="shared" si="67"/>
        <v/>
      </c>
      <c r="DC100" s="39" t="str">
        <f t="shared" si="67"/>
        <v/>
      </c>
      <c r="DD100" s="39" t="str">
        <f t="shared" si="67"/>
        <v/>
      </c>
      <c r="DE100" s="39" t="str">
        <f t="shared" si="67"/>
        <v/>
      </c>
      <c r="DF100" s="37" t="str">
        <f t="shared" si="58"/>
        <v>2+0+0</v>
      </c>
      <c r="DG100" s="37" t="str">
        <f t="shared" si="59"/>
        <v>686+566|700+571</v>
      </c>
      <c r="DH100" s="37" t="str">
        <f t="shared" si="60"/>
        <v>0+0</v>
      </c>
      <c r="DI100" s="37" t="str">
        <f t="shared" si="61"/>
        <v>0+0</v>
      </c>
      <c r="DJ100" s="37" t="str">
        <f t="shared" si="62"/>
        <v>2+0+0|686+566|700+571|0+0|0+0</v>
      </c>
    </row>
    <row r="101" spans="2:114" x14ac:dyDescent="0.15">
      <c r="B101" s="15">
        <v>98</v>
      </c>
      <c r="C101" s="15" t="s">
        <v>120</v>
      </c>
      <c r="D101" s="15">
        <v>56</v>
      </c>
      <c r="G101" s="27" t="s">
        <v>537</v>
      </c>
      <c r="H101" s="27">
        <v>98</v>
      </c>
      <c r="I101" s="26" t="s">
        <v>277</v>
      </c>
      <c r="J101" s="26">
        <f t="shared" si="40"/>
        <v>132</v>
      </c>
      <c r="M101" s="27" t="s">
        <v>537</v>
      </c>
      <c r="N101" s="27">
        <v>98</v>
      </c>
      <c r="O101" s="26" t="s">
        <v>98</v>
      </c>
      <c r="P101" s="26">
        <f t="shared" si="41"/>
        <v>45</v>
      </c>
      <c r="Q101" s="26"/>
      <c r="R101" s="26"/>
      <c r="S101" s="27" t="s">
        <v>537</v>
      </c>
      <c r="T101" s="27">
        <v>98</v>
      </c>
      <c r="U101" s="26" t="s">
        <v>317</v>
      </c>
      <c r="V101" s="26">
        <f t="shared" si="42"/>
        <v>151</v>
      </c>
      <c r="W101" s="26"/>
      <c r="Y101" s="27" t="s">
        <v>537</v>
      </c>
      <c r="Z101" s="27">
        <v>98</v>
      </c>
      <c r="AA101" s="26" t="s">
        <v>283</v>
      </c>
      <c r="AB101" s="26">
        <f t="shared" si="43"/>
        <v>135</v>
      </c>
      <c r="AE101" s="27" t="s">
        <v>537</v>
      </c>
      <c r="AF101" s="27">
        <v>98</v>
      </c>
      <c r="AG101" s="26" t="s">
        <v>182</v>
      </c>
      <c r="AH101" s="26">
        <f t="shared" si="44"/>
        <v>86</v>
      </c>
      <c r="AK101" s="27" t="s">
        <v>537</v>
      </c>
      <c r="AL101" s="27">
        <v>98</v>
      </c>
      <c r="AM101" s="26" t="s">
        <v>180</v>
      </c>
      <c r="AN101" s="26">
        <f t="shared" si="45"/>
        <v>85</v>
      </c>
      <c r="AQ101" s="27" t="s">
        <v>537</v>
      </c>
      <c r="AR101" s="27">
        <v>98</v>
      </c>
      <c r="AS101" s="26" t="s">
        <v>332</v>
      </c>
      <c r="AT101" s="26">
        <f t="shared" si="46"/>
        <v>159</v>
      </c>
      <c r="AX101" s="15"/>
      <c r="AY101" s="35">
        <f t="shared" si="47"/>
        <v>98</v>
      </c>
      <c r="AZ101" s="35" t="str">
        <f t="shared" si="48"/>
        <v>389+326</v>
      </c>
      <c r="BA101" s="35">
        <f t="shared" si="49"/>
        <v>56</v>
      </c>
      <c r="BB101" s="38">
        <f>COUNTIF($BA$4:$BA101,$BA101)</f>
        <v>1</v>
      </c>
      <c r="BC101" s="36" t="str">
        <f t="shared" si="50"/>
        <v>村</v>
      </c>
      <c r="BD101" s="36" t="str">
        <f t="shared" si="51"/>
        <v>村</v>
      </c>
      <c r="BE101" s="36" t="str">
        <f t="shared" si="52"/>
        <v/>
      </c>
      <c r="BF101" s="36" t="str">
        <f t="shared" si="53"/>
        <v>村</v>
      </c>
      <c r="BG101" s="36" t="str">
        <f t="shared" si="54"/>
        <v/>
      </c>
      <c r="BH101" s="36" t="str">
        <f t="shared" si="55"/>
        <v/>
      </c>
      <c r="BI101" s="36" t="str">
        <f t="shared" si="56"/>
        <v/>
      </c>
      <c r="BJ101" s="29" t="str">
        <f t="shared" si="57"/>
        <v>村</v>
      </c>
      <c r="BL101" s="15">
        <v>98</v>
      </c>
      <c r="BM101" s="39" t="str">
        <f t="shared" si="68"/>
        <v>718+580</v>
      </c>
      <c r="BN101" s="39" t="str">
        <f t="shared" si="68"/>
        <v>741+599</v>
      </c>
      <c r="BO101" s="39" t="str">
        <f t="shared" si="68"/>
        <v>714+574</v>
      </c>
      <c r="BP101" s="39" t="str">
        <f t="shared" si="68"/>
        <v/>
      </c>
      <c r="BQ101" s="39" t="str">
        <f t="shared" si="68"/>
        <v/>
      </c>
      <c r="BR101" s="39" t="str">
        <f t="shared" si="68"/>
        <v/>
      </c>
      <c r="BS101" s="39" t="str">
        <f t="shared" si="68"/>
        <v/>
      </c>
      <c r="BT101" s="39" t="str">
        <f t="shared" si="68"/>
        <v/>
      </c>
      <c r="BU101" s="39" t="str">
        <f t="shared" si="68"/>
        <v/>
      </c>
      <c r="BV101" s="39" t="str">
        <f t="shared" si="68"/>
        <v/>
      </c>
      <c r="BW101" s="39" t="str">
        <f t="shared" si="68"/>
        <v/>
      </c>
      <c r="BX101" s="39" t="str">
        <f t="shared" si="68"/>
        <v/>
      </c>
      <c r="BY101" s="39" t="str">
        <f t="shared" si="68"/>
        <v/>
      </c>
      <c r="BZ101" s="39" t="str">
        <f t="shared" si="68"/>
        <v/>
      </c>
      <c r="CA101" s="39" t="str">
        <f t="shared" si="68"/>
        <v/>
      </c>
      <c r="CB101" s="39" t="str">
        <f t="shared" si="66"/>
        <v/>
      </c>
      <c r="CC101" s="39" t="str">
        <f t="shared" si="66"/>
        <v/>
      </c>
      <c r="CD101" s="39" t="str">
        <f t="shared" si="66"/>
        <v/>
      </c>
      <c r="CE101" s="39" t="str">
        <f t="shared" si="66"/>
        <v/>
      </c>
      <c r="CF101" s="39" t="str">
        <f t="shared" si="66"/>
        <v/>
      </c>
      <c r="CG101" s="39" t="str">
        <f t="shared" si="66"/>
        <v/>
      </c>
      <c r="CH101" s="39" t="str">
        <f t="shared" si="66"/>
        <v/>
      </c>
      <c r="CI101" s="39" t="str">
        <f t="shared" si="66"/>
        <v/>
      </c>
      <c r="CJ101" s="39" t="str">
        <f t="shared" si="66"/>
        <v/>
      </c>
      <c r="CK101" s="39" t="str">
        <f t="shared" si="66"/>
        <v/>
      </c>
      <c r="CL101" s="39" t="str">
        <f t="shared" si="66"/>
        <v/>
      </c>
      <c r="CM101" s="39" t="str">
        <f t="shared" si="66"/>
        <v/>
      </c>
      <c r="CN101" s="39" t="str">
        <f t="shared" si="66"/>
        <v/>
      </c>
      <c r="CO101" s="39" t="str">
        <f t="shared" si="66"/>
        <v/>
      </c>
      <c r="CP101" s="39" t="str">
        <f t="shared" si="66"/>
        <v/>
      </c>
      <c r="CQ101" s="39" t="str">
        <f t="shared" si="67"/>
        <v/>
      </c>
      <c r="CR101" s="39" t="str">
        <f t="shared" si="67"/>
        <v/>
      </c>
      <c r="CS101" s="39" t="str">
        <f t="shared" si="67"/>
        <v/>
      </c>
      <c r="CT101" s="39" t="str">
        <f t="shared" si="67"/>
        <v/>
      </c>
      <c r="CU101" s="39" t="str">
        <f t="shared" si="67"/>
        <v/>
      </c>
      <c r="CV101" s="39" t="str">
        <f t="shared" si="67"/>
        <v/>
      </c>
      <c r="CW101" s="39" t="str">
        <f t="shared" si="67"/>
        <v/>
      </c>
      <c r="CX101" s="39" t="str">
        <f t="shared" si="67"/>
        <v/>
      </c>
      <c r="CY101" s="39" t="str">
        <f t="shared" si="67"/>
        <v/>
      </c>
      <c r="CZ101" s="39" t="str">
        <f t="shared" si="67"/>
        <v/>
      </c>
      <c r="DA101" s="39" t="str">
        <f t="shared" si="67"/>
        <v/>
      </c>
      <c r="DB101" s="39" t="str">
        <f t="shared" si="67"/>
        <v/>
      </c>
      <c r="DC101" s="39" t="str">
        <f t="shared" si="67"/>
        <v/>
      </c>
      <c r="DD101" s="39" t="str">
        <f t="shared" si="67"/>
        <v/>
      </c>
      <c r="DE101" s="39" t="str">
        <f t="shared" si="67"/>
        <v/>
      </c>
      <c r="DF101" s="37" t="str">
        <f t="shared" si="58"/>
        <v>3+0+0</v>
      </c>
      <c r="DG101" s="37" t="str">
        <f t="shared" si="59"/>
        <v>718+580|741+599|714+574</v>
      </c>
      <c r="DH101" s="37" t="str">
        <f t="shared" si="60"/>
        <v>0+0</v>
      </c>
      <c r="DI101" s="37" t="str">
        <f t="shared" si="61"/>
        <v>0+0</v>
      </c>
      <c r="DJ101" s="37" t="str">
        <f t="shared" si="62"/>
        <v>3+0+0|718+580|741+599|714+574|0+0|0+0</v>
      </c>
    </row>
    <row r="102" spans="2:114" x14ac:dyDescent="0.15">
      <c r="B102" s="15">
        <v>99</v>
      </c>
      <c r="C102" s="15" t="s">
        <v>121</v>
      </c>
      <c r="D102" s="15">
        <v>56</v>
      </c>
      <c r="G102" s="27" t="s">
        <v>537</v>
      </c>
      <c r="H102" s="27">
        <v>99</v>
      </c>
      <c r="I102" s="26" t="s">
        <v>276</v>
      </c>
      <c r="J102" s="26">
        <f t="shared" si="40"/>
        <v>132</v>
      </c>
      <c r="M102" s="27" t="s">
        <v>537</v>
      </c>
      <c r="N102" s="27">
        <v>99</v>
      </c>
      <c r="O102" s="26" t="s">
        <v>97</v>
      </c>
      <c r="P102" s="26">
        <f t="shared" si="41"/>
        <v>45</v>
      </c>
      <c r="Q102" s="26"/>
      <c r="R102" s="26"/>
      <c r="S102" s="27" t="s">
        <v>537</v>
      </c>
      <c r="T102" s="27">
        <v>99</v>
      </c>
      <c r="U102" s="26" t="s">
        <v>316</v>
      </c>
      <c r="V102" s="26">
        <f t="shared" si="42"/>
        <v>151</v>
      </c>
      <c r="W102" s="26"/>
      <c r="Y102" s="27" t="s">
        <v>537</v>
      </c>
      <c r="Z102" s="27">
        <v>99</v>
      </c>
      <c r="AA102" s="26" t="s">
        <v>282</v>
      </c>
      <c r="AB102" s="26">
        <f t="shared" si="43"/>
        <v>135</v>
      </c>
      <c r="AE102" s="27" t="s">
        <v>537</v>
      </c>
      <c r="AF102" s="27">
        <v>99</v>
      </c>
      <c r="AG102" s="26" t="s">
        <v>180</v>
      </c>
      <c r="AH102" s="26">
        <f t="shared" si="44"/>
        <v>85</v>
      </c>
      <c r="AK102" s="27" t="s">
        <v>537</v>
      </c>
      <c r="AL102" s="27">
        <v>99</v>
      </c>
      <c r="AM102" s="26" t="s">
        <v>182</v>
      </c>
      <c r="AN102" s="26">
        <f t="shared" si="45"/>
        <v>86</v>
      </c>
      <c r="AQ102" s="27" t="s">
        <v>537</v>
      </c>
      <c r="AR102" s="27">
        <v>99</v>
      </c>
      <c r="AS102" s="26" t="s">
        <v>331</v>
      </c>
      <c r="AT102" s="26">
        <f t="shared" si="46"/>
        <v>159</v>
      </c>
      <c r="AX102" s="15"/>
      <c r="AY102" s="35">
        <f t="shared" si="47"/>
        <v>99</v>
      </c>
      <c r="AZ102" s="35" t="str">
        <f t="shared" si="48"/>
        <v>410+311</v>
      </c>
      <c r="BA102" s="35">
        <f t="shared" si="49"/>
        <v>56</v>
      </c>
      <c r="BB102" s="38">
        <f>COUNTIF($BA$4:$BA102,$BA102)</f>
        <v>2</v>
      </c>
      <c r="BC102" s="36" t="str">
        <f t="shared" si="50"/>
        <v/>
      </c>
      <c r="BD102" s="36" t="str">
        <f t="shared" si="51"/>
        <v>村</v>
      </c>
      <c r="BE102" s="36" t="str">
        <f t="shared" si="52"/>
        <v/>
      </c>
      <c r="BF102" s="36" t="str">
        <f t="shared" si="53"/>
        <v>村</v>
      </c>
      <c r="BG102" s="36" t="str">
        <f t="shared" si="54"/>
        <v/>
      </c>
      <c r="BH102" s="36" t="str">
        <f t="shared" si="55"/>
        <v/>
      </c>
      <c r="BI102" s="36" t="str">
        <f t="shared" si="56"/>
        <v/>
      </c>
      <c r="BJ102" s="29" t="str">
        <f t="shared" si="57"/>
        <v>村</v>
      </c>
      <c r="BL102" s="15">
        <v>99</v>
      </c>
      <c r="BM102" s="39" t="str">
        <f t="shared" si="68"/>
        <v/>
      </c>
      <c r="BN102" s="39" t="str">
        <f t="shared" si="68"/>
        <v/>
      </c>
      <c r="BO102" s="39" t="str">
        <f t="shared" si="68"/>
        <v>749+568</v>
      </c>
      <c r="BP102" s="39" t="str">
        <f t="shared" si="68"/>
        <v/>
      </c>
      <c r="BQ102" s="39" t="str">
        <f t="shared" si="68"/>
        <v/>
      </c>
      <c r="BR102" s="39" t="str">
        <f t="shared" si="68"/>
        <v/>
      </c>
      <c r="BS102" s="39" t="str">
        <f t="shared" si="68"/>
        <v/>
      </c>
      <c r="BT102" s="39" t="str">
        <f t="shared" si="68"/>
        <v/>
      </c>
      <c r="BU102" s="39" t="str">
        <f t="shared" si="68"/>
        <v/>
      </c>
      <c r="BV102" s="39" t="str">
        <f t="shared" si="68"/>
        <v/>
      </c>
      <c r="BW102" s="39" t="str">
        <f t="shared" si="68"/>
        <v/>
      </c>
      <c r="BX102" s="39" t="str">
        <f t="shared" si="68"/>
        <v/>
      </c>
      <c r="BY102" s="39" t="str">
        <f t="shared" si="68"/>
        <v/>
      </c>
      <c r="BZ102" s="39" t="str">
        <f t="shared" si="68"/>
        <v/>
      </c>
      <c r="CA102" s="39" t="str">
        <f t="shared" si="68"/>
        <v/>
      </c>
      <c r="CB102" s="39" t="str">
        <f t="shared" si="66"/>
        <v>732+562</v>
      </c>
      <c r="CC102" s="39" t="str">
        <f t="shared" si="66"/>
        <v/>
      </c>
      <c r="CD102" s="39" t="str">
        <f t="shared" si="66"/>
        <v/>
      </c>
      <c r="CE102" s="39" t="str">
        <f t="shared" si="66"/>
        <v/>
      </c>
      <c r="CF102" s="39" t="str">
        <f t="shared" si="66"/>
        <v/>
      </c>
      <c r="CG102" s="39" t="str">
        <f t="shared" si="66"/>
        <v/>
      </c>
      <c r="CH102" s="39" t="str">
        <f t="shared" si="66"/>
        <v/>
      </c>
      <c r="CI102" s="39" t="str">
        <f t="shared" si="66"/>
        <v/>
      </c>
      <c r="CJ102" s="39" t="str">
        <f t="shared" si="66"/>
        <v/>
      </c>
      <c r="CK102" s="39" t="str">
        <f t="shared" si="66"/>
        <v/>
      </c>
      <c r="CL102" s="39" t="str">
        <f t="shared" si="66"/>
        <v/>
      </c>
      <c r="CM102" s="39" t="str">
        <f t="shared" si="66"/>
        <v/>
      </c>
      <c r="CN102" s="39" t="str">
        <f t="shared" si="66"/>
        <v/>
      </c>
      <c r="CO102" s="39" t="str">
        <f t="shared" si="66"/>
        <v/>
      </c>
      <c r="CP102" s="39" t="str">
        <f t="shared" si="66"/>
        <v/>
      </c>
      <c r="CQ102" s="39" t="str">
        <f t="shared" si="67"/>
        <v/>
      </c>
      <c r="CR102" s="39" t="str">
        <f t="shared" si="67"/>
        <v>771+579</v>
      </c>
      <c r="CS102" s="39" t="str">
        <f t="shared" si="67"/>
        <v/>
      </c>
      <c r="CT102" s="39" t="str">
        <f t="shared" si="67"/>
        <v/>
      </c>
      <c r="CU102" s="39" t="str">
        <f t="shared" si="67"/>
        <v/>
      </c>
      <c r="CV102" s="39" t="str">
        <f t="shared" si="67"/>
        <v/>
      </c>
      <c r="CW102" s="39" t="str">
        <f t="shared" si="67"/>
        <v/>
      </c>
      <c r="CX102" s="39" t="str">
        <f t="shared" si="67"/>
        <v/>
      </c>
      <c r="CY102" s="39" t="str">
        <f t="shared" si="67"/>
        <v/>
      </c>
      <c r="CZ102" s="39" t="str">
        <f t="shared" si="67"/>
        <v/>
      </c>
      <c r="DA102" s="39" t="str">
        <f t="shared" si="67"/>
        <v/>
      </c>
      <c r="DB102" s="39" t="str">
        <f t="shared" si="67"/>
        <v/>
      </c>
      <c r="DC102" s="39" t="str">
        <f t="shared" si="67"/>
        <v/>
      </c>
      <c r="DD102" s="39" t="str">
        <f t="shared" si="67"/>
        <v/>
      </c>
      <c r="DE102" s="39" t="str">
        <f t="shared" si="67"/>
        <v/>
      </c>
      <c r="DF102" s="37" t="str">
        <f t="shared" si="58"/>
        <v>1+1+1</v>
      </c>
      <c r="DG102" s="37" t="str">
        <f t="shared" si="59"/>
        <v>749+568</v>
      </c>
      <c r="DH102" s="37" t="str">
        <f t="shared" si="60"/>
        <v>732+562</v>
      </c>
      <c r="DI102" s="37" t="str">
        <f t="shared" si="61"/>
        <v>771+579</v>
      </c>
      <c r="DJ102" s="37" t="str">
        <f t="shared" si="62"/>
        <v>1+1+1|749+568|732+562|771+579</v>
      </c>
    </row>
    <row r="103" spans="2:114" x14ac:dyDescent="0.15">
      <c r="B103" s="15">
        <v>100</v>
      </c>
      <c r="C103" s="15" t="s">
        <v>686</v>
      </c>
      <c r="D103" s="15">
        <v>56</v>
      </c>
      <c r="G103" s="27" t="s">
        <v>537</v>
      </c>
      <c r="H103" s="27">
        <v>100</v>
      </c>
      <c r="I103" s="26" t="s">
        <v>655</v>
      </c>
      <c r="J103" s="26">
        <f t="shared" si="40"/>
        <v>130</v>
      </c>
      <c r="M103" s="27" t="s">
        <v>537</v>
      </c>
      <c r="N103" s="27">
        <v>100</v>
      </c>
      <c r="O103" s="26" t="s">
        <v>64</v>
      </c>
      <c r="P103" s="26">
        <f t="shared" si="41"/>
        <v>28</v>
      </c>
      <c r="Q103" s="26"/>
      <c r="R103" s="26"/>
      <c r="S103" s="27" t="s">
        <v>537</v>
      </c>
      <c r="T103" s="27">
        <v>100</v>
      </c>
      <c r="U103" s="26" t="s">
        <v>310</v>
      </c>
      <c r="V103" s="26">
        <f t="shared" si="42"/>
        <v>148</v>
      </c>
      <c r="W103" s="26"/>
      <c r="Y103" s="27" t="s">
        <v>537</v>
      </c>
      <c r="Z103" s="27">
        <v>100</v>
      </c>
      <c r="AA103" s="26" t="s">
        <v>311</v>
      </c>
      <c r="AB103" s="26">
        <f t="shared" si="43"/>
        <v>148</v>
      </c>
      <c r="AE103" s="27" t="s">
        <v>537</v>
      </c>
      <c r="AF103" s="27">
        <v>100</v>
      </c>
      <c r="AG103" s="26" t="s">
        <v>186</v>
      </c>
      <c r="AH103" s="26">
        <f t="shared" si="44"/>
        <v>88</v>
      </c>
      <c r="AK103" s="27" t="s">
        <v>537</v>
      </c>
      <c r="AL103" s="27">
        <v>100</v>
      </c>
      <c r="AM103" s="26" t="s">
        <v>945</v>
      </c>
      <c r="AN103" s="26">
        <f t="shared" si="45"/>
        <v>110</v>
      </c>
      <c r="AQ103" s="27" t="s">
        <v>537</v>
      </c>
      <c r="AR103" s="27">
        <v>100</v>
      </c>
      <c r="AS103" s="26" t="s">
        <v>1002</v>
      </c>
      <c r="AT103" s="26">
        <f t="shared" si="46"/>
        <v>43</v>
      </c>
      <c r="AX103" s="15"/>
      <c r="AY103" s="35">
        <f t="shared" si="47"/>
        <v>100</v>
      </c>
      <c r="AZ103" s="35" t="str">
        <f t="shared" si="48"/>
        <v>424+350</v>
      </c>
      <c r="BA103" s="35">
        <f t="shared" si="49"/>
        <v>56</v>
      </c>
      <c r="BB103" s="38">
        <f>COUNTIF($BA$4:$BA103,$BA103)</f>
        <v>3</v>
      </c>
      <c r="BC103" s="36" t="str">
        <f t="shared" si="50"/>
        <v/>
      </c>
      <c r="BD103" s="36" t="str">
        <f t="shared" si="51"/>
        <v>县</v>
      </c>
      <c r="BE103" s="36" t="str">
        <f t="shared" si="52"/>
        <v/>
      </c>
      <c r="BF103" s="36" t="str">
        <f t="shared" si="53"/>
        <v/>
      </c>
      <c r="BG103" s="36" t="str">
        <f t="shared" si="54"/>
        <v/>
      </c>
      <c r="BH103" s="36" t="str">
        <f t="shared" si="55"/>
        <v/>
      </c>
      <c r="BI103" s="36" t="str">
        <f t="shared" si="56"/>
        <v/>
      </c>
      <c r="BJ103" s="29" t="str">
        <f t="shared" si="57"/>
        <v>县</v>
      </c>
      <c r="BL103" s="15">
        <v>100</v>
      </c>
      <c r="BM103" s="39" t="str">
        <f t="shared" si="68"/>
        <v>780+615</v>
      </c>
      <c r="BN103" s="39" t="str">
        <f t="shared" si="68"/>
        <v>808+625</v>
      </c>
      <c r="BO103" s="39" t="str">
        <f t="shared" si="68"/>
        <v/>
      </c>
      <c r="BP103" s="39" t="str">
        <f t="shared" si="68"/>
        <v/>
      </c>
      <c r="BQ103" s="39" t="str">
        <f t="shared" si="68"/>
        <v/>
      </c>
      <c r="BR103" s="39" t="str">
        <f t="shared" si="68"/>
        <v/>
      </c>
      <c r="BS103" s="39" t="str">
        <f t="shared" si="68"/>
        <v/>
      </c>
      <c r="BT103" s="39" t="str">
        <f t="shared" si="68"/>
        <v/>
      </c>
      <c r="BU103" s="39" t="str">
        <f t="shared" si="68"/>
        <v/>
      </c>
      <c r="BV103" s="39" t="str">
        <f t="shared" si="68"/>
        <v/>
      </c>
      <c r="BW103" s="39" t="str">
        <f t="shared" si="68"/>
        <v/>
      </c>
      <c r="BX103" s="39" t="str">
        <f t="shared" si="68"/>
        <v/>
      </c>
      <c r="BY103" s="39" t="str">
        <f t="shared" si="68"/>
        <v/>
      </c>
      <c r="BZ103" s="39" t="str">
        <f t="shared" si="68"/>
        <v/>
      </c>
      <c r="CA103" s="39" t="str">
        <f t="shared" si="68"/>
        <v/>
      </c>
      <c r="CB103" s="39" t="str">
        <f t="shared" si="66"/>
        <v/>
      </c>
      <c r="CC103" s="39" t="str">
        <f t="shared" si="66"/>
        <v/>
      </c>
      <c r="CD103" s="39" t="str">
        <f t="shared" si="66"/>
        <v/>
      </c>
      <c r="CE103" s="39" t="str">
        <f t="shared" si="66"/>
        <v/>
      </c>
      <c r="CF103" s="39" t="str">
        <f t="shared" si="66"/>
        <v/>
      </c>
      <c r="CG103" s="39" t="str">
        <f t="shared" si="66"/>
        <v/>
      </c>
      <c r="CH103" s="39" t="str">
        <f t="shared" si="66"/>
        <v/>
      </c>
      <c r="CI103" s="39" t="str">
        <f t="shared" si="66"/>
        <v/>
      </c>
      <c r="CJ103" s="39" t="str">
        <f t="shared" si="66"/>
        <v/>
      </c>
      <c r="CK103" s="39" t="str">
        <f t="shared" si="66"/>
        <v/>
      </c>
      <c r="CL103" s="39" t="str">
        <f t="shared" si="66"/>
        <v/>
      </c>
      <c r="CM103" s="39" t="str">
        <f t="shared" si="66"/>
        <v/>
      </c>
      <c r="CN103" s="39" t="str">
        <f t="shared" si="66"/>
        <v/>
      </c>
      <c r="CO103" s="39" t="str">
        <f t="shared" si="66"/>
        <v/>
      </c>
      <c r="CP103" s="39" t="str">
        <f t="shared" si="66"/>
        <v/>
      </c>
      <c r="CQ103" s="39" t="str">
        <f t="shared" si="67"/>
        <v/>
      </c>
      <c r="CR103" s="39" t="str">
        <f t="shared" si="67"/>
        <v/>
      </c>
      <c r="CS103" s="39" t="str">
        <f t="shared" si="67"/>
        <v>793+604</v>
      </c>
      <c r="CT103" s="39" t="str">
        <f t="shared" si="67"/>
        <v/>
      </c>
      <c r="CU103" s="39" t="str">
        <f t="shared" si="67"/>
        <v/>
      </c>
      <c r="CV103" s="39" t="str">
        <f t="shared" si="67"/>
        <v/>
      </c>
      <c r="CW103" s="39" t="str">
        <f t="shared" si="67"/>
        <v/>
      </c>
      <c r="CX103" s="39" t="str">
        <f t="shared" si="67"/>
        <v/>
      </c>
      <c r="CY103" s="39" t="str">
        <f t="shared" si="67"/>
        <v/>
      </c>
      <c r="CZ103" s="39" t="str">
        <f t="shared" si="67"/>
        <v/>
      </c>
      <c r="DA103" s="39" t="str">
        <f t="shared" si="67"/>
        <v/>
      </c>
      <c r="DB103" s="39" t="str">
        <f t="shared" si="67"/>
        <v/>
      </c>
      <c r="DC103" s="39" t="str">
        <f t="shared" si="67"/>
        <v/>
      </c>
      <c r="DD103" s="39" t="str">
        <f t="shared" si="67"/>
        <v/>
      </c>
      <c r="DE103" s="39" t="str">
        <f t="shared" si="67"/>
        <v/>
      </c>
      <c r="DF103" s="37" t="str">
        <f t="shared" si="58"/>
        <v>2+0+1</v>
      </c>
      <c r="DG103" s="37" t="str">
        <f t="shared" si="59"/>
        <v>780+615|808+625</v>
      </c>
      <c r="DH103" s="37" t="str">
        <f t="shared" si="60"/>
        <v>0+0</v>
      </c>
      <c r="DI103" s="37" t="str">
        <f t="shared" si="61"/>
        <v>793+604</v>
      </c>
      <c r="DJ103" s="37" t="str">
        <f t="shared" si="62"/>
        <v>2+0+1|780+615|808+625|0+0|793+604</v>
      </c>
    </row>
    <row r="104" spans="2:114" x14ac:dyDescent="0.15">
      <c r="B104" s="15">
        <v>101</v>
      </c>
      <c r="C104" s="15" t="s">
        <v>604</v>
      </c>
      <c r="D104" s="15">
        <v>56</v>
      </c>
      <c r="G104" s="27" t="s">
        <v>537</v>
      </c>
      <c r="H104" s="27">
        <v>101</v>
      </c>
      <c r="I104" s="26" t="s">
        <v>249</v>
      </c>
      <c r="J104" s="26">
        <f t="shared" si="40"/>
        <v>119</v>
      </c>
      <c r="M104" s="27" t="s">
        <v>537</v>
      </c>
      <c r="N104" s="27">
        <v>101</v>
      </c>
      <c r="O104" s="26" t="s">
        <v>65</v>
      </c>
      <c r="P104" s="26">
        <f t="shared" si="41"/>
        <v>28</v>
      </c>
      <c r="Q104" s="26"/>
      <c r="R104" s="26"/>
      <c r="S104" s="27" t="s">
        <v>537</v>
      </c>
      <c r="T104" s="27">
        <v>101</v>
      </c>
      <c r="U104" s="26" t="s">
        <v>311</v>
      </c>
      <c r="V104" s="26">
        <f t="shared" si="42"/>
        <v>148</v>
      </c>
      <c r="W104" s="26"/>
      <c r="Y104" s="27" t="s">
        <v>537</v>
      </c>
      <c r="Z104" s="27">
        <v>101</v>
      </c>
      <c r="AA104" s="26" t="s">
        <v>310</v>
      </c>
      <c r="AB104" s="26">
        <f t="shared" si="43"/>
        <v>148</v>
      </c>
      <c r="AE104" s="27" t="s">
        <v>537</v>
      </c>
      <c r="AF104" s="27">
        <v>101</v>
      </c>
      <c r="AG104" s="26" t="s">
        <v>184</v>
      </c>
      <c r="AH104" s="26">
        <f t="shared" si="44"/>
        <v>87</v>
      </c>
      <c r="AK104" s="27" t="s">
        <v>537</v>
      </c>
      <c r="AL104" s="27">
        <v>101</v>
      </c>
      <c r="AM104" s="26" t="s">
        <v>901</v>
      </c>
      <c r="AN104" s="26">
        <f t="shared" si="45"/>
        <v>111</v>
      </c>
      <c r="AQ104" s="27" t="s">
        <v>537</v>
      </c>
      <c r="AR104" s="27">
        <v>101</v>
      </c>
      <c r="AS104" s="26" t="s">
        <v>1001</v>
      </c>
      <c r="AT104" s="26">
        <f t="shared" si="46"/>
        <v>40</v>
      </c>
      <c r="AX104" s="15"/>
      <c r="AY104" s="35">
        <f t="shared" si="47"/>
        <v>101</v>
      </c>
      <c r="AZ104" s="35" t="str">
        <f t="shared" si="48"/>
        <v>400+309</v>
      </c>
      <c r="BA104" s="35">
        <f t="shared" si="49"/>
        <v>56</v>
      </c>
      <c r="BB104" s="38">
        <f>COUNTIF($BA$4:$BA104,$BA104)</f>
        <v>4</v>
      </c>
      <c r="BC104" s="36" t="str">
        <f t="shared" si="50"/>
        <v/>
      </c>
      <c r="BD104" s="36" t="str">
        <f t="shared" si="51"/>
        <v>营</v>
      </c>
      <c r="BE104" s="36" t="str">
        <f t="shared" si="52"/>
        <v/>
      </c>
      <c r="BF104" s="36" t="str">
        <f t="shared" si="53"/>
        <v/>
      </c>
      <c r="BG104" s="36" t="str">
        <f t="shared" si="54"/>
        <v/>
      </c>
      <c r="BH104" s="36" t="str">
        <f t="shared" si="55"/>
        <v/>
      </c>
      <c r="BI104" s="36" t="str">
        <f t="shared" si="56"/>
        <v/>
      </c>
      <c r="BJ104" s="29" t="str">
        <f t="shared" si="57"/>
        <v>营</v>
      </c>
      <c r="BL104" s="15">
        <v>101</v>
      </c>
      <c r="BM104" s="39" t="str">
        <f t="shared" si="68"/>
        <v>640+615</v>
      </c>
      <c r="BN104" s="39" t="str">
        <f t="shared" si="68"/>
        <v>654+610</v>
      </c>
      <c r="BO104" s="39" t="str">
        <f t="shared" si="68"/>
        <v/>
      </c>
      <c r="BP104" s="39" t="str">
        <f t="shared" si="68"/>
        <v/>
      </c>
      <c r="BQ104" s="39" t="str">
        <f t="shared" si="68"/>
        <v/>
      </c>
      <c r="BR104" s="39" t="str">
        <f t="shared" si="68"/>
        <v/>
      </c>
      <c r="BS104" s="39" t="str">
        <f t="shared" si="68"/>
        <v/>
      </c>
      <c r="BT104" s="39" t="str">
        <f t="shared" si="68"/>
        <v/>
      </c>
      <c r="BU104" s="39" t="str">
        <f t="shared" si="68"/>
        <v/>
      </c>
      <c r="BV104" s="39" t="str">
        <f t="shared" si="68"/>
        <v/>
      </c>
      <c r="BW104" s="39" t="str">
        <f t="shared" si="68"/>
        <v/>
      </c>
      <c r="BX104" s="39" t="str">
        <f t="shared" si="68"/>
        <v/>
      </c>
      <c r="BY104" s="39" t="str">
        <f t="shared" si="68"/>
        <v/>
      </c>
      <c r="BZ104" s="39" t="str">
        <f t="shared" si="68"/>
        <v/>
      </c>
      <c r="CA104" s="39" t="str">
        <f t="shared" si="68"/>
        <v/>
      </c>
      <c r="CB104" s="39" t="str">
        <f t="shared" ref="CB104:CP120" si="69">IFERROR(INDEX($AZ$4:$AZ$1000,MATCH(SUMIFS($AY$4:$AY$1000,$BA$4:$BA$1000,$BL104,$BB$4:$BB$1000,CB$3,$BJ$4:$BJ$1000,"县"),$AY$4:$AY$1000,0)),"")</f>
        <v/>
      </c>
      <c r="CC104" s="39" t="str">
        <f t="shared" si="69"/>
        <v/>
      </c>
      <c r="CD104" s="39" t="str">
        <f t="shared" si="69"/>
        <v/>
      </c>
      <c r="CE104" s="39" t="str">
        <f t="shared" si="69"/>
        <v/>
      </c>
      <c r="CF104" s="39" t="str">
        <f t="shared" si="69"/>
        <v/>
      </c>
      <c r="CG104" s="39" t="str">
        <f t="shared" si="69"/>
        <v/>
      </c>
      <c r="CH104" s="39" t="str">
        <f t="shared" si="69"/>
        <v/>
      </c>
      <c r="CI104" s="39" t="str">
        <f t="shared" si="69"/>
        <v/>
      </c>
      <c r="CJ104" s="39" t="str">
        <f t="shared" si="69"/>
        <v/>
      </c>
      <c r="CK104" s="39" t="str">
        <f t="shared" si="69"/>
        <v/>
      </c>
      <c r="CL104" s="39" t="str">
        <f t="shared" si="69"/>
        <v/>
      </c>
      <c r="CM104" s="39" t="str">
        <f t="shared" si="69"/>
        <v/>
      </c>
      <c r="CN104" s="39" t="str">
        <f t="shared" si="69"/>
        <v/>
      </c>
      <c r="CO104" s="39" t="str">
        <f t="shared" si="69"/>
        <v/>
      </c>
      <c r="CP104" s="39" t="str">
        <f t="shared" si="69"/>
        <v/>
      </c>
      <c r="CQ104" s="39" t="str">
        <f t="shared" ref="CQ104:DE120" si="70">IFERROR(INDEX($AZ$4:$AZ$1000,MATCH(SUMIFS($AY$4:$AY$1000,$BA$4:$BA$1000,$BL104,$BB$4:$BB$1000,CQ$3,$BJ$4:$BJ$1000,"营"),$AY$4:$AY$1000,0)),"")</f>
        <v/>
      </c>
      <c r="CR104" s="39" t="str">
        <f t="shared" si="70"/>
        <v/>
      </c>
      <c r="CS104" s="39" t="str">
        <f t="shared" si="70"/>
        <v>621+602</v>
      </c>
      <c r="CT104" s="39" t="str">
        <f t="shared" si="70"/>
        <v/>
      </c>
      <c r="CU104" s="39" t="str">
        <f t="shared" si="70"/>
        <v/>
      </c>
      <c r="CV104" s="39" t="str">
        <f t="shared" si="70"/>
        <v/>
      </c>
      <c r="CW104" s="39" t="str">
        <f t="shared" si="70"/>
        <v/>
      </c>
      <c r="CX104" s="39" t="str">
        <f t="shared" si="70"/>
        <v/>
      </c>
      <c r="CY104" s="39" t="str">
        <f t="shared" si="70"/>
        <v/>
      </c>
      <c r="CZ104" s="39" t="str">
        <f t="shared" si="70"/>
        <v/>
      </c>
      <c r="DA104" s="39" t="str">
        <f t="shared" si="70"/>
        <v/>
      </c>
      <c r="DB104" s="39" t="str">
        <f t="shared" si="70"/>
        <v/>
      </c>
      <c r="DC104" s="39" t="str">
        <f t="shared" si="70"/>
        <v/>
      </c>
      <c r="DD104" s="39" t="str">
        <f t="shared" si="70"/>
        <v/>
      </c>
      <c r="DE104" s="39" t="str">
        <f t="shared" si="70"/>
        <v/>
      </c>
      <c r="DF104" s="37" t="str">
        <f t="shared" si="58"/>
        <v>2+0+1</v>
      </c>
      <c r="DG104" s="37" t="str">
        <f t="shared" si="59"/>
        <v>640+615|654+610</v>
      </c>
      <c r="DH104" s="37" t="str">
        <f t="shared" si="60"/>
        <v>0+0</v>
      </c>
      <c r="DI104" s="37" t="str">
        <f t="shared" si="61"/>
        <v>621+602</v>
      </c>
      <c r="DJ104" s="37" t="str">
        <f t="shared" si="62"/>
        <v>2+0+1|640+615|654+610|0+0|621+602</v>
      </c>
    </row>
    <row r="105" spans="2:114" x14ac:dyDescent="0.15">
      <c r="B105" s="15">
        <v>102</v>
      </c>
      <c r="C105" s="15" t="s">
        <v>605</v>
      </c>
      <c r="D105" s="15">
        <v>56</v>
      </c>
      <c r="G105" s="27" t="s">
        <v>537</v>
      </c>
      <c r="H105" s="27">
        <v>102</v>
      </c>
      <c r="I105" s="26" t="s">
        <v>198</v>
      </c>
      <c r="J105" s="26">
        <f t="shared" si="40"/>
        <v>94</v>
      </c>
      <c r="M105" s="27" t="s">
        <v>537</v>
      </c>
      <c r="N105" s="27">
        <v>102</v>
      </c>
      <c r="O105" s="26" t="s">
        <v>121</v>
      </c>
      <c r="P105" s="26">
        <f t="shared" si="41"/>
        <v>56</v>
      </c>
      <c r="Q105" s="26"/>
      <c r="R105" s="26"/>
      <c r="S105" s="27" t="s">
        <v>537</v>
      </c>
      <c r="T105" s="27">
        <v>102</v>
      </c>
      <c r="U105" s="26" t="s">
        <v>320</v>
      </c>
      <c r="V105" s="26">
        <f t="shared" si="42"/>
        <v>153</v>
      </c>
      <c r="W105" s="26"/>
      <c r="Y105" s="27" t="s">
        <v>537</v>
      </c>
      <c r="Z105" s="27">
        <v>102</v>
      </c>
      <c r="AA105" s="26" t="s">
        <v>79</v>
      </c>
      <c r="AB105" s="26">
        <f t="shared" si="43"/>
        <v>35</v>
      </c>
      <c r="AE105" s="27" t="s">
        <v>537</v>
      </c>
      <c r="AF105" s="27">
        <v>102</v>
      </c>
      <c r="AG105" s="26" t="s">
        <v>949</v>
      </c>
      <c r="AH105" s="26">
        <f t="shared" si="44"/>
        <v>111</v>
      </c>
      <c r="AK105" s="27" t="s">
        <v>537</v>
      </c>
      <c r="AL105" s="27">
        <v>102</v>
      </c>
      <c r="AM105" s="26" t="s">
        <v>978</v>
      </c>
      <c r="AN105" s="26">
        <f t="shared" si="45"/>
        <v>119</v>
      </c>
      <c r="AQ105" s="27" t="s">
        <v>537</v>
      </c>
      <c r="AR105" s="27">
        <v>102</v>
      </c>
      <c r="AS105" s="26" t="s">
        <v>299</v>
      </c>
      <c r="AT105" s="26">
        <f t="shared" si="46"/>
        <v>142</v>
      </c>
      <c r="AX105" s="15"/>
      <c r="AY105" s="35">
        <f t="shared" si="47"/>
        <v>102</v>
      </c>
      <c r="AZ105" s="35" t="str">
        <f t="shared" si="48"/>
        <v>424+336</v>
      </c>
      <c r="BA105" s="35">
        <f t="shared" si="49"/>
        <v>56</v>
      </c>
      <c r="BB105" s="38">
        <f>COUNTIF($BA$4:$BA105,$BA105)</f>
        <v>5</v>
      </c>
      <c r="BC105" s="36" t="str">
        <f t="shared" si="50"/>
        <v/>
      </c>
      <c r="BD105" s="36" t="str">
        <f t="shared" si="51"/>
        <v>营</v>
      </c>
      <c r="BE105" s="36" t="str">
        <f t="shared" si="52"/>
        <v/>
      </c>
      <c r="BF105" s="36" t="str">
        <f t="shared" si="53"/>
        <v/>
      </c>
      <c r="BG105" s="36" t="str">
        <f t="shared" si="54"/>
        <v/>
      </c>
      <c r="BH105" s="36" t="str">
        <f t="shared" si="55"/>
        <v/>
      </c>
      <c r="BI105" s="36" t="str">
        <f t="shared" si="56"/>
        <v/>
      </c>
      <c r="BJ105" s="29" t="str">
        <f t="shared" si="57"/>
        <v>营</v>
      </c>
      <c r="BL105" s="15">
        <v>102</v>
      </c>
      <c r="BM105" s="39" t="str">
        <f t="shared" si="68"/>
        <v>668+660</v>
      </c>
      <c r="BN105" s="39" t="str">
        <f t="shared" si="68"/>
        <v>656+641</v>
      </c>
      <c r="BO105" s="39" t="str">
        <f t="shared" si="68"/>
        <v/>
      </c>
      <c r="BP105" s="39" t="str">
        <f t="shared" si="68"/>
        <v/>
      </c>
      <c r="BQ105" s="39" t="str">
        <f t="shared" si="68"/>
        <v/>
      </c>
      <c r="BR105" s="39" t="str">
        <f t="shared" si="68"/>
        <v/>
      </c>
      <c r="BS105" s="39" t="str">
        <f t="shared" si="68"/>
        <v/>
      </c>
      <c r="BT105" s="39" t="str">
        <f t="shared" si="68"/>
        <v/>
      </c>
      <c r="BU105" s="39" t="str">
        <f t="shared" si="68"/>
        <v/>
      </c>
      <c r="BV105" s="39" t="str">
        <f t="shared" si="68"/>
        <v/>
      </c>
      <c r="BW105" s="39" t="str">
        <f t="shared" si="68"/>
        <v/>
      </c>
      <c r="BX105" s="39" t="str">
        <f t="shared" si="68"/>
        <v/>
      </c>
      <c r="BY105" s="39" t="str">
        <f t="shared" si="68"/>
        <v/>
      </c>
      <c r="BZ105" s="39" t="str">
        <f t="shared" si="68"/>
        <v/>
      </c>
      <c r="CA105" s="39" t="str">
        <f t="shared" si="68"/>
        <v/>
      </c>
      <c r="CB105" s="39" t="str">
        <f t="shared" si="69"/>
        <v/>
      </c>
      <c r="CC105" s="39" t="str">
        <f t="shared" si="69"/>
        <v/>
      </c>
      <c r="CD105" s="39" t="str">
        <f t="shared" si="69"/>
        <v/>
      </c>
      <c r="CE105" s="39" t="str">
        <f t="shared" si="69"/>
        <v>633+638</v>
      </c>
      <c r="CF105" s="39" t="str">
        <f t="shared" si="69"/>
        <v/>
      </c>
      <c r="CG105" s="39" t="str">
        <f t="shared" si="69"/>
        <v/>
      </c>
      <c r="CH105" s="39" t="str">
        <f t="shared" si="69"/>
        <v/>
      </c>
      <c r="CI105" s="39" t="str">
        <f t="shared" si="69"/>
        <v/>
      </c>
      <c r="CJ105" s="39" t="str">
        <f t="shared" si="69"/>
        <v/>
      </c>
      <c r="CK105" s="39" t="str">
        <f t="shared" si="69"/>
        <v/>
      </c>
      <c r="CL105" s="39" t="str">
        <f t="shared" si="69"/>
        <v/>
      </c>
      <c r="CM105" s="39" t="str">
        <f t="shared" si="69"/>
        <v/>
      </c>
      <c r="CN105" s="39" t="str">
        <f t="shared" si="69"/>
        <v/>
      </c>
      <c r="CO105" s="39" t="str">
        <f t="shared" si="69"/>
        <v/>
      </c>
      <c r="CP105" s="39" t="str">
        <f t="shared" si="69"/>
        <v/>
      </c>
      <c r="CQ105" s="39" t="str">
        <f t="shared" si="70"/>
        <v/>
      </c>
      <c r="CR105" s="39" t="str">
        <f t="shared" si="70"/>
        <v/>
      </c>
      <c r="CS105" s="39" t="str">
        <f t="shared" si="70"/>
        <v>670+638</v>
      </c>
      <c r="CT105" s="39" t="str">
        <f t="shared" si="70"/>
        <v/>
      </c>
      <c r="CU105" s="39" t="str">
        <f t="shared" si="70"/>
        <v/>
      </c>
      <c r="CV105" s="39" t="str">
        <f t="shared" si="70"/>
        <v/>
      </c>
      <c r="CW105" s="39" t="str">
        <f t="shared" si="70"/>
        <v/>
      </c>
      <c r="CX105" s="39" t="str">
        <f t="shared" si="70"/>
        <v/>
      </c>
      <c r="CY105" s="39" t="str">
        <f t="shared" si="70"/>
        <v/>
      </c>
      <c r="CZ105" s="39" t="str">
        <f t="shared" si="70"/>
        <v/>
      </c>
      <c r="DA105" s="39" t="str">
        <f t="shared" si="70"/>
        <v/>
      </c>
      <c r="DB105" s="39" t="str">
        <f t="shared" si="70"/>
        <v/>
      </c>
      <c r="DC105" s="39" t="str">
        <f t="shared" si="70"/>
        <v/>
      </c>
      <c r="DD105" s="39" t="str">
        <f t="shared" si="70"/>
        <v/>
      </c>
      <c r="DE105" s="39" t="str">
        <f t="shared" si="70"/>
        <v/>
      </c>
      <c r="DF105" s="37" t="str">
        <f t="shared" si="58"/>
        <v>2+1+1</v>
      </c>
      <c r="DG105" s="37" t="str">
        <f t="shared" si="59"/>
        <v>668+660|656+641</v>
      </c>
      <c r="DH105" s="37" t="str">
        <f t="shared" si="60"/>
        <v>633+638</v>
      </c>
      <c r="DI105" s="37" t="str">
        <f t="shared" si="61"/>
        <v>670+638</v>
      </c>
      <c r="DJ105" s="37" t="str">
        <f t="shared" si="62"/>
        <v>2+1+1|668+660|656+641|633+638|670+638</v>
      </c>
    </row>
    <row r="106" spans="2:114" x14ac:dyDescent="0.15">
      <c r="B106" s="15">
        <v>103</v>
      </c>
      <c r="C106" s="15" t="s">
        <v>122</v>
      </c>
      <c r="D106" s="15">
        <v>57</v>
      </c>
      <c r="G106" s="27" t="s">
        <v>537</v>
      </c>
      <c r="H106" s="27">
        <v>103</v>
      </c>
      <c r="I106" s="26" t="s">
        <v>197</v>
      </c>
      <c r="J106" s="26">
        <f t="shared" si="40"/>
        <v>94</v>
      </c>
      <c r="M106" s="27" t="s">
        <v>537</v>
      </c>
      <c r="N106" s="27">
        <v>103</v>
      </c>
      <c r="O106" s="26" t="s">
        <v>123</v>
      </c>
      <c r="P106" s="26">
        <f t="shared" si="41"/>
        <v>57</v>
      </c>
      <c r="Q106" s="26"/>
      <c r="R106" s="26"/>
      <c r="S106" s="27" t="s">
        <v>537</v>
      </c>
      <c r="T106" s="27">
        <v>103</v>
      </c>
      <c r="U106" s="26" t="s">
        <v>319</v>
      </c>
      <c r="V106" s="26">
        <f t="shared" si="42"/>
        <v>153</v>
      </c>
      <c r="W106" s="26"/>
      <c r="Y106" s="27" t="s">
        <v>537</v>
      </c>
      <c r="Z106" s="27">
        <v>103</v>
      </c>
      <c r="AA106" s="26" t="s">
        <v>34</v>
      </c>
      <c r="AB106" s="26">
        <f t="shared" si="43"/>
        <v>14</v>
      </c>
      <c r="AE106" s="27" t="s">
        <v>537</v>
      </c>
      <c r="AF106" s="27">
        <v>103</v>
      </c>
      <c r="AG106" s="26" t="s">
        <v>950</v>
      </c>
      <c r="AH106" s="26">
        <f t="shared" si="44"/>
        <v>110</v>
      </c>
      <c r="AK106" s="27" t="s">
        <v>537</v>
      </c>
      <c r="AL106" s="27">
        <v>103</v>
      </c>
      <c r="AM106" s="26" t="s">
        <v>980</v>
      </c>
      <c r="AN106" s="26">
        <f t="shared" si="45"/>
        <v>120</v>
      </c>
      <c r="AQ106" s="27" t="s">
        <v>537</v>
      </c>
      <c r="AR106" s="27">
        <v>103</v>
      </c>
      <c r="AS106" s="26" t="s">
        <v>336</v>
      </c>
      <c r="AT106" s="26">
        <f t="shared" si="46"/>
        <v>161</v>
      </c>
      <c r="AX106" s="15"/>
      <c r="AY106" s="35">
        <f t="shared" si="47"/>
        <v>103</v>
      </c>
      <c r="AZ106" s="35" t="str">
        <f t="shared" si="48"/>
        <v>464+287</v>
      </c>
      <c r="BA106" s="35">
        <f t="shared" si="49"/>
        <v>57</v>
      </c>
      <c r="BB106" s="38">
        <f>COUNTIF($BA$4:$BA106,$BA106)</f>
        <v>1</v>
      </c>
      <c r="BC106" s="36" t="str">
        <f t="shared" si="50"/>
        <v>村</v>
      </c>
      <c r="BD106" s="36" t="str">
        <f t="shared" si="51"/>
        <v/>
      </c>
      <c r="BE106" s="36" t="str">
        <f t="shared" si="52"/>
        <v/>
      </c>
      <c r="BF106" s="36" t="str">
        <f t="shared" si="53"/>
        <v>村</v>
      </c>
      <c r="BG106" s="36" t="str">
        <f t="shared" si="54"/>
        <v/>
      </c>
      <c r="BH106" s="36" t="str">
        <f t="shared" si="55"/>
        <v/>
      </c>
      <c r="BI106" s="36" t="str">
        <f t="shared" si="56"/>
        <v/>
      </c>
      <c r="BJ106" s="29" t="str">
        <f t="shared" si="57"/>
        <v>村</v>
      </c>
      <c r="BL106" s="15">
        <v>103</v>
      </c>
      <c r="BM106" s="39" t="str">
        <f t="shared" ref="BM106:CA121" si="71">IFERROR(INDEX($AZ$4:$AZ$1000,MATCH(SUMIFS($AY$4:$AY$1000,$BA$4:$BA$1000,$BL106,$BB$4:$BB$1000,BM$3,$BJ$4:$BJ$1000,"村"),$AY$4:$AY$1000,0)),"")</f>
        <v>686+633</v>
      </c>
      <c r="BN106" s="39" t="str">
        <f t="shared" si="71"/>
        <v>672+596</v>
      </c>
      <c r="BO106" s="39" t="str">
        <f t="shared" si="71"/>
        <v/>
      </c>
      <c r="BP106" s="39" t="str">
        <f t="shared" si="71"/>
        <v/>
      </c>
      <c r="BQ106" s="39" t="str">
        <f t="shared" si="71"/>
        <v/>
      </c>
      <c r="BR106" s="39" t="str">
        <f t="shared" si="71"/>
        <v/>
      </c>
      <c r="BS106" s="39" t="str">
        <f t="shared" si="71"/>
        <v/>
      </c>
      <c r="BT106" s="39" t="str">
        <f t="shared" si="71"/>
        <v/>
      </c>
      <c r="BU106" s="39" t="str">
        <f t="shared" si="71"/>
        <v/>
      </c>
      <c r="BV106" s="39" t="str">
        <f t="shared" si="71"/>
        <v/>
      </c>
      <c r="BW106" s="39" t="str">
        <f t="shared" si="71"/>
        <v/>
      </c>
      <c r="BX106" s="39" t="str">
        <f t="shared" si="71"/>
        <v/>
      </c>
      <c r="BY106" s="39" t="str">
        <f t="shared" si="71"/>
        <v/>
      </c>
      <c r="BZ106" s="39" t="str">
        <f t="shared" si="71"/>
        <v/>
      </c>
      <c r="CA106" s="39" t="str">
        <f t="shared" si="71"/>
        <v/>
      </c>
      <c r="CB106" s="39" t="str">
        <f t="shared" si="69"/>
        <v/>
      </c>
      <c r="CC106" s="39" t="str">
        <f t="shared" si="69"/>
        <v/>
      </c>
      <c r="CD106" s="39" t="str">
        <f t="shared" si="69"/>
        <v/>
      </c>
      <c r="CE106" s="39" t="str">
        <f t="shared" si="69"/>
        <v/>
      </c>
      <c r="CF106" s="39" t="str">
        <f t="shared" si="69"/>
        <v/>
      </c>
      <c r="CG106" s="39" t="str">
        <f t="shared" si="69"/>
        <v/>
      </c>
      <c r="CH106" s="39" t="str">
        <f t="shared" si="69"/>
        <v/>
      </c>
      <c r="CI106" s="39" t="str">
        <f t="shared" si="69"/>
        <v/>
      </c>
      <c r="CJ106" s="39" t="str">
        <f t="shared" si="69"/>
        <v/>
      </c>
      <c r="CK106" s="39" t="str">
        <f t="shared" si="69"/>
        <v/>
      </c>
      <c r="CL106" s="39" t="str">
        <f t="shared" si="69"/>
        <v/>
      </c>
      <c r="CM106" s="39" t="str">
        <f t="shared" si="69"/>
        <v/>
      </c>
      <c r="CN106" s="39" t="str">
        <f t="shared" si="69"/>
        <v/>
      </c>
      <c r="CO106" s="39" t="str">
        <f t="shared" si="69"/>
        <v/>
      </c>
      <c r="CP106" s="39" t="str">
        <f t="shared" si="69"/>
        <v/>
      </c>
      <c r="CQ106" s="39" t="str">
        <f t="shared" si="70"/>
        <v/>
      </c>
      <c r="CR106" s="39" t="str">
        <f t="shared" si="70"/>
        <v/>
      </c>
      <c r="CS106" s="39" t="str">
        <f t="shared" si="70"/>
        <v>682+588</v>
      </c>
      <c r="CT106" s="39" t="str">
        <f t="shared" si="70"/>
        <v/>
      </c>
      <c r="CU106" s="39" t="str">
        <f t="shared" si="70"/>
        <v/>
      </c>
      <c r="CV106" s="39" t="str">
        <f t="shared" si="70"/>
        <v/>
      </c>
      <c r="CW106" s="39" t="str">
        <f t="shared" si="70"/>
        <v/>
      </c>
      <c r="CX106" s="39" t="str">
        <f t="shared" si="70"/>
        <v/>
      </c>
      <c r="CY106" s="39" t="str">
        <f t="shared" si="70"/>
        <v/>
      </c>
      <c r="CZ106" s="39" t="str">
        <f t="shared" si="70"/>
        <v/>
      </c>
      <c r="DA106" s="39" t="str">
        <f t="shared" si="70"/>
        <v/>
      </c>
      <c r="DB106" s="39" t="str">
        <f t="shared" si="70"/>
        <v/>
      </c>
      <c r="DC106" s="39" t="str">
        <f t="shared" si="70"/>
        <v/>
      </c>
      <c r="DD106" s="39" t="str">
        <f t="shared" si="70"/>
        <v/>
      </c>
      <c r="DE106" s="39" t="str">
        <f t="shared" si="70"/>
        <v/>
      </c>
      <c r="DF106" s="37" t="str">
        <f t="shared" si="58"/>
        <v>2+0+1</v>
      </c>
      <c r="DG106" s="37" t="str">
        <f t="shared" si="59"/>
        <v>686+633|672+596</v>
      </c>
      <c r="DH106" s="37" t="str">
        <f t="shared" si="60"/>
        <v>0+0</v>
      </c>
      <c r="DI106" s="37" t="str">
        <f t="shared" si="61"/>
        <v>682+588</v>
      </c>
      <c r="DJ106" s="37" t="str">
        <f t="shared" si="62"/>
        <v>2+0+1|686+633|672+596|0+0|682+588</v>
      </c>
    </row>
    <row r="107" spans="2:114" x14ac:dyDescent="0.15">
      <c r="B107" s="15">
        <v>104</v>
      </c>
      <c r="C107" s="15" t="s">
        <v>123</v>
      </c>
      <c r="D107" s="15">
        <v>57</v>
      </c>
      <c r="G107" s="27" t="s">
        <v>537</v>
      </c>
      <c r="H107" s="27">
        <v>104</v>
      </c>
      <c r="I107" s="26" t="s">
        <v>77</v>
      </c>
      <c r="J107" s="26">
        <f t="shared" si="40"/>
        <v>34</v>
      </c>
      <c r="M107" s="27" t="s">
        <v>537</v>
      </c>
      <c r="N107" s="27">
        <v>104</v>
      </c>
      <c r="O107" s="26" t="s">
        <v>322</v>
      </c>
      <c r="P107" s="26">
        <f t="shared" si="41"/>
        <v>154</v>
      </c>
      <c r="Q107" s="26"/>
      <c r="R107" s="26"/>
      <c r="S107" s="27" t="s">
        <v>537</v>
      </c>
      <c r="T107" s="27">
        <v>104</v>
      </c>
      <c r="U107" s="26" t="s">
        <v>93</v>
      </c>
      <c r="V107" s="26">
        <f t="shared" si="42"/>
        <v>43</v>
      </c>
      <c r="W107" s="26"/>
      <c r="Y107" s="27" t="s">
        <v>537</v>
      </c>
      <c r="Z107" s="27">
        <v>104</v>
      </c>
      <c r="AA107" s="26" t="s">
        <v>194</v>
      </c>
      <c r="AB107" s="26">
        <f t="shared" si="43"/>
        <v>92</v>
      </c>
      <c r="AE107" s="27" t="s">
        <v>537</v>
      </c>
      <c r="AF107" s="27">
        <v>104</v>
      </c>
      <c r="AG107" s="26" t="s">
        <v>218</v>
      </c>
      <c r="AH107" s="26">
        <f t="shared" si="44"/>
        <v>104</v>
      </c>
      <c r="AK107" s="27" t="s">
        <v>537</v>
      </c>
      <c r="AL107" s="27">
        <v>104</v>
      </c>
      <c r="AM107" s="26" t="s">
        <v>300</v>
      </c>
      <c r="AN107" s="26">
        <f t="shared" si="45"/>
        <v>143</v>
      </c>
      <c r="AQ107" s="27" t="s">
        <v>537</v>
      </c>
      <c r="AR107" s="27">
        <v>104</v>
      </c>
      <c r="AS107" s="26" t="s">
        <v>216</v>
      </c>
      <c r="AT107" s="26">
        <f t="shared" si="46"/>
        <v>103</v>
      </c>
      <c r="AX107" s="15"/>
      <c r="AY107" s="35">
        <f t="shared" si="47"/>
        <v>104</v>
      </c>
      <c r="AZ107" s="35" t="str">
        <f t="shared" si="48"/>
        <v>441+296</v>
      </c>
      <c r="BA107" s="35">
        <f t="shared" si="49"/>
        <v>57</v>
      </c>
      <c r="BB107" s="38">
        <f>COUNTIF($BA$4:$BA107,$BA107)</f>
        <v>2</v>
      </c>
      <c r="BC107" s="36" t="str">
        <f t="shared" si="50"/>
        <v/>
      </c>
      <c r="BD107" s="36" t="str">
        <f t="shared" si="51"/>
        <v>村</v>
      </c>
      <c r="BE107" s="36" t="str">
        <f t="shared" si="52"/>
        <v/>
      </c>
      <c r="BF107" s="36" t="str">
        <f t="shared" si="53"/>
        <v>村</v>
      </c>
      <c r="BG107" s="36" t="str">
        <f t="shared" si="54"/>
        <v/>
      </c>
      <c r="BH107" s="36" t="str">
        <f t="shared" si="55"/>
        <v/>
      </c>
      <c r="BI107" s="36" t="str">
        <f t="shared" si="56"/>
        <v/>
      </c>
      <c r="BJ107" s="29" t="str">
        <f t="shared" si="57"/>
        <v>村</v>
      </c>
      <c r="BL107" s="15">
        <v>104</v>
      </c>
      <c r="BM107" s="39" t="str">
        <f t="shared" si="71"/>
        <v>692+602</v>
      </c>
      <c r="BN107" s="39" t="str">
        <f t="shared" si="71"/>
        <v>709+630</v>
      </c>
      <c r="BO107" s="39" t="str">
        <f t="shared" si="71"/>
        <v/>
      </c>
      <c r="BP107" s="39" t="str">
        <f t="shared" si="71"/>
        <v/>
      </c>
      <c r="BQ107" s="39" t="str">
        <f t="shared" si="71"/>
        <v/>
      </c>
      <c r="BR107" s="39" t="str">
        <f t="shared" si="71"/>
        <v/>
      </c>
      <c r="BS107" s="39" t="str">
        <f t="shared" si="71"/>
        <v/>
      </c>
      <c r="BT107" s="39" t="str">
        <f t="shared" si="71"/>
        <v/>
      </c>
      <c r="BU107" s="39" t="str">
        <f t="shared" si="71"/>
        <v/>
      </c>
      <c r="BV107" s="39" t="str">
        <f t="shared" si="71"/>
        <v/>
      </c>
      <c r="BW107" s="39" t="str">
        <f t="shared" si="71"/>
        <v/>
      </c>
      <c r="BX107" s="39" t="str">
        <f t="shared" si="71"/>
        <v/>
      </c>
      <c r="BY107" s="39" t="str">
        <f t="shared" si="71"/>
        <v/>
      </c>
      <c r="BZ107" s="39" t="str">
        <f t="shared" si="71"/>
        <v/>
      </c>
      <c r="CA107" s="39" t="str">
        <f t="shared" si="71"/>
        <v/>
      </c>
      <c r="CB107" s="39" t="str">
        <f t="shared" si="69"/>
        <v/>
      </c>
      <c r="CC107" s="39" t="str">
        <f t="shared" si="69"/>
        <v/>
      </c>
      <c r="CD107" s="39" t="str">
        <f t="shared" si="69"/>
        <v>711+605</v>
      </c>
      <c r="CE107" s="39" t="str">
        <f t="shared" si="69"/>
        <v/>
      </c>
      <c r="CF107" s="39" t="str">
        <f t="shared" si="69"/>
        <v/>
      </c>
      <c r="CG107" s="39" t="str">
        <f t="shared" si="69"/>
        <v/>
      </c>
      <c r="CH107" s="39" t="str">
        <f t="shared" si="69"/>
        <v/>
      </c>
      <c r="CI107" s="39" t="str">
        <f t="shared" si="69"/>
        <v/>
      </c>
      <c r="CJ107" s="39" t="str">
        <f t="shared" si="69"/>
        <v/>
      </c>
      <c r="CK107" s="39" t="str">
        <f t="shared" si="69"/>
        <v/>
      </c>
      <c r="CL107" s="39" t="str">
        <f t="shared" si="69"/>
        <v/>
      </c>
      <c r="CM107" s="39" t="str">
        <f t="shared" si="69"/>
        <v/>
      </c>
      <c r="CN107" s="39" t="str">
        <f t="shared" si="69"/>
        <v/>
      </c>
      <c r="CO107" s="39" t="str">
        <f t="shared" si="69"/>
        <v/>
      </c>
      <c r="CP107" s="39" t="str">
        <f t="shared" si="69"/>
        <v/>
      </c>
      <c r="CQ107" s="39" t="str">
        <f t="shared" si="70"/>
        <v/>
      </c>
      <c r="CR107" s="39" t="str">
        <f t="shared" si="70"/>
        <v/>
      </c>
      <c r="CS107" s="39" t="str">
        <f t="shared" si="70"/>
        <v/>
      </c>
      <c r="CT107" s="39" t="str">
        <f t="shared" si="70"/>
        <v>701+635</v>
      </c>
      <c r="CU107" s="39" t="str">
        <f t="shared" si="70"/>
        <v/>
      </c>
      <c r="CV107" s="39" t="str">
        <f t="shared" si="70"/>
        <v/>
      </c>
      <c r="CW107" s="39" t="str">
        <f t="shared" si="70"/>
        <v/>
      </c>
      <c r="CX107" s="39" t="str">
        <f t="shared" si="70"/>
        <v/>
      </c>
      <c r="CY107" s="39" t="str">
        <f t="shared" si="70"/>
        <v/>
      </c>
      <c r="CZ107" s="39" t="str">
        <f t="shared" si="70"/>
        <v/>
      </c>
      <c r="DA107" s="39" t="str">
        <f t="shared" si="70"/>
        <v/>
      </c>
      <c r="DB107" s="39" t="str">
        <f t="shared" si="70"/>
        <v/>
      </c>
      <c r="DC107" s="39" t="str">
        <f t="shared" si="70"/>
        <v/>
      </c>
      <c r="DD107" s="39" t="str">
        <f t="shared" si="70"/>
        <v/>
      </c>
      <c r="DE107" s="39" t="str">
        <f t="shared" si="70"/>
        <v/>
      </c>
      <c r="DF107" s="37" t="str">
        <f t="shared" si="58"/>
        <v>2+1+1</v>
      </c>
      <c r="DG107" s="37" t="str">
        <f t="shared" si="59"/>
        <v>692+602|709+630</v>
      </c>
      <c r="DH107" s="37" t="str">
        <f t="shared" si="60"/>
        <v>711+605</v>
      </c>
      <c r="DI107" s="37" t="str">
        <f t="shared" si="61"/>
        <v>701+635</v>
      </c>
      <c r="DJ107" s="37" t="str">
        <f t="shared" si="62"/>
        <v>2+1+1|692+602|709+630|711+605|701+635</v>
      </c>
    </row>
    <row r="108" spans="2:114" x14ac:dyDescent="0.15">
      <c r="B108" s="15">
        <v>105</v>
      </c>
      <c r="C108" s="15" t="s">
        <v>699</v>
      </c>
      <c r="D108" s="15">
        <v>57</v>
      </c>
      <c r="G108" s="27" t="s">
        <v>537</v>
      </c>
      <c r="H108" s="27">
        <v>105</v>
      </c>
      <c r="I108" s="26" t="s">
        <v>76</v>
      </c>
      <c r="J108" s="26">
        <f t="shared" si="40"/>
        <v>34</v>
      </c>
      <c r="M108" s="27" t="s">
        <v>537</v>
      </c>
      <c r="N108" s="27">
        <v>105</v>
      </c>
      <c r="O108" s="26" t="s">
        <v>302</v>
      </c>
      <c r="P108" s="26">
        <f t="shared" si="41"/>
        <v>144</v>
      </c>
      <c r="Q108" s="26"/>
      <c r="R108" s="26"/>
      <c r="S108" s="27" t="s">
        <v>537</v>
      </c>
      <c r="T108" s="27">
        <v>105</v>
      </c>
      <c r="U108" s="26" t="s">
        <v>331</v>
      </c>
      <c r="V108" s="26">
        <f t="shared" si="42"/>
        <v>159</v>
      </c>
      <c r="W108" s="26"/>
      <c r="Y108" s="27" t="s">
        <v>537</v>
      </c>
      <c r="Z108" s="27">
        <v>105</v>
      </c>
      <c r="AA108" s="26" t="s">
        <v>193</v>
      </c>
      <c r="AB108" s="26">
        <f t="shared" si="43"/>
        <v>92</v>
      </c>
      <c r="AE108" s="27" t="s">
        <v>537</v>
      </c>
      <c r="AF108" s="27">
        <v>105</v>
      </c>
      <c r="AG108" s="26" t="s">
        <v>642</v>
      </c>
      <c r="AH108" s="26">
        <f t="shared" si="44"/>
        <v>105</v>
      </c>
      <c r="AK108" s="27" t="s">
        <v>537</v>
      </c>
      <c r="AL108" s="27">
        <v>105</v>
      </c>
      <c r="AM108" s="26" t="s">
        <v>288</v>
      </c>
      <c r="AN108" s="26">
        <f t="shared" si="45"/>
        <v>138</v>
      </c>
      <c r="AQ108" s="27" t="s">
        <v>537</v>
      </c>
      <c r="AR108" s="27">
        <v>105</v>
      </c>
      <c r="AS108" s="26" t="s">
        <v>212</v>
      </c>
      <c r="AT108" s="26">
        <f t="shared" si="46"/>
        <v>101</v>
      </c>
      <c r="AX108" s="15"/>
      <c r="AY108" s="35">
        <f t="shared" si="47"/>
        <v>105</v>
      </c>
      <c r="AZ108" s="35" t="str">
        <f t="shared" si="48"/>
        <v>434+340</v>
      </c>
      <c r="BA108" s="35">
        <f t="shared" si="49"/>
        <v>57</v>
      </c>
      <c r="BB108" s="38">
        <f>COUNTIF($BA$4:$BA108,$BA108)</f>
        <v>3</v>
      </c>
      <c r="BC108" s="36" t="str">
        <f t="shared" si="50"/>
        <v>县</v>
      </c>
      <c r="BD108" s="36" t="str">
        <f t="shared" si="51"/>
        <v/>
      </c>
      <c r="BE108" s="36" t="str">
        <f t="shared" si="52"/>
        <v>县</v>
      </c>
      <c r="BF108" s="36" t="str">
        <f t="shared" si="53"/>
        <v/>
      </c>
      <c r="BG108" s="36" t="str">
        <f t="shared" si="54"/>
        <v/>
      </c>
      <c r="BH108" s="36" t="str">
        <f t="shared" si="55"/>
        <v/>
      </c>
      <c r="BI108" s="36" t="str">
        <f t="shared" si="56"/>
        <v/>
      </c>
      <c r="BJ108" s="29" t="str">
        <f t="shared" si="57"/>
        <v>县</v>
      </c>
      <c r="BL108" s="15">
        <v>105</v>
      </c>
      <c r="BM108" s="39" t="str">
        <f t="shared" si="71"/>
        <v>736+644</v>
      </c>
      <c r="BN108" s="39" t="str">
        <f t="shared" si="71"/>
        <v/>
      </c>
      <c r="BO108" s="39" t="str">
        <f t="shared" si="71"/>
        <v/>
      </c>
      <c r="BP108" s="39" t="str">
        <f t="shared" si="71"/>
        <v/>
      </c>
      <c r="BQ108" s="39" t="str">
        <f t="shared" si="71"/>
        <v/>
      </c>
      <c r="BR108" s="39" t="str">
        <f t="shared" si="71"/>
        <v/>
      </c>
      <c r="BS108" s="39" t="str">
        <f t="shared" si="71"/>
        <v/>
      </c>
      <c r="BT108" s="39" t="str">
        <f t="shared" si="71"/>
        <v/>
      </c>
      <c r="BU108" s="39" t="str">
        <f t="shared" si="71"/>
        <v/>
      </c>
      <c r="BV108" s="39" t="str">
        <f t="shared" si="71"/>
        <v/>
      </c>
      <c r="BW108" s="39" t="str">
        <f t="shared" si="71"/>
        <v/>
      </c>
      <c r="BX108" s="39" t="str">
        <f t="shared" si="71"/>
        <v/>
      </c>
      <c r="BY108" s="39" t="str">
        <f t="shared" si="71"/>
        <v/>
      </c>
      <c r="BZ108" s="39" t="str">
        <f t="shared" si="71"/>
        <v/>
      </c>
      <c r="CA108" s="39" t="str">
        <f t="shared" si="71"/>
        <v/>
      </c>
      <c r="CB108" s="39" t="str">
        <f t="shared" si="69"/>
        <v/>
      </c>
      <c r="CC108" s="39" t="str">
        <f t="shared" si="69"/>
        <v/>
      </c>
      <c r="CD108" s="39" t="str">
        <f t="shared" si="69"/>
        <v/>
      </c>
      <c r="CE108" s="39" t="str">
        <f t="shared" si="69"/>
        <v/>
      </c>
      <c r="CF108" s="39" t="str">
        <f t="shared" si="69"/>
        <v/>
      </c>
      <c r="CG108" s="39" t="str">
        <f t="shared" si="69"/>
        <v/>
      </c>
      <c r="CH108" s="39" t="str">
        <f t="shared" si="69"/>
        <v/>
      </c>
      <c r="CI108" s="39" t="str">
        <f t="shared" si="69"/>
        <v/>
      </c>
      <c r="CJ108" s="39" t="str">
        <f t="shared" si="69"/>
        <v/>
      </c>
      <c r="CK108" s="39" t="str">
        <f t="shared" si="69"/>
        <v/>
      </c>
      <c r="CL108" s="39" t="str">
        <f t="shared" si="69"/>
        <v/>
      </c>
      <c r="CM108" s="39" t="str">
        <f t="shared" si="69"/>
        <v/>
      </c>
      <c r="CN108" s="39" t="str">
        <f t="shared" si="69"/>
        <v/>
      </c>
      <c r="CO108" s="39" t="str">
        <f t="shared" si="69"/>
        <v/>
      </c>
      <c r="CP108" s="39" t="str">
        <f t="shared" si="69"/>
        <v/>
      </c>
      <c r="CQ108" s="39" t="str">
        <f t="shared" si="70"/>
        <v/>
      </c>
      <c r="CR108" s="39" t="str">
        <f t="shared" si="70"/>
        <v>747+642</v>
      </c>
      <c r="CS108" s="39" t="str">
        <f t="shared" si="70"/>
        <v/>
      </c>
      <c r="CT108" s="39" t="str">
        <f t="shared" si="70"/>
        <v/>
      </c>
      <c r="CU108" s="39" t="str">
        <f t="shared" si="70"/>
        <v/>
      </c>
      <c r="CV108" s="39" t="str">
        <f t="shared" si="70"/>
        <v/>
      </c>
      <c r="CW108" s="39" t="str">
        <f t="shared" si="70"/>
        <v/>
      </c>
      <c r="CX108" s="39" t="str">
        <f t="shared" si="70"/>
        <v/>
      </c>
      <c r="CY108" s="39" t="str">
        <f t="shared" si="70"/>
        <v/>
      </c>
      <c r="CZ108" s="39" t="str">
        <f t="shared" si="70"/>
        <v/>
      </c>
      <c r="DA108" s="39" t="str">
        <f t="shared" si="70"/>
        <v/>
      </c>
      <c r="DB108" s="39" t="str">
        <f t="shared" si="70"/>
        <v/>
      </c>
      <c r="DC108" s="39" t="str">
        <f t="shared" si="70"/>
        <v/>
      </c>
      <c r="DD108" s="39" t="str">
        <f t="shared" si="70"/>
        <v/>
      </c>
      <c r="DE108" s="39" t="str">
        <f t="shared" si="70"/>
        <v/>
      </c>
      <c r="DF108" s="37" t="str">
        <f t="shared" si="58"/>
        <v>1+0+1</v>
      </c>
      <c r="DG108" s="37" t="str">
        <f t="shared" si="59"/>
        <v>736+644</v>
      </c>
      <c r="DH108" s="37" t="str">
        <f t="shared" si="60"/>
        <v>0+0</v>
      </c>
      <c r="DI108" s="37" t="str">
        <f t="shared" si="61"/>
        <v>747+642</v>
      </c>
      <c r="DJ108" s="37" t="str">
        <f t="shared" si="62"/>
        <v>1+0+1|736+644|0+0|747+642</v>
      </c>
    </row>
    <row r="109" spans="2:114" x14ac:dyDescent="0.15">
      <c r="B109" s="15">
        <v>106</v>
      </c>
      <c r="C109" s="15" t="s">
        <v>698</v>
      </c>
      <c r="D109" s="15">
        <v>57</v>
      </c>
      <c r="G109" s="25" t="s">
        <v>490</v>
      </c>
      <c r="H109" s="25">
        <v>116</v>
      </c>
      <c r="I109" s="26" t="s">
        <v>681</v>
      </c>
      <c r="J109" s="26">
        <f t="shared" si="40"/>
        <v>167</v>
      </c>
      <c r="M109" s="25" t="s">
        <v>490</v>
      </c>
      <c r="N109" s="25">
        <v>116</v>
      </c>
      <c r="O109" s="26" t="s">
        <v>670</v>
      </c>
      <c r="P109" s="26">
        <f t="shared" si="41"/>
        <v>155</v>
      </c>
      <c r="Q109" s="26"/>
      <c r="R109" s="26"/>
      <c r="S109" s="25" t="s">
        <v>490</v>
      </c>
      <c r="T109" s="25">
        <v>116</v>
      </c>
      <c r="U109" s="26" t="s">
        <v>829</v>
      </c>
      <c r="V109" s="26">
        <f t="shared" si="42"/>
        <v>113</v>
      </c>
      <c r="W109" s="26"/>
      <c r="Y109" s="25" t="s">
        <v>490</v>
      </c>
      <c r="Z109" s="25">
        <v>116</v>
      </c>
      <c r="AA109" s="26" t="s">
        <v>698</v>
      </c>
      <c r="AB109" s="26">
        <f t="shared" si="43"/>
        <v>57</v>
      </c>
      <c r="AE109" s="25" t="s">
        <v>490</v>
      </c>
      <c r="AF109" s="25">
        <v>116</v>
      </c>
      <c r="AG109" s="26" t="s">
        <v>865</v>
      </c>
      <c r="AH109" s="26">
        <f t="shared" si="44"/>
        <v>75</v>
      </c>
      <c r="AK109" s="25" t="s">
        <v>490</v>
      </c>
      <c r="AL109" s="25">
        <v>116</v>
      </c>
      <c r="AM109" s="26" t="s">
        <v>911</v>
      </c>
      <c r="AN109" s="26">
        <f t="shared" si="45"/>
        <v>125</v>
      </c>
      <c r="AQ109" s="25" t="s">
        <v>490</v>
      </c>
      <c r="AR109" s="25">
        <v>116</v>
      </c>
      <c r="AS109" s="26" t="s">
        <v>721</v>
      </c>
      <c r="AT109" s="26">
        <f t="shared" si="46"/>
        <v>148</v>
      </c>
      <c r="AX109" s="15"/>
      <c r="AY109" s="35">
        <f t="shared" si="47"/>
        <v>106</v>
      </c>
      <c r="AZ109" s="35" t="str">
        <f t="shared" si="48"/>
        <v>487+272</v>
      </c>
      <c r="BA109" s="35">
        <f t="shared" si="49"/>
        <v>57</v>
      </c>
      <c r="BB109" s="38">
        <f>COUNTIF($BA$4:$BA109,$BA109)</f>
        <v>4</v>
      </c>
      <c r="BC109" s="36" t="str">
        <f t="shared" si="50"/>
        <v>营</v>
      </c>
      <c r="BD109" s="36" t="str">
        <f t="shared" si="51"/>
        <v/>
      </c>
      <c r="BE109" s="36" t="str">
        <f t="shared" si="52"/>
        <v/>
      </c>
      <c r="BF109" s="36" t="str">
        <f t="shared" si="53"/>
        <v>营</v>
      </c>
      <c r="BG109" s="36" t="str">
        <f t="shared" si="54"/>
        <v/>
      </c>
      <c r="BH109" s="36" t="str">
        <f t="shared" si="55"/>
        <v/>
      </c>
      <c r="BI109" s="36" t="str">
        <f t="shared" si="56"/>
        <v/>
      </c>
      <c r="BJ109" s="29" t="str">
        <f t="shared" si="57"/>
        <v>营</v>
      </c>
      <c r="BL109" s="15">
        <v>106</v>
      </c>
      <c r="BM109" s="39" t="str">
        <f t="shared" si="71"/>
        <v>764+663</v>
      </c>
      <c r="BN109" s="39" t="str">
        <f t="shared" si="71"/>
        <v/>
      </c>
      <c r="BO109" s="39" t="str">
        <f t="shared" si="71"/>
        <v/>
      </c>
      <c r="BP109" s="39" t="str">
        <f t="shared" si="71"/>
        <v/>
      </c>
      <c r="BQ109" s="39" t="str">
        <f t="shared" si="71"/>
        <v/>
      </c>
      <c r="BR109" s="39" t="str">
        <f t="shared" si="71"/>
        <v/>
      </c>
      <c r="BS109" s="39" t="str">
        <f t="shared" si="71"/>
        <v/>
      </c>
      <c r="BT109" s="39" t="str">
        <f t="shared" si="71"/>
        <v/>
      </c>
      <c r="BU109" s="39" t="str">
        <f t="shared" si="71"/>
        <v/>
      </c>
      <c r="BV109" s="39" t="str">
        <f t="shared" si="71"/>
        <v/>
      </c>
      <c r="BW109" s="39" t="str">
        <f t="shared" si="71"/>
        <v/>
      </c>
      <c r="BX109" s="39" t="str">
        <f t="shared" si="71"/>
        <v/>
      </c>
      <c r="BY109" s="39" t="str">
        <f t="shared" si="71"/>
        <v/>
      </c>
      <c r="BZ109" s="39" t="str">
        <f t="shared" si="71"/>
        <v/>
      </c>
      <c r="CA109" s="39" t="str">
        <f t="shared" si="71"/>
        <v/>
      </c>
      <c r="CB109" s="39" t="str">
        <f t="shared" si="69"/>
        <v/>
      </c>
      <c r="CC109" s="39" t="str">
        <f t="shared" si="69"/>
        <v/>
      </c>
      <c r="CD109" s="39" t="str">
        <f t="shared" si="69"/>
        <v/>
      </c>
      <c r="CE109" s="39" t="str">
        <f t="shared" si="69"/>
        <v/>
      </c>
      <c r="CF109" s="39" t="str">
        <f t="shared" si="69"/>
        <v/>
      </c>
      <c r="CG109" s="39" t="str">
        <f t="shared" si="69"/>
        <v/>
      </c>
      <c r="CH109" s="39" t="str">
        <f t="shared" si="69"/>
        <v/>
      </c>
      <c r="CI109" s="39" t="str">
        <f t="shared" si="69"/>
        <v/>
      </c>
      <c r="CJ109" s="39" t="str">
        <f t="shared" si="69"/>
        <v/>
      </c>
      <c r="CK109" s="39" t="str">
        <f t="shared" si="69"/>
        <v/>
      </c>
      <c r="CL109" s="39" t="str">
        <f t="shared" si="69"/>
        <v/>
      </c>
      <c r="CM109" s="39" t="str">
        <f t="shared" si="69"/>
        <v/>
      </c>
      <c r="CN109" s="39" t="str">
        <f t="shared" si="69"/>
        <v/>
      </c>
      <c r="CO109" s="39" t="str">
        <f t="shared" si="69"/>
        <v/>
      </c>
      <c r="CP109" s="39" t="str">
        <f t="shared" si="69"/>
        <v/>
      </c>
      <c r="CQ109" s="39" t="str">
        <f t="shared" si="70"/>
        <v/>
      </c>
      <c r="CR109" s="39" t="str">
        <f t="shared" si="70"/>
        <v>741+664</v>
      </c>
      <c r="CS109" s="39" t="str">
        <f t="shared" si="70"/>
        <v/>
      </c>
      <c r="CT109" s="39" t="str">
        <f t="shared" si="70"/>
        <v/>
      </c>
      <c r="CU109" s="39" t="str">
        <f t="shared" si="70"/>
        <v/>
      </c>
      <c r="CV109" s="39" t="str">
        <f t="shared" si="70"/>
        <v/>
      </c>
      <c r="CW109" s="39" t="str">
        <f t="shared" si="70"/>
        <v/>
      </c>
      <c r="CX109" s="39" t="str">
        <f t="shared" si="70"/>
        <v/>
      </c>
      <c r="CY109" s="39" t="str">
        <f t="shared" si="70"/>
        <v/>
      </c>
      <c r="CZ109" s="39" t="str">
        <f t="shared" si="70"/>
        <v/>
      </c>
      <c r="DA109" s="39" t="str">
        <f t="shared" si="70"/>
        <v/>
      </c>
      <c r="DB109" s="39" t="str">
        <f t="shared" si="70"/>
        <v/>
      </c>
      <c r="DC109" s="39" t="str">
        <f t="shared" si="70"/>
        <v/>
      </c>
      <c r="DD109" s="39" t="str">
        <f t="shared" si="70"/>
        <v/>
      </c>
      <c r="DE109" s="39" t="str">
        <f t="shared" si="70"/>
        <v/>
      </c>
      <c r="DF109" s="37" t="str">
        <f t="shared" si="58"/>
        <v>1+0+1</v>
      </c>
      <c r="DG109" s="37" t="str">
        <f t="shared" si="59"/>
        <v>764+663</v>
      </c>
      <c r="DH109" s="37" t="str">
        <f t="shared" si="60"/>
        <v>0+0</v>
      </c>
      <c r="DI109" s="37" t="str">
        <f t="shared" si="61"/>
        <v>741+664</v>
      </c>
      <c r="DJ109" s="37" t="str">
        <f t="shared" si="62"/>
        <v>1+0+1|764+663|0+0|741+664</v>
      </c>
    </row>
    <row r="110" spans="2:114" x14ac:dyDescent="0.15">
      <c r="B110" s="15">
        <v>107</v>
      </c>
      <c r="C110" s="15" t="s">
        <v>124</v>
      </c>
      <c r="D110" s="15">
        <v>58</v>
      </c>
      <c r="G110" s="27" t="s">
        <v>492</v>
      </c>
      <c r="H110" s="27">
        <v>117</v>
      </c>
      <c r="I110" s="26" t="s">
        <v>676</v>
      </c>
      <c r="J110" s="26">
        <f t="shared" si="40"/>
        <v>164</v>
      </c>
      <c r="M110" s="27" t="s">
        <v>492</v>
      </c>
      <c r="N110" s="27">
        <v>117</v>
      </c>
      <c r="O110" s="26" t="s">
        <v>326</v>
      </c>
      <c r="P110" s="26">
        <f t="shared" si="41"/>
        <v>156</v>
      </c>
      <c r="Q110" s="26"/>
      <c r="R110" s="26"/>
      <c r="S110" s="27" t="s">
        <v>492</v>
      </c>
      <c r="T110" s="27">
        <v>117</v>
      </c>
      <c r="U110" s="26" t="s">
        <v>636</v>
      </c>
      <c r="V110" s="26">
        <f t="shared" si="42"/>
        <v>100</v>
      </c>
      <c r="W110" s="26"/>
      <c r="Y110" s="27" t="s">
        <v>492</v>
      </c>
      <c r="Z110" s="27">
        <v>117</v>
      </c>
      <c r="AA110" s="26" t="s">
        <v>696</v>
      </c>
      <c r="AB110" s="26">
        <f t="shared" si="43"/>
        <v>52</v>
      </c>
      <c r="AE110" s="27" t="s">
        <v>492</v>
      </c>
      <c r="AF110" s="27">
        <v>117</v>
      </c>
      <c r="AG110" s="26" t="s">
        <v>840</v>
      </c>
      <c r="AH110" s="26">
        <f t="shared" si="44"/>
        <v>72</v>
      </c>
      <c r="AK110" s="27" t="s">
        <v>492</v>
      </c>
      <c r="AL110" s="27">
        <v>117</v>
      </c>
      <c r="AM110" s="26" t="s">
        <v>912</v>
      </c>
      <c r="AN110" s="26">
        <f t="shared" si="45"/>
        <v>125</v>
      </c>
      <c r="AQ110" s="27" t="s">
        <v>492</v>
      </c>
      <c r="AR110" s="27">
        <v>117</v>
      </c>
      <c r="AS110" s="26" t="s">
        <v>665</v>
      </c>
      <c r="AT110" s="26">
        <f t="shared" si="46"/>
        <v>148</v>
      </c>
      <c r="AX110" s="15"/>
      <c r="AY110" s="35">
        <f t="shared" si="47"/>
        <v>107</v>
      </c>
      <c r="AZ110" s="35" t="str">
        <f t="shared" si="48"/>
        <v>515+264</v>
      </c>
      <c r="BA110" s="35">
        <f t="shared" si="49"/>
        <v>58</v>
      </c>
      <c r="BB110" s="38">
        <f>COUNTIF($BA$4:$BA110,$BA110)</f>
        <v>1</v>
      </c>
      <c r="BC110" s="36" t="str">
        <f t="shared" si="50"/>
        <v>村</v>
      </c>
      <c r="BD110" s="36" t="str">
        <f t="shared" si="51"/>
        <v/>
      </c>
      <c r="BE110" s="36" t="str">
        <f t="shared" si="52"/>
        <v/>
      </c>
      <c r="BF110" s="36" t="str">
        <f t="shared" si="53"/>
        <v>村</v>
      </c>
      <c r="BG110" s="36" t="str">
        <f t="shared" si="54"/>
        <v/>
      </c>
      <c r="BH110" s="36" t="str">
        <f t="shared" si="55"/>
        <v/>
      </c>
      <c r="BI110" s="36" t="str">
        <f t="shared" si="56"/>
        <v/>
      </c>
      <c r="BJ110" s="29" t="str">
        <f t="shared" si="57"/>
        <v>村</v>
      </c>
      <c r="BL110" s="15">
        <v>107</v>
      </c>
      <c r="BM110" s="39" t="str">
        <f t="shared" si="71"/>
        <v/>
      </c>
      <c r="BN110" s="39" t="str">
        <f t="shared" si="71"/>
        <v/>
      </c>
      <c r="BO110" s="39" t="str">
        <f t="shared" si="71"/>
        <v/>
      </c>
      <c r="BP110" s="39" t="str">
        <f t="shared" si="71"/>
        <v/>
      </c>
      <c r="BQ110" s="39" t="str">
        <f t="shared" si="71"/>
        <v/>
      </c>
      <c r="BR110" s="39" t="str">
        <f t="shared" si="71"/>
        <v/>
      </c>
      <c r="BS110" s="39" t="str">
        <f t="shared" si="71"/>
        <v/>
      </c>
      <c r="BT110" s="39" t="str">
        <f t="shared" si="71"/>
        <v/>
      </c>
      <c r="BU110" s="39" t="str">
        <f t="shared" si="71"/>
        <v/>
      </c>
      <c r="BV110" s="39" t="str">
        <f t="shared" si="71"/>
        <v/>
      </c>
      <c r="BW110" s="39" t="str">
        <f t="shared" si="71"/>
        <v/>
      </c>
      <c r="BX110" s="39" t="str">
        <f t="shared" si="71"/>
        <v/>
      </c>
      <c r="BY110" s="39" t="str">
        <f t="shared" si="71"/>
        <v/>
      </c>
      <c r="BZ110" s="39" t="str">
        <f t="shared" si="71"/>
        <v/>
      </c>
      <c r="CA110" s="39" t="str">
        <f t="shared" si="71"/>
        <v/>
      </c>
      <c r="CB110" s="39" t="str">
        <f t="shared" si="69"/>
        <v/>
      </c>
      <c r="CC110" s="39" t="str">
        <f t="shared" si="69"/>
        <v/>
      </c>
      <c r="CD110" s="39" t="str">
        <f t="shared" si="69"/>
        <v/>
      </c>
      <c r="CE110" s="39" t="str">
        <f t="shared" si="69"/>
        <v/>
      </c>
      <c r="CF110" s="39" t="str">
        <f t="shared" si="69"/>
        <v/>
      </c>
      <c r="CG110" s="39" t="str">
        <f t="shared" si="69"/>
        <v/>
      </c>
      <c r="CH110" s="39" t="str">
        <f t="shared" si="69"/>
        <v/>
      </c>
      <c r="CI110" s="39" t="str">
        <f t="shared" si="69"/>
        <v/>
      </c>
      <c r="CJ110" s="39" t="str">
        <f t="shared" si="69"/>
        <v/>
      </c>
      <c r="CK110" s="39" t="str">
        <f t="shared" si="69"/>
        <v/>
      </c>
      <c r="CL110" s="39" t="str">
        <f t="shared" si="69"/>
        <v/>
      </c>
      <c r="CM110" s="39" t="str">
        <f t="shared" si="69"/>
        <v/>
      </c>
      <c r="CN110" s="39" t="str">
        <f t="shared" si="69"/>
        <v/>
      </c>
      <c r="CO110" s="39" t="str">
        <f t="shared" si="69"/>
        <v/>
      </c>
      <c r="CP110" s="39" t="str">
        <f t="shared" si="69"/>
        <v/>
      </c>
      <c r="CQ110" s="39" t="str">
        <f t="shared" si="70"/>
        <v>808+672</v>
      </c>
      <c r="CR110" s="39" t="str">
        <f t="shared" si="70"/>
        <v/>
      </c>
      <c r="CS110" s="39" t="str">
        <f t="shared" si="70"/>
        <v/>
      </c>
      <c r="CT110" s="39" t="str">
        <f t="shared" si="70"/>
        <v/>
      </c>
      <c r="CU110" s="39" t="str">
        <f t="shared" si="70"/>
        <v/>
      </c>
      <c r="CV110" s="39" t="str">
        <f t="shared" si="70"/>
        <v/>
      </c>
      <c r="CW110" s="39" t="str">
        <f t="shared" si="70"/>
        <v/>
      </c>
      <c r="CX110" s="39" t="str">
        <f t="shared" si="70"/>
        <v/>
      </c>
      <c r="CY110" s="39" t="str">
        <f t="shared" si="70"/>
        <v/>
      </c>
      <c r="CZ110" s="39" t="str">
        <f t="shared" si="70"/>
        <v/>
      </c>
      <c r="DA110" s="39" t="str">
        <f t="shared" si="70"/>
        <v/>
      </c>
      <c r="DB110" s="39" t="str">
        <f t="shared" si="70"/>
        <v/>
      </c>
      <c r="DC110" s="39" t="str">
        <f t="shared" si="70"/>
        <v/>
      </c>
      <c r="DD110" s="39" t="str">
        <f t="shared" si="70"/>
        <v/>
      </c>
      <c r="DE110" s="39" t="str">
        <f t="shared" si="70"/>
        <v/>
      </c>
      <c r="DF110" s="37" t="str">
        <f t="shared" si="58"/>
        <v>0+0+1</v>
      </c>
      <c r="DG110" s="37" t="str">
        <f t="shared" si="59"/>
        <v>0+0</v>
      </c>
      <c r="DH110" s="37" t="str">
        <f t="shared" si="60"/>
        <v>0+0</v>
      </c>
      <c r="DI110" s="37" t="str">
        <f t="shared" si="61"/>
        <v>808+672</v>
      </c>
      <c r="DJ110" s="37" t="str">
        <f t="shared" si="62"/>
        <v>0+0+1|0+0|0+0|808+672</v>
      </c>
    </row>
    <row r="111" spans="2:114" x14ac:dyDescent="0.15">
      <c r="B111" s="15">
        <v>108</v>
      </c>
      <c r="C111" s="15" t="s">
        <v>125</v>
      </c>
      <c r="D111" s="15">
        <v>58</v>
      </c>
      <c r="G111" s="25" t="s">
        <v>494</v>
      </c>
      <c r="H111" s="25">
        <v>118</v>
      </c>
      <c r="I111" s="26" t="s">
        <v>680</v>
      </c>
      <c r="J111" s="26">
        <f t="shared" si="40"/>
        <v>166</v>
      </c>
      <c r="M111" s="25" t="s">
        <v>494</v>
      </c>
      <c r="N111" s="25">
        <v>118</v>
      </c>
      <c r="O111" s="26" t="s">
        <v>632</v>
      </c>
      <c r="P111" s="26">
        <f t="shared" si="41"/>
        <v>93</v>
      </c>
      <c r="Q111" s="26"/>
      <c r="R111" s="26"/>
      <c r="S111" s="25" t="s">
        <v>494</v>
      </c>
      <c r="T111" s="25">
        <v>118</v>
      </c>
      <c r="U111" s="26" t="s">
        <v>643</v>
      </c>
      <c r="V111" s="26">
        <f t="shared" si="42"/>
        <v>106</v>
      </c>
      <c r="W111" s="26"/>
      <c r="Y111" s="25" t="s">
        <v>494</v>
      </c>
      <c r="Z111" s="25">
        <v>118</v>
      </c>
      <c r="AA111" s="26" t="s">
        <v>408</v>
      </c>
      <c r="AB111" s="26">
        <f t="shared" si="43"/>
        <v>50</v>
      </c>
      <c r="AE111" s="25" t="s">
        <v>494</v>
      </c>
      <c r="AF111" s="25">
        <v>118</v>
      </c>
      <c r="AG111" s="26" t="s">
        <v>870</v>
      </c>
      <c r="AH111" s="26">
        <f t="shared" si="44"/>
        <v>77</v>
      </c>
      <c r="AK111" s="25" t="s">
        <v>494</v>
      </c>
      <c r="AL111" s="25">
        <v>118</v>
      </c>
      <c r="AM111" s="26" t="s">
        <v>915</v>
      </c>
      <c r="AN111" s="26">
        <f t="shared" si="45"/>
        <v>124</v>
      </c>
      <c r="AQ111" s="25" t="s">
        <v>494</v>
      </c>
      <c r="AR111" s="25">
        <v>118</v>
      </c>
      <c r="AS111" s="26" t="s">
        <v>284</v>
      </c>
      <c r="AT111" s="26">
        <f t="shared" si="46"/>
        <v>136</v>
      </c>
      <c r="AX111" s="15"/>
      <c r="AY111" s="35">
        <f t="shared" si="47"/>
        <v>108</v>
      </c>
      <c r="AZ111" s="35" t="str">
        <f t="shared" si="48"/>
        <v>495+295</v>
      </c>
      <c r="BA111" s="35">
        <f t="shared" si="49"/>
        <v>58</v>
      </c>
      <c r="BB111" s="38">
        <f>COUNTIF($BA$4:$BA111,$BA111)</f>
        <v>2</v>
      </c>
      <c r="BC111" s="36" t="str">
        <f t="shared" si="50"/>
        <v>村</v>
      </c>
      <c r="BD111" s="36" t="str">
        <f t="shared" si="51"/>
        <v/>
      </c>
      <c r="BE111" s="36" t="str">
        <f t="shared" si="52"/>
        <v/>
      </c>
      <c r="BF111" s="36" t="str">
        <f t="shared" si="53"/>
        <v>村</v>
      </c>
      <c r="BG111" s="36" t="str">
        <f t="shared" si="54"/>
        <v/>
      </c>
      <c r="BH111" s="36" t="str">
        <f t="shared" si="55"/>
        <v/>
      </c>
      <c r="BI111" s="36" t="str">
        <f t="shared" si="56"/>
        <v/>
      </c>
      <c r="BJ111" s="29" t="str">
        <f t="shared" si="57"/>
        <v>村</v>
      </c>
      <c r="BL111" s="15">
        <v>108</v>
      </c>
      <c r="BM111" s="39" t="str">
        <f t="shared" si="71"/>
        <v>745+696</v>
      </c>
      <c r="BN111" s="39" t="str">
        <f t="shared" si="71"/>
        <v/>
      </c>
      <c r="BO111" s="39" t="str">
        <f t="shared" si="71"/>
        <v/>
      </c>
      <c r="BP111" s="39" t="str">
        <f t="shared" si="71"/>
        <v/>
      </c>
      <c r="BQ111" s="39" t="str">
        <f t="shared" si="71"/>
        <v/>
      </c>
      <c r="BR111" s="39" t="str">
        <f t="shared" si="71"/>
        <v/>
      </c>
      <c r="BS111" s="39" t="str">
        <f t="shared" si="71"/>
        <v/>
      </c>
      <c r="BT111" s="39" t="str">
        <f t="shared" si="71"/>
        <v/>
      </c>
      <c r="BU111" s="39" t="str">
        <f t="shared" si="71"/>
        <v/>
      </c>
      <c r="BV111" s="39" t="str">
        <f t="shared" si="71"/>
        <v/>
      </c>
      <c r="BW111" s="39" t="str">
        <f t="shared" si="71"/>
        <v/>
      </c>
      <c r="BX111" s="39" t="str">
        <f t="shared" si="71"/>
        <v/>
      </c>
      <c r="BY111" s="39" t="str">
        <f t="shared" si="71"/>
        <v/>
      </c>
      <c r="BZ111" s="39" t="str">
        <f t="shared" si="71"/>
        <v/>
      </c>
      <c r="CA111" s="39" t="str">
        <f t="shared" si="71"/>
        <v/>
      </c>
      <c r="CB111" s="39" t="str">
        <f t="shared" si="69"/>
        <v/>
      </c>
      <c r="CC111" s="39" t="str">
        <f t="shared" si="69"/>
        <v>730+688</v>
      </c>
      <c r="CD111" s="39" t="str">
        <f t="shared" si="69"/>
        <v/>
      </c>
      <c r="CE111" s="39" t="str">
        <f t="shared" si="69"/>
        <v/>
      </c>
      <c r="CF111" s="39" t="str">
        <f t="shared" si="69"/>
        <v/>
      </c>
      <c r="CG111" s="39" t="str">
        <f t="shared" si="69"/>
        <v/>
      </c>
      <c r="CH111" s="39" t="str">
        <f t="shared" si="69"/>
        <v/>
      </c>
      <c r="CI111" s="39" t="str">
        <f t="shared" si="69"/>
        <v/>
      </c>
      <c r="CJ111" s="39" t="str">
        <f t="shared" si="69"/>
        <v/>
      </c>
      <c r="CK111" s="39" t="str">
        <f t="shared" si="69"/>
        <v/>
      </c>
      <c r="CL111" s="39" t="str">
        <f t="shared" si="69"/>
        <v/>
      </c>
      <c r="CM111" s="39" t="str">
        <f t="shared" si="69"/>
        <v/>
      </c>
      <c r="CN111" s="39" t="str">
        <f t="shared" si="69"/>
        <v/>
      </c>
      <c r="CO111" s="39" t="str">
        <f t="shared" si="69"/>
        <v/>
      </c>
      <c r="CP111" s="39" t="str">
        <f t="shared" si="69"/>
        <v/>
      </c>
      <c r="CQ111" s="39" t="str">
        <f t="shared" si="70"/>
        <v/>
      </c>
      <c r="CR111" s="39" t="str">
        <f t="shared" si="70"/>
        <v/>
      </c>
      <c r="CS111" s="39" t="str">
        <f t="shared" si="70"/>
        <v/>
      </c>
      <c r="CT111" s="39" t="str">
        <f t="shared" si="70"/>
        <v/>
      </c>
      <c r="CU111" s="39" t="str">
        <f t="shared" si="70"/>
        <v/>
      </c>
      <c r="CV111" s="39" t="str">
        <f t="shared" si="70"/>
        <v/>
      </c>
      <c r="CW111" s="39" t="str">
        <f t="shared" si="70"/>
        <v/>
      </c>
      <c r="CX111" s="39" t="str">
        <f t="shared" si="70"/>
        <v/>
      </c>
      <c r="CY111" s="39" t="str">
        <f t="shared" si="70"/>
        <v/>
      </c>
      <c r="CZ111" s="39" t="str">
        <f t="shared" si="70"/>
        <v/>
      </c>
      <c r="DA111" s="39" t="str">
        <f t="shared" si="70"/>
        <v/>
      </c>
      <c r="DB111" s="39" t="str">
        <f t="shared" si="70"/>
        <v/>
      </c>
      <c r="DC111" s="39" t="str">
        <f t="shared" si="70"/>
        <v/>
      </c>
      <c r="DD111" s="39" t="str">
        <f t="shared" si="70"/>
        <v/>
      </c>
      <c r="DE111" s="39" t="str">
        <f t="shared" si="70"/>
        <v/>
      </c>
      <c r="DF111" s="37" t="str">
        <f t="shared" si="58"/>
        <v>1+1+0</v>
      </c>
      <c r="DG111" s="37" t="str">
        <f t="shared" si="59"/>
        <v>745+696</v>
      </c>
      <c r="DH111" s="37" t="str">
        <f t="shared" si="60"/>
        <v>730+688</v>
      </c>
      <c r="DI111" s="37" t="str">
        <f t="shared" si="61"/>
        <v>0+0</v>
      </c>
      <c r="DJ111" s="37" t="str">
        <f t="shared" si="62"/>
        <v>1+1+0|745+696|730+688|0+0</v>
      </c>
    </row>
    <row r="112" spans="2:114" x14ac:dyDescent="0.15">
      <c r="B112" s="15">
        <v>109</v>
      </c>
      <c r="C112" s="15" t="s">
        <v>606</v>
      </c>
      <c r="D112" s="15">
        <v>58</v>
      </c>
      <c r="G112" s="27" t="s">
        <v>496</v>
      </c>
      <c r="H112" s="27">
        <v>119</v>
      </c>
      <c r="I112" s="26" t="s">
        <v>297</v>
      </c>
      <c r="J112" s="26">
        <f t="shared" si="40"/>
        <v>141</v>
      </c>
      <c r="M112" s="27" t="s">
        <v>496</v>
      </c>
      <c r="N112" s="27">
        <v>119</v>
      </c>
      <c r="O112" s="26" t="s">
        <v>430</v>
      </c>
      <c r="P112" s="26">
        <f t="shared" si="41"/>
        <v>101</v>
      </c>
      <c r="Q112" s="26"/>
      <c r="R112" s="26"/>
      <c r="S112" s="27" t="s">
        <v>496</v>
      </c>
      <c r="T112" s="27">
        <v>119</v>
      </c>
      <c r="U112" s="26" t="s">
        <v>835</v>
      </c>
      <c r="V112" s="26">
        <f t="shared" si="42"/>
        <v>110</v>
      </c>
      <c r="W112" s="26"/>
      <c r="Y112" s="27" t="s">
        <v>496</v>
      </c>
      <c r="Z112" s="27">
        <v>119</v>
      </c>
      <c r="AA112" s="26" t="s">
        <v>424</v>
      </c>
      <c r="AB112" s="26">
        <f t="shared" si="43"/>
        <v>55</v>
      </c>
      <c r="AE112" s="27" t="s">
        <v>496</v>
      </c>
      <c r="AF112" s="27">
        <v>119</v>
      </c>
      <c r="AG112" s="26" t="s">
        <v>875</v>
      </c>
      <c r="AH112" s="26">
        <f t="shared" si="44"/>
        <v>81</v>
      </c>
      <c r="AK112" s="27" t="s">
        <v>496</v>
      </c>
      <c r="AL112" s="27">
        <v>119</v>
      </c>
      <c r="AM112" s="26" t="s">
        <v>654</v>
      </c>
      <c r="AN112" s="26">
        <f t="shared" si="45"/>
        <v>126</v>
      </c>
      <c r="AQ112" s="27" t="s">
        <v>496</v>
      </c>
      <c r="AR112" s="27">
        <v>119</v>
      </c>
      <c r="AS112" s="26" t="s">
        <v>668</v>
      </c>
      <c r="AT112" s="26">
        <f t="shared" si="46"/>
        <v>153</v>
      </c>
      <c r="AX112" s="15"/>
      <c r="AY112" s="35">
        <f t="shared" si="47"/>
        <v>109</v>
      </c>
      <c r="AZ112" s="35" t="str">
        <f t="shared" si="48"/>
        <v>499+255</v>
      </c>
      <c r="BA112" s="35">
        <f t="shared" si="49"/>
        <v>58</v>
      </c>
      <c r="BB112" s="38">
        <f>COUNTIF($BA$4:$BA112,$BA112)</f>
        <v>3</v>
      </c>
      <c r="BC112" s="36" t="str">
        <f t="shared" si="50"/>
        <v/>
      </c>
      <c r="BD112" s="36" t="str">
        <f t="shared" si="51"/>
        <v/>
      </c>
      <c r="BE112" s="36" t="str">
        <f t="shared" si="52"/>
        <v/>
      </c>
      <c r="BF112" s="36" t="str">
        <f t="shared" si="53"/>
        <v>营</v>
      </c>
      <c r="BG112" s="36" t="str">
        <f t="shared" si="54"/>
        <v/>
      </c>
      <c r="BH112" s="36" t="str">
        <f t="shared" si="55"/>
        <v/>
      </c>
      <c r="BI112" s="36" t="str">
        <f t="shared" si="56"/>
        <v/>
      </c>
      <c r="BJ112" s="29" t="str">
        <f t="shared" si="57"/>
        <v>营</v>
      </c>
      <c r="BL112" s="15">
        <v>109</v>
      </c>
      <c r="BM112" s="39" t="str">
        <f t="shared" si="71"/>
        <v>751+721</v>
      </c>
      <c r="BN112" s="39" t="str">
        <f t="shared" si="71"/>
        <v/>
      </c>
      <c r="BO112" s="39" t="str">
        <f t="shared" si="71"/>
        <v/>
      </c>
      <c r="BP112" s="39" t="str">
        <f t="shared" si="71"/>
        <v/>
      </c>
      <c r="BQ112" s="39" t="str">
        <f t="shared" si="71"/>
        <v/>
      </c>
      <c r="BR112" s="39" t="str">
        <f t="shared" si="71"/>
        <v/>
      </c>
      <c r="BS112" s="39" t="str">
        <f t="shared" si="71"/>
        <v/>
      </c>
      <c r="BT112" s="39" t="str">
        <f t="shared" si="71"/>
        <v/>
      </c>
      <c r="BU112" s="39" t="str">
        <f t="shared" si="71"/>
        <v/>
      </c>
      <c r="BV112" s="39" t="str">
        <f t="shared" si="71"/>
        <v/>
      </c>
      <c r="BW112" s="39" t="str">
        <f t="shared" si="71"/>
        <v/>
      </c>
      <c r="BX112" s="39" t="str">
        <f t="shared" si="71"/>
        <v/>
      </c>
      <c r="BY112" s="39" t="str">
        <f t="shared" si="71"/>
        <v/>
      </c>
      <c r="BZ112" s="39" t="str">
        <f t="shared" si="71"/>
        <v/>
      </c>
      <c r="CA112" s="39" t="str">
        <f t="shared" si="71"/>
        <v/>
      </c>
      <c r="CB112" s="39" t="str">
        <f t="shared" si="69"/>
        <v/>
      </c>
      <c r="CC112" s="39" t="str">
        <f t="shared" si="69"/>
        <v>780+730</v>
      </c>
      <c r="CD112" s="39" t="str">
        <f t="shared" si="69"/>
        <v/>
      </c>
      <c r="CE112" s="39" t="str">
        <f t="shared" si="69"/>
        <v/>
      </c>
      <c r="CF112" s="39" t="str">
        <f t="shared" si="69"/>
        <v/>
      </c>
      <c r="CG112" s="39" t="str">
        <f t="shared" si="69"/>
        <v/>
      </c>
      <c r="CH112" s="39" t="str">
        <f t="shared" si="69"/>
        <v/>
      </c>
      <c r="CI112" s="39" t="str">
        <f t="shared" si="69"/>
        <v/>
      </c>
      <c r="CJ112" s="39" t="str">
        <f t="shared" si="69"/>
        <v/>
      </c>
      <c r="CK112" s="39" t="str">
        <f t="shared" si="69"/>
        <v/>
      </c>
      <c r="CL112" s="39" t="str">
        <f t="shared" si="69"/>
        <v/>
      </c>
      <c r="CM112" s="39" t="str">
        <f t="shared" si="69"/>
        <v/>
      </c>
      <c r="CN112" s="39" t="str">
        <f t="shared" si="69"/>
        <v/>
      </c>
      <c r="CO112" s="39" t="str">
        <f t="shared" si="69"/>
        <v/>
      </c>
      <c r="CP112" s="39" t="str">
        <f t="shared" si="69"/>
        <v/>
      </c>
      <c r="CQ112" s="39" t="str">
        <f t="shared" si="70"/>
        <v/>
      </c>
      <c r="CR112" s="39" t="str">
        <f t="shared" si="70"/>
        <v/>
      </c>
      <c r="CS112" s="39" t="str">
        <f t="shared" si="70"/>
        <v>729+724</v>
      </c>
      <c r="CT112" s="39" t="str">
        <f t="shared" si="70"/>
        <v/>
      </c>
      <c r="CU112" s="39" t="str">
        <f t="shared" si="70"/>
        <v/>
      </c>
      <c r="CV112" s="39" t="str">
        <f t="shared" si="70"/>
        <v/>
      </c>
      <c r="CW112" s="39" t="str">
        <f t="shared" si="70"/>
        <v/>
      </c>
      <c r="CX112" s="39" t="str">
        <f t="shared" si="70"/>
        <v/>
      </c>
      <c r="CY112" s="39" t="str">
        <f t="shared" si="70"/>
        <v/>
      </c>
      <c r="CZ112" s="39" t="str">
        <f t="shared" si="70"/>
        <v/>
      </c>
      <c r="DA112" s="39" t="str">
        <f t="shared" si="70"/>
        <v/>
      </c>
      <c r="DB112" s="39" t="str">
        <f t="shared" si="70"/>
        <v/>
      </c>
      <c r="DC112" s="39" t="str">
        <f t="shared" si="70"/>
        <v/>
      </c>
      <c r="DD112" s="39" t="str">
        <f t="shared" si="70"/>
        <v/>
      </c>
      <c r="DE112" s="39" t="str">
        <f t="shared" si="70"/>
        <v/>
      </c>
      <c r="DF112" s="37" t="str">
        <f t="shared" si="58"/>
        <v>1+1+1</v>
      </c>
      <c r="DG112" s="37" t="str">
        <f t="shared" si="59"/>
        <v>751+721</v>
      </c>
      <c r="DH112" s="37" t="str">
        <f t="shared" si="60"/>
        <v>780+730</v>
      </c>
      <c r="DI112" s="37" t="str">
        <f t="shared" si="61"/>
        <v>729+724</v>
      </c>
      <c r="DJ112" s="37" t="str">
        <f t="shared" si="62"/>
        <v>1+1+1|751+721|780+730|729+724</v>
      </c>
    </row>
    <row r="113" spans="2:114" x14ac:dyDescent="0.15">
      <c r="B113" s="15">
        <v>110</v>
      </c>
      <c r="C113" s="15" t="s">
        <v>607</v>
      </c>
      <c r="D113" s="15">
        <v>58</v>
      </c>
      <c r="G113" s="25" t="s">
        <v>499</v>
      </c>
      <c r="H113" s="25">
        <v>120</v>
      </c>
      <c r="I113" s="26" t="s">
        <v>661</v>
      </c>
      <c r="J113" s="26">
        <f t="shared" si="40"/>
        <v>142</v>
      </c>
      <c r="M113" s="25" t="s">
        <v>499</v>
      </c>
      <c r="N113" s="25">
        <v>120</v>
      </c>
      <c r="O113" s="26" t="s">
        <v>634</v>
      </c>
      <c r="P113" s="26">
        <f t="shared" si="41"/>
        <v>96</v>
      </c>
      <c r="Q113" s="26"/>
      <c r="R113" s="26"/>
      <c r="S113" s="25" t="s">
        <v>499</v>
      </c>
      <c r="T113" s="25">
        <v>120</v>
      </c>
      <c r="U113" s="26" t="s">
        <v>840</v>
      </c>
      <c r="V113" s="26">
        <f t="shared" si="42"/>
        <v>72</v>
      </c>
      <c r="W113" s="26"/>
      <c r="Y113" s="25" t="s">
        <v>499</v>
      </c>
      <c r="Z113" s="25">
        <v>120</v>
      </c>
      <c r="AA113" s="26" t="s">
        <v>607</v>
      </c>
      <c r="AB113" s="26">
        <f t="shared" si="43"/>
        <v>58</v>
      </c>
      <c r="AE113" s="25" t="s">
        <v>499</v>
      </c>
      <c r="AF113" s="25">
        <v>120</v>
      </c>
      <c r="AG113" s="26" t="s">
        <v>877</v>
      </c>
      <c r="AH113" s="26">
        <f t="shared" si="44"/>
        <v>79</v>
      </c>
      <c r="AK113" s="25" t="s">
        <v>499</v>
      </c>
      <c r="AL113" s="25">
        <v>120</v>
      </c>
      <c r="AM113" s="26" t="s">
        <v>926</v>
      </c>
      <c r="AN113" s="26">
        <f t="shared" si="45"/>
        <v>82</v>
      </c>
      <c r="AQ113" s="25" t="s">
        <v>499</v>
      </c>
      <c r="AR113" s="25">
        <v>120</v>
      </c>
      <c r="AS113" s="26" t="s">
        <v>724</v>
      </c>
      <c r="AT113" s="26">
        <f t="shared" si="46"/>
        <v>154</v>
      </c>
      <c r="AX113" s="15"/>
      <c r="AY113" s="35">
        <f t="shared" si="47"/>
        <v>110</v>
      </c>
      <c r="AZ113" s="35" t="str">
        <f t="shared" si="48"/>
        <v>528+244</v>
      </c>
      <c r="BA113" s="35">
        <f t="shared" si="49"/>
        <v>58</v>
      </c>
      <c r="BB113" s="38">
        <f>COUNTIF($BA$4:$BA113,$BA113)</f>
        <v>4</v>
      </c>
      <c r="BC113" s="36" t="str">
        <f t="shared" si="50"/>
        <v>营</v>
      </c>
      <c r="BD113" s="36" t="str">
        <f t="shared" si="51"/>
        <v/>
      </c>
      <c r="BE113" s="36" t="str">
        <f t="shared" si="52"/>
        <v/>
      </c>
      <c r="BF113" s="36" t="str">
        <f t="shared" si="53"/>
        <v>营</v>
      </c>
      <c r="BG113" s="36" t="str">
        <f t="shared" si="54"/>
        <v/>
      </c>
      <c r="BH113" s="36" t="str">
        <f t="shared" si="55"/>
        <v/>
      </c>
      <c r="BI113" s="36" t="str">
        <f t="shared" si="56"/>
        <v/>
      </c>
      <c r="BJ113" s="29" t="str">
        <f t="shared" si="57"/>
        <v>营</v>
      </c>
      <c r="BL113" s="15">
        <v>110</v>
      </c>
      <c r="BM113" s="39" t="str">
        <f t="shared" si="71"/>
        <v>739+735</v>
      </c>
      <c r="BN113" s="39" t="str">
        <f t="shared" si="71"/>
        <v/>
      </c>
      <c r="BO113" s="39" t="str">
        <f t="shared" si="71"/>
        <v>707+755</v>
      </c>
      <c r="BP113" s="39" t="str">
        <f t="shared" si="71"/>
        <v/>
      </c>
      <c r="BQ113" s="39" t="str">
        <f t="shared" si="71"/>
        <v/>
      </c>
      <c r="BR113" s="39" t="str">
        <f t="shared" si="71"/>
        <v>717+728</v>
      </c>
      <c r="BS113" s="39" t="str">
        <f t="shared" si="71"/>
        <v/>
      </c>
      <c r="BT113" s="39" t="str">
        <f t="shared" si="71"/>
        <v/>
      </c>
      <c r="BU113" s="39" t="str">
        <f t="shared" si="71"/>
        <v/>
      </c>
      <c r="BV113" s="39" t="str">
        <f t="shared" si="71"/>
        <v/>
      </c>
      <c r="BW113" s="39" t="str">
        <f t="shared" si="71"/>
        <v/>
      </c>
      <c r="BX113" s="39" t="str">
        <f t="shared" si="71"/>
        <v/>
      </c>
      <c r="BY113" s="39" t="str">
        <f t="shared" si="71"/>
        <v/>
      </c>
      <c r="BZ113" s="39" t="str">
        <f t="shared" si="71"/>
        <v/>
      </c>
      <c r="CA113" s="39" t="str">
        <f t="shared" si="71"/>
        <v/>
      </c>
      <c r="CB113" s="39" t="str">
        <f t="shared" si="69"/>
        <v/>
      </c>
      <c r="CC113" s="39" t="str">
        <f t="shared" si="69"/>
        <v/>
      </c>
      <c r="CD113" s="39" t="str">
        <f t="shared" si="69"/>
        <v/>
      </c>
      <c r="CE113" s="39" t="str">
        <f t="shared" si="69"/>
        <v/>
      </c>
      <c r="CF113" s="39" t="str">
        <f t="shared" si="69"/>
        <v/>
      </c>
      <c r="CG113" s="39" t="str">
        <f t="shared" si="69"/>
        <v/>
      </c>
      <c r="CH113" s="39" t="str">
        <f t="shared" si="69"/>
        <v/>
      </c>
      <c r="CI113" s="39" t="str">
        <f t="shared" si="69"/>
        <v/>
      </c>
      <c r="CJ113" s="39" t="str">
        <f t="shared" si="69"/>
        <v/>
      </c>
      <c r="CK113" s="39" t="str">
        <f t="shared" si="69"/>
        <v/>
      </c>
      <c r="CL113" s="39" t="str">
        <f t="shared" si="69"/>
        <v/>
      </c>
      <c r="CM113" s="39" t="str">
        <f t="shared" si="69"/>
        <v/>
      </c>
      <c r="CN113" s="39" t="str">
        <f t="shared" si="69"/>
        <v/>
      </c>
      <c r="CO113" s="39" t="str">
        <f t="shared" si="69"/>
        <v/>
      </c>
      <c r="CP113" s="39" t="str">
        <f t="shared" si="69"/>
        <v/>
      </c>
      <c r="CQ113" s="39" t="str">
        <f t="shared" si="70"/>
        <v/>
      </c>
      <c r="CR113" s="39" t="str">
        <f t="shared" si="70"/>
        <v>722+758</v>
      </c>
      <c r="CS113" s="39" t="str">
        <f t="shared" si="70"/>
        <v/>
      </c>
      <c r="CT113" s="39" t="str">
        <f t="shared" si="70"/>
        <v>740+758</v>
      </c>
      <c r="CU113" s="39" t="str">
        <f t="shared" si="70"/>
        <v>767+744</v>
      </c>
      <c r="CV113" s="39" t="str">
        <f t="shared" si="70"/>
        <v/>
      </c>
      <c r="CW113" s="39" t="str">
        <f t="shared" si="70"/>
        <v/>
      </c>
      <c r="CX113" s="39" t="str">
        <f t="shared" si="70"/>
        <v/>
      </c>
      <c r="CY113" s="39" t="str">
        <f t="shared" si="70"/>
        <v/>
      </c>
      <c r="CZ113" s="39" t="str">
        <f t="shared" si="70"/>
        <v/>
      </c>
      <c r="DA113" s="39" t="str">
        <f t="shared" si="70"/>
        <v/>
      </c>
      <c r="DB113" s="39" t="str">
        <f t="shared" si="70"/>
        <v/>
      </c>
      <c r="DC113" s="39" t="str">
        <f t="shared" si="70"/>
        <v/>
      </c>
      <c r="DD113" s="39" t="str">
        <f t="shared" si="70"/>
        <v/>
      </c>
      <c r="DE113" s="39" t="str">
        <f t="shared" si="70"/>
        <v/>
      </c>
      <c r="DF113" s="37" t="str">
        <f t="shared" si="58"/>
        <v>3+0+3</v>
      </c>
      <c r="DG113" s="37" t="str">
        <f t="shared" si="59"/>
        <v>739+735|707+755|717+728</v>
      </c>
      <c r="DH113" s="37" t="str">
        <f t="shared" si="60"/>
        <v>0+0</v>
      </c>
      <c r="DI113" s="37" t="str">
        <f t="shared" si="61"/>
        <v>722+758|740+758|767+744</v>
      </c>
      <c r="DJ113" s="37" t="str">
        <f t="shared" si="62"/>
        <v>3+0+3|739+735|707+755|717+728|0+0|722+758|740+758|767+744</v>
      </c>
    </row>
    <row r="114" spans="2:114" x14ac:dyDescent="0.15">
      <c r="B114" s="15">
        <v>111</v>
      </c>
      <c r="C114" s="15" t="s">
        <v>129</v>
      </c>
      <c r="D114" s="15">
        <v>60</v>
      </c>
      <c r="G114" s="27" t="s">
        <v>501</v>
      </c>
      <c r="H114" s="27">
        <v>121</v>
      </c>
      <c r="I114" s="26" t="s">
        <v>662</v>
      </c>
      <c r="J114" s="26">
        <f t="shared" si="40"/>
        <v>143</v>
      </c>
      <c r="M114" s="27" t="s">
        <v>501</v>
      </c>
      <c r="N114" s="27">
        <v>121</v>
      </c>
      <c r="O114" s="26" t="s">
        <v>74</v>
      </c>
      <c r="P114" s="26">
        <f t="shared" si="41"/>
        <v>33</v>
      </c>
      <c r="Q114" s="26"/>
      <c r="R114" s="26"/>
      <c r="S114" s="27" t="s">
        <v>501</v>
      </c>
      <c r="T114" s="27">
        <v>121</v>
      </c>
      <c r="U114" s="26" t="s">
        <v>621</v>
      </c>
      <c r="V114" s="26">
        <f t="shared" si="42"/>
        <v>79</v>
      </c>
      <c r="W114" s="26"/>
      <c r="Y114" s="27" t="s">
        <v>501</v>
      </c>
      <c r="Z114" s="27">
        <v>121</v>
      </c>
      <c r="AA114" s="26" t="s">
        <v>46</v>
      </c>
      <c r="AB114" s="26">
        <f t="shared" si="43"/>
        <v>20</v>
      </c>
      <c r="AE114" s="27" t="s">
        <v>501</v>
      </c>
      <c r="AF114" s="27">
        <v>121</v>
      </c>
      <c r="AG114" s="26" t="s">
        <v>838</v>
      </c>
      <c r="AH114" s="26">
        <f t="shared" si="44"/>
        <v>71</v>
      </c>
      <c r="AK114" s="27" t="s">
        <v>501</v>
      </c>
      <c r="AL114" s="27">
        <v>121</v>
      </c>
      <c r="AM114" s="26" t="s">
        <v>870</v>
      </c>
      <c r="AN114" s="26">
        <f t="shared" si="45"/>
        <v>77</v>
      </c>
      <c r="AQ114" s="27" t="s">
        <v>501</v>
      </c>
      <c r="AR114" s="27">
        <v>121</v>
      </c>
      <c r="AS114" s="26" t="s">
        <v>326</v>
      </c>
      <c r="AT114" s="26">
        <f t="shared" si="46"/>
        <v>156</v>
      </c>
      <c r="AX114" s="15"/>
      <c r="AY114" s="35">
        <f t="shared" si="47"/>
        <v>111</v>
      </c>
      <c r="AZ114" s="35" t="str">
        <f t="shared" si="48"/>
        <v>479+237</v>
      </c>
      <c r="BA114" s="35">
        <f t="shared" si="49"/>
        <v>60</v>
      </c>
      <c r="BB114" s="38">
        <f>COUNTIF($BA$4:$BA114,$BA114)</f>
        <v>1</v>
      </c>
      <c r="BC114" s="36" t="str">
        <f t="shared" si="50"/>
        <v>村</v>
      </c>
      <c r="BD114" s="36" t="str">
        <f t="shared" si="51"/>
        <v/>
      </c>
      <c r="BE114" s="36" t="str">
        <f t="shared" si="52"/>
        <v/>
      </c>
      <c r="BF114" s="36" t="str">
        <f t="shared" si="53"/>
        <v>村</v>
      </c>
      <c r="BG114" s="36" t="str">
        <f t="shared" si="54"/>
        <v/>
      </c>
      <c r="BH114" s="36" t="str">
        <f t="shared" si="55"/>
        <v/>
      </c>
      <c r="BI114" s="36" t="str">
        <f t="shared" si="56"/>
        <v/>
      </c>
      <c r="BJ114" s="29" t="str">
        <f t="shared" si="57"/>
        <v>村</v>
      </c>
      <c r="BL114" s="15">
        <v>111</v>
      </c>
      <c r="BM114" s="39" t="str">
        <f t="shared" si="71"/>
        <v>670+753</v>
      </c>
      <c r="BN114" s="39" t="str">
        <f t="shared" si="71"/>
        <v>692+777</v>
      </c>
      <c r="BO114" s="39" t="str">
        <f t="shared" si="71"/>
        <v/>
      </c>
      <c r="BP114" s="39" t="str">
        <f t="shared" si="71"/>
        <v>656+770</v>
      </c>
      <c r="BQ114" s="39" t="str">
        <f t="shared" si="71"/>
        <v>701+794</v>
      </c>
      <c r="BR114" s="39" t="str">
        <f t="shared" si="71"/>
        <v/>
      </c>
      <c r="BS114" s="39" t="str">
        <f t="shared" si="71"/>
        <v>692+735</v>
      </c>
      <c r="BT114" s="39" t="str">
        <f t="shared" si="71"/>
        <v/>
      </c>
      <c r="BU114" s="39" t="str">
        <f t="shared" si="71"/>
        <v/>
      </c>
      <c r="BV114" s="39" t="str">
        <f t="shared" si="71"/>
        <v/>
      </c>
      <c r="BW114" s="39" t="str">
        <f t="shared" si="71"/>
        <v/>
      </c>
      <c r="BX114" s="39" t="str">
        <f t="shared" si="71"/>
        <v/>
      </c>
      <c r="BY114" s="39" t="str">
        <f t="shared" si="71"/>
        <v/>
      </c>
      <c r="BZ114" s="39" t="str">
        <f t="shared" si="71"/>
        <v/>
      </c>
      <c r="CA114" s="39" t="str">
        <f t="shared" si="71"/>
        <v/>
      </c>
      <c r="CB114" s="39" t="str">
        <f t="shared" si="69"/>
        <v/>
      </c>
      <c r="CC114" s="39" t="str">
        <f t="shared" si="69"/>
        <v/>
      </c>
      <c r="CD114" s="39" t="str">
        <f t="shared" si="69"/>
        <v/>
      </c>
      <c r="CE114" s="39" t="str">
        <f t="shared" si="69"/>
        <v/>
      </c>
      <c r="CF114" s="39" t="str">
        <f t="shared" si="69"/>
        <v/>
      </c>
      <c r="CG114" s="39" t="str">
        <f t="shared" si="69"/>
        <v/>
      </c>
      <c r="CH114" s="39" t="str">
        <f t="shared" si="69"/>
        <v/>
      </c>
      <c r="CI114" s="39" t="str">
        <f t="shared" si="69"/>
        <v/>
      </c>
      <c r="CJ114" s="39" t="str">
        <f t="shared" si="69"/>
        <v/>
      </c>
      <c r="CK114" s="39" t="str">
        <f t="shared" si="69"/>
        <v/>
      </c>
      <c r="CL114" s="39" t="str">
        <f t="shared" si="69"/>
        <v/>
      </c>
      <c r="CM114" s="39" t="str">
        <f t="shared" si="69"/>
        <v/>
      </c>
      <c r="CN114" s="39" t="str">
        <f t="shared" si="69"/>
        <v/>
      </c>
      <c r="CO114" s="39" t="str">
        <f t="shared" si="69"/>
        <v/>
      </c>
      <c r="CP114" s="39" t="str">
        <f t="shared" si="69"/>
        <v/>
      </c>
      <c r="CQ114" s="39" t="str">
        <f t="shared" si="70"/>
        <v/>
      </c>
      <c r="CR114" s="39" t="str">
        <f t="shared" si="70"/>
        <v/>
      </c>
      <c r="CS114" s="39" t="str">
        <f t="shared" si="70"/>
        <v>677+781</v>
      </c>
      <c r="CT114" s="39" t="str">
        <f t="shared" si="70"/>
        <v/>
      </c>
      <c r="CU114" s="39" t="str">
        <f t="shared" si="70"/>
        <v/>
      </c>
      <c r="CV114" s="39" t="str">
        <f t="shared" si="70"/>
        <v>687+767</v>
      </c>
      <c r="CW114" s="39" t="str">
        <f t="shared" si="70"/>
        <v/>
      </c>
      <c r="CX114" s="39" t="str">
        <f t="shared" si="70"/>
        <v/>
      </c>
      <c r="CY114" s="39" t="str">
        <f t="shared" si="70"/>
        <v/>
      </c>
      <c r="CZ114" s="39" t="str">
        <f t="shared" si="70"/>
        <v/>
      </c>
      <c r="DA114" s="39" t="str">
        <f t="shared" si="70"/>
        <v/>
      </c>
      <c r="DB114" s="39" t="str">
        <f t="shared" si="70"/>
        <v/>
      </c>
      <c r="DC114" s="39" t="str">
        <f t="shared" si="70"/>
        <v/>
      </c>
      <c r="DD114" s="39" t="str">
        <f t="shared" si="70"/>
        <v/>
      </c>
      <c r="DE114" s="39" t="str">
        <f t="shared" si="70"/>
        <v/>
      </c>
      <c r="DF114" s="37" t="str">
        <f t="shared" si="58"/>
        <v>5+0+2</v>
      </c>
      <c r="DG114" s="37" t="str">
        <f t="shared" si="59"/>
        <v>670+753|692+777|656+770|701+794|692+735</v>
      </c>
      <c r="DH114" s="37" t="str">
        <f t="shared" si="60"/>
        <v>0+0</v>
      </c>
      <c r="DI114" s="37" t="str">
        <f t="shared" si="61"/>
        <v>677+781|687+767</v>
      </c>
      <c r="DJ114" s="37" t="str">
        <f t="shared" si="62"/>
        <v>5+0+2|670+753|692+777|656+770|701+794|692+735|0+0|677+781|687+767</v>
      </c>
    </row>
    <row r="115" spans="2:114" x14ac:dyDescent="0.15">
      <c r="B115" s="15">
        <v>112</v>
      </c>
      <c r="C115" s="15" t="s">
        <v>130</v>
      </c>
      <c r="D115" s="15">
        <v>60</v>
      </c>
      <c r="G115" s="25" t="s">
        <v>504</v>
      </c>
      <c r="H115" s="25">
        <v>122</v>
      </c>
      <c r="I115" s="26" t="s">
        <v>664</v>
      </c>
      <c r="J115" s="26">
        <f t="shared" si="40"/>
        <v>145</v>
      </c>
      <c r="M115" s="25" t="s">
        <v>504</v>
      </c>
      <c r="N115" s="25">
        <v>122</v>
      </c>
      <c r="O115" s="26" t="s">
        <v>596</v>
      </c>
      <c r="P115" s="26">
        <f t="shared" si="41"/>
        <v>35</v>
      </c>
      <c r="Q115" s="26"/>
      <c r="R115" s="26"/>
      <c r="S115" s="25" t="s">
        <v>504</v>
      </c>
      <c r="T115" s="25">
        <v>122</v>
      </c>
      <c r="U115" s="26" t="s">
        <v>708</v>
      </c>
      <c r="V115" s="26">
        <f t="shared" si="42"/>
        <v>86</v>
      </c>
      <c r="W115" s="26"/>
      <c r="Y115" s="25" t="s">
        <v>504</v>
      </c>
      <c r="Z115" s="25">
        <v>122</v>
      </c>
      <c r="AA115" s="26" t="s">
        <v>594</v>
      </c>
      <c r="AB115" s="26">
        <f t="shared" si="43"/>
        <v>31</v>
      </c>
      <c r="AE115" s="25" t="s">
        <v>504</v>
      </c>
      <c r="AF115" s="25">
        <v>122</v>
      </c>
      <c r="AG115" s="26" t="s">
        <v>884</v>
      </c>
      <c r="AH115" s="26">
        <f t="shared" si="44"/>
        <v>69</v>
      </c>
      <c r="AK115" s="25" t="s">
        <v>504</v>
      </c>
      <c r="AL115" s="25">
        <v>122</v>
      </c>
      <c r="AM115" s="26" t="s">
        <v>931</v>
      </c>
      <c r="AN115" s="26">
        <f t="shared" si="45"/>
        <v>123</v>
      </c>
      <c r="AQ115" s="25" t="s">
        <v>504</v>
      </c>
      <c r="AR115" s="25">
        <v>122</v>
      </c>
      <c r="AS115" s="26" t="s">
        <v>632</v>
      </c>
      <c r="AT115" s="26">
        <f t="shared" si="46"/>
        <v>93</v>
      </c>
      <c r="AX115" s="15"/>
      <c r="AY115" s="35">
        <f t="shared" si="47"/>
        <v>112</v>
      </c>
      <c r="AZ115" s="35" t="str">
        <f t="shared" si="48"/>
        <v>450+256</v>
      </c>
      <c r="BA115" s="35">
        <f t="shared" si="49"/>
        <v>60</v>
      </c>
      <c r="BB115" s="38">
        <f>COUNTIF($BA$4:$BA115,$BA115)</f>
        <v>2</v>
      </c>
      <c r="BC115" s="36" t="str">
        <f t="shared" si="50"/>
        <v>村</v>
      </c>
      <c r="BD115" s="36" t="str">
        <f t="shared" si="51"/>
        <v/>
      </c>
      <c r="BE115" s="36" t="str">
        <f t="shared" si="52"/>
        <v/>
      </c>
      <c r="BF115" s="36" t="str">
        <f t="shared" si="53"/>
        <v>村</v>
      </c>
      <c r="BG115" s="36" t="str">
        <f t="shared" si="54"/>
        <v/>
      </c>
      <c r="BH115" s="36" t="str">
        <f t="shared" si="55"/>
        <v/>
      </c>
      <c r="BI115" s="36" t="str">
        <f t="shared" si="56"/>
        <v/>
      </c>
      <c r="BJ115" s="29" t="str">
        <f t="shared" si="57"/>
        <v>村</v>
      </c>
      <c r="BL115" s="15">
        <v>112</v>
      </c>
      <c r="BM115" s="39" t="str">
        <f t="shared" si="71"/>
        <v>729+772</v>
      </c>
      <c r="BN115" s="39" t="str">
        <f t="shared" si="71"/>
        <v>727+799</v>
      </c>
      <c r="BO115" s="39" t="str">
        <f t="shared" si="71"/>
        <v>749+792</v>
      </c>
      <c r="BP115" s="39" t="str">
        <f t="shared" si="71"/>
        <v/>
      </c>
      <c r="BQ115" s="39" t="str">
        <f t="shared" si="71"/>
        <v>738+792</v>
      </c>
      <c r="BR115" s="39" t="str">
        <f t="shared" si="71"/>
        <v/>
      </c>
      <c r="BS115" s="39" t="str">
        <f t="shared" si="71"/>
        <v/>
      </c>
      <c r="BT115" s="39" t="str">
        <f t="shared" si="71"/>
        <v/>
      </c>
      <c r="BU115" s="39" t="str">
        <f t="shared" si="71"/>
        <v/>
      </c>
      <c r="BV115" s="39" t="str">
        <f t="shared" si="71"/>
        <v/>
      </c>
      <c r="BW115" s="39" t="str">
        <f t="shared" si="71"/>
        <v/>
      </c>
      <c r="BX115" s="39" t="str">
        <f t="shared" si="71"/>
        <v/>
      </c>
      <c r="BY115" s="39" t="str">
        <f t="shared" si="71"/>
        <v/>
      </c>
      <c r="BZ115" s="39" t="str">
        <f t="shared" si="71"/>
        <v/>
      </c>
      <c r="CA115" s="39" t="str">
        <f t="shared" si="71"/>
        <v/>
      </c>
      <c r="CB115" s="39" t="str">
        <f t="shared" si="69"/>
        <v/>
      </c>
      <c r="CC115" s="39" t="str">
        <f t="shared" si="69"/>
        <v/>
      </c>
      <c r="CD115" s="39" t="str">
        <f t="shared" si="69"/>
        <v/>
      </c>
      <c r="CE115" s="39" t="str">
        <f t="shared" si="69"/>
        <v/>
      </c>
      <c r="CF115" s="39" t="str">
        <f t="shared" si="69"/>
        <v/>
      </c>
      <c r="CG115" s="39" t="str">
        <f t="shared" si="69"/>
        <v/>
      </c>
      <c r="CH115" s="39" t="str">
        <f t="shared" si="69"/>
        <v/>
      </c>
      <c r="CI115" s="39" t="str">
        <f t="shared" si="69"/>
        <v/>
      </c>
      <c r="CJ115" s="39" t="str">
        <f t="shared" si="69"/>
        <v/>
      </c>
      <c r="CK115" s="39" t="str">
        <f t="shared" si="69"/>
        <v/>
      </c>
      <c r="CL115" s="39" t="str">
        <f t="shared" si="69"/>
        <v/>
      </c>
      <c r="CM115" s="39" t="str">
        <f t="shared" si="69"/>
        <v/>
      </c>
      <c r="CN115" s="39" t="str">
        <f t="shared" si="69"/>
        <v/>
      </c>
      <c r="CO115" s="39" t="str">
        <f t="shared" si="69"/>
        <v/>
      </c>
      <c r="CP115" s="39" t="str">
        <f t="shared" si="69"/>
        <v/>
      </c>
      <c r="CQ115" s="39" t="str">
        <f t="shared" si="70"/>
        <v/>
      </c>
      <c r="CR115" s="39" t="str">
        <f t="shared" si="70"/>
        <v/>
      </c>
      <c r="CS115" s="39" t="str">
        <f t="shared" si="70"/>
        <v/>
      </c>
      <c r="CT115" s="39" t="str">
        <f t="shared" si="70"/>
        <v>717+784</v>
      </c>
      <c r="CU115" s="39" t="str">
        <f t="shared" si="70"/>
        <v/>
      </c>
      <c r="CV115" s="39" t="str">
        <f t="shared" si="70"/>
        <v/>
      </c>
      <c r="CW115" s="39" t="str">
        <f t="shared" si="70"/>
        <v/>
      </c>
      <c r="CX115" s="39" t="str">
        <f t="shared" si="70"/>
        <v/>
      </c>
      <c r="CY115" s="39" t="str">
        <f t="shared" si="70"/>
        <v/>
      </c>
      <c r="CZ115" s="39" t="str">
        <f t="shared" si="70"/>
        <v/>
      </c>
      <c r="DA115" s="39" t="str">
        <f t="shared" si="70"/>
        <v/>
      </c>
      <c r="DB115" s="39" t="str">
        <f t="shared" si="70"/>
        <v/>
      </c>
      <c r="DC115" s="39" t="str">
        <f t="shared" si="70"/>
        <v/>
      </c>
      <c r="DD115" s="39" t="str">
        <f t="shared" si="70"/>
        <v/>
      </c>
      <c r="DE115" s="39" t="str">
        <f t="shared" si="70"/>
        <v/>
      </c>
      <c r="DF115" s="37" t="str">
        <f t="shared" si="58"/>
        <v>4+0+1</v>
      </c>
      <c r="DG115" s="37" t="str">
        <f t="shared" si="59"/>
        <v>729+772|727+799|749+792|738+792</v>
      </c>
      <c r="DH115" s="37" t="str">
        <f t="shared" si="60"/>
        <v>0+0</v>
      </c>
      <c r="DI115" s="37" t="str">
        <f t="shared" si="61"/>
        <v>717+784</v>
      </c>
      <c r="DJ115" s="37" t="str">
        <f t="shared" si="62"/>
        <v>4+0+1|729+772|727+799|749+792|738+792|0+0|717+784</v>
      </c>
    </row>
    <row r="116" spans="2:114" x14ac:dyDescent="0.15">
      <c r="B116" s="15">
        <v>113</v>
      </c>
      <c r="C116" s="15" t="s">
        <v>608</v>
      </c>
      <c r="D116" s="15">
        <v>60</v>
      </c>
      <c r="G116" s="25" t="s">
        <v>504</v>
      </c>
      <c r="H116" s="25">
        <v>123</v>
      </c>
      <c r="I116" s="26" t="s">
        <v>674</v>
      </c>
      <c r="J116" s="26">
        <f t="shared" si="40"/>
        <v>160</v>
      </c>
      <c r="M116" s="25" t="s">
        <v>504</v>
      </c>
      <c r="N116" s="25">
        <v>123</v>
      </c>
      <c r="O116" s="26" t="s">
        <v>590</v>
      </c>
      <c r="P116" s="26">
        <f t="shared" si="41"/>
        <v>14</v>
      </c>
      <c r="Q116" s="26"/>
      <c r="R116" s="26"/>
      <c r="S116" s="25" t="s">
        <v>504</v>
      </c>
      <c r="T116" s="25">
        <v>123</v>
      </c>
      <c r="U116" s="26" t="s">
        <v>625</v>
      </c>
      <c r="V116" s="26">
        <f t="shared" si="42"/>
        <v>85</v>
      </c>
      <c r="W116" s="26"/>
      <c r="Y116" s="25" t="s">
        <v>504</v>
      </c>
      <c r="Z116" s="25">
        <v>123</v>
      </c>
      <c r="AA116" s="26" t="s">
        <v>43</v>
      </c>
      <c r="AB116" s="26">
        <f t="shared" si="43"/>
        <v>18</v>
      </c>
      <c r="AE116" s="25" t="s">
        <v>504</v>
      </c>
      <c r="AF116" s="25">
        <v>123</v>
      </c>
      <c r="AG116" s="26" t="s">
        <v>924</v>
      </c>
      <c r="AH116" s="26">
        <f t="shared" si="44"/>
        <v>79</v>
      </c>
      <c r="AK116" s="25" t="s">
        <v>504</v>
      </c>
      <c r="AL116" s="25">
        <v>123</v>
      </c>
      <c r="AM116" s="26" t="s">
        <v>887</v>
      </c>
      <c r="AN116" s="26">
        <f t="shared" si="45"/>
        <v>67</v>
      </c>
      <c r="AQ116" s="25" t="s">
        <v>504</v>
      </c>
      <c r="AR116" s="25">
        <v>123</v>
      </c>
      <c r="AS116" s="26" t="s">
        <v>670</v>
      </c>
      <c r="AT116" s="26">
        <f t="shared" si="46"/>
        <v>155</v>
      </c>
      <c r="AX116" s="15"/>
      <c r="AY116" s="35">
        <f t="shared" si="47"/>
        <v>113</v>
      </c>
      <c r="AZ116" s="35" t="str">
        <f t="shared" si="48"/>
        <v>413+247</v>
      </c>
      <c r="BA116" s="35">
        <f t="shared" si="49"/>
        <v>60</v>
      </c>
      <c r="BB116" s="38">
        <f>COUNTIF($BA$4:$BA116,$BA116)</f>
        <v>3</v>
      </c>
      <c r="BC116" s="36" t="str">
        <f t="shared" si="50"/>
        <v>营</v>
      </c>
      <c r="BD116" s="36" t="str">
        <f t="shared" si="51"/>
        <v/>
      </c>
      <c r="BE116" s="36" t="str">
        <f t="shared" si="52"/>
        <v/>
      </c>
      <c r="BF116" s="36" t="str">
        <f t="shared" si="53"/>
        <v/>
      </c>
      <c r="BG116" s="36" t="str">
        <f t="shared" si="54"/>
        <v/>
      </c>
      <c r="BH116" s="36" t="str">
        <f t="shared" si="55"/>
        <v/>
      </c>
      <c r="BI116" s="36" t="str">
        <f t="shared" si="56"/>
        <v/>
      </c>
      <c r="BJ116" s="29" t="str">
        <f t="shared" si="57"/>
        <v>营</v>
      </c>
      <c r="BL116" s="15">
        <v>113</v>
      </c>
      <c r="BM116" s="39" t="str">
        <f t="shared" si="71"/>
        <v/>
      </c>
      <c r="BN116" s="39" t="str">
        <f t="shared" si="71"/>
        <v/>
      </c>
      <c r="BO116" s="39" t="str">
        <f t="shared" si="71"/>
        <v>844+610</v>
      </c>
      <c r="BP116" s="39" t="str">
        <f t="shared" si="71"/>
        <v/>
      </c>
      <c r="BQ116" s="39" t="str">
        <f t="shared" si="71"/>
        <v/>
      </c>
      <c r="BR116" s="39" t="str">
        <f t="shared" si="71"/>
        <v/>
      </c>
      <c r="BS116" s="39" t="str">
        <f t="shared" si="71"/>
        <v/>
      </c>
      <c r="BT116" s="39" t="str">
        <f t="shared" si="71"/>
        <v/>
      </c>
      <c r="BU116" s="39" t="str">
        <f t="shared" si="71"/>
        <v/>
      </c>
      <c r="BV116" s="39" t="str">
        <f t="shared" si="71"/>
        <v/>
      </c>
      <c r="BW116" s="39" t="str">
        <f t="shared" si="71"/>
        <v/>
      </c>
      <c r="BX116" s="39" t="str">
        <f t="shared" si="71"/>
        <v/>
      </c>
      <c r="BY116" s="39" t="str">
        <f t="shared" si="71"/>
        <v/>
      </c>
      <c r="BZ116" s="39" t="str">
        <f t="shared" si="71"/>
        <v/>
      </c>
      <c r="CA116" s="39" t="str">
        <f t="shared" si="71"/>
        <v/>
      </c>
      <c r="CB116" s="39" t="str">
        <f t="shared" si="69"/>
        <v>826+621</v>
      </c>
      <c r="CC116" s="39" t="str">
        <f t="shared" si="69"/>
        <v/>
      </c>
      <c r="CD116" s="39" t="str">
        <f t="shared" si="69"/>
        <v/>
      </c>
      <c r="CE116" s="39" t="str">
        <f t="shared" si="69"/>
        <v/>
      </c>
      <c r="CF116" s="39" t="str">
        <f t="shared" si="69"/>
        <v/>
      </c>
      <c r="CG116" s="39" t="str">
        <f t="shared" si="69"/>
        <v/>
      </c>
      <c r="CH116" s="39" t="str">
        <f t="shared" si="69"/>
        <v/>
      </c>
      <c r="CI116" s="39" t="str">
        <f t="shared" si="69"/>
        <v/>
      </c>
      <c r="CJ116" s="39" t="str">
        <f t="shared" si="69"/>
        <v/>
      </c>
      <c r="CK116" s="39" t="str">
        <f t="shared" si="69"/>
        <v/>
      </c>
      <c r="CL116" s="39" t="str">
        <f t="shared" si="69"/>
        <v/>
      </c>
      <c r="CM116" s="39" t="str">
        <f t="shared" si="69"/>
        <v/>
      </c>
      <c r="CN116" s="39" t="str">
        <f t="shared" si="69"/>
        <v/>
      </c>
      <c r="CO116" s="39" t="str">
        <f t="shared" si="69"/>
        <v/>
      </c>
      <c r="CP116" s="39" t="str">
        <f t="shared" si="69"/>
        <v/>
      </c>
      <c r="CQ116" s="39" t="str">
        <f t="shared" si="70"/>
        <v/>
      </c>
      <c r="CR116" s="39" t="str">
        <f t="shared" si="70"/>
        <v>863+611</v>
      </c>
      <c r="CS116" s="39" t="str">
        <f t="shared" si="70"/>
        <v/>
      </c>
      <c r="CT116" s="39" t="str">
        <f t="shared" si="70"/>
        <v/>
      </c>
      <c r="CU116" s="39" t="str">
        <f t="shared" si="70"/>
        <v/>
      </c>
      <c r="CV116" s="39" t="str">
        <f t="shared" si="70"/>
        <v/>
      </c>
      <c r="CW116" s="39" t="str">
        <f t="shared" si="70"/>
        <v/>
      </c>
      <c r="CX116" s="39" t="str">
        <f t="shared" si="70"/>
        <v/>
      </c>
      <c r="CY116" s="39" t="str">
        <f t="shared" si="70"/>
        <v/>
      </c>
      <c r="CZ116" s="39" t="str">
        <f t="shared" si="70"/>
        <v/>
      </c>
      <c r="DA116" s="39" t="str">
        <f t="shared" si="70"/>
        <v/>
      </c>
      <c r="DB116" s="39" t="str">
        <f t="shared" si="70"/>
        <v/>
      </c>
      <c r="DC116" s="39" t="str">
        <f t="shared" si="70"/>
        <v/>
      </c>
      <c r="DD116" s="39" t="str">
        <f t="shared" si="70"/>
        <v/>
      </c>
      <c r="DE116" s="39" t="str">
        <f t="shared" si="70"/>
        <v/>
      </c>
      <c r="DF116" s="37" t="str">
        <f t="shared" si="58"/>
        <v>1+1+1</v>
      </c>
      <c r="DG116" s="37" t="str">
        <f t="shared" si="59"/>
        <v>844+610</v>
      </c>
      <c r="DH116" s="37" t="str">
        <f t="shared" si="60"/>
        <v>826+621</v>
      </c>
      <c r="DI116" s="37" t="str">
        <f t="shared" si="61"/>
        <v>863+611</v>
      </c>
      <c r="DJ116" s="37" t="str">
        <f t="shared" si="62"/>
        <v>1+1+1|844+610|826+621|863+611</v>
      </c>
    </row>
    <row r="117" spans="2:114" x14ac:dyDescent="0.15">
      <c r="B117" s="15">
        <v>114</v>
      </c>
      <c r="C117" s="15" t="s">
        <v>131</v>
      </c>
      <c r="D117" s="15">
        <v>61</v>
      </c>
      <c r="G117" s="27" t="s">
        <v>507</v>
      </c>
      <c r="H117" s="27">
        <v>124</v>
      </c>
      <c r="I117" s="26" t="s">
        <v>724</v>
      </c>
      <c r="J117" s="26">
        <f t="shared" si="40"/>
        <v>154</v>
      </c>
      <c r="M117" s="27" t="s">
        <v>507</v>
      </c>
      <c r="N117" s="27">
        <v>124</v>
      </c>
      <c r="O117" s="26" t="s">
        <v>219</v>
      </c>
      <c r="P117" s="26">
        <f t="shared" si="41"/>
        <v>105</v>
      </c>
      <c r="Q117" s="26"/>
      <c r="R117" s="26"/>
      <c r="S117" s="27" t="s">
        <v>507</v>
      </c>
      <c r="T117" s="27">
        <v>124</v>
      </c>
      <c r="U117" s="26" t="s">
        <v>628</v>
      </c>
      <c r="V117" s="26">
        <f t="shared" si="42"/>
        <v>88</v>
      </c>
      <c r="W117" s="26"/>
      <c r="Y117" s="27" t="s">
        <v>507</v>
      </c>
      <c r="Z117" s="27">
        <v>124</v>
      </c>
      <c r="AA117" s="26" t="s">
        <v>417</v>
      </c>
      <c r="AB117" s="26">
        <f t="shared" si="43"/>
        <v>31</v>
      </c>
      <c r="AE117" s="27" t="s">
        <v>507</v>
      </c>
      <c r="AF117" s="27">
        <v>124</v>
      </c>
      <c r="AG117" s="26" t="s">
        <v>887</v>
      </c>
      <c r="AH117" s="26">
        <f t="shared" si="44"/>
        <v>67</v>
      </c>
      <c r="AK117" s="27" t="s">
        <v>507</v>
      </c>
      <c r="AL117" s="27">
        <v>124</v>
      </c>
      <c r="AM117" s="26" t="s">
        <v>962</v>
      </c>
      <c r="AN117" s="26">
        <f t="shared" si="45"/>
        <v>122</v>
      </c>
      <c r="AQ117" s="27" t="s">
        <v>507</v>
      </c>
      <c r="AR117" s="27">
        <v>124</v>
      </c>
      <c r="AS117" s="26" t="s">
        <v>631</v>
      </c>
      <c r="AT117" s="26">
        <f t="shared" si="46"/>
        <v>92</v>
      </c>
      <c r="AX117" s="15"/>
      <c r="AY117" s="35">
        <f t="shared" si="47"/>
        <v>114</v>
      </c>
      <c r="AZ117" s="35" t="str">
        <f t="shared" si="48"/>
        <v>494+192</v>
      </c>
      <c r="BA117" s="35">
        <f t="shared" si="49"/>
        <v>61</v>
      </c>
      <c r="BB117" s="38">
        <f>COUNTIF($BA$4:$BA117,$BA117)</f>
        <v>1</v>
      </c>
      <c r="BC117" s="36" t="str">
        <f t="shared" si="50"/>
        <v>村</v>
      </c>
      <c r="BD117" s="36" t="str">
        <f t="shared" si="51"/>
        <v/>
      </c>
      <c r="BE117" s="36" t="str">
        <f t="shared" si="52"/>
        <v/>
      </c>
      <c r="BF117" s="36" t="str">
        <f t="shared" si="53"/>
        <v/>
      </c>
      <c r="BG117" s="36" t="str">
        <f t="shared" si="54"/>
        <v/>
      </c>
      <c r="BH117" s="36" t="str">
        <f t="shared" si="55"/>
        <v/>
      </c>
      <c r="BI117" s="36" t="str">
        <f t="shared" si="56"/>
        <v/>
      </c>
      <c r="BJ117" s="29" t="str">
        <f t="shared" si="57"/>
        <v>村</v>
      </c>
      <c r="BL117" s="15">
        <v>114</v>
      </c>
      <c r="BM117" s="39" t="str">
        <f t="shared" si="71"/>
        <v>863+649</v>
      </c>
      <c r="BN117" s="39" t="str">
        <f t="shared" si="71"/>
        <v>851+643</v>
      </c>
      <c r="BO117" s="39" t="str">
        <f t="shared" si="71"/>
        <v/>
      </c>
      <c r="BP117" s="39" t="str">
        <f t="shared" si="71"/>
        <v/>
      </c>
      <c r="BQ117" s="39" t="str">
        <f t="shared" si="71"/>
        <v/>
      </c>
      <c r="BR117" s="39" t="str">
        <f t="shared" si="71"/>
        <v/>
      </c>
      <c r="BS117" s="39" t="str">
        <f t="shared" si="71"/>
        <v/>
      </c>
      <c r="BT117" s="39" t="str">
        <f t="shared" si="71"/>
        <v/>
      </c>
      <c r="BU117" s="39" t="str">
        <f t="shared" si="71"/>
        <v/>
      </c>
      <c r="BV117" s="39" t="str">
        <f t="shared" si="71"/>
        <v/>
      </c>
      <c r="BW117" s="39" t="str">
        <f t="shared" si="71"/>
        <v/>
      </c>
      <c r="BX117" s="39" t="str">
        <f t="shared" si="71"/>
        <v/>
      </c>
      <c r="BY117" s="39" t="str">
        <f t="shared" si="71"/>
        <v/>
      </c>
      <c r="BZ117" s="39" t="str">
        <f t="shared" si="71"/>
        <v/>
      </c>
      <c r="CA117" s="39" t="str">
        <f t="shared" si="71"/>
        <v/>
      </c>
      <c r="CB117" s="39" t="str">
        <f t="shared" si="69"/>
        <v/>
      </c>
      <c r="CC117" s="39" t="str">
        <f t="shared" si="69"/>
        <v/>
      </c>
      <c r="CD117" s="39" t="str">
        <f t="shared" si="69"/>
        <v/>
      </c>
      <c r="CE117" s="39" t="str">
        <f t="shared" si="69"/>
        <v/>
      </c>
      <c r="CF117" s="39" t="str">
        <f t="shared" si="69"/>
        <v/>
      </c>
      <c r="CG117" s="39" t="str">
        <f t="shared" si="69"/>
        <v/>
      </c>
      <c r="CH117" s="39" t="str">
        <f t="shared" si="69"/>
        <v/>
      </c>
      <c r="CI117" s="39" t="str">
        <f t="shared" si="69"/>
        <v/>
      </c>
      <c r="CJ117" s="39" t="str">
        <f t="shared" si="69"/>
        <v/>
      </c>
      <c r="CK117" s="39" t="str">
        <f t="shared" si="69"/>
        <v/>
      </c>
      <c r="CL117" s="39" t="str">
        <f t="shared" si="69"/>
        <v/>
      </c>
      <c r="CM117" s="39" t="str">
        <f t="shared" si="69"/>
        <v/>
      </c>
      <c r="CN117" s="39" t="str">
        <f t="shared" si="69"/>
        <v/>
      </c>
      <c r="CO117" s="39" t="str">
        <f t="shared" si="69"/>
        <v/>
      </c>
      <c r="CP117" s="39" t="str">
        <f t="shared" si="69"/>
        <v/>
      </c>
      <c r="CQ117" s="39" t="str">
        <f t="shared" si="70"/>
        <v/>
      </c>
      <c r="CR117" s="39" t="str">
        <f t="shared" si="70"/>
        <v/>
      </c>
      <c r="CS117" s="39" t="str">
        <f t="shared" si="70"/>
        <v/>
      </c>
      <c r="CT117" s="39" t="str">
        <f t="shared" si="70"/>
        <v/>
      </c>
      <c r="CU117" s="39" t="str">
        <f t="shared" si="70"/>
        <v/>
      </c>
      <c r="CV117" s="39" t="str">
        <f t="shared" si="70"/>
        <v/>
      </c>
      <c r="CW117" s="39" t="str">
        <f t="shared" si="70"/>
        <v/>
      </c>
      <c r="CX117" s="39" t="str">
        <f t="shared" si="70"/>
        <v/>
      </c>
      <c r="CY117" s="39" t="str">
        <f t="shared" si="70"/>
        <v/>
      </c>
      <c r="CZ117" s="39" t="str">
        <f t="shared" si="70"/>
        <v/>
      </c>
      <c r="DA117" s="39" t="str">
        <f t="shared" si="70"/>
        <v/>
      </c>
      <c r="DB117" s="39" t="str">
        <f t="shared" si="70"/>
        <v/>
      </c>
      <c r="DC117" s="39" t="str">
        <f t="shared" si="70"/>
        <v/>
      </c>
      <c r="DD117" s="39" t="str">
        <f t="shared" si="70"/>
        <v/>
      </c>
      <c r="DE117" s="39" t="str">
        <f t="shared" si="70"/>
        <v/>
      </c>
      <c r="DF117" s="37" t="str">
        <f t="shared" si="58"/>
        <v>2+0+0</v>
      </c>
      <c r="DG117" s="37" t="str">
        <f t="shared" si="59"/>
        <v>863+649|851+643</v>
      </c>
      <c r="DH117" s="37" t="str">
        <f t="shared" si="60"/>
        <v>0+0</v>
      </c>
      <c r="DI117" s="37" t="str">
        <f t="shared" si="61"/>
        <v>0+0</v>
      </c>
      <c r="DJ117" s="37" t="str">
        <f t="shared" si="62"/>
        <v>2+0+0|863+649|851+643|0+0|0+0</v>
      </c>
    </row>
    <row r="118" spans="2:114" x14ac:dyDescent="0.15">
      <c r="B118" s="15">
        <v>115</v>
      </c>
      <c r="C118" s="15" t="s">
        <v>132</v>
      </c>
      <c r="D118" s="15">
        <v>61</v>
      </c>
      <c r="G118" s="27" t="s">
        <v>507</v>
      </c>
      <c r="H118" s="27">
        <v>125</v>
      </c>
      <c r="I118" s="26" t="s">
        <v>673</v>
      </c>
      <c r="J118" s="26">
        <f t="shared" si="40"/>
        <v>159</v>
      </c>
      <c r="M118" s="27" t="s">
        <v>507</v>
      </c>
      <c r="N118" s="27">
        <v>125</v>
      </c>
      <c r="O118" s="26" t="s">
        <v>689</v>
      </c>
      <c r="P118" s="26">
        <f t="shared" si="41"/>
        <v>5</v>
      </c>
      <c r="Q118" s="26"/>
      <c r="R118" s="26"/>
      <c r="S118" s="27" t="s">
        <v>507</v>
      </c>
      <c r="T118" s="27">
        <v>125</v>
      </c>
      <c r="U118" s="26" t="s">
        <v>627</v>
      </c>
      <c r="V118" s="26">
        <f t="shared" si="42"/>
        <v>87</v>
      </c>
      <c r="W118" s="26"/>
      <c r="Y118" s="27" t="s">
        <v>507</v>
      </c>
      <c r="Z118" s="27">
        <v>125</v>
      </c>
      <c r="AA118" s="26" t="s">
        <v>396</v>
      </c>
      <c r="AB118" s="26">
        <f t="shared" si="43"/>
        <v>11</v>
      </c>
      <c r="AE118" s="27" t="s">
        <v>507</v>
      </c>
      <c r="AF118" s="27">
        <v>125</v>
      </c>
      <c r="AG118" s="26" t="s">
        <v>621</v>
      </c>
      <c r="AH118" s="26">
        <f t="shared" si="44"/>
        <v>79</v>
      </c>
      <c r="AK118" s="27" t="s">
        <v>507</v>
      </c>
      <c r="AL118" s="27">
        <v>125</v>
      </c>
      <c r="AM118" s="26" t="s">
        <v>893</v>
      </c>
      <c r="AN118" s="26">
        <f t="shared" si="45"/>
        <v>65</v>
      </c>
      <c r="AQ118" s="27" t="s">
        <v>507</v>
      </c>
      <c r="AR118" s="27">
        <v>125</v>
      </c>
      <c r="AS118" s="26" t="s">
        <v>200</v>
      </c>
      <c r="AT118" s="26">
        <f t="shared" si="46"/>
        <v>95</v>
      </c>
      <c r="AX118" s="15"/>
      <c r="AY118" s="35">
        <f t="shared" si="47"/>
        <v>115</v>
      </c>
      <c r="AZ118" s="35" t="str">
        <f t="shared" si="48"/>
        <v>437+186</v>
      </c>
      <c r="BA118" s="35">
        <f t="shared" si="49"/>
        <v>61</v>
      </c>
      <c r="BB118" s="38">
        <f>COUNTIF($BA$4:$BA118,$BA118)</f>
        <v>2</v>
      </c>
      <c r="BC118" s="36" t="str">
        <f t="shared" si="50"/>
        <v>村</v>
      </c>
      <c r="BD118" s="36" t="str">
        <f t="shared" si="51"/>
        <v/>
      </c>
      <c r="BE118" s="36" t="str">
        <f t="shared" si="52"/>
        <v/>
      </c>
      <c r="BF118" s="36" t="str">
        <f t="shared" si="53"/>
        <v/>
      </c>
      <c r="BG118" s="36" t="str">
        <f t="shared" si="54"/>
        <v/>
      </c>
      <c r="BH118" s="36" t="str">
        <f t="shared" si="55"/>
        <v/>
      </c>
      <c r="BI118" s="36" t="str">
        <f t="shared" si="56"/>
        <v/>
      </c>
      <c r="BJ118" s="29" t="str">
        <f t="shared" si="57"/>
        <v>村</v>
      </c>
      <c r="BL118" s="15">
        <v>115</v>
      </c>
      <c r="BM118" s="39" t="str">
        <f t="shared" si="71"/>
        <v>936+661</v>
      </c>
      <c r="BN118" s="39" t="str">
        <f t="shared" si="71"/>
        <v>909+643</v>
      </c>
      <c r="BO118" s="39" t="str">
        <f t="shared" si="71"/>
        <v/>
      </c>
      <c r="BP118" s="39" t="str">
        <f t="shared" si="71"/>
        <v/>
      </c>
      <c r="BQ118" s="39" t="str">
        <f t="shared" si="71"/>
        <v/>
      </c>
      <c r="BR118" s="39" t="str">
        <f t="shared" si="71"/>
        <v/>
      </c>
      <c r="BS118" s="39" t="str">
        <f t="shared" si="71"/>
        <v/>
      </c>
      <c r="BT118" s="39" t="str">
        <f t="shared" si="71"/>
        <v/>
      </c>
      <c r="BU118" s="39" t="str">
        <f t="shared" si="71"/>
        <v/>
      </c>
      <c r="BV118" s="39" t="str">
        <f t="shared" si="71"/>
        <v/>
      </c>
      <c r="BW118" s="39" t="str">
        <f t="shared" si="71"/>
        <v/>
      </c>
      <c r="BX118" s="39" t="str">
        <f t="shared" si="71"/>
        <v/>
      </c>
      <c r="BY118" s="39" t="str">
        <f t="shared" si="71"/>
        <v/>
      </c>
      <c r="BZ118" s="39" t="str">
        <f t="shared" si="71"/>
        <v/>
      </c>
      <c r="CA118" s="39" t="str">
        <f t="shared" si="71"/>
        <v/>
      </c>
      <c r="CB118" s="39" t="str">
        <f t="shared" si="69"/>
        <v/>
      </c>
      <c r="CC118" s="39" t="str">
        <f t="shared" si="69"/>
        <v/>
      </c>
      <c r="CD118" s="39" t="str">
        <f t="shared" si="69"/>
        <v/>
      </c>
      <c r="CE118" s="39" t="str">
        <f t="shared" si="69"/>
        <v/>
      </c>
      <c r="CF118" s="39" t="str">
        <f t="shared" si="69"/>
        <v/>
      </c>
      <c r="CG118" s="39" t="str">
        <f t="shared" si="69"/>
        <v/>
      </c>
      <c r="CH118" s="39" t="str">
        <f t="shared" si="69"/>
        <v/>
      </c>
      <c r="CI118" s="39" t="str">
        <f t="shared" si="69"/>
        <v/>
      </c>
      <c r="CJ118" s="39" t="str">
        <f t="shared" si="69"/>
        <v/>
      </c>
      <c r="CK118" s="39" t="str">
        <f t="shared" si="69"/>
        <v/>
      </c>
      <c r="CL118" s="39" t="str">
        <f t="shared" si="69"/>
        <v/>
      </c>
      <c r="CM118" s="39" t="str">
        <f t="shared" si="69"/>
        <v/>
      </c>
      <c r="CN118" s="39" t="str">
        <f t="shared" si="69"/>
        <v/>
      </c>
      <c r="CO118" s="39" t="str">
        <f t="shared" si="69"/>
        <v/>
      </c>
      <c r="CP118" s="39" t="str">
        <f t="shared" si="69"/>
        <v/>
      </c>
      <c r="CQ118" s="39" t="str">
        <f t="shared" si="70"/>
        <v/>
      </c>
      <c r="CR118" s="39" t="str">
        <f t="shared" si="70"/>
        <v/>
      </c>
      <c r="CS118" s="39" t="str">
        <f t="shared" si="70"/>
        <v/>
      </c>
      <c r="CT118" s="39" t="str">
        <f t="shared" si="70"/>
        <v/>
      </c>
      <c r="CU118" s="39" t="str">
        <f t="shared" si="70"/>
        <v/>
      </c>
      <c r="CV118" s="39" t="str">
        <f t="shared" si="70"/>
        <v/>
      </c>
      <c r="CW118" s="39" t="str">
        <f t="shared" si="70"/>
        <v/>
      </c>
      <c r="CX118" s="39" t="str">
        <f t="shared" si="70"/>
        <v/>
      </c>
      <c r="CY118" s="39" t="str">
        <f t="shared" si="70"/>
        <v/>
      </c>
      <c r="CZ118" s="39" t="str">
        <f t="shared" si="70"/>
        <v/>
      </c>
      <c r="DA118" s="39" t="str">
        <f t="shared" si="70"/>
        <v/>
      </c>
      <c r="DB118" s="39" t="str">
        <f t="shared" si="70"/>
        <v/>
      </c>
      <c r="DC118" s="39" t="str">
        <f t="shared" si="70"/>
        <v/>
      </c>
      <c r="DD118" s="39" t="str">
        <f t="shared" si="70"/>
        <v/>
      </c>
      <c r="DE118" s="39" t="str">
        <f t="shared" si="70"/>
        <v/>
      </c>
      <c r="DF118" s="37" t="str">
        <f t="shared" si="58"/>
        <v>2+0+0</v>
      </c>
      <c r="DG118" s="37" t="str">
        <f t="shared" si="59"/>
        <v>936+661|909+643</v>
      </c>
      <c r="DH118" s="37" t="str">
        <f t="shared" si="60"/>
        <v>0+0</v>
      </c>
      <c r="DI118" s="37" t="str">
        <f t="shared" si="61"/>
        <v>0+0</v>
      </c>
      <c r="DJ118" s="37" t="str">
        <f t="shared" si="62"/>
        <v>2+0+0|936+661|909+643|0+0|0+0</v>
      </c>
    </row>
    <row r="119" spans="2:114" x14ac:dyDescent="0.15">
      <c r="B119" s="15">
        <v>116</v>
      </c>
      <c r="C119" s="15" t="s">
        <v>133</v>
      </c>
      <c r="D119" s="15">
        <v>62</v>
      </c>
      <c r="G119" s="25" t="s">
        <v>510</v>
      </c>
      <c r="H119" s="25">
        <v>126</v>
      </c>
      <c r="I119" s="26" t="s">
        <v>599</v>
      </c>
      <c r="J119" s="26">
        <f t="shared" si="40"/>
        <v>43</v>
      </c>
      <c r="M119" s="25" t="s">
        <v>510</v>
      </c>
      <c r="N119" s="25">
        <v>126</v>
      </c>
      <c r="O119" s="26" t="s">
        <v>640</v>
      </c>
      <c r="P119" s="26">
        <f t="shared" si="41"/>
        <v>104</v>
      </c>
      <c r="Q119" s="26"/>
      <c r="R119" s="26"/>
      <c r="S119" s="25" t="s">
        <v>510</v>
      </c>
      <c r="T119" s="25">
        <v>126</v>
      </c>
      <c r="U119" s="26" t="s">
        <v>631</v>
      </c>
      <c r="V119" s="26">
        <f t="shared" si="42"/>
        <v>92</v>
      </c>
      <c r="W119" s="26"/>
      <c r="Y119" s="25" t="s">
        <v>510</v>
      </c>
      <c r="Z119" s="25">
        <v>126</v>
      </c>
      <c r="AA119" s="26" t="s">
        <v>592</v>
      </c>
      <c r="AB119" s="26">
        <f t="shared" si="43"/>
        <v>24</v>
      </c>
      <c r="AE119" s="25" t="s">
        <v>510</v>
      </c>
      <c r="AF119" s="25">
        <v>126</v>
      </c>
      <c r="AG119" s="26" t="s">
        <v>890</v>
      </c>
      <c r="AH119" s="26">
        <f t="shared" si="44"/>
        <v>64</v>
      </c>
      <c r="AK119" s="25" t="s">
        <v>510</v>
      </c>
      <c r="AL119" s="25">
        <v>126</v>
      </c>
      <c r="AM119" s="26" t="s">
        <v>936</v>
      </c>
      <c r="AN119" s="26">
        <f t="shared" si="45"/>
        <v>124</v>
      </c>
      <c r="AQ119" s="25" t="s">
        <v>510</v>
      </c>
      <c r="AR119" s="25">
        <v>126</v>
      </c>
      <c r="AS119" s="26" t="s">
        <v>943</v>
      </c>
      <c r="AT119" s="26">
        <f t="shared" si="46"/>
        <v>91</v>
      </c>
      <c r="AX119" s="15"/>
      <c r="AY119" s="35">
        <f t="shared" si="47"/>
        <v>116</v>
      </c>
      <c r="AZ119" s="35" t="str">
        <f t="shared" si="48"/>
        <v>460+145</v>
      </c>
      <c r="BA119" s="35">
        <f t="shared" si="49"/>
        <v>62</v>
      </c>
      <c r="BB119" s="38">
        <f>COUNTIF($BA$4:$BA119,$BA119)</f>
        <v>1</v>
      </c>
      <c r="BC119" s="36" t="str">
        <f t="shared" si="50"/>
        <v>村</v>
      </c>
      <c r="BD119" s="36" t="str">
        <f t="shared" si="51"/>
        <v/>
      </c>
      <c r="BE119" s="36" t="str">
        <f t="shared" si="52"/>
        <v/>
      </c>
      <c r="BF119" s="36" t="str">
        <f t="shared" si="53"/>
        <v/>
      </c>
      <c r="BG119" s="36" t="str">
        <f t="shared" si="54"/>
        <v/>
      </c>
      <c r="BH119" s="36" t="str">
        <f t="shared" si="55"/>
        <v/>
      </c>
      <c r="BI119" s="36" t="str">
        <f t="shared" si="56"/>
        <v/>
      </c>
      <c r="BJ119" s="29" t="str">
        <f t="shared" si="57"/>
        <v>村</v>
      </c>
      <c r="BL119" s="15">
        <v>116</v>
      </c>
      <c r="BM119" s="39" t="str">
        <f t="shared" si="71"/>
        <v/>
      </c>
      <c r="BN119" s="39" t="str">
        <f t="shared" si="71"/>
        <v/>
      </c>
      <c r="BO119" s="39" t="str">
        <f t="shared" si="71"/>
        <v/>
      </c>
      <c r="BP119" s="39" t="str">
        <f t="shared" si="71"/>
        <v/>
      </c>
      <c r="BQ119" s="39" t="str">
        <f t="shared" si="71"/>
        <v/>
      </c>
      <c r="BR119" s="39" t="str">
        <f t="shared" si="71"/>
        <v/>
      </c>
      <c r="BS119" s="39" t="str">
        <f t="shared" si="71"/>
        <v/>
      </c>
      <c r="BT119" s="39" t="str">
        <f t="shared" si="71"/>
        <v/>
      </c>
      <c r="BU119" s="39" t="str">
        <f t="shared" si="71"/>
        <v/>
      </c>
      <c r="BV119" s="39" t="str">
        <f t="shared" si="71"/>
        <v/>
      </c>
      <c r="BW119" s="39" t="str">
        <f t="shared" si="71"/>
        <v/>
      </c>
      <c r="BX119" s="39" t="str">
        <f t="shared" si="71"/>
        <v/>
      </c>
      <c r="BY119" s="39" t="str">
        <f t="shared" si="71"/>
        <v/>
      </c>
      <c r="BZ119" s="39" t="str">
        <f t="shared" si="71"/>
        <v/>
      </c>
      <c r="CA119" s="39" t="str">
        <f t="shared" si="71"/>
        <v/>
      </c>
      <c r="CB119" s="39" t="str">
        <f t="shared" si="69"/>
        <v/>
      </c>
      <c r="CC119" s="39" t="str">
        <f t="shared" si="69"/>
        <v/>
      </c>
      <c r="CD119" s="39" t="str">
        <f t="shared" si="69"/>
        <v/>
      </c>
      <c r="CE119" s="39" t="str">
        <f t="shared" si="69"/>
        <v/>
      </c>
      <c r="CF119" s="39" t="str">
        <f t="shared" si="69"/>
        <v/>
      </c>
      <c r="CG119" s="39" t="str">
        <f t="shared" si="69"/>
        <v/>
      </c>
      <c r="CH119" s="39" t="str">
        <f t="shared" si="69"/>
        <v/>
      </c>
      <c r="CI119" s="39" t="str">
        <f t="shared" si="69"/>
        <v/>
      </c>
      <c r="CJ119" s="39" t="str">
        <f t="shared" si="69"/>
        <v/>
      </c>
      <c r="CK119" s="39" t="str">
        <f t="shared" si="69"/>
        <v/>
      </c>
      <c r="CL119" s="39" t="str">
        <f t="shared" si="69"/>
        <v/>
      </c>
      <c r="CM119" s="39" t="str">
        <f t="shared" si="69"/>
        <v/>
      </c>
      <c r="CN119" s="39" t="str">
        <f t="shared" si="69"/>
        <v/>
      </c>
      <c r="CO119" s="39" t="str">
        <f t="shared" si="69"/>
        <v/>
      </c>
      <c r="CP119" s="39" t="str">
        <f t="shared" si="69"/>
        <v/>
      </c>
      <c r="CQ119" s="39" t="str">
        <f t="shared" si="70"/>
        <v/>
      </c>
      <c r="CR119" s="39" t="str">
        <f t="shared" si="70"/>
        <v/>
      </c>
      <c r="CS119" s="39" t="str">
        <f t="shared" si="70"/>
        <v/>
      </c>
      <c r="CT119" s="39" t="str">
        <f t="shared" si="70"/>
        <v/>
      </c>
      <c r="CU119" s="39" t="str">
        <f t="shared" si="70"/>
        <v/>
      </c>
      <c r="CV119" s="39" t="str">
        <f t="shared" si="70"/>
        <v/>
      </c>
      <c r="CW119" s="39" t="str">
        <f t="shared" si="70"/>
        <v/>
      </c>
      <c r="CX119" s="39" t="str">
        <f t="shared" si="70"/>
        <v/>
      </c>
      <c r="CY119" s="39" t="str">
        <f t="shared" si="70"/>
        <v/>
      </c>
      <c r="CZ119" s="39" t="str">
        <f t="shared" si="70"/>
        <v/>
      </c>
      <c r="DA119" s="39" t="str">
        <f t="shared" si="70"/>
        <v/>
      </c>
      <c r="DB119" s="39" t="str">
        <f t="shared" si="70"/>
        <v/>
      </c>
      <c r="DC119" s="39" t="str">
        <f t="shared" si="70"/>
        <v/>
      </c>
      <c r="DD119" s="39" t="str">
        <f t="shared" si="70"/>
        <v/>
      </c>
      <c r="DE119" s="39" t="str">
        <f t="shared" si="70"/>
        <v/>
      </c>
      <c r="DF119" s="37" t="str">
        <f t="shared" si="58"/>
        <v>0+0+0</v>
      </c>
      <c r="DG119" s="37" t="str">
        <f t="shared" si="59"/>
        <v>0+0</v>
      </c>
      <c r="DH119" s="37" t="str">
        <f t="shared" si="60"/>
        <v>0+0</v>
      </c>
      <c r="DI119" s="37" t="str">
        <f t="shared" si="61"/>
        <v>0+0</v>
      </c>
      <c r="DJ119" s="37" t="str">
        <f t="shared" si="62"/>
        <v>0+0+0|0+0|0+0|0+0</v>
      </c>
    </row>
    <row r="120" spans="2:114" x14ac:dyDescent="0.15">
      <c r="B120" s="15">
        <v>117</v>
      </c>
      <c r="C120" s="15" t="s">
        <v>134</v>
      </c>
      <c r="D120" s="15">
        <v>62</v>
      </c>
      <c r="G120" s="25" t="s">
        <v>510</v>
      </c>
      <c r="H120" s="25">
        <v>127</v>
      </c>
      <c r="I120" s="26" t="s">
        <v>115</v>
      </c>
      <c r="J120" s="26">
        <f t="shared" si="40"/>
        <v>54</v>
      </c>
      <c r="M120" s="25" t="s">
        <v>510</v>
      </c>
      <c r="N120" s="25">
        <v>127</v>
      </c>
      <c r="O120" s="26" t="s">
        <v>636</v>
      </c>
      <c r="P120" s="26">
        <f t="shared" si="41"/>
        <v>100</v>
      </c>
      <c r="Q120" s="26"/>
      <c r="R120" s="26"/>
      <c r="S120" s="25" t="s">
        <v>510</v>
      </c>
      <c r="T120" s="25">
        <v>127</v>
      </c>
      <c r="U120" s="26" t="s">
        <v>629</v>
      </c>
      <c r="V120" s="26">
        <f t="shared" si="42"/>
        <v>90</v>
      </c>
      <c r="W120" s="26"/>
      <c r="Y120" s="25" t="s">
        <v>510</v>
      </c>
      <c r="Z120" s="25">
        <v>127</v>
      </c>
      <c r="AA120" s="26" t="s">
        <v>595</v>
      </c>
      <c r="AB120" s="26">
        <f t="shared" si="43"/>
        <v>32</v>
      </c>
      <c r="AE120" s="25" t="s">
        <v>510</v>
      </c>
      <c r="AF120" s="25">
        <v>127</v>
      </c>
      <c r="AG120" s="26" t="s">
        <v>931</v>
      </c>
      <c r="AH120" s="26">
        <f t="shared" si="44"/>
        <v>123</v>
      </c>
      <c r="AK120" s="25" t="s">
        <v>510</v>
      </c>
      <c r="AL120" s="25">
        <v>127</v>
      </c>
      <c r="AM120" s="26" t="s">
        <v>884</v>
      </c>
      <c r="AN120" s="26">
        <f t="shared" si="45"/>
        <v>69</v>
      </c>
      <c r="AQ120" s="25" t="s">
        <v>510</v>
      </c>
      <c r="AR120" s="25">
        <v>127</v>
      </c>
      <c r="AS120" s="26" t="s">
        <v>192</v>
      </c>
      <c r="AT120" s="26">
        <f t="shared" si="46"/>
        <v>91</v>
      </c>
      <c r="AX120" s="15"/>
      <c r="AY120" s="35">
        <f t="shared" si="47"/>
        <v>117</v>
      </c>
      <c r="AZ120" s="35" t="str">
        <f t="shared" si="48"/>
        <v>508+135</v>
      </c>
      <c r="BA120" s="35">
        <f t="shared" si="49"/>
        <v>62</v>
      </c>
      <c r="BB120" s="38">
        <f>COUNTIF($BA$4:$BA120,$BA120)</f>
        <v>2</v>
      </c>
      <c r="BC120" s="36" t="str">
        <f t="shared" si="50"/>
        <v>村</v>
      </c>
      <c r="BD120" s="36" t="str">
        <f t="shared" si="51"/>
        <v/>
      </c>
      <c r="BE120" s="36" t="str">
        <f t="shared" si="52"/>
        <v/>
      </c>
      <c r="BF120" s="36" t="str">
        <f t="shared" si="53"/>
        <v/>
      </c>
      <c r="BG120" s="36" t="str">
        <f t="shared" si="54"/>
        <v/>
      </c>
      <c r="BH120" s="36" t="str">
        <f t="shared" si="55"/>
        <v/>
      </c>
      <c r="BI120" s="36" t="str">
        <f t="shared" si="56"/>
        <v/>
      </c>
      <c r="BJ120" s="29" t="str">
        <f t="shared" si="57"/>
        <v>村</v>
      </c>
      <c r="BL120" s="15">
        <v>117</v>
      </c>
      <c r="BM120" s="39" t="str">
        <f t="shared" si="71"/>
        <v/>
      </c>
      <c r="BN120" s="39" t="str">
        <f t="shared" si="71"/>
        <v/>
      </c>
      <c r="BO120" s="39" t="str">
        <f t="shared" si="71"/>
        <v/>
      </c>
      <c r="BP120" s="39" t="str">
        <f t="shared" si="71"/>
        <v/>
      </c>
      <c r="BQ120" s="39" t="str">
        <f t="shared" si="71"/>
        <v/>
      </c>
      <c r="BR120" s="39" t="str">
        <f t="shared" si="71"/>
        <v/>
      </c>
      <c r="BS120" s="39" t="str">
        <f t="shared" si="71"/>
        <v/>
      </c>
      <c r="BT120" s="39" t="str">
        <f t="shared" si="71"/>
        <v/>
      </c>
      <c r="BU120" s="39" t="str">
        <f t="shared" si="71"/>
        <v/>
      </c>
      <c r="BV120" s="39" t="str">
        <f t="shared" si="71"/>
        <v/>
      </c>
      <c r="BW120" s="39" t="str">
        <f t="shared" si="71"/>
        <v/>
      </c>
      <c r="BX120" s="39" t="str">
        <f t="shared" si="71"/>
        <v/>
      </c>
      <c r="BY120" s="39" t="str">
        <f t="shared" si="71"/>
        <v/>
      </c>
      <c r="BZ120" s="39" t="str">
        <f t="shared" si="71"/>
        <v/>
      </c>
      <c r="CA120" s="39" t="str">
        <f t="shared" si="71"/>
        <v/>
      </c>
      <c r="CB120" s="39" t="str">
        <f t="shared" si="69"/>
        <v/>
      </c>
      <c r="CC120" s="39" t="str">
        <f t="shared" si="69"/>
        <v/>
      </c>
      <c r="CD120" s="39" t="str">
        <f t="shared" si="69"/>
        <v/>
      </c>
      <c r="CE120" s="39" t="str">
        <f t="shared" si="69"/>
        <v/>
      </c>
      <c r="CF120" s="39" t="str">
        <f t="shared" si="69"/>
        <v/>
      </c>
      <c r="CG120" s="39" t="str">
        <f t="shared" si="69"/>
        <v/>
      </c>
      <c r="CH120" s="39" t="str">
        <f t="shared" si="69"/>
        <v/>
      </c>
      <c r="CI120" s="39" t="str">
        <f t="shared" si="69"/>
        <v/>
      </c>
      <c r="CJ120" s="39" t="str">
        <f t="shared" si="69"/>
        <v/>
      </c>
      <c r="CK120" s="39" t="str">
        <f t="shared" si="69"/>
        <v/>
      </c>
      <c r="CL120" s="39" t="str">
        <f t="shared" si="69"/>
        <v/>
      </c>
      <c r="CM120" s="39" t="str">
        <f t="shared" si="69"/>
        <v/>
      </c>
      <c r="CN120" s="39" t="str">
        <f t="shared" si="69"/>
        <v/>
      </c>
      <c r="CO120" s="39" t="str">
        <f t="shared" si="69"/>
        <v/>
      </c>
      <c r="CP120" s="39" t="str">
        <f t="shared" si="69"/>
        <v/>
      </c>
      <c r="CQ120" s="39" t="str">
        <f t="shared" si="70"/>
        <v>368+892</v>
      </c>
      <c r="CR120" s="39" t="str">
        <f t="shared" si="70"/>
        <v/>
      </c>
      <c r="CS120" s="39" t="str">
        <f t="shared" si="70"/>
        <v/>
      </c>
      <c r="CT120" s="39" t="str">
        <f t="shared" si="70"/>
        <v/>
      </c>
      <c r="CU120" s="39" t="str">
        <f t="shared" si="70"/>
        <v/>
      </c>
      <c r="CV120" s="39" t="str">
        <f t="shared" si="70"/>
        <v/>
      </c>
      <c r="CW120" s="39" t="str">
        <f t="shared" si="70"/>
        <v/>
      </c>
      <c r="CX120" s="39" t="str">
        <f t="shared" si="70"/>
        <v/>
      </c>
      <c r="CY120" s="39" t="str">
        <f t="shared" si="70"/>
        <v/>
      </c>
      <c r="CZ120" s="39" t="str">
        <f t="shared" si="70"/>
        <v/>
      </c>
      <c r="DA120" s="39" t="str">
        <f t="shared" si="70"/>
        <v/>
      </c>
      <c r="DB120" s="39" t="str">
        <f t="shared" si="70"/>
        <v/>
      </c>
      <c r="DC120" s="39" t="str">
        <f t="shared" si="70"/>
        <v/>
      </c>
      <c r="DD120" s="39" t="str">
        <f t="shared" si="70"/>
        <v/>
      </c>
      <c r="DE120" s="39" t="str">
        <f t="shared" si="70"/>
        <v/>
      </c>
      <c r="DF120" s="37" t="str">
        <f t="shared" si="58"/>
        <v>0+0+1</v>
      </c>
      <c r="DG120" s="37" t="str">
        <f t="shared" si="59"/>
        <v>0+0</v>
      </c>
      <c r="DH120" s="37" t="str">
        <f t="shared" si="60"/>
        <v>0+0</v>
      </c>
      <c r="DI120" s="37" t="str">
        <f t="shared" si="61"/>
        <v>368+892</v>
      </c>
      <c r="DJ120" s="37" t="str">
        <f t="shared" si="62"/>
        <v>0+0+1|0+0|0+0|368+892</v>
      </c>
    </row>
    <row r="121" spans="2:114" x14ac:dyDescent="0.15">
      <c r="B121" s="15">
        <v>118</v>
      </c>
      <c r="C121" s="15" t="s">
        <v>823</v>
      </c>
      <c r="D121" s="15">
        <v>79</v>
      </c>
      <c r="G121" s="27" t="s">
        <v>512</v>
      </c>
      <c r="H121" s="27">
        <v>128</v>
      </c>
      <c r="I121" s="26" t="s">
        <v>601</v>
      </c>
      <c r="J121" s="26">
        <f t="shared" si="40"/>
        <v>48</v>
      </c>
      <c r="M121" s="27" t="s">
        <v>512</v>
      </c>
      <c r="N121" s="27">
        <v>128</v>
      </c>
      <c r="O121" s="26" t="s">
        <v>638</v>
      </c>
      <c r="P121" s="26">
        <f t="shared" si="41"/>
        <v>102</v>
      </c>
      <c r="Q121" s="26"/>
      <c r="R121" s="26"/>
      <c r="S121" s="27" t="s">
        <v>512</v>
      </c>
      <c r="T121" s="27">
        <v>128</v>
      </c>
      <c r="U121" s="26" t="s">
        <v>192</v>
      </c>
      <c r="V121" s="26">
        <f t="shared" si="42"/>
        <v>91</v>
      </c>
      <c r="W121" s="26"/>
      <c r="Y121" s="27" t="s">
        <v>512</v>
      </c>
      <c r="Z121" s="27">
        <v>128</v>
      </c>
      <c r="AA121" s="26" t="s">
        <v>91</v>
      </c>
      <c r="AB121" s="26">
        <f t="shared" si="43"/>
        <v>42</v>
      </c>
      <c r="AE121" s="27" t="s">
        <v>512</v>
      </c>
      <c r="AF121" s="27">
        <v>128</v>
      </c>
      <c r="AG121" s="26" t="s">
        <v>893</v>
      </c>
      <c r="AH121" s="26">
        <f t="shared" si="44"/>
        <v>65</v>
      </c>
      <c r="AK121" s="27" t="s">
        <v>512</v>
      </c>
      <c r="AL121" s="27">
        <v>128</v>
      </c>
      <c r="AM121" s="26" t="s">
        <v>939</v>
      </c>
      <c r="AN121" s="26">
        <f t="shared" si="45"/>
        <v>129</v>
      </c>
      <c r="AQ121" s="27" t="s">
        <v>512</v>
      </c>
      <c r="AR121" s="27">
        <v>128</v>
      </c>
      <c r="AS121" s="26" t="s">
        <v>628</v>
      </c>
      <c r="AT121" s="26">
        <f t="shared" si="46"/>
        <v>88</v>
      </c>
      <c r="AX121" s="15"/>
      <c r="AY121" s="35">
        <f t="shared" si="47"/>
        <v>118</v>
      </c>
      <c r="AZ121" s="35" t="str">
        <f t="shared" si="48"/>
        <v>664+825</v>
      </c>
      <c r="BA121" s="35">
        <f t="shared" si="49"/>
        <v>79</v>
      </c>
      <c r="BB121" s="38">
        <f>COUNTIF($BA$4:$BA121,$BA121)</f>
        <v>1</v>
      </c>
      <c r="BC121" s="36" t="str">
        <f t="shared" si="50"/>
        <v/>
      </c>
      <c r="BD121" s="36" t="str">
        <f t="shared" si="51"/>
        <v/>
      </c>
      <c r="BE121" s="36" t="str">
        <f t="shared" si="52"/>
        <v>村</v>
      </c>
      <c r="BF121" s="36" t="str">
        <f t="shared" si="53"/>
        <v/>
      </c>
      <c r="BG121" s="36" t="str">
        <f t="shared" si="54"/>
        <v>村</v>
      </c>
      <c r="BH121" s="36" t="str">
        <f t="shared" si="55"/>
        <v>村</v>
      </c>
      <c r="BI121" s="36" t="str">
        <f t="shared" si="56"/>
        <v/>
      </c>
      <c r="BJ121" s="29" t="str">
        <f t="shared" si="57"/>
        <v>村</v>
      </c>
      <c r="BL121" s="15">
        <v>118</v>
      </c>
      <c r="BM121" s="39" t="str">
        <f t="shared" si="71"/>
        <v/>
      </c>
      <c r="BN121" s="39" t="str">
        <f t="shared" si="71"/>
        <v/>
      </c>
      <c r="BO121" s="39" t="str">
        <f t="shared" si="71"/>
        <v/>
      </c>
      <c r="BP121" s="39" t="str">
        <f t="shared" si="71"/>
        <v/>
      </c>
      <c r="BQ121" s="39" t="str">
        <f t="shared" si="71"/>
        <v/>
      </c>
      <c r="BR121" s="39" t="str">
        <f t="shared" si="71"/>
        <v/>
      </c>
      <c r="BS121" s="39" t="str">
        <f t="shared" si="71"/>
        <v/>
      </c>
      <c r="BT121" s="39" t="str">
        <f t="shared" si="71"/>
        <v/>
      </c>
      <c r="BU121" s="39" t="str">
        <f t="shared" si="71"/>
        <v/>
      </c>
      <c r="BV121" s="39" t="str">
        <f t="shared" si="71"/>
        <v/>
      </c>
      <c r="BW121" s="39" t="str">
        <f t="shared" si="71"/>
        <v/>
      </c>
      <c r="BX121" s="39" t="str">
        <f t="shared" si="71"/>
        <v/>
      </c>
      <c r="BY121" s="39" t="str">
        <f t="shared" si="71"/>
        <v/>
      </c>
      <c r="BZ121" s="39" t="str">
        <f t="shared" si="71"/>
        <v/>
      </c>
      <c r="CA121" s="39" t="str">
        <f t="shared" si="71"/>
        <v/>
      </c>
      <c r="CB121" s="39" t="str">
        <f t="shared" ref="CB121:CP137" si="72">IFERROR(INDEX($AZ$4:$AZ$1000,MATCH(SUMIFS($AY$4:$AY$1000,$BA$4:$BA$1000,$BL121,$BB$4:$BB$1000,CB$3,$BJ$4:$BJ$1000,"县"),$AY$4:$AY$1000,0)),"")</f>
        <v/>
      </c>
      <c r="CC121" s="39" t="str">
        <f t="shared" si="72"/>
        <v/>
      </c>
      <c r="CD121" s="39" t="str">
        <f t="shared" si="72"/>
        <v/>
      </c>
      <c r="CE121" s="39" t="str">
        <f t="shared" si="72"/>
        <v/>
      </c>
      <c r="CF121" s="39" t="str">
        <f t="shared" si="72"/>
        <v/>
      </c>
      <c r="CG121" s="39" t="str">
        <f t="shared" si="72"/>
        <v/>
      </c>
      <c r="CH121" s="39" t="str">
        <f t="shared" si="72"/>
        <v/>
      </c>
      <c r="CI121" s="39" t="str">
        <f t="shared" si="72"/>
        <v/>
      </c>
      <c r="CJ121" s="39" t="str">
        <f t="shared" si="72"/>
        <v/>
      </c>
      <c r="CK121" s="39" t="str">
        <f t="shared" si="72"/>
        <v/>
      </c>
      <c r="CL121" s="39" t="str">
        <f t="shared" si="72"/>
        <v/>
      </c>
      <c r="CM121" s="39" t="str">
        <f t="shared" si="72"/>
        <v/>
      </c>
      <c r="CN121" s="39" t="str">
        <f t="shared" si="72"/>
        <v/>
      </c>
      <c r="CO121" s="39" t="str">
        <f t="shared" si="72"/>
        <v/>
      </c>
      <c r="CP121" s="39" t="str">
        <f t="shared" si="72"/>
        <v/>
      </c>
      <c r="CQ121" s="39" t="str">
        <f t="shared" ref="CQ121:DE137" si="73">IFERROR(INDEX($AZ$4:$AZ$1000,MATCH(SUMIFS($AY$4:$AY$1000,$BA$4:$BA$1000,$BL121,$BB$4:$BB$1000,CQ$3,$BJ$4:$BJ$1000,"营"),$AY$4:$AY$1000,0)),"")</f>
        <v/>
      </c>
      <c r="CR121" s="39" t="str">
        <f t="shared" si="73"/>
        <v/>
      </c>
      <c r="CS121" s="39" t="str">
        <f t="shared" si="73"/>
        <v/>
      </c>
      <c r="CT121" s="39" t="str">
        <f t="shared" si="73"/>
        <v/>
      </c>
      <c r="CU121" s="39" t="str">
        <f t="shared" si="73"/>
        <v/>
      </c>
      <c r="CV121" s="39" t="str">
        <f t="shared" si="73"/>
        <v/>
      </c>
      <c r="CW121" s="39" t="str">
        <f t="shared" si="73"/>
        <v/>
      </c>
      <c r="CX121" s="39" t="str">
        <f t="shared" si="73"/>
        <v/>
      </c>
      <c r="CY121" s="39" t="str">
        <f t="shared" si="73"/>
        <v/>
      </c>
      <c r="CZ121" s="39" t="str">
        <f t="shared" si="73"/>
        <v/>
      </c>
      <c r="DA121" s="39" t="str">
        <f t="shared" si="73"/>
        <v/>
      </c>
      <c r="DB121" s="39" t="str">
        <f t="shared" si="73"/>
        <v/>
      </c>
      <c r="DC121" s="39" t="str">
        <f t="shared" si="73"/>
        <v/>
      </c>
      <c r="DD121" s="39" t="str">
        <f t="shared" si="73"/>
        <v/>
      </c>
      <c r="DE121" s="39" t="str">
        <f t="shared" si="73"/>
        <v/>
      </c>
      <c r="DF121" s="37" t="str">
        <f t="shared" si="58"/>
        <v>0+0+0</v>
      </c>
      <c r="DG121" s="37" t="str">
        <f t="shared" si="59"/>
        <v>0+0</v>
      </c>
      <c r="DH121" s="37" t="str">
        <f t="shared" si="60"/>
        <v>0+0</v>
      </c>
      <c r="DI121" s="37" t="str">
        <f t="shared" si="61"/>
        <v>0+0</v>
      </c>
      <c r="DJ121" s="37" t="str">
        <f t="shared" si="62"/>
        <v>0+0+0|0+0|0+0|0+0</v>
      </c>
    </row>
    <row r="122" spans="2:114" x14ac:dyDescent="0.15">
      <c r="B122" s="15">
        <v>119</v>
      </c>
      <c r="C122" s="15" t="s">
        <v>621</v>
      </c>
      <c r="D122" s="15">
        <v>79</v>
      </c>
      <c r="G122" s="27" t="s">
        <v>512</v>
      </c>
      <c r="H122" s="27">
        <v>129</v>
      </c>
      <c r="I122" s="26" t="s">
        <v>380</v>
      </c>
      <c r="J122" s="26">
        <f t="shared" si="40"/>
        <v>179</v>
      </c>
      <c r="M122" s="27" t="s">
        <v>512</v>
      </c>
      <c r="N122" s="27">
        <v>129</v>
      </c>
      <c r="O122" s="26" t="s">
        <v>643</v>
      </c>
      <c r="P122" s="26">
        <f t="shared" si="41"/>
        <v>106</v>
      </c>
      <c r="Q122" s="26"/>
      <c r="R122" s="26"/>
      <c r="S122" s="27" t="s">
        <v>512</v>
      </c>
      <c r="T122" s="27">
        <v>129</v>
      </c>
      <c r="U122" s="26" t="s">
        <v>219</v>
      </c>
      <c r="V122" s="26">
        <f t="shared" si="42"/>
        <v>105</v>
      </c>
      <c r="W122" s="26"/>
      <c r="Y122" s="27" t="s">
        <v>512</v>
      </c>
      <c r="Z122" s="27">
        <v>129</v>
      </c>
      <c r="AA122" s="26" t="s">
        <v>60</v>
      </c>
      <c r="AB122" s="26">
        <f t="shared" si="43"/>
        <v>26</v>
      </c>
      <c r="AE122" s="27" t="s">
        <v>512</v>
      </c>
      <c r="AF122" s="27">
        <v>129</v>
      </c>
      <c r="AG122" s="26" t="s">
        <v>936</v>
      </c>
      <c r="AH122" s="26">
        <f t="shared" si="44"/>
        <v>124</v>
      </c>
      <c r="AK122" s="27" t="s">
        <v>512</v>
      </c>
      <c r="AL122" s="27">
        <v>129</v>
      </c>
      <c r="AM122" s="26" t="s">
        <v>974</v>
      </c>
      <c r="AN122" s="26">
        <f t="shared" si="45"/>
        <v>71</v>
      </c>
      <c r="AQ122" s="27" t="s">
        <v>512</v>
      </c>
      <c r="AR122" s="27">
        <v>129</v>
      </c>
      <c r="AS122" s="26" t="s">
        <v>627</v>
      </c>
      <c r="AT122" s="26">
        <f t="shared" si="46"/>
        <v>87</v>
      </c>
      <c r="AX122" s="15"/>
      <c r="AY122" s="35">
        <f t="shared" si="47"/>
        <v>119</v>
      </c>
      <c r="AZ122" s="35" t="str">
        <f t="shared" si="48"/>
        <v>640+819</v>
      </c>
      <c r="BA122" s="35">
        <f t="shared" si="49"/>
        <v>79</v>
      </c>
      <c r="BB122" s="38">
        <f>COUNTIF($BA$4:$BA122,$BA122)</f>
        <v>2</v>
      </c>
      <c r="BC122" s="36" t="str">
        <f t="shared" si="50"/>
        <v/>
      </c>
      <c r="BD122" s="36" t="str">
        <f t="shared" si="51"/>
        <v>营</v>
      </c>
      <c r="BE122" s="36" t="str">
        <f t="shared" si="52"/>
        <v>营</v>
      </c>
      <c r="BF122" s="36" t="str">
        <f t="shared" si="53"/>
        <v/>
      </c>
      <c r="BG122" s="36" t="str">
        <f t="shared" si="54"/>
        <v>营</v>
      </c>
      <c r="BH122" s="36" t="str">
        <f t="shared" si="55"/>
        <v>营</v>
      </c>
      <c r="BI122" s="36" t="str">
        <f t="shared" si="56"/>
        <v/>
      </c>
      <c r="BJ122" s="29" t="str">
        <f t="shared" si="57"/>
        <v>营</v>
      </c>
      <c r="BL122" s="15">
        <v>119</v>
      </c>
      <c r="BM122" s="39" t="str">
        <f t="shared" ref="BM122:CA137" si="74">IFERROR(INDEX($AZ$4:$AZ$1000,MATCH(SUMIFS($AY$4:$AY$1000,$BA$4:$BA$1000,$BL122,$BB$4:$BB$1000,BM$3,$BJ$4:$BJ$1000,"村"),$AY$4:$AY$1000,0)),"")</f>
        <v>339+805</v>
      </c>
      <c r="BN122" s="39" t="str">
        <f t="shared" si="74"/>
        <v>380+809</v>
      </c>
      <c r="BO122" s="39" t="str">
        <f t="shared" si="74"/>
        <v/>
      </c>
      <c r="BP122" s="39" t="str">
        <f t="shared" si="74"/>
        <v/>
      </c>
      <c r="BQ122" s="39" t="str">
        <f t="shared" si="74"/>
        <v/>
      </c>
      <c r="BR122" s="39" t="str">
        <f t="shared" si="74"/>
        <v/>
      </c>
      <c r="BS122" s="39" t="str">
        <f t="shared" si="74"/>
        <v/>
      </c>
      <c r="BT122" s="39" t="str">
        <f t="shared" si="74"/>
        <v/>
      </c>
      <c r="BU122" s="39" t="str">
        <f t="shared" si="74"/>
        <v/>
      </c>
      <c r="BV122" s="39" t="str">
        <f t="shared" si="74"/>
        <v/>
      </c>
      <c r="BW122" s="39" t="str">
        <f t="shared" si="74"/>
        <v/>
      </c>
      <c r="BX122" s="39" t="str">
        <f t="shared" si="74"/>
        <v/>
      </c>
      <c r="BY122" s="39" t="str">
        <f t="shared" si="74"/>
        <v/>
      </c>
      <c r="BZ122" s="39" t="str">
        <f t="shared" si="74"/>
        <v/>
      </c>
      <c r="CA122" s="39" t="str">
        <f t="shared" si="74"/>
        <v/>
      </c>
      <c r="CB122" s="39" t="str">
        <f t="shared" si="72"/>
        <v/>
      </c>
      <c r="CC122" s="39" t="str">
        <f t="shared" si="72"/>
        <v/>
      </c>
      <c r="CD122" s="39" t="str">
        <f t="shared" si="72"/>
        <v>355+843</v>
      </c>
      <c r="CE122" s="39" t="str">
        <f t="shared" si="72"/>
        <v/>
      </c>
      <c r="CF122" s="39" t="str">
        <f t="shared" si="72"/>
        <v/>
      </c>
      <c r="CG122" s="39" t="str">
        <f t="shared" si="72"/>
        <v/>
      </c>
      <c r="CH122" s="39" t="str">
        <f t="shared" si="72"/>
        <v/>
      </c>
      <c r="CI122" s="39" t="str">
        <f t="shared" si="72"/>
        <v/>
      </c>
      <c r="CJ122" s="39" t="str">
        <f t="shared" si="72"/>
        <v/>
      </c>
      <c r="CK122" s="39" t="str">
        <f t="shared" si="72"/>
        <v/>
      </c>
      <c r="CL122" s="39" t="str">
        <f t="shared" si="72"/>
        <v/>
      </c>
      <c r="CM122" s="39" t="str">
        <f t="shared" si="72"/>
        <v/>
      </c>
      <c r="CN122" s="39" t="str">
        <f t="shared" si="72"/>
        <v/>
      </c>
      <c r="CO122" s="39" t="str">
        <f t="shared" si="72"/>
        <v/>
      </c>
      <c r="CP122" s="39" t="str">
        <f t="shared" si="72"/>
        <v/>
      </c>
      <c r="CQ122" s="39" t="str">
        <f t="shared" si="73"/>
        <v/>
      </c>
      <c r="CR122" s="39" t="str">
        <f t="shared" si="73"/>
        <v/>
      </c>
      <c r="CS122" s="39" t="str">
        <f t="shared" si="73"/>
        <v/>
      </c>
      <c r="CT122" s="39" t="str">
        <f t="shared" si="73"/>
        <v/>
      </c>
      <c r="CU122" s="39" t="str">
        <f t="shared" si="73"/>
        <v/>
      </c>
      <c r="CV122" s="39" t="str">
        <f t="shared" si="73"/>
        <v/>
      </c>
      <c r="CW122" s="39" t="str">
        <f t="shared" si="73"/>
        <v/>
      </c>
      <c r="CX122" s="39" t="str">
        <f t="shared" si="73"/>
        <v/>
      </c>
      <c r="CY122" s="39" t="str">
        <f t="shared" si="73"/>
        <v/>
      </c>
      <c r="CZ122" s="39" t="str">
        <f t="shared" si="73"/>
        <v/>
      </c>
      <c r="DA122" s="39" t="str">
        <f t="shared" si="73"/>
        <v/>
      </c>
      <c r="DB122" s="39" t="str">
        <f t="shared" si="73"/>
        <v/>
      </c>
      <c r="DC122" s="39" t="str">
        <f t="shared" si="73"/>
        <v/>
      </c>
      <c r="DD122" s="39" t="str">
        <f t="shared" si="73"/>
        <v/>
      </c>
      <c r="DE122" s="39" t="str">
        <f t="shared" si="73"/>
        <v/>
      </c>
      <c r="DF122" s="37" t="str">
        <f t="shared" si="58"/>
        <v>2+1+0</v>
      </c>
      <c r="DG122" s="37" t="str">
        <f t="shared" si="59"/>
        <v>339+805|380+809</v>
      </c>
      <c r="DH122" s="37" t="str">
        <f t="shared" si="60"/>
        <v>355+843</v>
      </c>
      <c r="DI122" s="37" t="str">
        <f t="shared" si="61"/>
        <v>0+0</v>
      </c>
      <c r="DJ122" s="37" t="str">
        <f t="shared" si="62"/>
        <v>2+1+0|339+805|380+809|355+843|0+0</v>
      </c>
    </row>
    <row r="123" spans="2:114" x14ac:dyDescent="0.15">
      <c r="B123" s="15">
        <v>120</v>
      </c>
      <c r="C123" s="15" t="s">
        <v>175</v>
      </c>
      <c r="D123" s="15">
        <v>83</v>
      </c>
      <c r="G123" s="25" t="s">
        <v>513</v>
      </c>
      <c r="H123" s="25">
        <v>130</v>
      </c>
      <c r="I123" s="26" t="s">
        <v>408</v>
      </c>
      <c r="J123" s="26">
        <f t="shared" si="40"/>
        <v>50</v>
      </c>
      <c r="M123" s="25" t="s">
        <v>513</v>
      </c>
      <c r="N123" s="25">
        <v>130</v>
      </c>
      <c r="O123" s="26" t="s">
        <v>192</v>
      </c>
      <c r="P123" s="26">
        <f t="shared" si="41"/>
        <v>91</v>
      </c>
      <c r="Q123" s="26"/>
      <c r="R123" s="26"/>
      <c r="S123" s="25" t="s">
        <v>513</v>
      </c>
      <c r="T123" s="25">
        <v>130</v>
      </c>
      <c r="U123" s="26" t="s">
        <v>638</v>
      </c>
      <c r="V123" s="26">
        <f t="shared" si="42"/>
        <v>102</v>
      </c>
      <c r="W123" s="26"/>
      <c r="Y123" s="25" t="s">
        <v>513</v>
      </c>
      <c r="Z123" s="25">
        <v>130</v>
      </c>
      <c r="AA123" s="26" t="s">
        <v>101</v>
      </c>
      <c r="AB123" s="26">
        <f t="shared" si="43"/>
        <v>47</v>
      </c>
      <c r="AE123" s="25" t="s">
        <v>513</v>
      </c>
      <c r="AF123" s="25">
        <v>130</v>
      </c>
      <c r="AG123" s="26" t="s">
        <v>896</v>
      </c>
      <c r="AH123" s="26">
        <f t="shared" si="44"/>
        <v>70</v>
      </c>
      <c r="AK123" s="25" t="s">
        <v>513</v>
      </c>
      <c r="AL123" s="25">
        <v>130</v>
      </c>
      <c r="AM123" s="26" t="s">
        <v>435</v>
      </c>
      <c r="AN123" s="26">
        <f t="shared" si="45"/>
        <v>128</v>
      </c>
      <c r="AQ123" s="25" t="s">
        <v>513</v>
      </c>
      <c r="AR123" s="25">
        <v>130</v>
      </c>
      <c r="AS123" s="26" t="s">
        <v>658</v>
      </c>
      <c r="AT123" s="26">
        <f t="shared" si="46"/>
        <v>135</v>
      </c>
      <c r="AX123" s="15"/>
      <c r="AY123" s="35">
        <f t="shared" si="47"/>
        <v>120</v>
      </c>
      <c r="AZ123" s="35" t="str">
        <f t="shared" si="48"/>
        <v>597+814</v>
      </c>
      <c r="BA123" s="35">
        <f t="shared" si="49"/>
        <v>83</v>
      </c>
      <c r="BB123" s="38">
        <f>COUNTIF($BA$4:$BA123,$BA123)</f>
        <v>1</v>
      </c>
      <c r="BC123" s="36" t="str">
        <f t="shared" si="50"/>
        <v/>
      </c>
      <c r="BD123" s="36" t="str">
        <f t="shared" si="51"/>
        <v>村</v>
      </c>
      <c r="BE123" s="36" t="str">
        <f t="shared" si="52"/>
        <v>村</v>
      </c>
      <c r="BF123" s="36" t="str">
        <f t="shared" si="53"/>
        <v/>
      </c>
      <c r="BG123" s="36" t="str">
        <f t="shared" si="54"/>
        <v/>
      </c>
      <c r="BH123" s="36" t="str">
        <f t="shared" si="55"/>
        <v>村</v>
      </c>
      <c r="BI123" s="36" t="str">
        <f t="shared" si="56"/>
        <v/>
      </c>
      <c r="BJ123" s="29" t="str">
        <f t="shared" si="57"/>
        <v>村</v>
      </c>
      <c r="BL123" s="15">
        <v>120</v>
      </c>
      <c r="BM123" s="39" t="str">
        <f t="shared" si="74"/>
        <v>428+887</v>
      </c>
      <c r="BN123" s="39" t="str">
        <f t="shared" si="74"/>
        <v>382+861</v>
      </c>
      <c r="BO123" s="39" t="str">
        <f t="shared" si="74"/>
        <v/>
      </c>
      <c r="BP123" s="39" t="str">
        <f t="shared" si="74"/>
        <v/>
      </c>
      <c r="BQ123" s="39" t="str">
        <f t="shared" si="74"/>
        <v/>
      </c>
      <c r="BR123" s="39" t="str">
        <f t="shared" si="74"/>
        <v/>
      </c>
      <c r="BS123" s="39" t="str">
        <f t="shared" si="74"/>
        <v/>
      </c>
      <c r="BT123" s="39" t="str">
        <f t="shared" si="74"/>
        <v/>
      </c>
      <c r="BU123" s="39" t="str">
        <f t="shared" si="74"/>
        <v/>
      </c>
      <c r="BV123" s="39" t="str">
        <f t="shared" si="74"/>
        <v/>
      </c>
      <c r="BW123" s="39" t="str">
        <f t="shared" si="74"/>
        <v/>
      </c>
      <c r="BX123" s="39" t="str">
        <f t="shared" si="74"/>
        <v/>
      </c>
      <c r="BY123" s="39" t="str">
        <f t="shared" si="74"/>
        <v/>
      </c>
      <c r="BZ123" s="39" t="str">
        <f t="shared" si="74"/>
        <v/>
      </c>
      <c r="CA123" s="39" t="str">
        <f t="shared" si="74"/>
        <v/>
      </c>
      <c r="CB123" s="39" t="str">
        <f t="shared" si="72"/>
        <v/>
      </c>
      <c r="CC123" s="39" t="str">
        <f t="shared" si="72"/>
        <v/>
      </c>
      <c r="CD123" s="39" t="str">
        <f t="shared" si="72"/>
        <v/>
      </c>
      <c r="CE123" s="39" t="str">
        <f t="shared" si="72"/>
        <v/>
      </c>
      <c r="CF123" s="39" t="str">
        <f t="shared" si="72"/>
        <v/>
      </c>
      <c r="CG123" s="39" t="str">
        <f t="shared" si="72"/>
        <v/>
      </c>
      <c r="CH123" s="39" t="str">
        <f t="shared" si="72"/>
        <v/>
      </c>
      <c r="CI123" s="39" t="str">
        <f t="shared" si="72"/>
        <v/>
      </c>
      <c r="CJ123" s="39" t="str">
        <f t="shared" si="72"/>
        <v/>
      </c>
      <c r="CK123" s="39" t="str">
        <f t="shared" si="72"/>
        <v/>
      </c>
      <c r="CL123" s="39" t="str">
        <f t="shared" si="72"/>
        <v/>
      </c>
      <c r="CM123" s="39" t="str">
        <f t="shared" si="72"/>
        <v/>
      </c>
      <c r="CN123" s="39" t="str">
        <f t="shared" si="72"/>
        <v/>
      </c>
      <c r="CO123" s="39" t="str">
        <f t="shared" si="72"/>
        <v/>
      </c>
      <c r="CP123" s="39" t="str">
        <f t="shared" si="72"/>
        <v/>
      </c>
      <c r="CQ123" s="39" t="str">
        <f t="shared" si="73"/>
        <v/>
      </c>
      <c r="CR123" s="39" t="str">
        <f t="shared" si="73"/>
        <v/>
      </c>
      <c r="CS123" s="39" t="str">
        <f t="shared" si="73"/>
        <v/>
      </c>
      <c r="CT123" s="39" t="str">
        <f t="shared" si="73"/>
        <v/>
      </c>
      <c r="CU123" s="39" t="str">
        <f t="shared" si="73"/>
        <v/>
      </c>
      <c r="CV123" s="39" t="str">
        <f t="shared" si="73"/>
        <v/>
      </c>
      <c r="CW123" s="39" t="str">
        <f t="shared" si="73"/>
        <v/>
      </c>
      <c r="CX123" s="39" t="str">
        <f t="shared" si="73"/>
        <v/>
      </c>
      <c r="CY123" s="39" t="str">
        <f t="shared" si="73"/>
        <v/>
      </c>
      <c r="CZ123" s="39" t="str">
        <f t="shared" si="73"/>
        <v/>
      </c>
      <c r="DA123" s="39" t="str">
        <f t="shared" si="73"/>
        <v/>
      </c>
      <c r="DB123" s="39" t="str">
        <f t="shared" si="73"/>
        <v/>
      </c>
      <c r="DC123" s="39" t="str">
        <f t="shared" si="73"/>
        <v/>
      </c>
      <c r="DD123" s="39" t="str">
        <f t="shared" si="73"/>
        <v/>
      </c>
      <c r="DE123" s="39" t="str">
        <f t="shared" si="73"/>
        <v/>
      </c>
      <c r="DF123" s="37" t="str">
        <f t="shared" si="58"/>
        <v>2+0+0</v>
      </c>
      <c r="DG123" s="37" t="str">
        <f t="shared" si="59"/>
        <v>428+887|382+861</v>
      </c>
      <c r="DH123" s="37" t="str">
        <f t="shared" si="60"/>
        <v>0+0</v>
      </c>
      <c r="DI123" s="37" t="str">
        <f t="shared" si="61"/>
        <v>0+0</v>
      </c>
      <c r="DJ123" s="37" t="str">
        <f t="shared" si="62"/>
        <v>2+0+0|428+887|382+861|0+0|0+0</v>
      </c>
    </row>
    <row r="124" spans="2:114" x14ac:dyDescent="0.15">
      <c r="B124" s="15">
        <v>121</v>
      </c>
      <c r="C124" s="15" t="s">
        <v>824</v>
      </c>
      <c r="D124" s="15">
        <v>84</v>
      </c>
      <c r="G124" s="25" t="s">
        <v>513</v>
      </c>
      <c r="H124" s="25">
        <v>131</v>
      </c>
      <c r="I124" s="26" t="s">
        <v>684</v>
      </c>
      <c r="J124" s="26">
        <f t="shared" si="40"/>
        <v>171</v>
      </c>
      <c r="M124" s="25" t="s">
        <v>513</v>
      </c>
      <c r="N124" s="25">
        <v>131</v>
      </c>
      <c r="O124" s="26" t="s">
        <v>420</v>
      </c>
      <c r="P124" s="26">
        <f t="shared" si="41"/>
        <v>89</v>
      </c>
      <c r="Q124" s="26"/>
      <c r="R124" s="26"/>
      <c r="S124" s="25" t="s">
        <v>513</v>
      </c>
      <c r="T124" s="25">
        <v>131</v>
      </c>
      <c r="U124" s="26" t="s">
        <v>589</v>
      </c>
      <c r="V124" s="26">
        <f t="shared" si="42"/>
        <v>13</v>
      </c>
      <c r="W124" s="26"/>
      <c r="Y124" s="25" t="s">
        <v>513</v>
      </c>
      <c r="Z124" s="25">
        <v>131</v>
      </c>
      <c r="AA124" s="26" t="s">
        <v>734</v>
      </c>
      <c r="AB124" s="26">
        <f t="shared" si="43"/>
        <v>41</v>
      </c>
      <c r="AE124" s="25" t="s">
        <v>513</v>
      </c>
      <c r="AF124" s="25">
        <v>131</v>
      </c>
      <c r="AG124" s="26" t="s">
        <v>435</v>
      </c>
      <c r="AH124" s="26">
        <f t="shared" si="44"/>
        <v>128</v>
      </c>
      <c r="AK124" s="25" t="s">
        <v>513</v>
      </c>
      <c r="AL124" s="25">
        <v>131</v>
      </c>
      <c r="AM124" s="26" t="s">
        <v>946</v>
      </c>
      <c r="AN124" s="26">
        <f t="shared" si="45"/>
        <v>110</v>
      </c>
      <c r="AQ124" s="25" t="s">
        <v>513</v>
      </c>
      <c r="AR124" s="25">
        <v>131</v>
      </c>
      <c r="AS124" s="26" t="s">
        <v>1005</v>
      </c>
      <c r="AT124" s="26">
        <f t="shared" si="46"/>
        <v>134</v>
      </c>
      <c r="AX124" s="15"/>
      <c r="AY124" s="35">
        <f t="shared" si="47"/>
        <v>121</v>
      </c>
      <c r="AZ124" s="35" t="str">
        <f t="shared" si="48"/>
        <v>623+802</v>
      </c>
      <c r="BA124" s="35">
        <f t="shared" si="49"/>
        <v>84</v>
      </c>
      <c r="BB124" s="38">
        <f>COUNTIF($BA$4:$BA124,$BA124)</f>
        <v>1</v>
      </c>
      <c r="BC124" s="36" t="str">
        <f t="shared" si="50"/>
        <v/>
      </c>
      <c r="BD124" s="36" t="str">
        <f t="shared" si="51"/>
        <v/>
      </c>
      <c r="BE124" s="36" t="str">
        <f t="shared" si="52"/>
        <v>村</v>
      </c>
      <c r="BF124" s="36" t="str">
        <f t="shared" si="53"/>
        <v/>
      </c>
      <c r="BG124" s="36" t="str">
        <f t="shared" si="54"/>
        <v>村</v>
      </c>
      <c r="BH124" s="36" t="str">
        <f t="shared" si="55"/>
        <v>村</v>
      </c>
      <c r="BI124" s="36" t="str">
        <f t="shared" si="56"/>
        <v/>
      </c>
      <c r="BJ124" s="29" t="str">
        <f t="shared" si="57"/>
        <v>村</v>
      </c>
      <c r="BL124" s="15">
        <v>121</v>
      </c>
      <c r="BM124" s="39" t="str">
        <f t="shared" si="74"/>
        <v>464+900</v>
      </c>
      <c r="BN124" s="39" t="str">
        <f t="shared" si="74"/>
        <v/>
      </c>
      <c r="BO124" s="39" t="str">
        <f t="shared" si="74"/>
        <v/>
      </c>
      <c r="BP124" s="39" t="str">
        <f t="shared" si="74"/>
        <v/>
      </c>
      <c r="BQ124" s="39" t="str">
        <f t="shared" si="74"/>
        <v/>
      </c>
      <c r="BR124" s="39" t="str">
        <f t="shared" si="74"/>
        <v/>
      </c>
      <c r="BS124" s="39" t="str">
        <f t="shared" si="74"/>
        <v/>
      </c>
      <c r="BT124" s="39" t="str">
        <f t="shared" si="74"/>
        <v/>
      </c>
      <c r="BU124" s="39" t="str">
        <f t="shared" si="74"/>
        <v/>
      </c>
      <c r="BV124" s="39" t="str">
        <f t="shared" si="74"/>
        <v/>
      </c>
      <c r="BW124" s="39" t="str">
        <f t="shared" si="74"/>
        <v/>
      </c>
      <c r="BX124" s="39" t="str">
        <f t="shared" si="74"/>
        <v/>
      </c>
      <c r="BY124" s="39" t="str">
        <f t="shared" si="74"/>
        <v/>
      </c>
      <c r="BZ124" s="39" t="str">
        <f t="shared" si="74"/>
        <v/>
      </c>
      <c r="CA124" s="39" t="str">
        <f t="shared" si="74"/>
        <v/>
      </c>
      <c r="CB124" s="39" t="str">
        <f t="shared" si="72"/>
        <v/>
      </c>
      <c r="CC124" s="39" t="str">
        <f t="shared" si="72"/>
        <v/>
      </c>
      <c r="CD124" s="39" t="str">
        <f t="shared" si="72"/>
        <v/>
      </c>
      <c r="CE124" s="39" t="str">
        <f t="shared" si="72"/>
        <v/>
      </c>
      <c r="CF124" s="39" t="str">
        <f t="shared" si="72"/>
        <v/>
      </c>
      <c r="CG124" s="39" t="str">
        <f t="shared" si="72"/>
        <v/>
      </c>
      <c r="CH124" s="39" t="str">
        <f t="shared" si="72"/>
        <v/>
      </c>
      <c r="CI124" s="39" t="str">
        <f t="shared" si="72"/>
        <v/>
      </c>
      <c r="CJ124" s="39" t="str">
        <f t="shared" si="72"/>
        <v/>
      </c>
      <c r="CK124" s="39" t="str">
        <f t="shared" si="72"/>
        <v/>
      </c>
      <c r="CL124" s="39" t="str">
        <f t="shared" si="72"/>
        <v/>
      </c>
      <c r="CM124" s="39" t="str">
        <f t="shared" si="72"/>
        <v/>
      </c>
      <c r="CN124" s="39" t="str">
        <f t="shared" si="72"/>
        <v/>
      </c>
      <c r="CO124" s="39" t="str">
        <f t="shared" si="72"/>
        <v/>
      </c>
      <c r="CP124" s="39" t="str">
        <f t="shared" si="72"/>
        <v/>
      </c>
      <c r="CQ124" s="39" t="str">
        <f t="shared" si="73"/>
        <v/>
      </c>
      <c r="CR124" s="39" t="str">
        <f t="shared" si="73"/>
        <v/>
      </c>
      <c r="CS124" s="39" t="str">
        <f t="shared" si="73"/>
        <v/>
      </c>
      <c r="CT124" s="39" t="str">
        <f t="shared" si="73"/>
        <v/>
      </c>
      <c r="CU124" s="39" t="str">
        <f t="shared" si="73"/>
        <v/>
      </c>
      <c r="CV124" s="39" t="str">
        <f t="shared" si="73"/>
        <v/>
      </c>
      <c r="CW124" s="39" t="str">
        <f t="shared" si="73"/>
        <v/>
      </c>
      <c r="CX124" s="39" t="str">
        <f t="shared" si="73"/>
        <v/>
      </c>
      <c r="CY124" s="39" t="str">
        <f t="shared" si="73"/>
        <v/>
      </c>
      <c r="CZ124" s="39" t="str">
        <f t="shared" si="73"/>
        <v/>
      </c>
      <c r="DA124" s="39" t="str">
        <f t="shared" si="73"/>
        <v/>
      </c>
      <c r="DB124" s="39" t="str">
        <f t="shared" si="73"/>
        <v/>
      </c>
      <c r="DC124" s="39" t="str">
        <f t="shared" si="73"/>
        <v/>
      </c>
      <c r="DD124" s="39" t="str">
        <f t="shared" si="73"/>
        <v/>
      </c>
      <c r="DE124" s="39" t="str">
        <f t="shared" si="73"/>
        <v/>
      </c>
      <c r="DF124" s="37" t="str">
        <f t="shared" si="58"/>
        <v>1+0+0</v>
      </c>
      <c r="DG124" s="37" t="str">
        <f t="shared" si="59"/>
        <v>464+900</v>
      </c>
      <c r="DH124" s="37" t="str">
        <f t="shared" si="60"/>
        <v>0+0</v>
      </c>
      <c r="DI124" s="37" t="str">
        <f t="shared" si="61"/>
        <v>0+0</v>
      </c>
      <c r="DJ124" s="37" t="str">
        <f t="shared" si="62"/>
        <v>1+0+0|464+900|0+0|0+0</v>
      </c>
    </row>
    <row r="125" spans="2:114" x14ac:dyDescent="0.15">
      <c r="B125" s="15">
        <v>122</v>
      </c>
      <c r="C125" s="15" t="s">
        <v>1013</v>
      </c>
      <c r="D125" s="15">
        <v>85</v>
      </c>
      <c r="G125" s="27" t="s">
        <v>515</v>
      </c>
      <c r="H125" s="27">
        <v>132</v>
      </c>
      <c r="I125" s="26" t="s">
        <v>424</v>
      </c>
      <c r="J125" s="26">
        <f t="shared" si="40"/>
        <v>55</v>
      </c>
      <c r="M125" s="27" t="s">
        <v>515</v>
      </c>
      <c r="N125" s="27">
        <v>132</v>
      </c>
      <c r="O125" s="26" t="s">
        <v>627</v>
      </c>
      <c r="P125" s="26">
        <f t="shared" si="41"/>
        <v>87</v>
      </c>
      <c r="Q125" s="26"/>
      <c r="R125" s="26"/>
      <c r="S125" s="27" t="s">
        <v>515</v>
      </c>
      <c r="T125" s="27">
        <v>132</v>
      </c>
      <c r="U125" s="26" t="s">
        <v>639</v>
      </c>
      <c r="V125" s="26">
        <f t="shared" si="42"/>
        <v>103</v>
      </c>
      <c r="W125" s="26"/>
      <c r="Y125" s="27" t="s">
        <v>515</v>
      </c>
      <c r="Z125" s="27">
        <v>132</v>
      </c>
      <c r="AA125" s="26" t="s">
        <v>115</v>
      </c>
      <c r="AB125" s="26">
        <f t="shared" si="43"/>
        <v>54</v>
      </c>
      <c r="AE125" s="27" t="s">
        <v>515</v>
      </c>
      <c r="AF125" s="27">
        <v>132</v>
      </c>
      <c r="AG125" s="26" t="s">
        <v>900</v>
      </c>
      <c r="AH125" s="26">
        <f t="shared" si="44"/>
        <v>112</v>
      </c>
      <c r="AK125" s="27" t="s">
        <v>515</v>
      </c>
      <c r="AL125" s="27">
        <v>132</v>
      </c>
      <c r="AM125" s="26" t="s">
        <v>658</v>
      </c>
      <c r="AN125" s="26">
        <f t="shared" si="45"/>
        <v>135</v>
      </c>
      <c r="AQ125" s="27" t="s">
        <v>515</v>
      </c>
      <c r="AR125" s="27">
        <v>132</v>
      </c>
      <c r="AS125" s="26" t="s">
        <v>419</v>
      </c>
      <c r="AT125" s="26">
        <f t="shared" si="46"/>
        <v>127</v>
      </c>
      <c r="AX125" s="15"/>
      <c r="AY125" s="35">
        <f t="shared" si="47"/>
        <v>122</v>
      </c>
      <c r="AZ125" s="35" t="str">
        <f t="shared" si="48"/>
        <v>655+739</v>
      </c>
      <c r="BA125" s="35">
        <f t="shared" si="49"/>
        <v>85</v>
      </c>
      <c r="BB125" s="38">
        <f>COUNTIF($BA$4:$BA125,$BA125)</f>
        <v>1</v>
      </c>
      <c r="BC125" s="36" t="str">
        <f t="shared" si="50"/>
        <v/>
      </c>
      <c r="BD125" s="36" t="str">
        <f t="shared" si="51"/>
        <v/>
      </c>
      <c r="BE125" s="36" t="str">
        <f t="shared" si="52"/>
        <v>村</v>
      </c>
      <c r="BF125" s="36" t="str">
        <f t="shared" si="53"/>
        <v/>
      </c>
      <c r="BG125" s="36" t="str">
        <f t="shared" si="54"/>
        <v>村</v>
      </c>
      <c r="BH125" s="36" t="str">
        <f t="shared" si="55"/>
        <v/>
      </c>
      <c r="BI125" s="36" t="str">
        <f t="shared" si="56"/>
        <v>村</v>
      </c>
      <c r="BJ125" s="29" t="str">
        <f t="shared" si="57"/>
        <v>村</v>
      </c>
      <c r="BL125" s="15">
        <v>122</v>
      </c>
      <c r="BM125" s="39" t="str">
        <f t="shared" si="74"/>
        <v>530+940</v>
      </c>
      <c r="BN125" s="39" t="str">
        <f t="shared" si="74"/>
        <v/>
      </c>
      <c r="BO125" s="39" t="str">
        <f t="shared" si="74"/>
        <v>514+922</v>
      </c>
      <c r="BP125" s="39" t="str">
        <f t="shared" si="74"/>
        <v>472+919</v>
      </c>
      <c r="BQ125" s="39" t="str">
        <f t="shared" si="74"/>
        <v/>
      </c>
      <c r="BR125" s="39" t="str">
        <f t="shared" si="74"/>
        <v/>
      </c>
      <c r="BS125" s="39" t="str">
        <f t="shared" si="74"/>
        <v/>
      </c>
      <c r="BT125" s="39" t="str">
        <f t="shared" si="74"/>
        <v/>
      </c>
      <c r="BU125" s="39" t="str">
        <f t="shared" si="74"/>
        <v/>
      </c>
      <c r="BV125" s="39" t="str">
        <f t="shared" si="74"/>
        <v/>
      </c>
      <c r="BW125" s="39" t="str">
        <f t="shared" si="74"/>
        <v/>
      </c>
      <c r="BX125" s="39" t="str">
        <f t="shared" si="74"/>
        <v/>
      </c>
      <c r="BY125" s="39" t="str">
        <f t="shared" si="74"/>
        <v/>
      </c>
      <c r="BZ125" s="39" t="str">
        <f t="shared" si="74"/>
        <v/>
      </c>
      <c r="CA125" s="39" t="str">
        <f t="shared" si="74"/>
        <v/>
      </c>
      <c r="CB125" s="39" t="str">
        <f t="shared" si="72"/>
        <v/>
      </c>
      <c r="CC125" s="39" t="str">
        <f t="shared" si="72"/>
        <v>484+939</v>
      </c>
      <c r="CD125" s="39" t="str">
        <f t="shared" si="72"/>
        <v/>
      </c>
      <c r="CE125" s="39" t="str">
        <f t="shared" si="72"/>
        <v/>
      </c>
      <c r="CF125" s="39" t="str">
        <f t="shared" si="72"/>
        <v/>
      </c>
      <c r="CG125" s="39" t="str">
        <f t="shared" si="72"/>
        <v/>
      </c>
      <c r="CH125" s="39" t="str">
        <f t="shared" si="72"/>
        <v/>
      </c>
      <c r="CI125" s="39" t="str">
        <f t="shared" si="72"/>
        <v/>
      </c>
      <c r="CJ125" s="39" t="str">
        <f t="shared" si="72"/>
        <v/>
      </c>
      <c r="CK125" s="39" t="str">
        <f t="shared" si="72"/>
        <v/>
      </c>
      <c r="CL125" s="39" t="str">
        <f t="shared" si="72"/>
        <v/>
      </c>
      <c r="CM125" s="39" t="str">
        <f t="shared" si="72"/>
        <v/>
      </c>
      <c r="CN125" s="39" t="str">
        <f t="shared" si="72"/>
        <v/>
      </c>
      <c r="CO125" s="39" t="str">
        <f t="shared" si="72"/>
        <v/>
      </c>
      <c r="CP125" s="39" t="str">
        <f t="shared" si="72"/>
        <v/>
      </c>
      <c r="CQ125" s="39" t="str">
        <f t="shared" si="73"/>
        <v/>
      </c>
      <c r="CR125" s="39" t="str">
        <f t="shared" si="73"/>
        <v/>
      </c>
      <c r="CS125" s="39" t="str">
        <f t="shared" si="73"/>
        <v/>
      </c>
      <c r="CT125" s="39" t="str">
        <f t="shared" si="73"/>
        <v/>
      </c>
      <c r="CU125" s="39" t="str">
        <f t="shared" si="73"/>
        <v>493+917</v>
      </c>
      <c r="CV125" s="39" t="str">
        <f t="shared" si="73"/>
        <v/>
      </c>
      <c r="CW125" s="39" t="str">
        <f t="shared" si="73"/>
        <v/>
      </c>
      <c r="CX125" s="39" t="str">
        <f t="shared" si="73"/>
        <v/>
      </c>
      <c r="CY125" s="39" t="str">
        <f t="shared" si="73"/>
        <v/>
      </c>
      <c r="CZ125" s="39" t="str">
        <f t="shared" si="73"/>
        <v/>
      </c>
      <c r="DA125" s="39" t="str">
        <f t="shared" si="73"/>
        <v/>
      </c>
      <c r="DB125" s="39" t="str">
        <f t="shared" si="73"/>
        <v/>
      </c>
      <c r="DC125" s="39" t="str">
        <f t="shared" si="73"/>
        <v/>
      </c>
      <c r="DD125" s="39" t="str">
        <f t="shared" si="73"/>
        <v/>
      </c>
      <c r="DE125" s="39" t="str">
        <f t="shared" si="73"/>
        <v/>
      </c>
      <c r="DF125" s="37" t="str">
        <f t="shared" si="58"/>
        <v>3+1+1</v>
      </c>
      <c r="DG125" s="37" t="str">
        <f t="shared" si="59"/>
        <v>530+940|514+922|472+919</v>
      </c>
      <c r="DH125" s="37" t="str">
        <f t="shared" si="60"/>
        <v>484+939</v>
      </c>
      <c r="DI125" s="37" t="str">
        <f t="shared" si="61"/>
        <v>493+917</v>
      </c>
      <c r="DJ125" s="37" t="str">
        <f t="shared" si="62"/>
        <v>3+1+1|530+940|514+922|472+919|484+939|493+917</v>
      </c>
    </row>
    <row r="126" spans="2:114" x14ac:dyDescent="0.15">
      <c r="B126" s="15">
        <v>123</v>
      </c>
      <c r="C126" s="15" t="s">
        <v>180</v>
      </c>
      <c r="D126" s="15">
        <v>85</v>
      </c>
      <c r="G126" s="27" t="s">
        <v>515</v>
      </c>
      <c r="H126" s="27">
        <v>133</v>
      </c>
      <c r="I126" s="26" t="s">
        <v>371</v>
      </c>
      <c r="J126" s="26">
        <f t="shared" si="40"/>
        <v>176</v>
      </c>
      <c r="M126" s="27" t="s">
        <v>515</v>
      </c>
      <c r="N126" s="27">
        <v>133</v>
      </c>
      <c r="O126" s="26" t="s">
        <v>625</v>
      </c>
      <c r="P126" s="26">
        <f t="shared" si="41"/>
        <v>85</v>
      </c>
      <c r="Q126" s="26"/>
      <c r="R126" s="26"/>
      <c r="S126" s="27" t="s">
        <v>515</v>
      </c>
      <c r="T126" s="27">
        <v>133</v>
      </c>
      <c r="U126" s="26" t="s">
        <v>850</v>
      </c>
      <c r="V126" s="26">
        <f t="shared" si="42"/>
        <v>2</v>
      </c>
      <c r="W126" s="26"/>
      <c r="Y126" s="27" t="s">
        <v>515</v>
      </c>
      <c r="Z126" s="27">
        <v>133</v>
      </c>
      <c r="AA126" s="26" t="s">
        <v>602</v>
      </c>
      <c r="AB126" s="26">
        <f t="shared" si="43"/>
        <v>49</v>
      </c>
      <c r="AE126" s="27" t="s">
        <v>515</v>
      </c>
      <c r="AF126" s="27">
        <v>133</v>
      </c>
      <c r="AG126" s="26" t="s">
        <v>284</v>
      </c>
      <c r="AH126" s="26">
        <f t="shared" si="44"/>
        <v>136</v>
      </c>
      <c r="AK126" s="27" t="s">
        <v>515</v>
      </c>
      <c r="AL126" s="27">
        <v>133</v>
      </c>
      <c r="AM126" s="26" t="s">
        <v>420</v>
      </c>
      <c r="AN126" s="26">
        <f t="shared" si="45"/>
        <v>89</v>
      </c>
      <c r="AQ126" s="27" t="s">
        <v>515</v>
      </c>
      <c r="AR126" s="27">
        <v>133</v>
      </c>
      <c r="AS126" s="26" t="s">
        <v>654</v>
      </c>
      <c r="AT126" s="26">
        <f t="shared" si="46"/>
        <v>126</v>
      </c>
      <c r="AX126" s="15"/>
      <c r="AY126" s="35">
        <f t="shared" si="47"/>
        <v>123</v>
      </c>
      <c r="AZ126" s="35" t="str">
        <f t="shared" si="48"/>
        <v>628+731</v>
      </c>
      <c r="BA126" s="35">
        <f t="shared" si="49"/>
        <v>85</v>
      </c>
      <c r="BB126" s="38">
        <f>COUNTIF($BA$4:$BA126,$BA126)</f>
        <v>2</v>
      </c>
      <c r="BC126" s="36" t="str">
        <f t="shared" si="50"/>
        <v/>
      </c>
      <c r="BD126" s="36" t="str">
        <f t="shared" si="51"/>
        <v>村</v>
      </c>
      <c r="BE126" s="36" t="str">
        <f t="shared" si="52"/>
        <v>村</v>
      </c>
      <c r="BF126" s="36" t="str">
        <f t="shared" si="53"/>
        <v/>
      </c>
      <c r="BG126" s="36" t="str">
        <f t="shared" si="54"/>
        <v>村</v>
      </c>
      <c r="BH126" s="36" t="str">
        <f t="shared" si="55"/>
        <v>村</v>
      </c>
      <c r="BI126" s="36" t="str">
        <f t="shared" si="56"/>
        <v>村</v>
      </c>
      <c r="BJ126" s="29" t="str">
        <f t="shared" si="57"/>
        <v>村</v>
      </c>
      <c r="BL126" s="15">
        <v>123</v>
      </c>
      <c r="BM126" s="39" t="str">
        <f t="shared" si="74"/>
        <v>615+964</v>
      </c>
      <c r="BN126" s="39" t="str">
        <f t="shared" si="74"/>
        <v/>
      </c>
      <c r="BO126" s="39" t="str">
        <f t="shared" si="74"/>
        <v>575+945</v>
      </c>
      <c r="BP126" s="39" t="str">
        <f t="shared" si="74"/>
        <v/>
      </c>
      <c r="BQ126" s="39" t="str">
        <f t="shared" si="74"/>
        <v/>
      </c>
      <c r="BR126" s="39" t="str">
        <f t="shared" si="74"/>
        <v/>
      </c>
      <c r="BS126" s="39" t="str">
        <f t="shared" si="74"/>
        <v/>
      </c>
      <c r="BT126" s="39" t="str">
        <f t="shared" si="74"/>
        <v/>
      </c>
      <c r="BU126" s="39" t="str">
        <f t="shared" si="74"/>
        <v/>
      </c>
      <c r="BV126" s="39" t="str">
        <f t="shared" si="74"/>
        <v/>
      </c>
      <c r="BW126" s="39" t="str">
        <f t="shared" si="74"/>
        <v/>
      </c>
      <c r="BX126" s="39" t="str">
        <f t="shared" si="74"/>
        <v/>
      </c>
      <c r="BY126" s="39" t="str">
        <f t="shared" si="74"/>
        <v/>
      </c>
      <c r="BZ126" s="39" t="str">
        <f t="shared" si="74"/>
        <v/>
      </c>
      <c r="CA126" s="39" t="str">
        <f t="shared" si="74"/>
        <v/>
      </c>
      <c r="CB126" s="39" t="str">
        <f t="shared" si="72"/>
        <v/>
      </c>
      <c r="CC126" s="39" t="str">
        <f t="shared" si="72"/>
        <v>592+961</v>
      </c>
      <c r="CD126" s="39" t="str">
        <f t="shared" si="72"/>
        <v/>
      </c>
      <c r="CE126" s="39" t="str">
        <f t="shared" si="72"/>
        <v/>
      </c>
      <c r="CF126" s="39" t="str">
        <f t="shared" si="72"/>
        <v/>
      </c>
      <c r="CG126" s="39" t="str">
        <f t="shared" si="72"/>
        <v/>
      </c>
      <c r="CH126" s="39" t="str">
        <f t="shared" si="72"/>
        <v/>
      </c>
      <c r="CI126" s="39" t="str">
        <f t="shared" si="72"/>
        <v/>
      </c>
      <c r="CJ126" s="39" t="str">
        <f t="shared" si="72"/>
        <v/>
      </c>
      <c r="CK126" s="39" t="str">
        <f t="shared" si="72"/>
        <v/>
      </c>
      <c r="CL126" s="39" t="str">
        <f t="shared" si="72"/>
        <v/>
      </c>
      <c r="CM126" s="39" t="str">
        <f t="shared" si="72"/>
        <v/>
      </c>
      <c r="CN126" s="39" t="str">
        <f t="shared" si="72"/>
        <v/>
      </c>
      <c r="CO126" s="39" t="str">
        <f t="shared" si="72"/>
        <v/>
      </c>
      <c r="CP126" s="39" t="str">
        <f t="shared" si="72"/>
        <v/>
      </c>
      <c r="CQ126" s="39" t="str">
        <f t="shared" si="73"/>
        <v/>
      </c>
      <c r="CR126" s="39" t="str">
        <f t="shared" si="73"/>
        <v/>
      </c>
      <c r="CS126" s="39" t="str">
        <f t="shared" si="73"/>
        <v/>
      </c>
      <c r="CT126" s="39" t="str">
        <f t="shared" si="73"/>
        <v>557+939</v>
      </c>
      <c r="CU126" s="39" t="str">
        <f t="shared" si="73"/>
        <v/>
      </c>
      <c r="CV126" s="39" t="str">
        <f t="shared" si="73"/>
        <v/>
      </c>
      <c r="CW126" s="39" t="str">
        <f t="shared" si="73"/>
        <v/>
      </c>
      <c r="CX126" s="39" t="str">
        <f t="shared" si="73"/>
        <v/>
      </c>
      <c r="CY126" s="39" t="str">
        <f t="shared" si="73"/>
        <v/>
      </c>
      <c r="CZ126" s="39" t="str">
        <f t="shared" si="73"/>
        <v/>
      </c>
      <c r="DA126" s="39" t="str">
        <f t="shared" si="73"/>
        <v/>
      </c>
      <c r="DB126" s="39" t="str">
        <f t="shared" si="73"/>
        <v/>
      </c>
      <c r="DC126" s="39" t="str">
        <f t="shared" si="73"/>
        <v/>
      </c>
      <c r="DD126" s="39" t="str">
        <f t="shared" si="73"/>
        <v/>
      </c>
      <c r="DE126" s="39" t="str">
        <f t="shared" si="73"/>
        <v/>
      </c>
      <c r="DF126" s="37" t="str">
        <f t="shared" si="58"/>
        <v>2+1+1</v>
      </c>
      <c r="DG126" s="37" t="str">
        <f t="shared" si="59"/>
        <v>615+964|575+945</v>
      </c>
      <c r="DH126" s="37" t="str">
        <f t="shared" si="60"/>
        <v>592+961</v>
      </c>
      <c r="DI126" s="37" t="str">
        <f t="shared" si="61"/>
        <v>557+939</v>
      </c>
      <c r="DJ126" s="37" t="str">
        <f t="shared" si="62"/>
        <v>2+1+1|615+964|575+945|592+961|557+939</v>
      </c>
    </row>
    <row r="127" spans="2:114" x14ac:dyDescent="0.15">
      <c r="B127" s="15">
        <v>124</v>
      </c>
      <c r="C127" s="15" t="s">
        <v>707</v>
      </c>
      <c r="D127" s="15">
        <v>85</v>
      </c>
      <c r="G127" s="25" t="s">
        <v>516</v>
      </c>
      <c r="H127" s="25">
        <v>134</v>
      </c>
      <c r="I127" s="26" t="s">
        <v>698</v>
      </c>
      <c r="J127" s="26">
        <f t="shared" si="40"/>
        <v>57</v>
      </c>
      <c r="M127" s="25" t="s">
        <v>516</v>
      </c>
      <c r="N127" s="25">
        <v>134</v>
      </c>
      <c r="O127" s="26" t="s">
        <v>628</v>
      </c>
      <c r="P127" s="26">
        <f t="shared" si="41"/>
        <v>88</v>
      </c>
      <c r="Q127" s="26"/>
      <c r="R127" s="26"/>
      <c r="S127" s="25" t="s">
        <v>516</v>
      </c>
      <c r="T127" s="25">
        <v>134</v>
      </c>
      <c r="U127" s="26" t="s">
        <v>596</v>
      </c>
      <c r="V127" s="26">
        <f t="shared" si="42"/>
        <v>35</v>
      </c>
      <c r="W127" s="26"/>
      <c r="Y127" s="25" t="s">
        <v>516</v>
      </c>
      <c r="Z127" s="25">
        <v>134</v>
      </c>
      <c r="AA127" s="26" t="s">
        <v>727</v>
      </c>
      <c r="AB127" s="26">
        <f t="shared" si="43"/>
        <v>165</v>
      </c>
      <c r="AE127" s="25" t="s">
        <v>516</v>
      </c>
      <c r="AF127" s="25">
        <v>134</v>
      </c>
      <c r="AG127" s="26" t="s">
        <v>904</v>
      </c>
      <c r="AH127" s="26">
        <f t="shared" si="44"/>
        <v>84</v>
      </c>
      <c r="AK127" s="25" t="s">
        <v>516</v>
      </c>
      <c r="AL127" s="25">
        <v>134</v>
      </c>
      <c r="AM127" s="26" t="s">
        <v>907</v>
      </c>
      <c r="AN127" s="26">
        <f t="shared" si="45"/>
        <v>83</v>
      </c>
      <c r="AQ127" s="25" t="s">
        <v>516</v>
      </c>
      <c r="AR127" s="25">
        <v>134</v>
      </c>
      <c r="AS127" s="26" t="s">
        <v>435</v>
      </c>
      <c r="AT127" s="26">
        <f t="shared" si="46"/>
        <v>128</v>
      </c>
      <c r="AX127" s="15"/>
      <c r="AY127" s="35">
        <f t="shared" si="47"/>
        <v>124</v>
      </c>
      <c r="AZ127" s="35" t="str">
        <f t="shared" si="48"/>
        <v>663+738</v>
      </c>
      <c r="BA127" s="35">
        <f t="shared" si="49"/>
        <v>85</v>
      </c>
      <c r="BB127" s="38">
        <f>COUNTIF($BA$4:$BA127,$BA127)</f>
        <v>3</v>
      </c>
      <c r="BC127" s="36" t="str">
        <f t="shared" si="50"/>
        <v/>
      </c>
      <c r="BD127" s="36" t="str">
        <f t="shared" si="51"/>
        <v>县</v>
      </c>
      <c r="BE127" s="36" t="str">
        <f t="shared" si="52"/>
        <v>县</v>
      </c>
      <c r="BF127" s="36" t="str">
        <f t="shared" si="53"/>
        <v/>
      </c>
      <c r="BG127" s="36" t="str">
        <f t="shared" si="54"/>
        <v>县</v>
      </c>
      <c r="BH127" s="36" t="str">
        <f t="shared" si="55"/>
        <v/>
      </c>
      <c r="BI127" s="36" t="str">
        <f t="shared" si="56"/>
        <v>县</v>
      </c>
      <c r="BJ127" s="29" t="str">
        <f t="shared" si="57"/>
        <v>县</v>
      </c>
      <c r="BL127" s="15">
        <v>124</v>
      </c>
      <c r="BM127" s="39" t="str">
        <f t="shared" si="74"/>
        <v>516+883</v>
      </c>
      <c r="BN127" s="39" t="str">
        <f t="shared" si="74"/>
        <v>478+869</v>
      </c>
      <c r="BO127" s="39" t="str">
        <f t="shared" si="74"/>
        <v/>
      </c>
      <c r="BP127" s="39" t="str">
        <f t="shared" si="74"/>
        <v/>
      </c>
      <c r="BQ127" s="39" t="str">
        <f t="shared" si="74"/>
        <v/>
      </c>
      <c r="BR127" s="39" t="str">
        <f t="shared" si="74"/>
        <v/>
      </c>
      <c r="BS127" s="39" t="str">
        <f t="shared" si="74"/>
        <v/>
      </c>
      <c r="BT127" s="39" t="str">
        <f t="shared" si="74"/>
        <v/>
      </c>
      <c r="BU127" s="39" t="str">
        <f t="shared" si="74"/>
        <v/>
      </c>
      <c r="BV127" s="39" t="str">
        <f t="shared" si="74"/>
        <v/>
      </c>
      <c r="BW127" s="39" t="str">
        <f t="shared" si="74"/>
        <v/>
      </c>
      <c r="BX127" s="39" t="str">
        <f t="shared" si="74"/>
        <v/>
      </c>
      <c r="BY127" s="39" t="str">
        <f t="shared" si="74"/>
        <v/>
      </c>
      <c r="BZ127" s="39" t="str">
        <f t="shared" si="74"/>
        <v/>
      </c>
      <c r="CA127" s="39" t="str">
        <f t="shared" si="74"/>
        <v/>
      </c>
      <c r="CB127" s="39" t="str">
        <f t="shared" si="72"/>
        <v/>
      </c>
      <c r="CC127" s="39" t="str">
        <f t="shared" si="72"/>
        <v/>
      </c>
      <c r="CD127" s="39" t="str">
        <f t="shared" si="72"/>
        <v/>
      </c>
      <c r="CE127" s="39" t="str">
        <f t="shared" si="72"/>
        <v/>
      </c>
      <c r="CF127" s="39" t="str">
        <f t="shared" si="72"/>
        <v/>
      </c>
      <c r="CG127" s="39" t="str">
        <f t="shared" si="72"/>
        <v/>
      </c>
      <c r="CH127" s="39" t="str">
        <f t="shared" si="72"/>
        <v/>
      </c>
      <c r="CI127" s="39" t="str">
        <f t="shared" si="72"/>
        <v/>
      </c>
      <c r="CJ127" s="39" t="str">
        <f t="shared" si="72"/>
        <v/>
      </c>
      <c r="CK127" s="39" t="str">
        <f t="shared" si="72"/>
        <v/>
      </c>
      <c r="CL127" s="39" t="str">
        <f t="shared" si="72"/>
        <v/>
      </c>
      <c r="CM127" s="39" t="str">
        <f t="shared" si="72"/>
        <v/>
      </c>
      <c r="CN127" s="39" t="str">
        <f t="shared" si="72"/>
        <v/>
      </c>
      <c r="CO127" s="39" t="str">
        <f t="shared" si="72"/>
        <v/>
      </c>
      <c r="CP127" s="39" t="str">
        <f t="shared" si="72"/>
        <v/>
      </c>
      <c r="CQ127" s="39" t="str">
        <f t="shared" si="73"/>
        <v/>
      </c>
      <c r="CR127" s="39" t="str">
        <f t="shared" si="73"/>
        <v/>
      </c>
      <c r="CS127" s="39" t="str">
        <f t="shared" si="73"/>
        <v>471+842</v>
      </c>
      <c r="CT127" s="39" t="str">
        <f t="shared" si="73"/>
        <v>460+870</v>
      </c>
      <c r="CU127" s="39" t="str">
        <f t="shared" si="73"/>
        <v>505+872</v>
      </c>
      <c r="CV127" s="39" t="str">
        <f t="shared" si="73"/>
        <v/>
      </c>
      <c r="CW127" s="39" t="str">
        <f t="shared" si="73"/>
        <v/>
      </c>
      <c r="CX127" s="39" t="str">
        <f t="shared" si="73"/>
        <v/>
      </c>
      <c r="CY127" s="39" t="str">
        <f t="shared" si="73"/>
        <v/>
      </c>
      <c r="CZ127" s="39" t="str">
        <f t="shared" si="73"/>
        <v/>
      </c>
      <c r="DA127" s="39" t="str">
        <f t="shared" si="73"/>
        <v/>
      </c>
      <c r="DB127" s="39" t="str">
        <f t="shared" si="73"/>
        <v/>
      </c>
      <c r="DC127" s="39" t="str">
        <f t="shared" si="73"/>
        <v/>
      </c>
      <c r="DD127" s="39" t="str">
        <f t="shared" si="73"/>
        <v/>
      </c>
      <c r="DE127" s="39" t="str">
        <f t="shared" si="73"/>
        <v/>
      </c>
      <c r="DF127" s="37" t="str">
        <f t="shared" si="58"/>
        <v>2+0+3</v>
      </c>
      <c r="DG127" s="37" t="str">
        <f t="shared" si="59"/>
        <v>516+883|478+869</v>
      </c>
      <c r="DH127" s="37" t="str">
        <f t="shared" si="60"/>
        <v>0+0</v>
      </c>
      <c r="DI127" s="37" t="str">
        <f t="shared" si="61"/>
        <v>471+842|460+870|505+872</v>
      </c>
      <c r="DJ127" s="37" t="str">
        <f t="shared" si="62"/>
        <v>2+0+3|516+883|478+869|0+0|471+842|460+870|505+872</v>
      </c>
    </row>
    <row r="128" spans="2:114" x14ac:dyDescent="0.15">
      <c r="B128" s="15">
        <v>125</v>
      </c>
      <c r="C128" s="15" t="s">
        <v>625</v>
      </c>
      <c r="D128" s="15">
        <v>85</v>
      </c>
      <c r="G128" s="25" t="s">
        <v>516</v>
      </c>
      <c r="H128" s="25">
        <v>135</v>
      </c>
      <c r="I128" s="26" t="s">
        <v>607</v>
      </c>
      <c r="J128" s="26">
        <f t="shared" si="40"/>
        <v>58</v>
      </c>
      <c r="M128" s="25" t="s">
        <v>516</v>
      </c>
      <c r="N128" s="25">
        <v>135</v>
      </c>
      <c r="O128" s="26" t="s">
        <v>708</v>
      </c>
      <c r="P128" s="26">
        <f t="shared" si="41"/>
        <v>86</v>
      </c>
      <c r="Q128" s="26"/>
      <c r="R128" s="26"/>
      <c r="S128" s="25" t="s">
        <v>516</v>
      </c>
      <c r="T128" s="25">
        <v>135</v>
      </c>
      <c r="U128" s="26" t="s">
        <v>397</v>
      </c>
      <c r="V128" s="26">
        <f t="shared" si="42"/>
        <v>16</v>
      </c>
      <c r="W128" s="26"/>
      <c r="Y128" s="25" t="s">
        <v>516</v>
      </c>
      <c r="Z128" s="25">
        <v>135</v>
      </c>
      <c r="AA128" s="26" t="s">
        <v>673</v>
      </c>
      <c r="AB128" s="26">
        <f t="shared" si="43"/>
        <v>159</v>
      </c>
      <c r="AE128" s="25" t="s">
        <v>516</v>
      </c>
      <c r="AF128" s="25">
        <v>135</v>
      </c>
      <c r="AG128" s="26" t="s">
        <v>666</v>
      </c>
      <c r="AH128" s="26">
        <f t="shared" si="44"/>
        <v>149</v>
      </c>
      <c r="AK128" s="25" t="s">
        <v>516</v>
      </c>
      <c r="AL128" s="25">
        <v>135</v>
      </c>
      <c r="AM128" s="26" t="s">
        <v>627</v>
      </c>
      <c r="AN128" s="26">
        <f t="shared" si="45"/>
        <v>87</v>
      </c>
      <c r="AQ128" s="25" t="s">
        <v>516</v>
      </c>
      <c r="AR128" s="25">
        <v>135</v>
      </c>
      <c r="AS128" s="26" t="s">
        <v>956</v>
      </c>
      <c r="AT128" s="26">
        <f t="shared" si="46"/>
        <v>124</v>
      </c>
      <c r="AX128" s="15"/>
      <c r="AY128" s="35">
        <f t="shared" si="47"/>
        <v>125</v>
      </c>
      <c r="AZ128" s="35" t="str">
        <f t="shared" si="48"/>
        <v>639+752</v>
      </c>
      <c r="BA128" s="35">
        <f t="shared" si="49"/>
        <v>85</v>
      </c>
      <c r="BB128" s="38">
        <f>COUNTIF($BA$4:$BA128,$BA128)</f>
        <v>4</v>
      </c>
      <c r="BC128" s="36" t="str">
        <f t="shared" si="50"/>
        <v/>
      </c>
      <c r="BD128" s="36" t="str">
        <f t="shared" si="51"/>
        <v>营</v>
      </c>
      <c r="BE128" s="36" t="str">
        <f t="shared" si="52"/>
        <v>营</v>
      </c>
      <c r="BF128" s="36" t="str">
        <f t="shared" si="53"/>
        <v/>
      </c>
      <c r="BG128" s="36" t="str">
        <f t="shared" si="54"/>
        <v>营</v>
      </c>
      <c r="BH128" s="36" t="str">
        <f t="shared" si="55"/>
        <v>营</v>
      </c>
      <c r="BI128" s="36" t="str">
        <f t="shared" si="56"/>
        <v>营</v>
      </c>
      <c r="BJ128" s="29" t="str">
        <f t="shared" si="57"/>
        <v>营</v>
      </c>
      <c r="BL128" s="15">
        <v>125</v>
      </c>
      <c r="BM128" s="39" t="str">
        <f t="shared" si="74"/>
        <v>500+833</v>
      </c>
      <c r="BN128" s="39" t="str">
        <f t="shared" si="74"/>
        <v/>
      </c>
      <c r="BO128" s="39" t="str">
        <f t="shared" si="74"/>
        <v>548+892</v>
      </c>
      <c r="BP128" s="39" t="str">
        <f t="shared" si="74"/>
        <v/>
      </c>
      <c r="BQ128" s="39" t="str">
        <f t="shared" si="74"/>
        <v/>
      </c>
      <c r="BR128" s="39" t="str">
        <f t="shared" si="74"/>
        <v>493+823</v>
      </c>
      <c r="BS128" s="39" t="str">
        <f t="shared" si="74"/>
        <v>508+813</v>
      </c>
      <c r="BT128" s="39" t="str">
        <f t="shared" si="74"/>
        <v>535+859</v>
      </c>
      <c r="BU128" s="39" t="str">
        <f t="shared" si="74"/>
        <v/>
      </c>
      <c r="BV128" s="39" t="str">
        <f t="shared" si="74"/>
        <v/>
      </c>
      <c r="BW128" s="39" t="str">
        <f t="shared" si="74"/>
        <v/>
      </c>
      <c r="BX128" s="39" t="str">
        <f t="shared" si="74"/>
        <v/>
      </c>
      <c r="BY128" s="39" t="str">
        <f t="shared" si="74"/>
        <v/>
      </c>
      <c r="BZ128" s="39" t="str">
        <f t="shared" si="74"/>
        <v/>
      </c>
      <c r="CA128" s="39" t="str">
        <f t="shared" si="74"/>
        <v/>
      </c>
      <c r="CB128" s="39" t="str">
        <f t="shared" si="72"/>
        <v/>
      </c>
      <c r="CC128" s="39" t="str">
        <f t="shared" si="72"/>
        <v>517+848</v>
      </c>
      <c r="CD128" s="39" t="str">
        <f t="shared" si="72"/>
        <v/>
      </c>
      <c r="CE128" s="39" t="str">
        <f t="shared" si="72"/>
        <v/>
      </c>
      <c r="CF128" s="39" t="str">
        <f t="shared" si="72"/>
        <v/>
      </c>
      <c r="CG128" s="39" t="str">
        <f t="shared" si="72"/>
        <v/>
      </c>
      <c r="CH128" s="39" t="str">
        <f t="shared" si="72"/>
        <v/>
      </c>
      <c r="CI128" s="39" t="str">
        <f t="shared" si="72"/>
        <v/>
      </c>
      <c r="CJ128" s="39" t="str">
        <f t="shared" si="72"/>
        <v>484+814</v>
      </c>
      <c r="CK128" s="39" t="str">
        <f t="shared" si="72"/>
        <v/>
      </c>
      <c r="CL128" s="39" t="str">
        <f t="shared" si="72"/>
        <v/>
      </c>
      <c r="CM128" s="39" t="str">
        <f t="shared" si="72"/>
        <v/>
      </c>
      <c r="CN128" s="39" t="str">
        <f t="shared" si="72"/>
        <v/>
      </c>
      <c r="CO128" s="39" t="str">
        <f t="shared" si="72"/>
        <v/>
      </c>
      <c r="CP128" s="39" t="str">
        <f t="shared" si="72"/>
        <v/>
      </c>
      <c r="CQ128" s="39" t="str">
        <f t="shared" si="73"/>
        <v/>
      </c>
      <c r="CR128" s="39" t="str">
        <f t="shared" si="73"/>
        <v/>
      </c>
      <c r="CS128" s="39" t="str">
        <f t="shared" si="73"/>
        <v/>
      </c>
      <c r="CT128" s="39" t="str">
        <f t="shared" si="73"/>
        <v>555+860</v>
      </c>
      <c r="CU128" s="39" t="str">
        <f t="shared" si="73"/>
        <v>538+876</v>
      </c>
      <c r="CV128" s="39" t="str">
        <f t="shared" si="73"/>
        <v/>
      </c>
      <c r="CW128" s="39" t="str">
        <f t="shared" si="73"/>
        <v/>
      </c>
      <c r="CX128" s="39" t="str">
        <f t="shared" si="73"/>
        <v/>
      </c>
      <c r="CY128" s="39" t="str">
        <f t="shared" si="73"/>
        <v/>
      </c>
      <c r="CZ128" s="39" t="str">
        <f t="shared" si="73"/>
        <v/>
      </c>
      <c r="DA128" s="39" t="str">
        <f t="shared" si="73"/>
        <v/>
      </c>
      <c r="DB128" s="39" t="str">
        <f t="shared" si="73"/>
        <v/>
      </c>
      <c r="DC128" s="39" t="str">
        <f t="shared" si="73"/>
        <v/>
      </c>
      <c r="DD128" s="39" t="str">
        <f t="shared" si="73"/>
        <v/>
      </c>
      <c r="DE128" s="39" t="str">
        <f t="shared" si="73"/>
        <v/>
      </c>
      <c r="DF128" s="37" t="str">
        <f t="shared" si="58"/>
        <v>5+2+2</v>
      </c>
      <c r="DG128" s="37" t="str">
        <f t="shared" si="59"/>
        <v>500+833|548+892|493+823|508+813|535+859</v>
      </c>
      <c r="DH128" s="37" t="str">
        <f t="shared" si="60"/>
        <v>517+848|484+814</v>
      </c>
      <c r="DI128" s="37" t="str">
        <f t="shared" si="61"/>
        <v>555+860|538+876</v>
      </c>
      <c r="DJ128" s="37" t="str">
        <f t="shared" si="62"/>
        <v>5+2+2|500+833|548+892|493+823|508+813|535+859|517+848|484+814|555+860|538+876</v>
      </c>
    </row>
    <row r="129" spans="2:114" x14ac:dyDescent="0.15">
      <c r="B129" s="15">
        <v>126</v>
      </c>
      <c r="C129" s="15" t="s">
        <v>182</v>
      </c>
      <c r="D129" s="15">
        <v>86</v>
      </c>
      <c r="G129" s="25" t="s">
        <v>516</v>
      </c>
      <c r="H129" s="25">
        <v>136</v>
      </c>
      <c r="I129" s="26" t="s">
        <v>46</v>
      </c>
      <c r="J129" s="26">
        <f t="shared" si="40"/>
        <v>20</v>
      </c>
      <c r="M129" s="25" t="s">
        <v>516</v>
      </c>
      <c r="N129" s="25">
        <v>136</v>
      </c>
      <c r="O129" s="26" t="s">
        <v>621</v>
      </c>
      <c r="P129" s="26">
        <f t="shared" si="41"/>
        <v>79</v>
      </c>
      <c r="Q129" s="26"/>
      <c r="R129" s="26"/>
      <c r="S129" s="25" t="s">
        <v>516</v>
      </c>
      <c r="T129" s="25">
        <v>136</v>
      </c>
      <c r="U129" s="26" t="s">
        <v>396</v>
      </c>
      <c r="V129" s="26">
        <f t="shared" si="42"/>
        <v>11</v>
      </c>
      <c r="W129" s="26"/>
      <c r="Y129" s="25" t="s">
        <v>516</v>
      </c>
      <c r="Z129" s="25">
        <v>136</v>
      </c>
      <c r="AA129" s="26" t="s">
        <v>337</v>
      </c>
      <c r="AB129" s="26">
        <f t="shared" si="43"/>
        <v>162</v>
      </c>
      <c r="AE129" s="25" t="s">
        <v>516</v>
      </c>
      <c r="AF129" s="25">
        <v>136</v>
      </c>
      <c r="AG129" s="26" t="s">
        <v>308</v>
      </c>
      <c r="AH129" s="26">
        <f t="shared" si="44"/>
        <v>147</v>
      </c>
      <c r="AK129" s="25" t="s">
        <v>516</v>
      </c>
      <c r="AL129" s="25">
        <v>136</v>
      </c>
      <c r="AM129" s="26" t="s">
        <v>192</v>
      </c>
      <c r="AN129" s="26">
        <f t="shared" si="45"/>
        <v>91</v>
      </c>
      <c r="AQ129" s="25" t="s">
        <v>516</v>
      </c>
      <c r="AR129" s="25">
        <v>136</v>
      </c>
      <c r="AS129" s="26" t="s">
        <v>911</v>
      </c>
      <c r="AT129" s="26">
        <f t="shared" si="46"/>
        <v>125</v>
      </c>
      <c r="AX129" s="15"/>
      <c r="AY129" s="35">
        <f t="shared" si="47"/>
        <v>126</v>
      </c>
      <c r="AZ129" s="35" t="str">
        <f t="shared" si="48"/>
        <v>607+749</v>
      </c>
      <c r="BA129" s="35">
        <f t="shared" si="49"/>
        <v>86</v>
      </c>
      <c r="BB129" s="38">
        <f>COUNTIF($BA$4:$BA129,$BA129)</f>
        <v>1</v>
      </c>
      <c r="BC129" s="36" t="str">
        <f t="shared" si="50"/>
        <v/>
      </c>
      <c r="BD129" s="36" t="str">
        <f t="shared" si="51"/>
        <v>村</v>
      </c>
      <c r="BE129" s="36" t="str">
        <f t="shared" si="52"/>
        <v>村</v>
      </c>
      <c r="BF129" s="36" t="str">
        <f t="shared" si="53"/>
        <v/>
      </c>
      <c r="BG129" s="36" t="str">
        <f t="shared" si="54"/>
        <v>村</v>
      </c>
      <c r="BH129" s="36" t="str">
        <f t="shared" si="55"/>
        <v>村</v>
      </c>
      <c r="BI129" s="36" t="str">
        <f t="shared" si="56"/>
        <v/>
      </c>
      <c r="BJ129" s="29" t="str">
        <f t="shared" si="57"/>
        <v>村</v>
      </c>
      <c r="BL129" s="15">
        <v>126</v>
      </c>
      <c r="BM129" s="39" t="str">
        <f t="shared" si="74"/>
        <v>533+797</v>
      </c>
      <c r="BN129" s="39" t="str">
        <f t="shared" si="74"/>
        <v>551+817</v>
      </c>
      <c r="BO129" s="39" t="str">
        <f t="shared" si="74"/>
        <v/>
      </c>
      <c r="BP129" s="39" t="str">
        <f t="shared" si="74"/>
        <v>544+784</v>
      </c>
      <c r="BQ129" s="39" t="str">
        <f t="shared" si="74"/>
        <v/>
      </c>
      <c r="BR129" s="39" t="str">
        <f t="shared" si="74"/>
        <v/>
      </c>
      <c r="BS129" s="39" t="str">
        <f t="shared" si="74"/>
        <v/>
      </c>
      <c r="BT129" s="39" t="str">
        <f t="shared" si="74"/>
        <v/>
      </c>
      <c r="BU129" s="39" t="str">
        <f t="shared" si="74"/>
        <v/>
      </c>
      <c r="BV129" s="39" t="str">
        <f t="shared" si="74"/>
        <v/>
      </c>
      <c r="BW129" s="39" t="str">
        <f t="shared" si="74"/>
        <v/>
      </c>
      <c r="BX129" s="39" t="str">
        <f t="shared" si="74"/>
        <v/>
      </c>
      <c r="BY129" s="39" t="str">
        <f t="shared" si="74"/>
        <v/>
      </c>
      <c r="BZ129" s="39" t="str">
        <f t="shared" si="74"/>
        <v/>
      </c>
      <c r="CA129" s="39" t="str">
        <f t="shared" si="74"/>
        <v/>
      </c>
      <c r="CB129" s="39" t="str">
        <f t="shared" si="72"/>
        <v/>
      </c>
      <c r="CC129" s="39" t="str">
        <f t="shared" si="72"/>
        <v/>
      </c>
      <c r="CD129" s="39" t="str">
        <f t="shared" si="72"/>
        <v/>
      </c>
      <c r="CE129" s="39" t="str">
        <f t="shared" si="72"/>
        <v/>
      </c>
      <c r="CF129" s="39" t="str">
        <f t="shared" si="72"/>
        <v/>
      </c>
      <c r="CG129" s="39" t="str">
        <f t="shared" si="72"/>
        <v/>
      </c>
      <c r="CH129" s="39" t="str">
        <f t="shared" si="72"/>
        <v/>
      </c>
      <c r="CI129" s="39" t="str">
        <f t="shared" si="72"/>
        <v/>
      </c>
      <c r="CJ129" s="39" t="str">
        <f t="shared" si="72"/>
        <v/>
      </c>
      <c r="CK129" s="39" t="str">
        <f t="shared" si="72"/>
        <v/>
      </c>
      <c r="CL129" s="39" t="str">
        <f t="shared" si="72"/>
        <v/>
      </c>
      <c r="CM129" s="39" t="str">
        <f t="shared" si="72"/>
        <v/>
      </c>
      <c r="CN129" s="39" t="str">
        <f t="shared" si="72"/>
        <v/>
      </c>
      <c r="CO129" s="39" t="str">
        <f t="shared" si="72"/>
        <v/>
      </c>
      <c r="CP129" s="39" t="str">
        <f t="shared" si="72"/>
        <v/>
      </c>
      <c r="CQ129" s="39" t="str">
        <f t="shared" si="73"/>
        <v/>
      </c>
      <c r="CR129" s="39" t="str">
        <f t="shared" si="73"/>
        <v/>
      </c>
      <c r="CS129" s="39" t="str">
        <f t="shared" si="73"/>
        <v>562+791</v>
      </c>
      <c r="CT129" s="39" t="str">
        <f t="shared" si="73"/>
        <v/>
      </c>
      <c r="CU129" s="39" t="str">
        <f t="shared" si="73"/>
        <v/>
      </c>
      <c r="CV129" s="39" t="str">
        <f t="shared" si="73"/>
        <v/>
      </c>
      <c r="CW129" s="39" t="str">
        <f t="shared" si="73"/>
        <v/>
      </c>
      <c r="CX129" s="39" t="str">
        <f t="shared" si="73"/>
        <v/>
      </c>
      <c r="CY129" s="39" t="str">
        <f t="shared" si="73"/>
        <v/>
      </c>
      <c r="CZ129" s="39" t="str">
        <f t="shared" si="73"/>
        <v/>
      </c>
      <c r="DA129" s="39" t="str">
        <f t="shared" si="73"/>
        <v/>
      </c>
      <c r="DB129" s="39" t="str">
        <f t="shared" si="73"/>
        <v/>
      </c>
      <c r="DC129" s="39" t="str">
        <f t="shared" si="73"/>
        <v/>
      </c>
      <c r="DD129" s="39" t="str">
        <f t="shared" si="73"/>
        <v/>
      </c>
      <c r="DE129" s="39" t="str">
        <f t="shared" si="73"/>
        <v/>
      </c>
      <c r="DF129" s="37" t="str">
        <f t="shared" si="58"/>
        <v>3+0+1</v>
      </c>
      <c r="DG129" s="37" t="str">
        <f t="shared" si="59"/>
        <v>533+797|551+817|544+784</v>
      </c>
      <c r="DH129" s="37" t="str">
        <f t="shared" si="60"/>
        <v>0+0</v>
      </c>
      <c r="DI129" s="37" t="str">
        <f t="shared" si="61"/>
        <v>562+791</v>
      </c>
      <c r="DJ129" s="37" t="str">
        <f t="shared" si="62"/>
        <v>3+0+1|533+797|551+817|544+784|0+0|562+791</v>
      </c>
    </row>
    <row r="130" spans="2:114" x14ac:dyDescent="0.15">
      <c r="B130" s="15">
        <v>127</v>
      </c>
      <c r="C130" s="15" t="s">
        <v>708</v>
      </c>
      <c r="D130" s="15">
        <v>86</v>
      </c>
      <c r="G130" s="27" t="s">
        <v>518</v>
      </c>
      <c r="H130" s="27">
        <v>137</v>
      </c>
      <c r="I130" s="26" t="s">
        <v>696</v>
      </c>
      <c r="J130" s="26">
        <f t="shared" si="40"/>
        <v>52</v>
      </c>
      <c r="M130" s="27" t="s">
        <v>518</v>
      </c>
      <c r="N130" s="27">
        <v>137</v>
      </c>
      <c r="O130" s="26" t="s">
        <v>658</v>
      </c>
      <c r="P130" s="26">
        <f t="shared" si="41"/>
        <v>135</v>
      </c>
      <c r="Q130" s="26"/>
      <c r="R130" s="26"/>
      <c r="S130" s="27" t="s">
        <v>518</v>
      </c>
      <c r="T130" s="27">
        <v>137</v>
      </c>
      <c r="U130" s="26" t="s">
        <v>590</v>
      </c>
      <c r="V130" s="26">
        <f t="shared" si="42"/>
        <v>14</v>
      </c>
      <c r="W130" s="26"/>
      <c r="Y130" s="27" t="s">
        <v>518</v>
      </c>
      <c r="Z130" s="27">
        <v>137</v>
      </c>
      <c r="AA130" s="26" t="s">
        <v>676</v>
      </c>
      <c r="AB130" s="26">
        <f t="shared" si="43"/>
        <v>164</v>
      </c>
      <c r="AE130" s="27" t="s">
        <v>518</v>
      </c>
      <c r="AF130" s="27">
        <v>137</v>
      </c>
      <c r="AG130" s="26" t="s">
        <v>907</v>
      </c>
      <c r="AH130" s="26">
        <f t="shared" si="44"/>
        <v>83</v>
      </c>
      <c r="AK130" s="27" t="s">
        <v>518</v>
      </c>
      <c r="AL130" s="27">
        <v>137</v>
      </c>
      <c r="AM130" s="26" t="s">
        <v>904</v>
      </c>
      <c r="AN130" s="26">
        <f t="shared" si="45"/>
        <v>84</v>
      </c>
      <c r="AQ130" s="27" t="s">
        <v>518</v>
      </c>
      <c r="AR130" s="27">
        <v>137</v>
      </c>
      <c r="AS130" s="26" t="s">
        <v>993</v>
      </c>
      <c r="AT130" s="26">
        <f t="shared" si="46"/>
        <v>128</v>
      </c>
      <c r="AX130" s="15"/>
      <c r="AY130" s="35">
        <f t="shared" si="47"/>
        <v>127</v>
      </c>
      <c r="AZ130" s="35" t="str">
        <f t="shared" si="48"/>
        <v>589+758</v>
      </c>
      <c r="BA130" s="35">
        <f t="shared" si="49"/>
        <v>86</v>
      </c>
      <c r="BB130" s="38">
        <f>COUNTIF($BA$4:$BA130,$BA130)</f>
        <v>2</v>
      </c>
      <c r="BC130" s="36" t="str">
        <f t="shared" si="50"/>
        <v/>
      </c>
      <c r="BD130" s="36" t="str">
        <f t="shared" si="51"/>
        <v>营</v>
      </c>
      <c r="BE130" s="36" t="str">
        <f t="shared" si="52"/>
        <v>营</v>
      </c>
      <c r="BF130" s="36" t="str">
        <f t="shared" si="53"/>
        <v/>
      </c>
      <c r="BG130" s="36" t="str">
        <f t="shared" si="54"/>
        <v>营</v>
      </c>
      <c r="BH130" s="36" t="str">
        <f t="shared" si="55"/>
        <v>营</v>
      </c>
      <c r="BI130" s="36" t="str">
        <f t="shared" si="56"/>
        <v>营</v>
      </c>
      <c r="BJ130" s="29" t="str">
        <f t="shared" si="57"/>
        <v>营</v>
      </c>
      <c r="BL130" s="15">
        <v>127</v>
      </c>
      <c r="BM130" s="39" t="str">
        <f t="shared" si="74"/>
        <v>515+770</v>
      </c>
      <c r="BN130" s="39" t="str">
        <f t="shared" si="74"/>
        <v>499+749</v>
      </c>
      <c r="BO130" s="39" t="str">
        <f t="shared" si="74"/>
        <v/>
      </c>
      <c r="BP130" s="39" t="str">
        <f t="shared" si="74"/>
        <v>521+739</v>
      </c>
      <c r="BQ130" s="39" t="str">
        <f t="shared" si="74"/>
        <v/>
      </c>
      <c r="BR130" s="39" t="str">
        <f t="shared" si="74"/>
        <v/>
      </c>
      <c r="BS130" s="39" t="str">
        <f t="shared" si="74"/>
        <v/>
      </c>
      <c r="BT130" s="39" t="str">
        <f t="shared" si="74"/>
        <v/>
      </c>
      <c r="BU130" s="39" t="str">
        <f t="shared" si="74"/>
        <v/>
      </c>
      <c r="BV130" s="39" t="str">
        <f t="shared" si="74"/>
        <v/>
      </c>
      <c r="BW130" s="39" t="str">
        <f t="shared" si="74"/>
        <v/>
      </c>
      <c r="BX130" s="39" t="str">
        <f t="shared" si="74"/>
        <v/>
      </c>
      <c r="BY130" s="39" t="str">
        <f t="shared" si="74"/>
        <v/>
      </c>
      <c r="BZ130" s="39" t="str">
        <f t="shared" si="74"/>
        <v/>
      </c>
      <c r="CA130" s="39" t="str">
        <f t="shared" si="74"/>
        <v/>
      </c>
      <c r="CB130" s="39" t="str">
        <f t="shared" si="72"/>
        <v/>
      </c>
      <c r="CC130" s="39" t="str">
        <f t="shared" si="72"/>
        <v/>
      </c>
      <c r="CD130" s="39" t="str">
        <f t="shared" si="72"/>
        <v/>
      </c>
      <c r="CE130" s="39" t="str">
        <f t="shared" si="72"/>
        <v/>
      </c>
      <c r="CF130" s="39" t="str">
        <f t="shared" si="72"/>
        <v/>
      </c>
      <c r="CG130" s="39" t="str">
        <f t="shared" si="72"/>
        <v/>
      </c>
      <c r="CH130" s="39" t="str">
        <f t="shared" si="72"/>
        <v/>
      </c>
      <c r="CI130" s="39" t="str">
        <f t="shared" si="72"/>
        <v/>
      </c>
      <c r="CJ130" s="39" t="str">
        <f t="shared" si="72"/>
        <v/>
      </c>
      <c r="CK130" s="39" t="str">
        <f t="shared" si="72"/>
        <v/>
      </c>
      <c r="CL130" s="39" t="str">
        <f t="shared" si="72"/>
        <v/>
      </c>
      <c r="CM130" s="39" t="str">
        <f t="shared" si="72"/>
        <v/>
      </c>
      <c r="CN130" s="39" t="str">
        <f t="shared" si="72"/>
        <v/>
      </c>
      <c r="CO130" s="39" t="str">
        <f t="shared" si="72"/>
        <v/>
      </c>
      <c r="CP130" s="39" t="str">
        <f t="shared" si="72"/>
        <v/>
      </c>
      <c r="CQ130" s="39" t="str">
        <f t="shared" si="73"/>
        <v/>
      </c>
      <c r="CR130" s="39" t="str">
        <f t="shared" si="73"/>
        <v/>
      </c>
      <c r="CS130" s="39" t="str">
        <f t="shared" si="73"/>
        <v>519+782</v>
      </c>
      <c r="CT130" s="39" t="str">
        <f t="shared" si="73"/>
        <v/>
      </c>
      <c r="CU130" s="39" t="str">
        <f t="shared" si="73"/>
        <v>517+724</v>
      </c>
      <c r="CV130" s="39" t="str">
        <f t="shared" si="73"/>
        <v/>
      </c>
      <c r="CW130" s="39" t="str">
        <f t="shared" si="73"/>
        <v/>
      </c>
      <c r="CX130" s="39" t="str">
        <f t="shared" si="73"/>
        <v/>
      </c>
      <c r="CY130" s="39" t="str">
        <f t="shared" si="73"/>
        <v/>
      </c>
      <c r="CZ130" s="39" t="str">
        <f t="shared" si="73"/>
        <v/>
      </c>
      <c r="DA130" s="39" t="str">
        <f t="shared" si="73"/>
        <v/>
      </c>
      <c r="DB130" s="39" t="str">
        <f t="shared" si="73"/>
        <v/>
      </c>
      <c r="DC130" s="39" t="str">
        <f t="shared" si="73"/>
        <v/>
      </c>
      <c r="DD130" s="39" t="str">
        <f t="shared" si="73"/>
        <v/>
      </c>
      <c r="DE130" s="39" t="str">
        <f t="shared" si="73"/>
        <v/>
      </c>
      <c r="DF130" s="37" t="str">
        <f t="shared" si="58"/>
        <v>3+0+2</v>
      </c>
      <c r="DG130" s="37" t="str">
        <f t="shared" si="59"/>
        <v>515+770|499+749|521+739</v>
      </c>
      <c r="DH130" s="37" t="str">
        <f t="shared" si="60"/>
        <v>0+0</v>
      </c>
      <c r="DI130" s="37" t="str">
        <f t="shared" si="61"/>
        <v>519+782|517+724</v>
      </c>
      <c r="DJ130" s="37" t="str">
        <f t="shared" si="62"/>
        <v>3+0+2|515+770|499+749|521+739|0+0|519+782|517+724</v>
      </c>
    </row>
    <row r="131" spans="2:114" x14ac:dyDescent="0.15">
      <c r="B131" s="15">
        <v>128</v>
      </c>
      <c r="C131" s="15" t="s">
        <v>184</v>
      </c>
      <c r="D131" s="15">
        <v>87</v>
      </c>
      <c r="G131" s="27" t="s">
        <v>518</v>
      </c>
      <c r="H131" s="27">
        <v>138</v>
      </c>
      <c r="I131" s="26" t="s">
        <v>427</v>
      </c>
      <c r="J131" s="26">
        <f t="shared" si="40"/>
        <v>23</v>
      </c>
      <c r="M131" s="27" t="s">
        <v>518</v>
      </c>
      <c r="N131" s="27">
        <v>138</v>
      </c>
      <c r="O131" s="26" t="s">
        <v>284</v>
      </c>
      <c r="P131" s="26">
        <f t="shared" si="41"/>
        <v>136</v>
      </c>
      <c r="Q131" s="26"/>
      <c r="R131" s="26"/>
      <c r="S131" s="27" t="s">
        <v>518</v>
      </c>
      <c r="T131" s="27">
        <v>138</v>
      </c>
      <c r="U131" s="26" t="s">
        <v>595</v>
      </c>
      <c r="V131" s="26">
        <f t="shared" si="42"/>
        <v>32</v>
      </c>
      <c r="W131" s="26"/>
      <c r="Y131" s="27" t="s">
        <v>518</v>
      </c>
      <c r="Z131" s="27">
        <v>138</v>
      </c>
      <c r="AA131" s="26" t="s">
        <v>88</v>
      </c>
      <c r="AB131" s="26">
        <f t="shared" si="43"/>
        <v>40</v>
      </c>
      <c r="AE131" s="27" t="s">
        <v>518</v>
      </c>
      <c r="AF131" s="27">
        <v>138</v>
      </c>
      <c r="AG131" s="26" t="s">
        <v>943</v>
      </c>
      <c r="AH131" s="26">
        <f t="shared" si="44"/>
        <v>91</v>
      </c>
      <c r="AK131" s="27" t="s">
        <v>518</v>
      </c>
      <c r="AL131" s="27">
        <v>138</v>
      </c>
      <c r="AM131" s="26" t="s">
        <v>628</v>
      </c>
      <c r="AN131" s="26">
        <f t="shared" si="45"/>
        <v>88</v>
      </c>
      <c r="AQ131" s="27" t="s">
        <v>518</v>
      </c>
      <c r="AR131" s="27">
        <v>138</v>
      </c>
      <c r="AS131" s="26" t="s">
        <v>915</v>
      </c>
      <c r="AT131" s="26">
        <f t="shared" si="46"/>
        <v>124</v>
      </c>
      <c r="AX131" s="15"/>
      <c r="AY131" s="35">
        <f t="shared" si="47"/>
        <v>128</v>
      </c>
      <c r="AZ131" s="35" t="str">
        <f t="shared" si="48"/>
        <v>606+700</v>
      </c>
      <c r="BA131" s="35">
        <f t="shared" si="49"/>
        <v>87</v>
      </c>
      <c r="BB131" s="38">
        <f>COUNTIF($BA$4:$BA131,$BA131)</f>
        <v>1</v>
      </c>
      <c r="BC131" s="36" t="str">
        <f t="shared" si="50"/>
        <v/>
      </c>
      <c r="BD131" s="36" t="str">
        <f t="shared" si="51"/>
        <v>村</v>
      </c>
      <c r="BE131" s="36" t="str">
        <f t="shared" si="52"/>
        <v/>
      </c>
      <c r="BF131" s="36" t="str">
        <f t="shared" si="53"/>
        <v/>
      </c>
      <c r="BG131" s="36" t="str">
        <f t="shared" si="54"/>
        <v>村</v>
      </c>
      <c r="BH131" s="36" t="str">
        <f t="shared" si="55"/>
        <v>村</v>
      </c>
      <c r="BI131" s="36" t="str">
        <f t="shared" si="56"/>
        <v>村</v>
      </c>
      <c r="BJ131" s="29" t="str">
        <f t="shared" si="57"/>
        <v>村</v>
      </c>
      <c r="BL131" s="15">
        <v>128</v>
      </c>
      <c r="BM131" s="39" t="str">
        <f t="shared" si="74"/>
        <v>467+797</v>
      </c>
      <c r="BN131" s="39" t="str">
        <f t="shared" si="74"/>
        <v/>
      </c>
      <c r="BO131" s="39" t="str">
        <f t="shared" si="74"/>
        <v/>
      </c>
      <c r="BP131" s="39" t="str">
        <f t="shared" si="74"/>
        <v>450+780</v>
      </c>
      <c r="BQ131" s="39" t="str">
        <f t="shared" si="74"/>
        <v/>
      </c>
      <c r="BR131" s="39" t="str">
        <f t="shared" si="74"/>
        <v/>
      </c>
      <c r="BS131" s="39" t="str">
        <f t="shared" si="74"/>
        <v/>
      </c>
      <c r="BT131" s="39" t="str">
        <f t="shared" si="74"/>
        <v/>
      </c>
      <c r="BU131" s="39" t="str">
        <f t="shared" si="74"/>
        <v/>
      </c>
      <c r="BV131" s="39" t="str">
        <f t="shared" si="74"/>
        <v/>
      </c>
      <c r="BW131" s="39" t="str">
        <f t="shared" si="74"/>
        <v/>
      </c>
      <c r="BX131" s="39" t="str">
        <f t="shared" si="74"/>
        <v/>
      </c>
      <c r="BY131" s="39" t="str">
        <f t="shared" si="74"/>
        <v/>
      </c>
      <c r="BZ131" s="39" t="str">
        <f t="shared" si="74"/>
        <v/>
      </c>
      <c r="CA131" s="39" t="str">
        <f t="shared" si="74"/>
        <v/>
      </c>
      <c r="CB131" s="39" t="str">
        <f t="shared" si="72"/>
        <v/>
      </c>
      <c r="CC131" s="39" t="str">
        <f t="shared" si="72"/>
        <v/>
      </c>
      <c r="CD131" s="39" t="str">
        <f t="shared" si="72"/>
        <v/>
      </c>
      <c r="CE131" s="39" t="str">
        <f t="shared" si="72"/>
        <v/>
      </c>
      <c r="CF131" s="39" t="str">
        <f t="shared" si="72"/>
        <v/>
      </c>
      <c r="CG131" s="39" t="str">
        <f t="shared" si="72"/>
        <v/>
      </c>
      <c r="CH131" s="39" t="str">
        <f t="shared" si="72"/>
        <v/>
      </c>
      <c r="CI131" s="39" t="str">
        <f t="shared" si="72"/>
        <v/>
      </c>
      <c r="CJ131" s="39" t="str">
        <f t="shared" si="72"/>
        <v/>
      </c>
      <c r="CK131" s="39" t="str">
        <f t="shared" si="72"/>
        <v/>
      </c>
      <c r="CL131" s="39" t="str">
        <f t="shared" si="72"/>
        <v/>
      </c>
      <c r="CM131" s="39" t="str">
        <f t="shared" si="72"/>
        <v/>
      </c>
      <c r="CN131" s="39" t="str">
        <f t="shared" si="72"/>
        <v/>
      </c>
      <c r="CO131" s="39" t="str">
        <f t="shared" si="72"/>
        <v/>
      </c>
      <c r="CP131" s="39" t="str">
        <f t="shared" si="72"/>
        <v/>
      </c>
      <c r="CQ131" s="39" t="str">
        <f t="shared" si="73"/>
        <v/>
      </c>
      <c r="CR131" s="39" t="str">
        <f t="shared" si="73"/>
        <v>467+764</v>
      </c>
      <c r="CS131" s="39" t="str">
        <f t="shared" si="73"/>
        <v>494+789</v>
      </c>
      <c r="CT131" s="39" t="str">
        <f t="shared" si="73"/>
        <v/>
      </c>
      <c r="CU131" s="39" t="str">
        <f t="shared" si="73"/>
        <v>455+823</v>
      </c>
      <c r="CV131" s="39" t="str">
        <f t="shared" si="73"/>
        <v/>
      </c>
      <c r="CW131" s="39" t="str">
        <f t="shared" si="73"/>
        <v/>
      </c>
      <c r="CX131" s="39" t="str">
        <f t="shared" si="73"/>
        <v/>
      </c>
      <c r="CY131" s="39" t="str">
        <f t="shared" si="73"/>
        <v/>
      </c>
      <c r="CZ131" s="39" t="str">
        <f t="shared" si="73"/>
        <v/>
      </c>
      <c r="DA131" s="39" t="str">
        <f t="shared" si="73"/>
        <v/>
      </c>
      <c r="DB131" s="39" t="str">
        <f t="shared" si="73"/>
        <v/>
      </c>
      <c r="DC131" s="39" t="str">
        <f t="shared" si="73"/>
        <v/>
      </c>
      <c r="DD131" s="39" t="str">
        <f t="shared" si="73"/>
        <v/>
      </c>
      <c r="DE131" s="39" t="str">
        <f t="shared" si="73"/>
        <v/>
      </c>
      <c r="DF131" s="37" t="str">
        <f t="shared" si="58"/>
        <v>2+0+3</v>
      </c>
      <c r="DG131" s="37" t="str">
        <f t="shared" si="59"/>
        <v>467+797|450+780</v>
      </c>
      <c r="DH131" s="37" t="str">
        <f t="shared" si="60"/>
        <v>0+0</v>
      </c>
      <c r="DI131" s="37" t="str">
        <f t="shared" si="61"/>
        <v>467+764|494+789|455+823</v>
      </c>
      <c r="DJ131" s="37" t="str">
        <f t="shared" si="62"/>
        <v>2+0+3|467+797|450+780|0+0|467+764|494+789|455+823</v>
      </c>
    </row>
    <row r="132" spans="2:114" x14ac:dyDescent="0.15">
      <c r="B132" s="15">
        <v>129</v>
      </c>
      <c r="C132" s="15" t="s">
        <v>627</v>
      </c>
      <c r="D132" s="15">
        <v>87</v>
      </c>
      <c r="G132" s="27" t="s">
        <v>518</v>
      </c>
      <c r="H132" s="27">
        <v>139</v>
      </c>
      <c r="I132" s="26" t="s">
        <v>47</v>
      </c>
      <c r="J132" s="26">
        <f t="shared" si="40"/>
        <v>20</v>
      </c>
      <c r="M132" s="27" t="s">
        <v>518</v>
      </c>
      <c r="N132" s="27">
        <v>139</v>
      </c>
      <c r="O132" s="26" t="s">
        <v>654</v>
      </c>
      <c r="P132" s="26">
        <f t="shared" si="41"/>
        <v>126</v>
      </c>
      <c r="Q132" s="26"/>
      <c r="R132" s="26"/>
      <c r="S132" s="27" t="s">
        <v>518</v>
      </c>
      <c r="T132" s="27">
        <v>139</v>
      </c>
      <c r="U132" s="26" t="s">
        <v>43</v>
      </c>
      <c r="V132" s="26">
        <f t="shared" si="42"/>
        <v>18</v>
      </c>
      <c r="W132" s="26"/>
      <c r="Y132" s="27" t="s">
        <v>518</v>
      </c>
      <c r="Z132" s="27">
        <v>139</v>
      </c>
      <c r="AA132" s="26" t="s">
        <v>674</v>
      </c>
      <c r="AB132" s="26">
        <f t="shared" si="43"/>
        <v>160</v>
      </c>
      <c r="AE132" s="27" t="s">
        <v>518</v>
      </c>
      <c r="AF132" s="27">
        <v>139</v>
      </c>
      <c r="AG132" s="26" t="s">
        <v>665</v>
      </c>
      <c r="AH132" s="26">
        <f t="shared" si="44"/>
        <v>148</v>
      </c>
      <c r="AK132" s="27" t="s">
        <v>518</v>
      </c>
      <c r="AL132" s="27">
        <v>139</v>
      </c>
      <c r="AM132" s="26" t="s">
        <v>943</v>
      </c>
      <c r="AN132" s="26">
        <f t="shared" si="45"/>
        <v>91</v>
      </c>
      <c r="AQ132" s="27" t="s">
        <v>518</v>
      </c>
      <c r="AR132" s="27">
        <v>139</v>
      </c>
      <c r="AS132" s="26" t="s">
        <v>907</v>
      </c>
      <c r="AT132" s="26">
        <f t="shared" si="46"/>
        <v>83</v>
      </c>
      <c r="AX132" s="15"/>
      <c r="AY132" s="35">
        <f t="shared" si="47"/>
        <v>129</v>
      </c>
      <c r="AZ132" s="35" t="str">
        <f t="shared" si="48"/>
        <v>620+688</v>
      </c>
      <c r="BA132" s="35">
        <f t="shared" si="49"/>
        <v>87</v>
      </c>
      <c r="BB132" s="38">
        <f>COUNTIF($BA$4:$BA132,$BA132)</f>
        <v>2</v>
      </c>
      <c r="BC132" s="36" t="str">
        <f t="shared" si="50"/>
        <v/>
      </c>
      <c r="BD132" s="36" t="str">
        <f t="shared" si="51"/>
        <v>营</v>
      </c>
      <c r="BE132" s="36" t="str">
        <f t="shared" si="52"/>
        <v>营</v>
      </c>
      <c r="BF132" s="36" t="str">
        <f t="shared" si="53"/>
        <v/>
      </c>
      <c r="BG132" s="36" t="str">
        <f t="shared" si="54"/>
        <v>营</v>
      </c>
      <c r="BH132" s="36" t="str">
        <f t="shared" si="55"/>
        <v>营</v>
      </c>
      <c r="BI132" s="36" t="str">
        <f t="shared" si="56"/>
        <v>营</v>
      </c>
      <c r="BJ132" s="29" t="str">
        <f t="shared" si="57"/>
        <v>营</v>
      </c>
      <c r="BL132" s="15">
        <v>129</v>
      </c>
      <c r="BM132" s="39" t="str">
        <f t="shared" si="74"/>
        <v>441+848</v>
      </c>
      <c r="BN132" s="39" t="str">
        <f t="shared" si="74"/>
        <v>428+817</v>
      </c>
      <c r="BO132" s="39" t="str">
        <f t="shared" si="74"/>
        <v/>
      </c>
      <c r="BP132" s="39" t="str">
        <f t="shared" si="74"/>
        <v>436+794</v>
      </c>
      <c r="BQ132" s="39" t="str">
        <f t="shared" si="74"/>
        <v/>
      </c>
      <c r="BR132" s="39" t="str">
        <f t="shared" si="74"/>
        <v/>
      </c>
      <c r="BS132" s="39" t="str">
        <f t="shared" si="74"/>
        <v/>
      </c>
      <c r="BT132" s="39" t="str">
        <f t="shared" si="74"/>
        <v/>
      </c>
      <c r="BU132" s="39" t="str">
        <f t="shared" si="74"/>
        <v/>
      </c>
      <c r="BV132" s="39" t="str">
        <f t="shared" si="74"/>
        <v/>
      </c>
      <c r="BW132" s="39" t="str">
        <f t="shared" si="74"/>
        <v/>
      </c>
      <c r="BX132" s="39" t="str">
        <f t="shared" si="74"/>
        <v/>
      </c>
      <c r="BY132" s="39" t="str">
        <f t="shared" si="74"/>
        <v/>
      </c>
      <c r="BZ132" s="39" t="str">
        <f t="shared" si="74"/>
        <v/>
      </c>
      <c r="CA132" s="39" t="str">
        <f t="shared" si="74"/>
        <v/>
      </c>
      <c r="CB132" s="39" t="str">
        <f t="shared" si="72"/>
        <v/>
      </c>
      <c r="CC132" s="39" t="str">
        <f t="shared" si="72"/>
        <v/>
      </c>
      <c r="CD132" s="39" t="str">
        <f t="shared" si="72"/>
        <v/>
      </c>
      <c r="CE132" s="39" t="str">
        <f t="shared" si="72"/>
        <v/>
      </c>
      <c r="CF132" s="39" t="str">
        <f t="shared" si="72"/>
        <v/>
      </c>
      <c r="CG132" s="39" t="str">
        <f t="shared" si="72"/>
        <v/>
      </c>
      <c r="CH132" s="39" t="str">
        <f t="shared" si="72"/>
        <v/>
      </c>
      <c r="CI132" s="39" t="str">
        <f t="shared" si="72"/>
        <v/>
      </c>
      <c r="CJ132" s="39" t="str">
        <f t="shared" si="72"/>
        <v/>
      </c>
      <c r="CK132" s="39" t="str">
        <f t="shared" si="72"/>
        <v/>
      </c>
      <c r="CL132" s="39" t="str">
        <f t="shared" si="72"/>
        <v/>
      </c>
      <c r="CM132" s="39" t="str">
        <f t="shared" si="72"/>
        <v/>
      </c>
      <c r="CN132" s="39" t="str">
        <f t="shared" si="72"/>
        <v/>
      </c>
      <c r="CO132" s="39" t="str">
        <f t="shared" si="72"/>
        <v/>
      </c>
      <c r="CP132" s="39" t="str">
        <f t="shared" si="72"/>
        <v/>
      </c>
      <c r="CQ132" s="39" t="str">
        <f t="shared" si="73"/>
        <v/>
      </c>
      <c r="CR132" s="39" t="str">
        <f t="shared" si="73"/>
        <v/>
      </c>
      <c r="CS132" s="39" t="str">
        <f t="shared" si="73"/>
        <v>418+839</v>
      </c>
      <c r="CT132" s="39" t="str">
        <f t="shared" si="73"/>
        <v/>
      </c>
      <c r="CU132" s="39" t="str">
        <f t="shared" si="73"/>
        <v>420+784</v>
      </c>
      <c r="CV132" s="39" t="str">
        <f t="shared" si="73"/>
        <v/>
      </c>
      <c r="CW132" s="39" t="str">
        <f t="shared" si="73"/>
        <v/>
      </c>
      <c r="CX132" s="39" t="str">
        <f t="shared" si="73"/>
        <v/>
      </c>
      <c r="CY132" s="39" t="str">
        <f t="shared" si="73"/>
        <v/>
      </c>
      <c r="CZ132" s="39" t="str">
        <f t="shared" si="73"/>
        <v/>
      </c>
      <c r="DA132" s="39" t="str">
        <f t="shared" si="73"/>
        <v/>
      </c>
      <c r="DB132" s="39" t="str">
        <f t="shared" si="73"/>
        <v/>
      </c>
      <c r="DC132" s="39" t="str">
        <f t="shared" si="73"/>
        <v/>
      </c>
      <c r="DD132" s="39" t="str">
        <f t="shared" si="73"/>
        <v/>
      </c>
      <c r="DE132" s="39" t="str">
        <f t="shared" si="73"/>
        <v/>
      </c>
      <c r="DF132" s="37" t="str">
        <f t="shared" si="58"/>
        <v>3+0+2</v>
      </c>
      <c r="DG132" s="37" t="str">
        <f t="shared" si="59"/>
        <v>441+848|428+817|436+794</v>
      </c>
      <c r="DH132" s="37" t="str">
        <f t="shared" si="60"/>
        <v>0+0</v>
      </c>
      <c r="DI132" s="37" t="str">
        <f t="shared" si="61"/>
        <v>418+839|420+784</v>
      </c>
      <c r="DJ132" s="37" t="str">
        <f t="shared" si="62"/>
        <v>3+0+2|441+848|428+817|436+794|0+0|418+839|420+784</v>
      </c>
    </row>
    <row r="133" spans="2:114" x14ac:dyDescent="0.15">
      <c r="B133" s="15">
        <v>130</v>
      </c>
      <c r="C133" s="15" t="s">
        <v>185</v>
      </c>
      <c r="D133" s="15">
        <v>88</v>
      </c>
      <c r="G133" s="25" t="s">
        <v>520</v>
      </c>
      <c r="H133" s="25">
        <v>140</v>
      </c>
      <c r="I133" s="26" t="s">
        <v>101</v>
      </c>
      <c r="J133" s="26">
        <f t="shared" ref="J133:J173" si="75">INDEX($D$4:$D$720,MATCH(I133,$C$4:$C$720,0))</f>
        <v>47</v>
      </c>
      <c r="M133" s="25" t="s">
        <v>520</v>
      </c>
      <c r="N133" s="25">
        <v>140</v>
      </c>
      <c r="O133" s="26" t="s">
        <v>308</v>
      </c>
      <c r="P133" s="26">
        <f t="shared" ref="P133:P173" si="76">INDEX($D$4:$D$720,MATCH(O133,$C$4:$C$720,0))</f>
        <v>147</v>
      </c>
      <c r="Q133" s="26"/>
      <c r="R133" s="26"/>
      <c r="S133" s="25" t="s">
        <v>520</v>
      </c>
      <c r="T133" s="25">
        <v>140</v>
      </c>
      <c r="U133" s="26" t="s">
        <v>74</v>
      </c>
      <c r="V133" s="26">
        <f t="shared" ref="V133:V173" si="77">INDEX($D$4:$D$720,MATCH(U133,$C$4:$C$720,0))</f>
        <v>33</v>
      </c>
      <c r="W133" s="26"/>
      <c r="Y133" s="25" t="s">
        <v>520</v>
      </c>
      <c r="Z133" s="25">
        <v>140</v>
      </c>
      <c r="AA133" s="26" t="s">
        <v>662</v>
      </c>
      <c r="AB133" s="26">
        <f t="shared" ref="AB133:AB173" si="78">INDEX($D$4:$D$720,MATCH(AA133,$C$4:$C$720,0))</f>
        <v>143</v>
      </c>
      <c r="AE133" s="25" t="s">
        <v>520</v>
      </c>
      <c r="AF133" s="25">
        <v>140</v>
      </c>
      <c r="AG133" s="26" t="s">
        <v>912</v>
      </c>
      <c r="AH133" s="26">
        <f t="shared" ref="AH133:AH173" si="79">INDEX($D$4:$D$720,MATCH(AG133,$C$4:$C$720,0))</f>
        <v>125</v>
      </c>
      <c r="AK133" s="25" t="s">
        <v>520</v>
      </c>
      <c r="AL133" s="25">
        <v>140</v>
      </c>
      <c r="AM133" s="26" t="s">
        <v>840</v>
      </c>
      <c r="AN133" s="26">
        <f t="shared" ref="AN133:AN173" si="80">INDEX($D$4:$D$720,MATCH(AM133,$C$4:$C$720,0))</f>
        <v>72</v>
      </c>
      <c r="AQ133" s="25" t="s">
        <v>520</v>
      </c>
      <c r="AR133" s="25">
        <v>140</v>
      </c>
      <c r="AS133" s="26" t="s">
        <v>939</v>
      </c>
      <c r="AT133" s="26">
        <f t="shared" ref="AT133:AT173" si="81">INDEX($D$4:$D$720,MATCH(AS133,$C$4:$C$720,0))</f>
        <v>129</v>
      </c>
      <c r="AX133" s="15"/>
      <c r="AY133" s="35">
        <f t="shared" ref="AY133:AY196" si="82">B133</f>
        <v>130</v>
      </c>
      <c r="AZ133" s="35" t="str">
        <f t="shared" ref="AZ133:AZ196" si="83">C133</f>
        <v>596+677</v>
      </c>
      <c r="BA133" s="35">
        <f t="shared" ref="BA133:BA196" si="84">D133</f>
        <v>88</v>
      </c>
      <c r="BB133" s="38">
        <f>COUNTIF($BA$4:$BA133,$BA133)</f>
        <v>1</v>
      </c>
      <c r="BC133" s="36" t="str">
        <f t="shared" ref="BC133:BC196" si="85">IFERROR(IF(LEFT(INDEX($G$4:$G$173,MATCH($AZ133,$I$4:$I$173,0)),1)="精","营",LEFT(INDEX($G$4:$G$173,MATCH($AZ133,$I$4:$I$173,0)),1)),"")</f>
        <v/>
      </c>
      <c r="BD133" s="36" t="str">
        <f t="shared" ref="BD133:BD196" si="86">IFERROR(IF(LEFT(INDEX($M$4:$M$173,MATCH($AZ133,$O$4:$O$173,0)),1)="精","营",LEFT(INDEX($M$4:$M$173,MATCH($AZ133,$O$4:$O$173,0)),1)),"")</f>
        <v>村</v>
      </c>
      <c r="BE133" s="36" t="str">
        <f t="shared" ref="BE133:BE196" si="87">IFERROR(IF(LEFT(INDEX($S$4:$S$173,MATCH($AZ133,$U$4:$U$173,0)),1)="精","营",LEFT(INDEX($S$4:$S$173,MATCH($AZ133,$U$4:$U$173,0)),1)),"")</f>
        <v>村</v>
      </c>
      <c r="BF133" s="36" t="str">
        <f t="shared" ref="BF133:BF196" si="88">IFERROR(IF(LEFT(INDEX($Y$4:$Y$173,MATCH($AZ133,$AA$4:$AA$173,0)),1)="精","营",LEFT(INDEX($Y$4:$Y$173,MATCH($AZ133,$AA$4:$AA$173,0)),1)),"")</f>
        <v/>
      </c>
      <c r="BG133" s="36" t="str">
        <f t="shared" ref="BG133:BG196" si="89">IFERROR(IF(LEFT(INDEX($AE$4:$AE$173,MATCH($AZ133,$AG$4:$AG$173,0)),1)="精","营",LEFT(INDEX($AE$4:$AE$173,MATCH($AZ133,$AG$4:$AG$173,0)),1)),"")</f>
        <v>村</v>
      </c>
      <c r="BH133" s="36" t="str">
        <f t="shared" ref="BH133:BH196" si="90">IFERROR(IF(LEFT(INDEX($AK$4:$AK$173,MATCH($AZ133,$AM$4:$AM$173,0)),1)="精","营",LEFT(INDEX($AK$4:$AK$173,MATCH($AZ133,$AM$4:$AM$173,0)),1)),"")</f>
        <v>村</v>
      </c>
      <c r="BI133" s="36" t="str">
        <f t="shared" ref="BI133:BI196" si="91">IFERROR(IF(LEFT(INDEX($AQ$4:$AQ$173,MATCH($AZ133,$AS$4:$AS$173,0)),1)="精","营",LEFT(INDEX($AQ$4:$AQ$173,MATCH($AZ133,$AS$4:$AS$173,0)),1)),"")</f>
        <v>村</v>
      </c>
      <c r="BJ133" s="29" t="str">
        <f t="shared" ref="BJ133:BJ196" si="92">IF(BC133&lt;&gt;"",BC133,IF(BD133&lt;&gt;"",BD133,IF(BE133&lt;&gt;"",BE133,IF(BF133&lt;&gt;"",BF133,IF(BG133&lt;&gt;"",BG133,IF(BH133&lt;&gt;"",BH133,IF(BI133&lt;&gt;"",BI133,"")))))))</f>
        <v>村</v>
      </c>
      <c r="BL133" s="15">
        <v>130</v>
      </c>
      <c r="BM133" s="39" t="str">
        <f t="shared" si="74"/>
        <v>365+774</v>
      </c>
      <c r="BN133" s="39" t="str">
        <f t="shared" si="74"/>
        <v/>
      </c>
      <c r="BO133" s="39" t="str">
        <f t="shared" si="74"/>
        <v/>
      </c>
      <c r="BP133" s="39" t="str">
        <f t="shared" si="74"/>
        <v/>
      </c>
      <c r="BQ133" s="39" t="str">
        <f t="shared" si="74"/>
        <v/>
      </c>
      <c r="BR133" s="39" t="str">
        <f t="shared" si="74"/>
        <v/>
      </c>
      <c r="BS133" s="39" t="str">
        <f t="shared" si="74"/>
        <v/>
      </c>
      <c r="BT133" s="39" t="str">
        <f t="shared" si="74"/>
        <v/>
      </c>
      <c r="BU133" s="39" t="str">
        <f t="shared" si="74"/>
        <v/>
      </c>
      <c r="BV133" s="39" t="str">
        <f t="shared" si="74"/>
        <v/>
      </c>
      <c r="BW133" s="39" t="str">
        <f t="shared" si="74"/>
        <v/>
      </c>
      <c r="BX133" s="39" t="str">
        <f t="shared" si="74"/>
        <v/>
      </c>
      <c r="BY133" s="39" t="str">
        <f t="shared" si="74"/>
        <v/>
      </c>
      <c r="BZ133" s="39" t="str">
        <f t="shared" si="74"/>
        <v/>
      </c>
      <c r="CA133" s="39" t="str">
        <f t="shared" si="74"/>
        <v/>
      </c>
      <c r="CB133" s="39" t="str">
        <f t="shared" si="72"/>
        <v/>
      </c>
      <c r="CC133" s="39" t="str">
        <f t="shared" si="72"/>
        <v/>
      </c>
      <c r="CD133" s="39" t="str">
        <f t="shared" si="72"/>
        <v/>
      </c>
      <c r="CE133" s="39" t="str">
        <f t="shared" si="72"/>
        <v/>
      </c>
      <c r="CF133" s="39" t="str">
        <f t="shared" si="72"/>
        <v/>
      </c>
      <c r="CG133" s="39" t="str">
        <f t="shared" si="72"/>
        <v/>
      </c>
      <c r="CH133" s="39" t="str">
        <f t="shared" si="72"/>
        <v/>
      </c>
      <c r="CI133" s="39" t="str">
        <f t="shared" si="72"/>
        <v/>
      </c>
      <c r="CJ133" s="39" t="str">
        <f t="shared" si="72"/>
        <v/>
      </c>
      <c r="CK133" s="39" t="str">
        <f t="shared" si="72"/>
        <v/>
      </c>
      <c r="CL133" s="39" t="str">
        <f t="shared" si="72"/>
        <v/>
      </c>
      <c r="CM133" s="39" t="str">
        <f t="shared" si="72"/>
        <v/>
      </c>
      <c r="CN133" s="39" t="str">
        <f t="shared" si="72"/>
        <v/>
      </c>
      <c r="CO133" s="39" t="str">
        <f t="shared" si="72"/>
        <v/>
      </c>
      <c r="CP133" s="39" t="str">
        <f t="shared" si="72"/>
        <v/>
      </c>
      <c r="CQ133" s="39" t="str">
        <f t="shared" si="73"/>
        <v/>
      </c>
      <c r="CR133" s="39" t="str">
        <f t="shared" si="73"/>
        <v>402+735</v>
      </c>
      <c r="CS133" s="39" t="str">
        <f t="shared" si="73"/>
        <v>392+783</v>
      </c>
      <c r="CT133" s="39" t="str">
        <f t="shared" si="73"/>
        <v>392+831</v>
      </c>
      <c r="CU133" s="39" t="str">
        <f t="shared" si="73"/>
        <v/>
      </c>
      <c r="CV133" s="39" t="str">
        <f t="shared" si="73"/>
        <v/>
      </c>
      <c r="CW133" s="39" t="str">
        <f t="shared" si="73"/>
        <v/>
      </c>
      <c r="CX133" s="39" t="str">
        <f t="shared" si="73"/>
        <v/>
      </c>
      <c r="CY133" s="39" t="str">
        <f t="shared" si="73"/>
        <v/>
      </c>
      <c r="CZ133" s="39" t="str">
        <f t="shared" si="73"/>
        <v/>
      </c>
      <c r="DA133" s="39" t="str">
        <f t="shared" si="73"/>
        <v/>
      </c>
      <c r="DB133" s="39" t="str">
        <f t="shared" si="73"/>
        <v/>
      </c>
      <c r="DC133" s="39" t="str">
        <f t="shared" si="73"/>
        <v/>
      </c>
      <c r="DD133" s="39" t="str">
        <f t="shared" si="73"/>
        <v/>
      </c>
      <c r="DE133" s="39" t="str">
        <f t="shared" si="73"/>
        <v/>
      </c>
      <c r="DF133" s="37" t="str">
        <f t="shared" ref="DF133:DF183" si="93">(15-COUNTIF(BM133:CA133,""))&amp;"+"&amp;15-COUNTIF(CB133:CP133,"")&amp;"+"&amp;15-COUNTIF(CQ133:DE133,"")</f>
        <v>1+0+3</v>
      </c>
      <c r="DG133" s="37" t="str">
        <f t="shared" ref="DG133:DG183" si="94">IF(合并区域(BM133:CA133,"|")="","0+0",合并区域(BM133:CA133,"|"))</f>
        <v>365+774</v>
      </c>
      <c r="DH133" s="37" t="str">
        <f t="shared" ref="DH133:DH183" si="95">IF(合并区域(CB133:CP133,"|")="","0+0",合并区域(CB133:CP133,"|"))</f>
        <v>0+0</v>
      </c>
      <c r="DI133" s="37" t="str">
        <f t="shared" ref="DI133:DI183" si="96">IF(合并区域(CQ133:DE133,"|")="","0+0",合并区域(CQ133:DE133,"|"))</f>
        <v>402+735|392+783|392+831</v>
      </c>
      <c r="DJ133" s="37" t="str">
        <f t="shared" ref="DJ133:DJ183" si="97">合并区域(DF133:DI133,"|")</f>
        <v>1+0+3|365+774|0+0|402+735|392+783|392+831</v>
      </c>
    </row>
    <row r="134" spans="2:114" x14ac:dyDescent="0.15">
      <c r="B134" s="15">
        <v>131</v>
      </c>
      <c r="C134" s="15" t="s">
        <v>186</v>
      </c>
      <c r="D134" s="15">
        <v>88</v>
      </c>
      <c r="G134" s="25" t="s">
        <v>520</v>
      </c>
      <c r="H134" s="25">
        <v>141</v>
      </c>
      <c r="I134" s="26" t="s">
        <v>91</v>
      </c>
      <c r="J134" s="26">
        <f t="shared" si="75"/>
        <v>42</v>
      </c>
      <c r="M134" s="25" t="s">
        <v>520</v>
      </c>
      <c r="N134" s="25">
        <v>141</v>
      </c>
      <c r="O134" s="26" t="s">
        <v>668</v>
      </c>
      <c r="P134" s="26">
        <f t="shared" si="76"/>
        <v>153</v>
      </c>
      <c r="Q134" s="26"/>
      <c r="R134" s="26"/>
      <c r="S134" s="25" t="s">
        <v>520</v>
      </c>
      <c r="T134" s="25">
        <v>141</v>
      </c>
      <c r="U134" s="26" t="s">
        <v>60</v>
      </c>
      <c r="V134" s="26">
        <f t="shared" si="77"/>
        <v>26</v>
      </c>
      <c r="W134" s="26"/>
      <c r="Y134" s="25" t="s">
        <v>520</v>
      </c>
      <c r="Z134" s="25">
        <v>141</v>
      </c>
      <c r="AA134" s="26" t="s">
        <v>672</v>
      </c>
      <c r="AB134" s="26">
        <f t="shared" si="78"/>
        <v>157</v>
      </c>
      <c r="AE134" s="25" t="s">
        <v>520</v>
      </c>
      <c r="AF134" s="25">
        <v>141</v>
      </c>
      <c r="AG134" s="26" t="s">
        <v>192</v>
      </c>
      <c r="AH134" s="26">
        <f t="shared" si="79"/>
        <v>91</v>
      </c>
      <c r="AK134" s="25" t="s">
        <v>520</v>
      </c>
      <c r="AL134" s="25">
        <v>141</v>
      </c>
      <c r="AM134" s="26" t="s">
        <v>976</v>
      </c>
      <c r="AN134" s="26">
        <f t="shared" si="80"/>
        <v>127</v>
      </c>
      <c r="AQ134" s="25" t="s">
        <v>520</v>
      </c>
      <c r="AR134" s="25">
        <v>141</v>
      </c>
      <c r="AS134" s="26" t="s">
        <v>936</v>
      </c>
      <c r="AT134" s="26">
        <f t="shared" si="81"/>
        <v>124</v>
      </c>
      <c r="AX134" s="15"/>
      <c r="AY134" s="35">
        <f t="shared" si="82"/>
        <v>131</v>
      </c>
      <c r="AZ134" s="35" t="str">
        <f t="shared" si="83"/>
        <v>579+685</v>
      </c>
      <c r="BA134" s="35">
        <f t="shared" si="84"/>
        <v>88</v>
      </c>
      <c r="BB134" s="38">
        <f>COUNTIF($BA$4:$BA134,$BA134)</f>
        <v>2</v>
      </c>
      <c r="BC134" s="36" t="str">
        <f t="shared" si="85"/>
        <v/>
      </c>
      <c r="BD134" s="36" t="str">
        <f t="shared" si="86"/>
        <v>村</v>
      </c>
      <c r="BE134" s="36" t="str">
        <f t="shared" si="87"/>
        <v>村</v>
      </c>
      <c r="BF134" s="36" t="str">
        <f t="shared" si="88"/>
        <v/>
      </c>
      <c r="BG134" s="36" t="str">
        <f t="shared" si="89"/>
        <v>村</v>
      </c>
      <c r="BH134" s="36" t="str">
        <f t="shared" si="90"/>
        <v/>
      </c>
      <c r="BI134" s="36" t="str">
        <f t="shared" si="91"/>
        <v>村</v>
      </c>
      <c r="BJ134" s="29" t="str">
        <f t="shared" si="92"/>
        <v>村</v>
      </c>
      <c r="BL134" s="15">
        <v>131</v>
      </c>
      <c r="BM134" s="39" t="str">
        <f t="shared" si="74"/>
        <v/>
      </c>
      <c r="BN134" s="39" t="str">
        <f t="shared" si="74"/>
        <v/>
      </c>
      <c r="BO134" s="39" t="str">
        <f t="shared" si="74"/>
        <v/>
      </c>
      <c r="BP134" s="39" t="str">
        <f t="shared" si="74"/>
        <v/>
      </c>
      <c r="BQ134" s="39" t="str">
        <f t="shared" si="74"/>
        <v/>
      </c>
      <c r="BR134" s="39" t="str">
        <f t="shared" si="74"/>
        <v/>
      </c>
      <c r="BS134" s="39" t="str">
        <f t="shared" si="74"/>
        <v/>
      </c>
      <c r="BT134" s="39" t="str">
        <f t="shared" si="74"/>
        <v/>
      </c>
      <c r="BU134" s="39" t="str">
        <f t="shared" si="74"/>
        <v/>
      </c>
      <c r="BV134" s="39" t="str">
        <f t="shared" si="74"/>
        <v/>
      </c>
      <c r="BW134" s="39" t="str">
        <f t="shared" si="74"/>
        <v/>
      </c>
      <c r="BX134" s="39" t="str">
        <f t="shared" si="74"/>
        <v/>
      </c>
      <c r="BY134" s="39" t="str">
        <f t="shared" si="74"/>
        <v/>
      </c>
      <c r="BZ134" s="39" t="str">
        <f t="shared" si="74"/>
        <v/>
      </c>
      <c r="CA134" s="39" t="str">
        <f t="shared" si="74"/>
        <v/>
      </c>
      <c r="CB134" s="39" t="str">
        <f t="shared" si="72"/>
        <v/>
      </c>
      <c r="CC134" s="39" t="str">
        <f t="shared" si="72"/>
        <v/>
      </c>
      <c r="CD134" s="39" t="str">
        <f t="shared" si="72"/>
        <v/>
      </c>
      <c r="CE134" s="39" t="str">
        <f t="shared" si="72"/>
        <v/>
      </c>
      <c r="CF134" s="39" t="str">
        <f t="shared" si="72"/>
        <v/>
      </c>
      <c r="CG134" s="39" t="str">
        <f t="shared" si="72"/>
        <v/>
      </c>
      <c r="CH134" s="39" t="str">
        <f t="shared" si="72"/>
        <v/>
      </c>
      <c r="CI134" s="39" t="str">
        <f t="shared" si="72"/>
        <v/>
      </c>
      <c r="CJ134" s="39" t="str">
        <f t="shared" si="72"/>
        <v/>
      </c>
      <c r="CK134" s="39" t="str">
        <f t="shared" si="72"/>
        <v/>
      </c>
      <c r="CL134" s="39" t="str">
        <f t="shared" si="72"/>
        <v/>
      </c>
      <c r="CM134" s="39" t="str">
        <f t="shared" si="72"/>
        <v/>
      </c>
      <c r="CN134" s="39" t="str">
        <f t="shared" si="72"/>
        <v/>
      </c>
      <c r="CO134" s="39" t="str">
        <f t="shared" si="72"/>
        <v/>
      </c>
      <c r="CP134" s="39" t="str">
        <f t="shared" si="72"/>
        <v/>
      </c>
      <c r="CQ134" s="39" t="str">
        <f t="shared" si="73"/>
        <v>285+716</v>
      </c>
      <c r="CR134" s="39" t="str">
        <f t="shared" si="73"/>
        <v/>
      </c>
      <c r="CS134" s="39" t="str">
        <f t="shared" si="73"/>
        <v/>
      </c>
      <c r="CT134" s="39" t="str">
        <f t="shared" si="73"/>
        <v/>
      </c>
      <c r="CU134" s="39" t="str">
        <f t="shared" si="73"/>
        <v/>
      </c>
      <c r="CV134" s="39" t="str">
        <f t="shared" si="73"/>
        <v/>
      </c>
      <c r="CW134" s="39" t="str">
        <f t="shared" si="73"/>
        <v/>
      </c>
      <c r="CX134" s="39" t="str">
        <f t="shared" si="73"/>
        <v/>
      </c>
      <c r="CY134" s="39" t="str">
        <f t="shared" si="73"/>
        <v/>
      </c>
      <c r="CZ134" s="39" t="str">
        <f t="shared" si="73"/>
        <v/>
      </c>
      <c r="DA134" s="39" t="str">
        <f t="shared" si="73"/>
        <v/>
      </c>
      <c r="DB134" s="39" t="str">
        <f t="shared" si="73"/>
        <v/>
      </c>
      <c r="DC134" s="39" t="str">
        <f t="shared" si="73"/>
        <v/>
      </c>
      <c r="DD134" s="39" t="str">
        <f t="shared" si="73"/>
        <v/>
      </c>
      <c r="DE134" s="39" t="str">
        <f t="shared" si="73"/>
        <v/>
      </c>
      <c r="DF134" s="37" t="str">
        <f t="shared" si="93"/>
        <v>0+0+1</v>
      </c>
      <c r="DG134" s="37" t="str">
        <f t="shared" si="94"/>
        <v>0+0</v>
      </c>
      <c r="DH134" s="37" t="str">
        <f t="shared" si="95"/>
        <v>0+0</v>
      </c>
      <c r="DI134" s="37" t="str">
        <f t="shared" si="96"/>
        <v>285+716</v>
      </c>
      <c r="DJ134" s="37" t="str">
        <f t="shared" si="97"/>
        <v>0+0+1|0+0|0+0|285+716</v>
      </c>
    </row>
    <row r="135" spans="2:114" x14ac:dyDescent="0.15">
      <c r="B135" s="15">
        <v>132</v>
      </c>
      <c r="C135" s="15" t="s">
        <v>628</v>
      </c>
      <c r="D135" s="15">
        <v>88</v>
      </c>
      <c r="G135" s="25" t="s">
        <v>520</v>
      </c>
      <c r="H135" s="25">
        <v>142</v>
      </c>
      <c r="I135" s="26" t="s">
        <v>43</v>
      </c>
      <c r="J135" s="26">
        <f t="shared" si="75"/>
        <v>18</v>
      </c>
      <c r="M135" s="25" t="s">
        <v>520</v>
      </c>
      <c r="N135" s="25">
        <v>142</v>
      </c>
      <c r="O135" s="26" t="s">
        <v>419</v>
      </c>
      <c r="P135" s="26">
        <f t="shared" si="76"/>
        <v>127</v>
      </c>
      <c r="Q135" s="26"/>
      <c r="R135" s="26"/>
      <c r="S135" s="25" t="s">
        <v>520</v>
      </c>
      <c r="T135" s="25">
        <v>142</v>
      </c>
      <c r="U135" s="26" t="s">
        <v>594</v>
      </c>
      <c r="V135" s="26">
        <f t="shared" si="77"/>
        <v>31</v>
      </c>
      <c r="W135" s="26"/>
      <c r="Y135" s="25" t="s">
        <v>520</v>
      </c>
      <c r="Z135" s="25">
        <v>142</v>
      </c>
      <c r="AA135" s="26" t="s">
        <v>664</v>
      </c>
      <c r="AB135" s="26">
        <f t="shared" si="78"/>
        <v>145</v>
      </c>
      <c r="AE135" s="25" t="s">
        <v>520</v>
      </c>
      <c r="AF135" s="25">
        <v>142</v>
      </c>
      <c r="AG135" s="26" t="s">
        <v>667</v>
      </c>
      <c r="AH135" s="26">
        <f t="shared" si="79"/>
        <v>150</v>
      </c>
      <c r="AK135" s="25" t="s">
        <v>520</v>
      </c>
      <c r="AL135" s="25">
        <v>142</v>
      </c>
      <c r="AM135" s="26" t="s">
        <v>666</v>
      </c>
      <c r="AN135" s="26">
        <f t="shared" si="80"/>
        <v>149</v>
      </c>
      <c r="AQ135" s="25" t="s">
        <v>520</v>
      </c>
      <c r="AR135" s="25">
        <v>142</v>
      </c>
      <c r="AS135" s="26" t="s">
        <v>625</v>
      </c>
      <c r="AT135" s="26">
        <f t="shared" si="81"/>
        <v>85</v>
      </c>
      <c r="AX135" s="15"/>
      <c r="AY135" s="35">
        <f t="shared" si="82"/>
        <v>132</v>
      </c>
      <c r="AZ135" s="35" t="str">
        <f t="shared" si="83"/>
        <v>573+703</v>
      </c>
      <c r="BA135" s="35">
        <f t="shared" si="84"/>
        <v>88</v>
      </c>
      <c r="BB135" s="38">
        <f>COUNTIF($BA$4:$BA135,$BA135)</f>
        <v>3</v>
      </c>
      <c r="BC135" s="36" t="str">
        <f t="shared" si="85"/>
        <v/>
      </c>
      <c r="BD135" s="36" t="str">
        <f t="shared" si="86"/>
        <v>营</v>
      </c>
      <c r="BE135" s="36" t="str">
        <f t="shared" si="87"/>
        <v>营</v>
      </c>
      <c r="BF135" s="36" t="str">
        <f t="shared" si="88"/>
        <v/>
      </c>
      <c r="BG135" s="36" t="str">
        <f t="shared" si="89"/>
        <v>营</v>
      </c>
      <c r="BH135" s="36" t="str">
        <f t="shared" si="90"/>
        <v>营</v>
      </c>
      <c r="BI135" s="36" t="str">
        <f t="shared" si="91"/>
        <v>营</v>
      </c>
      <c r="BJ135" s="29" t="str">
        <f t="shared" si="92"/>
        <v>营</v>
      </c>
      <c r="BL135" s="15">
        <v>132</v>
      </c>
      <c r="BM135" s="39" t="str">
        <f t="shared" si="74"/>
        <v>352+714</v>
      </c>
      <c r="BN135" s="39" t="str">
        <f t="shared" si="74"/>
        <v>372+728</v>
      </c>
      <c r="BO135" s="39" t="str">
        <f t="shared" si="74"/>
        <v/>
      </c>
      <c r="BP135" s="39" t="str">
        <f t="shared" si="74"/>
        <v>381+702</v>
      </c>
      <c r="BQ135" s="39" t="str">
        <f t="shared" si="74"/>
        <v/>
      </c>
      <c r="BR135" s="39" t="str">
        <f t="shared" si="74"/>
        <v/>
      </c>
      <c r="BS135" s="39" t="str">
        <f t="shared" si="74"/>
        <v/>
      </c>
      <c r="BT135" s="39" t="str">
        <f t="shared" si="74"/>
        <v/>
      </c>
      <c r="BU135" s="39" t="str">
        <f t="shared" si="74"/>
        <v/>
      </c>
      <c r="BV135" s="39" t="str">
        <f t="shared" si="74"/>
        <v/>
      </c>
      <c r="BW135" s="39" t="str">
        <f t="shared" si="74"/>
        <v/>
      </c>
      <c r="BX135" s="39" t="str">
        <f t="shared" si="74"/>
        <v/>
      </c>
      <c r="BY135" s="39" t="str">
        <f t="shared" si="74"/>
        <v/>
      </c>
      <c r="BZ135" s="39" t="str">
        <f t="shared" si="74"/>
        <v/>
      </c>
      <c r="CA135" s="39" t="str">
        <f t="shared" si="74"/>
        <v/>
      </c>
      <c r="CB135" s="39" t="str">
        <f t="shared" si="72"/>
        <v/>
      </c>
      <c r="CC135" s="39" t="str">
        <f t="shared" si="72"/>
        <v/>
      </c>
      <c r="CD135" s="39" t="str">
        <f t="shared" si="72"/>
        <v/>
      </c>
      <c r="CE135" s="39" t="str">
        <f t="shared" si="72"/>
        <v/>
      </c>
      <c r="CF135" s="39" t="str">
        <f t="shared" si="72"/>
        <v/>
      </c>
      <c r="CG135" s="39" t="str">
        <f t="shared" si="72"/>
        <v/>
      </c>
      <c r="CH135" s="39" t="str">
        <f t="shared" si="72"/>
        <v/>
      </c>
      <c r="CI135" s="39" t="str">
        <f t="shared" si="72"/>
        <v/>
      </c>
      <c r="CJ135" s="39" t="str">
        <f t="shared" si="72"/>
        <v/>
      </c>
      <c r="CK135" s="39" t="str">
        <f t="shared" si="72"/>
        <v/>
      </c>
      <c r="CL135" s="39" t="str">
        <f t="shared" si="72"/>
        <v/>
      </c>
      <c r="CM135" s="39" t="str">
        <f t="shared" si="72"/>
        <v/>
      </c>
      <c r="CN135" s="39" t="str">
        <f t="shared" si="72"/>
        <v/>
      </c>
      <c r="CO135" s="39" t="str">
        <f t="shared" si="72"/>
        <v/>
      </c>
      <c r="CP135" s="39" t="str">
        <f t="shared" si="72"/>
        <v/>
      </c>
      <c r="CQ135" s="39" t="str">
        <f t="shared" si="73"/>
        <v/>
      </c>
      <c r="CR135" s="39" t="str">
        <f t="shared" si="73"/>
        <v/>
      </c>
      <c r="CS135" s="39" t="str">
        <f t="shared" si="73"/>
        <v>336+730</v>
      </c>
      <c r="CT135" s="39" t="str">
        <f t="shared" si="73"/>
        <v/>
      </c>
      <c r="CU135" s="39" t="str">
        <f t="shared" si="73"/>
        <v/>
      </c>
      <c r="CV135" s="39" t="str">
        <f t="shared" si="73"/>
        <v/>
      </c>
      <c r="CW135" s="39" t="str">
        <f t="shared" si="73"/>
        <v/>
      </c>
      <c r="CX135" s="39" t="str">
        <f t="shared" si="73"/>
        <v/>
      </c>
      <c r="CY135" s="39" t="str">
        <f t="shared" si="73"/>
        <v/>
      </c>
      <c r="CZ135" s="39" t="str">
        <f t="shared" si="73"/>
        <v/>
      </c>
      <c r="DA135" s="39" t="str">
        <f t="shared" si="73"/>
        <v/>
      </c>
      <c r="DB135" s="39" t="str">
        <f t="shared" si="73"/>
        <v/>
      </c>
      <c r="DC135" s="39" t="str">
        <f t="shared" si="73"/>
        <v/>
      </c>
      <c r="DD135" s="39" t="str">
        <f t="shared" si="73"/>
        <v/>
      </c>
      <c r="DE135" s="39" t="str">
        <f t="shared" si="73"/>
        <v/>
      </c>
      <c r="DF135" s="37" t="str">
        <f t="shared" si="93"/>
        <v>3+0+1</v>
      </c>
      <c r="DG135" s="37" t="str">
        <f t="shared" si="94"/>
        <v>352+714|372+728|381+702</v>
      </c>
      <c r="DH135" s="37" t="str">
        <f t="shared" si="95"/>
        <v>0+0</v>
      </c>
      <c r="DI135" s="37" t="str">
        <f t="shared" si="96"/>
        <v>336+730</v>
      </c>
      <c r="DJ135" s="37" t="str">
        <f t="shared" si="97"/>
        <v>3+0+1|352+714|372+728|381+702|0+0|336+730</v>
      </c>
    </row>
    <row r="136" spans="2:114" x14ac:dyDescent="0.15">
      <c r="B136" s="15">
        <v>133</v>
      </c>
      <c r="C136" s="15" t="s">
        <v>187</v>
      </c>
      <c r="D136" s="15">
        <v>89</v>
      </c>
      <c r="G136" s="27" t="s">
        <v>522</v>
      </c>
      <c r="H136" s="27">
        <v>143</v>
      </c>
      <c r="I136" s="26" t="s">
        <v>600</v>
      </c>
      <c r="J136" s="26">
        <f t="shared" si="75"/>
        <v>43</v>
      </c>
      <c r="M136" s="27" t="s">
        <v>522</v>
      </c>
      <c r="N136" s="27">
        <v>143</v>
      </c>
      <c r="O136" s="26" t="s">
        <v>88</v>
      </c>
      <c r="P136" s="26">
        <f t="shared" si="76"/>
        <v>40</v>
      </c>
      <c r="Q136" s="26"/>
      <c r="R136" s="26"/>
      <c r="S136" s="27" t="s">
        <v>522</v>
      </c>
      <c r="T136" s="27">
        <v>143</v>
      </c>
      <c r="U136" s="26" t="s">
        <v>733</v>
      </c>
      <c r="V136" s="26">
        <f t="shared" si="77"/>
        <v>34</v>
      </c>
      <c r="W136" s="26"/>
      <c r="Y136" s="27" t="s">
        <v>522</v>
      </c>
      <c r="Z136" s="27">
        <v>143</v>
      </c>
      <c r="AA136" s="26" t="s">
        <v>663</v>
      </c>
      <c r="AB136" s="26">
        <f t="shared" si="78"/>
        <v>144</v>
      </c>
      <c r="AE136" s="27" t="s">
        <v>522</v>
      </c>
      <c r="AF136" s="27">
        <v>143</v>
      </c>
      <c r="AG136" s="26" t="s">
        <v>915</v>
      </c>
      <c r="AH136" s="26">
        <f t="shared" si="79"/>
        <v>124</v>
      </c>
      <c r="AK136" s="27" t="s">
        <v>522</v>
      </c>
      <c r="AL136" s="27">
        <v>143</v>
      </c>
      <c r="AM136" s="26" t="s">
        <v>868</v>
      </c>
      <c r="AN136" s="26">
        <f t="shared" si="80"/>
        <v>73</v>
      </c>
      <c r="AQ136" s="27" t="s">
        <v>522</v>
      </c>
      <c r="AR136" s="27">
        <v>143</v>
      </c>
      <c r="AS136" s="26" t="s">
        <v>271</v>
      </c>
      <c r="AT136" s="26">
        <f t="shared" si="81"/>
        <v>130</v>
      </c>
      <c r="AX136" s="15"/>
      <c r="AY136" s="35">
        <f t="shared" si="82"/>
        <v>133</v>
      </c>
      <c r="AZ136" s="35" t="str">
        <f t="shared" si="83"/>
        <v>656+708</v>
      </c>
      <c r="BA136" s="35">
        <f t="shared" si="84"/>
        <v>89</v>
      </c>
      <c r="BB136" s="38">
        <f>COUNTIF($BA$4:$BA136,$BA136)</f>
        <v>1</v>
      </c>
      <c r="BC136" s="36" t="str">
        <f t="shared" si="85"/>
        <v/>
      </c>
      <c r="BD136" s="36" t="str">
        <f t="shared" si="86"/>
        <v>村</v>
      </c>
      <c r="BE136" s="36" t="str">
        <f t="shared" si="87"/>
        <v>村</v>
      </c>
      <c r="BF136" s="36" t="str">
        <f t="shared" si="88"/>
        <v/>
      </c>
      <c r="BG136" s="36" t="str">
        <f t="shared" si="89"/>
        <v>村</v>
      </c>
      <c r="BH136" s="36" t="str">
        <f t="shared" si="90"/>
        <v>村</v>
      </c>
      <c r="BI136" s="36" t="str">
        <f t="shared" si="91"/>
        <v>村</v>
      </c>
      <c r="BJ136" s="29" t="str">
        <f t="shared" si="92"/>
        <v>村</v>
      </c>
      <c r="BL136" s="15">
        <v>133</v>
      </c>
      <c r="BM136" s="39" t="str">
        <f t="shared" si="74"/>
        <v>435+716</v>
      </c>
      <c r="BN136" s="39" t="str">
        <f t="shared" si="74"/>
        <v>453+731</v>
      </c>
      <c r="BO136" s="39" t="str">
        <f t="shared" si="74"/>
        <v/>
      </c>
      <c r="BP136" s="39" t="str">
        <f t="shared" si="74"/>
        <v/>
      </c>
      <c r="BQ136" s="39" t="str">
        <f t="shared" si="74"/>
        <v/>
      </c>
      <c r="BR136" s="39" t="str">
        <f t="shared" si="74"/>
        <v/>
      </c>
      <c r="BS136" s="39" t="str">
        <f t="shared" si="74"/>
        <v/>
      </c>
      <c r="BT136" s="39" t="str">
        <f t="shared" si="74"/>
        <v/>
      </c>
      <c r="BU136" s="39" t="str">
        <f t="shared" si="74"/>
        <v/>
      </c>
      <c r="BV136" s="39" t="str">
        <f t="shared" si="74"/>
        <v/>
      </c>
      <c r="BW136" s="39" t="str">
        <f t="shared" si="74"/>
        <v/>
      </c>
      <c r="BX136" s="39" t="str">
        <f t="shared" si="74"/>
        <v/>
      </c>
      <c r="BY136" s="39" t="str">
        <f t="shared" si="74"/>
        <v/>
      </c>
      <c r="BZ136" s="39" t="str">
        <f t="shared" si="74"/>
        <v/>
      </c>
      <c r="CA136" s="39" t="str">
        <f t="shared" si="74"/>
        <v/>
      </c>
      <c r="CB136" s="39" t="str">
        <f t="shared" si="72"/>
        <v/>
      </c>
      <c r="CC136" s="39" t="str">
        <f t="shared" si="72"/>
        <v/>
      </c>
      <c r="CD136" s="39" t="str">
        <f t="shared" si="72"/>
        <v>419+714</v>
      </c>
      <c r="CE136" s="39" t="str">
        <f t="shared" si="72"/>
        <v/>
      </c>
      <c r="CF136" s="39" t="str">
        <f t="shared" si="72"/>
        <v/>
      </c>
      <c r="CG136" s="39" t="str">
        <f t="shared" si="72"/>
        <v/>
      </c>
      <c r="CH136" s="39" t="str">
        <f t="shared" si="72"/>
        <v/>
      </c>
      <c r="CI136" s="39" t="str">
        <f t="shared" si="72"/>
        <v/>
      </c>
      <c r="CJ136" s="39" t="str">
        <f t="shared" si="72"/>
        <v/>
      </c>
      <c r="CK136" s="39" t="str">
        <f t="shared" si="72"/>
        <v/>
      </c>
      <c r="CL136" s="39" t="str">
        <f t="shared" si="72"/>
        <v/>
      </c>
      <c r="CM136" s="39" t="str">
        <f t="shared" si="72"/>
        <v/>
      </c>
      <c r="CN136" s="39" t="str">
        <f t="shared" si="72"/>
        <v/>
      </c>
      <c r="CO136" s="39" t="str">
        <f t="shared" si="72"/>
        <v/>
      </c>
      <c r="CP136" s="39" t="str">
        <f t="shared" si="72"/>
        <v/>
      </c>
      <c r="CQ136" s="39" t="str">
        <f t="shared" si="73"/>
        <v/>
      </c>
      <c r="CR136" s="39" t="str">
        <f t="shared" si="73"/>
        <v/>
      </c>
      <c r="CS136" s="39" t="str">
        <f t="shared" si="73"/>
        <v/>
      </c>
      <c r="CT136" s="39" t="str">
        <f t="shared" si="73"/>
        <v>460+705</v>
      </c>
      <c r="CU136" s="39" t="str">
        <f t="shared" si="73"/>
        <v/>
      </c>
      <c r="CV136" s="39" t="str">
        <f t="shared" si="73"/>
        <v/>
      </c>
      <c r="CW136" s="39" t="str">
        <f t="shared" si="73"/>
        <v/>
      </c>
      <c r="CX136" s="39" t="str">
        <f t="shared" si="73"/>
        <v/>
      </c>
      <c r="CY136" s="39" t="str">
        <f t="shared" si="73"/>
        <v/>
      </c>
      <c r="CZ136" s="39" t="str">
        <f t="shared" si="73"/>
        <v/>
      </c>
      <c r="DA136" s="39" t="str">
        <f t="shared" si="73"/>
        <v/>
      </c>
      <c r="DB136" s="39" t="str">
        <f t="shared" si="73"/>
        <v/>
      </c>
      <c r="DC136" s="39" t="str">
        <f t="shared" si="73"/>
        <v/>
      </c>
      <c r="DD136" s="39" t="str">
        <f t="shared" si="73"/>
        <v/>
      </c>
      <c r="DE136" s="39" t="str">
        <f t="shared" si="73"/>
        <v/>
      </c>
      <c r="DF136" s="37" t="str">
        <f t="shared" si="93"/>
        <v>2+1+1</v>
      </c>
      <c r="DG136" s="37" t="str">
        <f t="shared" si="94"/>
        <v>435+716|453+731</v>
      </c>
      <c r="DH136" s="37" t="str">
        <f t="shared" si="95"/>
        <v>419+714</v>
      </c>
      <c r="DI136" s="37" t="str">
        <f t="shared" si="96"/>
        <v>460+705</v>
      </c>
      <c r="DJ136" s="37" t="str">
        <f t="shared" si="97"/>
        <v>2+1+1|435+716|453+731|419+714|460+705</v>
      </c>
    </row>
    <row r="137" spans="2:114" x14ac:dyDescent="0.15">
      <c r="B137" s="15">
        <v>134</v>
      </c>
      <c r="C137" s="15" t="s">
        <v>188</v>
      </c>
      <c r="D137" s="15">
        <v>89</v>
      </c>
      <c r="G137" s="27" t="s">
        <v>522</v>
      </c>
      <c r="H137" s="27">
        <v>144</v>
      </c>
      <c r="I137" s="26" t="s">
        <v>734</v>
      </c>
      <c r="J137" s="26">
        <f t="shared" si="75"/>
        <v>41</v>
      </c>
      <c r="M137" s="27" t="s">
        <v>522</v>
      </c>
      <c r="N137" s="27">
        <v>144</v>
      </c>
      <c r="O137" s="26" t="s">
        <v>724</v>
      </c>
      <c r="P137" s="26">
        <f t="shared" si="76"/>
        <v>154</v>
      </c>
      <c r="Q137" s="26"/>
      <c r="R137" s="26"/>
      <c r="S137" s="27" t="s">
        <v>522</v>
      </c>
      <c r="T137" s="27">
        <v>144</v>
      </c>
      <c r="U137" s="26" t="s">
        <v>62</v>
      </c>
      <c r="V137" s="26">
        <f t="shared" si="77"/>
        <v>27</v>
      </c>
      <c r="W137" s="26"/>
      <c r="Y137" s="27" t="s">
        <v>522</v>
      </c>
      <c r="Z137" s="27">
        <v>144</v>
      </c>
      <c r="AA137" s="26" t="s">
        <v>670</v>
      </c>
      <c r="AB137" s="26">
        <f t="shared" si="78"/>
        <v>155</v>
      </c>
      <c r="AE137" s="27" t="s">
        <v>522</v>
      </c>
      <c r="AF137" s="27">
        <v>144</v>
      </c>
      <c r="AG137" s="26" t="s">
        <v>944</v>
      </c>
      <c r="AH137" s="26">
        <f t="shared" si="79"/>
        <v>111</v>
      </c>
      <c r="AK137" s="27" t="s">
        <v>522</v>
      </c>
      <c r="AL137" s="27">
        <v>144</v>
      </c>
      <c r="AM137" s="26" t="s">
        <v>284</v>
      </c>
      <c r="AN137" s="26">
        <f t="shared" si="80"/>
        <v>136</v>
      </c>
      <c r="AQ137" s="27" t="s">
        <v>522</v>
      </c>
      <c r="AR137" s="27">
        <v>144</v>
      </c>
      <c r="AS137" s="26" t="s">
        <v>1006</v>
      </c>
      <c r="AT137" s="26">
        <f t="shared" si="81"/>
        <v>130</v>
      </c>
      <c r="AX137" s="15"/>
      <c r="AY137" s="35">
        <f t="shared" si="82"/>
        <v>134</v>
      </c>
      <c r="AZ137" s="35" t="str">
        <f t="shared" si="83"/>
        <v>682+710</v>
      </c>
      <c r="BA137" s="35">
        <f t="shared" si="84"/>
        <v>89</v>
      </c>
      <c r="BB137" s="38">
        <f>COUNTIF($BA$4:$BA137,$BA137)</f>
        <v>2</v>
      </c>
      <c r="BC137" s="36" t="str">
        <f t="shared" si="85"/>
        <v/>
      </c>
      <c r="BD137" s="36" t="str">
        <f t="shared" si="86"/>
        <v>村</v>
      </c>
      <c r="BE137" s="36" t="str">
        <f t="shared" si="87"/>
        <v>村</v>
      </c>
      <c r="BF137" s="36" t="str">
        <f t="shared" si="88"/>
        <v/>
      </c>
      <c r="BG137" s="36" t="str">
        <f t="shared" si="89"/>
        <v>村</v>
      </c>
      <c r="BH137" s="36" t="str">
        <f t="shared" si="90"/>
        <v>村</v>
      </c>
      <c r="BI137" s="36" t="str">
        <f t="shared" si="91"/>
        <v>村</v>
      </c>
      <c r="BJ137" s="29" t="str">
        <f t="shared" si="92"/>
        <v>村</v>
      </c>
      <c r="BL137" s="15">
        <v>134</v>
      </c>
      <c r="BM137" s="39" t="str">
        <f t="shared" si="74"/>
        <v>556+761</v>
      </c>
      <c r="BN137" s="39" t="str">
        <f t="shared" si="74"/>
        <v>578+727</v>
      </c>
      <c r="BO137" s="39" t="str">
        <f t="shared" si="74"/>
        <v/>
      </c>
      <c r="BP137" s="39" t="str">
        <f t="shared" si="74"/>
        <v>569+758</v>
      </c>
      <c r="BQ137" s="39" t="str">
        <f t="shared" si="74"/>
        <v/>
      </c>
      <c r="BR137" s="39" t="str">
        <f t="shared" si="74"/>
        <v/>
      </c>
      <c r="BS137" s="39" t="str">
        <f t="shared" si="74"/>
        <v/>
      </c>
      <c r="BT137" s="39" t="str">
        <f t="shared" si="74"/>
        <v/>
      </c>
      <c r="BU137" s="39" t="str">
        <f t="shared" si="74"/>
        <v/>
      </c>
      <c r="BV137" s="39" t="str">
        <f t="shared" si="74"/>
        <v/>
      </c>
      <c r="BW137" s="39" t="str">
        <f t="shared" si="74"/>
        <v/>
      </c>
      <c r="BX137" s="39" t="str">
        <f t="shared" si="74"/>
        <v/>
      </c>
      <c r="BY137" s="39" t="str">
        <f t="shared" si="74"/>
        <v/>
      </c>
      <c r="BZ137" s="39" t="str">
        <f t="shared" si="74"/>
        <v/>
      </c>
      <c r="CA137" s="39" t="str">
        <f t="shared" si="74"/>
        <v/>
      </c>
      <c r="CB137" s="39" t="str">
        <f t="shared" si="72"/>
        <v/>
      </c>
      <c r="CC137" s="39" t="str">
        <f t="shared" si="72"/>
        <v/>
      </c>
      <c r="CD137" s="39" t="str">
        <f t="shared" si="72"/>
        <v>567+728</v>
      </c>
      <c r="CE137" s="39" t="str">
        <f t="shared" si="72"/>
        <v/>
      </c>
      <c r="CF137" s="39" t="str">
        <f t="shared" si="72"/>
        <v/>
      </c>
      <c r="CG137" s="39" t="str">
        <f t="shared" si="72"/>
        <v/>
      </c>
      <c r="CH137" s="39" t="str">
        <f t="shared" si="72"/>
        <v/>
      </c>
      <c r="CI137" s="39" t="str">
        <f t="shared" si="72"/>
        <v/>
      </c>
      <c r="CJ137" s="39" t="str">
        <f t="shared" si="72"/>
        <v/>
      </c>
      <c r="CK137" s="39" t="str">
        <f t="shared" si="72"/>
        <v/>
      </c>
      <c r="CL137" s="39" t="str">
        <f t="shared" si="72"/>
        <v/>
      </c>
      <c r="CM137" s="39" t="str">
        <f t="shared" si="72"/>
        <v/>
      </c>
      <c r="CN137" s="39" t="str">
        <f t="shared" si="72"/>
        <v/>
      </c>
      <c r="CO137" s="39" t="str">
        <f t="shared" si="72"/>
        <v/>
      </c>
      <c r="CP137" s="39" t="str">
        <f t="shared" si="72"/>
        <v/>
      </c>
      <c r="CQ137" s="39" t="str">
        <f t="shared" si="73"/>
        <v/>
      </c>
      <c r="CR137" s="39" t="str">
        <f t="shared" si="73"/>
        <v/>
      </c>
      <c r="CS137" s="39" t="str">
        <f t="shared" si="73"/>
        <v/>
      </c>
      <c r="CT137" s="39" t="str">
        <f t="shared" si="73"/>
        <v/>
      </c>
      <c r="CU137" s="39" t="str">
        <f t="shared" si="73"/>
        <v>544+767</v>
      </c>
      <c r="CV137" s="39" t="str">
        <f t="shared" si="73"/>
        <v>556+746</v>
      </c>
      <c r="CW137" s="39" t="str">
        <f t="shared" si="73"/>
        <v/>
      </c>
      <c r="CX137" s="39" t="str">
        <f t="shared" si="73"/>
        <v/>
      </c>
      <c r="CY137" s="39" t="str">
        <f t="shared" si="73"/>
        <v/>
      </c>
      <c r="CZ137" s="39" t="str">
        <f t="shared" si="73"/>
        <v/>
      </c>
      <c r="DA137" s="39" t="str">
        <f t="shared" si="73"/>
        <v/>
      </c>
      <c r="DB137" s="39" t="str">
        <f t="shared" si="73"/>
        <v/>
      </c>
      <c r="DC137" s="39" t="str">
        <f t="shared" si="73"/>
        <v/>
      </c>
      <c r="DD137" s="39" t="str">
        <f t="shared" si="73"/>
        <v/>
      </c>
      <c r="DE137" s="39" t="str">
        <f t="shared" si="73"/>
        <v/>
      </c>
      <c r="DF137" s="37" t="str">
        <f t="shared" si="93"/>
        <v>3+1+2</v>
      </c>
      <c r="DG137" s="37" t="str">
        <f t="shared" si="94"/>
        <v>556+761|578+727|569+758</v>
      </c>
      <c r="DH137" s="37" t="str">
        <f t="shared" si="95"/>
        <v>567+728</v>
      </c>
      <c r="DI137" s="37" t="str">
        <f t="shared" si="96"/>
        <v>544+767|556+746</v>
      </c>
      <c r="DJ137" s="37" t="str">
        <f t="shared" si="97"/>
        <v>3+1+2|556+761|578+727|569+758|567+728|544+767|556+746</v>
      </c>
    </row>
    <row r="138" spans="2:114" x14ac:dyDescent="0.15">
      <c r="B138" s="15">
        <v>135</v>
      </c>
      <c r="C138" s="15" t="s">
        <v>420</v>
      </c>
      <c r="D138" s="15">
        <v>89</v>
      </c>
      <c r="G138" s="27" t="s">
        <v>522</v>
      </c>
      <c r="H138" s="27">
        <v>145</v>
      </c>
      <c r="I138" s="26" t="s">
        <v>594</v>
      </c>
      <c r="J138" s="26">
        <f t="shared" si="75"/>
        <v>31</v>
      </c>
      <c r="M138" s="27" t="s">
        <v>522</v>
      </c>
      <c r="N138" s="27">
        <v>145</v>
      </c>
      <c r="O138" s="26" t="s">
        <v>435</v>
      </c>
      <c r="P138" s="26">
        <f t="shared" si="76"/>
        <v>128</v>
      </c>
      <c r="Q138" s="26"/>
      <c r="R138" s="26"/>
      <c r="S138" s="27" t="s">
        <v>522</v>
      </c>
      <c r="T138" s="27">
        <v>145</v>
      </c>
      <c r="U138" s="26" t="s">
        <v>91</v>
      </c>
      <c r="V138" s="26">
        <f t="shared" si="77"/>
        <v>42</v>
      </c>
      <c r="W138" s="26"/>
      <c r="Y138" s="27" t="s">
        <v>522</v>
      </c>
      <c r="Z138" s="27">
        <v>145</v>
      </c>
      <c r="AA138" s="26" t="s">
        <v>732</v>
      </c>
      <c r="AB138" s="26">
        <f t="shared" si="78"/>
        <v>152</v>
      </c>
      <c r="AE138" s="27" t="s">
        <v>522</v>
      </c>
      <c r="AF138" s="27">
        <v>145</v>
      </c>
      <c r="AG138" s="26" t="s">
        <v>632</v>
      </c>
      <c r="AH138" s="26">
        <f t="shared" si="79"/>
        <v>93</v>
      </c>
      <c r="AK138" s="27" t="s">
        <v>522</v>
      </c>
      <c r="AL138" s="27">
        <v>145</v>
      </c>
      <c r="AM138" s="26" t="s">
        <v>308</v>
      </c>
      <c r="AN138" s="26">
        <f t="shared" si="80"/>
        <v>147</v>
      </c>
      <c r="AQ138" s="27" t="s">
        <v>522</v>
      </c>
      <c r="AR138" s="27">
        <v>145</v>
      </c>
      <c r="AS138" s="26" t="s">
        <v>420</v>
      </c>
      <c r="AT138" s="26">
        <f t="shared" si="81"/>
        <v>89</v>
      </c>
      <c r="AX138" s="15"/>
      <c r="AY138" s="35">
        <f t="shared" si="82"/>
        <v>135</v>
      </c>
      <c r="AZ138" s="35" t="str">
        <f t="shared" si="83"/>
        <v>671+714</v>
      </c>
      <c r="BA138" s="35">
        <f t="shared" si="84"/>
        <v>89</v>
      </c>
      <c r="BB138" s="38">
        <f>COUNTIF($BA$4:$BA138,$BA138)</f>
        <v>3</v>
      </c>
      <c r="BC138" s="36" t="str">
        <f t="shared" si="85"/>
        <v/>
      </c>
      <c r="BD138" s="36" t="str">
        <f t="shared" si="86"/>
        <v>营</v>
      </c>
      <c r="BE138" s="36" t="str">
        <f t="shared" si="87"/>
        <v>营</v>
      </c>
      <c r="BF138" s="36" t="str">
        <f t="shared" si="88"/>
        <v/>
      </c>
      <c r="BG138" s="36" t="str">
        <f t="shared" si="89"/>
        <v>营</v>
      </c>
      <c r="BH138" s="36" t="str">
        <f t="shared" si="90"/>
        <v>营</v>
      </c>
      <c r="BI138" s="36" t="str">
        <f t="shared" si="91"/>
        <v>营</v>
      </c>
      <c r="BJ138" s="29" t="str">
        <f t="shared" si="92"/>
        <v>营</v>
      </c>
      <c r="BL138" s="15">
        <v>135</v>
      </c>
      <c r="BM138" s="39" t="str">
        <f t="shared" ref="BM138:CA153" si="98">IFERROR(INDEX($AZ$4:$AZ$1000,MATCH(SUMIFS($AY$4:$AY$1000,$BA$4:$BA$1000,$BL138,$BB$4:$BB$1000,BM$3,$BJ$4:$BJ$1000,"村"),$AY$4:$AY$1000,0)),"")</f>
        <v>546+710</v>
      </c>
      <c r="BN138" s="39" t="str">
        <f t="shared" si="98"/>
        <v>530+696</v>
      </c>
      <c r="BO138" s="39" t="str">
        <f t="shared" si="98"/>
        <v/>
      </c>
      <c r="BP138" s="39" t="str">
        <f t="shared" si="98"/>
        <v/>
      </c>
      <c r="BQ138" s="39" t="str">
        <f t="shared" si="98"/>
        <v/>
      </c>
      <c r="BR138" s="39" t="str">
        <f t="shared" si="98"/>
        <v/>
      </c>
      <c r="BS138" s="39" t="str">
        <f t="shared" si="98"/>
        <v/>
      </c>
      <c r="BT138" s="39" t="str">
        <f t="shared" si="98"/>
        <v/>
      </c>
      <c r="BU138" s="39" t="str">
        <f t="shared" si="98"/>
        <v/>
      </c>
      <c r="BV138" s="39" t="str">
        <f t="shared" si="98"/>
        <v/>
      </c>
      <c r="BW138" s="39" t="str">
        <f t="shared" si="98"/>
        <v/>
      </c>
      <c r="BX138" s="39" t="str">
        <f t="shared" si="98"/>
        <v/>
      </c>
      <c r="BY138" s="39" t="str">
        <f t="shared" si="98"/>
        <v/>
      </c>
      <c r="BZ138" s="39" t="str">
        <f t="shared" si="98"/>
        <v/>
      </c>
      <c r="CA138" s="39" t="str">
        <f t="shared" si="98"/>
        <v/>
      </c>
      <c r="CB138" s="39" t="str">
        <f t="shared" ref="CB138:CP154" si="99">IFERROR(INDEX($AZ$4:$AZ$1000,MATCH(SUMIFS($AY$4:$AY$1000,$BA$4:$BA$1000,$BL138,$BB$4:$BB$1000,CB$3,$BJ$4:$BJ$1000,"县"),$AY$4:$AY$1000,0)),"")</f>
        <v/>
      </c>
      <c r="CC138" s="39" t="str">
        <f t="shared" si="99"/>
        <v/>
      </c>
      <c r="CD138" s="39" t="str">
        <f t="shared" si="99"/>
        <v/>
      </c>
      <c r="CE138" s="39" t="str">
        <f t="shared" si="99"/>
        <v/>
      </c>
      <c r="CF138" s="39" t="str">
        <f t="shared" si="99"/>
        <v/>
      </c>
      <c r="CG138" s="39" t="str">
        <f t="shared" si="99"/>
        <v/>
      </c>
      <c r="CH138" s="39" t="str">
        <f t="shared" si="99"/>
        <v/>
      </c>
      <c r="CI138" s="39" t="str">
        <f t="shared" si="99"/>
        <v/>
      </c>
      <c r="CJ138" s="39" t="str">
        <f t="shared" si="99"/>
        <v/>
      </c>
      <c r="CK138" s="39" t="str">
        <f t="shared" si="99"/>
        <v/>
      </c>
      <c r="CL138" s="39" t="str">
        <f t="shared" si="99"/>
        <v/>
      </c>
      <c r="CM138" s="39" t="str">
        <f t="shared" si="99"/>
        <v/>
      </c>
      <c r="CN138" s="39" t="str">
        <f t="shared" si="99"/>
        <v/>
      </c>
      <c r="CO138" s="39" t="str">
        <f t="shared" si="99"/>
        <v/>
      </c>
      <c r="CP138" s="39" t="str">
        <f t="shared" si="99"/>
        <v/>
      </c>
      <c r="CQ138" s="39" t="str">
        <f t="shared" ref="CQ138:DE154" si="100">IFERROR(INDEX($AZ$4:$AZ$1000,MATCH(SUMIFS($AY$4:$AY$1000,$BA$4:$BA$1000,$BL138,$BB$4:$BB$1000,CQ$3,$BJ$4:$BJ$1000,"营"),$AY$4:$AY$1000,0)),"")</f>
        <v/>
      </c>
      <c r="CR138" s="39" t="str">
        <f t="shared" si="100"/>
        <v/>
      </c>
      <c r="CS138" s="39" t="str">
        <f t="shared" si="100"/>
        <v>535+728</v>
      </c>
      <c r="CT138" s="39" t="str">
        <f t="shared" si="100"/>
        <v/>
      </c>
      <c r="CU138" s="39" t="str">
        <f t="shared" si="100"/>
        <v/>
      </c>
      <c r="CV138" s="39" t="str">
        <f t="shared" si="100"/>
        <v/>
      </c>
      <c r="CW138" s="39" t="str">
        <f t="shared" si="100"/>
        <v/>
      </c>
      <c r="CX138" s="39" t="str">
        <f t="shared" si="100"/>
        <v/>
      </c>
      <c r="CY138" s="39" t="str">
        <f t="shared" si="100"/>
        <v/>
      </c>
      <c r="CZ138" s="39" t="str">
        <f t="shared" si="100"/>
        <v/>
      </c>
      <c r="DA138" s="39" t="str">
        <f t="shared" si="100"/>
        <v/>
      </c>
      <c r="DB138" s="39" t="str">
        <f t="shared" si="100"/>
        <v/>
      </c>
      <c r="DC138" s="39" t="str">
        <f t="shared" si="100"/>
        <v/>
      </c>
      <c r="DD138" s="39" t="str">
        <f t="shared" si="100"/>
        <v/>
      </c>
      <c r="DE138" s="39" t="str">
        <f t="shared" si="100"/>
        <v/>
      </c>
      <c r="DF138" s="37" t="str">
        <f t="shared" si="93"/>
        <v>2+0+1</v>
      </c>
      <c r="DG138" s="37" t="str">
        <f t="shared" si="94"/>
        <v>546+710|530+696</v>
      </c>
      <c r="DH138" s="37" t="str">
        <f t="shared" si="95"/>
        <v>0+0</v>
      </c>
      <c r="DI138" s="37" t="str">
        <f t="shared" si="96"/>
        <v>535+728</v>
      </c>
      <c r="DJ138" s="37" t="str">
        <f t="shared" si="97"/>
        <v>2+0+1|546+710|530+696|0+0|535+728</v>
      </c>
    </row>
    <row r="139" spans="2:114" x14ac:dyDescent="0.15">
      <c r="B139" s="15">
        <v>136</v>
      </c>
      <c r="C139" s="15" t="s">
        <v>189</v>
      </c>
      <c r="D139" s="15">
        <v>90</v>
      </c>
      <c r="G139" s="25" t="s">
        <v>523</v>
      </c>
      <c r="H139" s="25">
        <v>146</v>
      </c>
      <c r="I139" s="26" t="s">
        <v>732</v>
      </c>
      <c r="J139" s="26">
        <f t="shared" si="75"/>
        <v>152</v>
      </c>
      <c r="M139" s="25" t="s">
        <v>523</v>
      </c>
      <c r="N139" s="25">
        <v>146</v>
      </c>
      <c r="O139" s="26" t="s">
        <v>600</v>
      </c>
      <c r="P139" s="26">
        <f t="shared" si="76"/>
        <v>43</v>
      </c>
      <c r="Q139" s="26"/>
      <c r="R139" s="26"/>
      <c r="S139" s="25" t="s">
        <v>523</v>
      </c>
      <c r="T139" s="25">
        <v>146</v>
      </c>
      <c r="U139" s="26" t="s">
        <v>200</v>
      </c>
      <c r="V139" s="26">
        <f t="shared" si="77"/>
        <v>95</v>
      </c>
      <c r="W139" s="26"/>
      <c r="Y139" s="25" t="s">
        <v>523</v>
      </c>
      <c r="Z139" s="25">
        <v>146</v>
      </c>
      <c r="AA139" s="26" t="s">
        <v>660</v>
      </c>
      <c r="AB139" s="26">
        <f t="shared" si="78"/>
        <v>138</v>
      </c>
      <c r="AE139" s="25" t="s">
        <v>523</v>
      </c>
      <c r="AF139" s="25">
        <v>146</v>
      </c>
      <c r="AG139" s="26" t="s">
        <v>654</v>
      </c>
      <c r="AH139" s="26">
        <f t="shared" si="79"/>
        <v>126</v>
      </c>
      <c r="AK139" s="25" t="s">
        <v>523</v>
      </c>
      <c r="AL139" s="25">
        <v>146</v>
      </c>
      <c r="AM139" s="26" t="s">
        <v>971</v>
      </c>
      <c r="AN139" s="26">
        <f t="shared" si="80"/>
        <v>72</v>
      </c>
      <c r="AQ139" s="25" t="s">
        <v>523</v>
      </c>
      <c r="AR139" s="25">
        <v>146</v>
      </c>
      <c r="AS139" s="26" t="s">
        <v>983</v>
      </c>
      <c r="AT139" s="26">
        <f t="shared" si="81"/>
        <v>137</v>
      </c>
      <c r="AX139" s="15"/>
      <c r="AY139" s="35">
        <f t="shared" si="82"/>
        <v>136</v>
      </c>
      <c r="AZ139" s="35" t="str">
        <f t="shared" si="83"/>
        <v>709+689</v>
      </c>
      <c r="BA139" s="35">
        <f t="shared" si="84"/>
        <v>90</v>
      </c>
      <c r="BB139" s="38">
        <f>COUNTIF($BA$4:$BA139,$BA139)</f>
        <v>1</v>
      </c>
      <c r="BC139" s="36" t="str">
        <f t="shared" si="85"/>
        <v/>
      </c>
      <c r="BD139" s="36" t="str">
        <f t="shared" si="86"/>
        <v>村</v>
      </c>
      <c r="BE139" s="36" t="str">
        <f t="shared" si="87"/>
        <v>村</v>
      </c>
      <c r="BF139" s="36" t="str">
        <f t="shared" si="88"/>
        <v/>
      </c>
      <c r="BG139" s="36" t="str">
        <f t="shared" si="89"/>
        <v>村</v>
      </c>
      <c r="BH139" s="36" t="str">
        <f t="shared" si="90"/>
        <v/>
      </c>
      <c r="BI139" s="36" t="str">
        <f t="shared" si="91"/>
        <v>村</v>
      </c>
      <c r="BJ139" s="29" t="str">
        <f t="shared" si="92"/>
        <v>村</v>
      </c>
      <c r="BL139" s="15">
        <v>136</v>
      </c>
      <c r="BM139" s="39" t="str">
        <f t="shared" si="98"/>
        <v/>
      </c>
      <c r="BN139" s="39" t="str">
        <f t="shared" si="98"/>
        <v>489+733</v>
      </c>
      <c r="BO139" s="39" t="str">
        <f t="shared" si="98"/>
        <v>500+708</v>
      </c>
      <c r="BP139" s="39" t="str">
        <f t="shared" si="98"/>
        <v/>
      </c>
      <c r="BQ139" s="39" t="str">
        <f t="shared" si="98"/>
        <v/>
      </c>
      <c r="BR139" s="39" t="str">
        <f t="shared" si="98"/>
        <v/>
      </c>
      <c r="BS139" s="39" t="str">
        <f t="shared" si="98"/>
        <v/>
      </c>
      <c r="BT139" s="39" t="str">
        <f t="shared" si="98"/>
        <v/>
      </c>
      <c r="BU139" s="39" t="str">
        <f t="shared" si="98"/>
        <v/>
      </c>
      <c r="BV139" s="39" t="str">
        <f t="shared" si="98"/>
        <v/>
      </c>
      <c r="BW139" s="39" t="str">
        <f t="shared" si="98"/>
        <v/>
      </c>
      <c r="BX139" s="39" t="str">
        <f t="shared" si="98"/>
        <v/>
      </c>
      <c r="BY139" s="39" t="str">
        <f t="shared" si="98"/>
        <v/>
      </c>
      <c r="BZ139" s="39" t="str">
        <f t="shared" si="98"/>
        <v/>
      </c>
      <c r="CA139" s="39" t="str">
        <f t="shared" si="98"/>
        <v/>
      </c>
      <c r="CB139" s="39" t="str">
        <f t="shared" si="99"/>
        <v/>
      </c>
      <c r="CC139" s="39" t="str">
        <f t="shared" si="99"/>
        <v/>
      </c>
      <c r="CD139" s="39" t="str">
        <f t="shared" si="99"/>
        <v/>
      </c>
      <c r="CE139" s="39" t="str">
        <f t="shared" si="99"/>
        <v/>
      </c>
      <c r="CF139" s="39" t="str">
        <f t="shared" si="99"/>
        <v/>
      </c>
      <c r="CG139" s="39" t="str">
        <f t="shared" si="99"/>
        <v/>
      </c>
      <c r="CH139" s="39" t="str">
        <f t="shared" si="99"/>
        <v/>
      </c>
      <c r="CI139" s="39" t="str">
        <f t="shared" si="99"/>
        <v/>
      </c>
      <c r="CJ139" s="39" t="str">
        <f t="shared" si="99"/>
        <v/>
      </c>
      <c r="CK139" s="39" t="str">
        <f t="shared" si="99"/>
        <v/>
      </c>
      <c r="CL139" s="39" t="str">
        <f t="shared" si="99"/>
        <v/>
      </c>
      <c r="CM139" s="39" t="str">
        <f t="shared" si="99"/>
        <v/>
      </c>
      <c r="CN139" s="39" t="str">
        <f t="shared" si="99"/>
        <v/>
      </c>
      <c r="CO139" s="39" t="str">
        <f t="shared" si="99"/>
        <v/>
      </c>
      <c r="CP139" s="39" t="str">
        <f t="shared" si="99"/>
        <v/>
      </c>
      <c r="CQ139" s="39" t="str">
        <f t="shared" si="100"/>
        <v>473+703</v>
      </c>
      <c r="CR139" s="39" t="str">
        <f t="shared" si="100"/>
        <v/>
      </c>
      <c r="CS139" s="39" t="str">
        <f t="shared" si="100"/>
        <v/>
      </c>
      <c r="CT139" s="39" t="str">
        <f t="shared" si="100"/>
        <v/>
      </c>
      <c r="CU139" s="39" t="str">
        <f t="shared" si="100"/>
        <v/>
      </c>
      <c r="CV139" s="39" t="str">
        <f t="shared" si="100"/>
        <v/>
      </c>
      <c r="CW139" s="39" t="str">
        <f t="shared" si="100"/>
        <v/>
      </c>
      <c r="CX139" s="39" t="str">
        <f t="shared" si="100"/>
        <v/>
      </c>
      <c r="CY139" s="39" t="str">
        <f t="shared" si="100"/>
        <v/>
      </c>
      <c r="CZ139" s="39" t="str">
        <f t="shared" si="100"/>
        <v/>
      </c>
      <c r="DA139" s="39" t="str">
        <f t="shared" si="100"/>
        <v/>
      </c>
      <c r="DB139" s="39" t="str">
        <f t="shared" si="100"/>
        <v/>
      </c>
      <c r="DC139" s="39" t="str">
        <f t="shared" si="100"/>
        <v/>
      </c>
      <c r="DD139" s="39" t="str">
        <f t="shared" si="100"/>
        <v/>
      </c>
      <c r="DE139" s="39" t="str">
        <f t="shared" si="100"/>
        <v/>
      </c>
      <c r="DF139" s="37" t="str">
        <f t="shared" si="93"/>
        <v>2+0+1</v>
      </c>
      <c r="DG139" s="37" t="str">
        <f t="shared" si="94"/>
        <v>489+733|500+708</v>
      </c>
      <c r="DH139" s="37" t="str">
        <f t="shared" si="95"/>
        <v>0+0</v>
      </c>
      <c r="DI139" s="37" t="str">
        <f t="shared" si="96"/>
        <v>473+703</v>
      </c>
      <c r="DJ139" s="37" t="str">
        <f t="shared" si="97"/>
        <v>2+0+1|489+733|500+708|0+0|473+703</v>
      </c>
    </row>
    <row r="140" spans="2:114" x14ac:dyDescent="0.15">
      <c r="B140" s="15">
        <v>137</v>
      </c>
      <c r="C140" s="15" t="s">
        <v>190</v>
      </c>
      <c r="D140" s="15">
        <v>90</v>
      </c>
      <c r="G140" s="25" t="s">
        <v>523</v>
      </c>
      <c r="H140" s="25">
        <v>147</v>
      </c>
      <c r="I140" s="26" t="s">
        <v>308</v>
      </c>
      <c r="J140" s="26">
        <f t="shared" si="75"/>
        <v>147</v>
      </c>
      <c r="M140" s="25" t="s">
        <v>523</v>
      </c>
      <c r="N140" s="25">
        <v>147</v>
      </c>
      <c r="O140" s="26" t="s">
        <v>734</v>
      </c>
      <c r="P140" s="26">
        <f t="shared" si="76"/>
        <v>41</v>
      </c>
      <c r="Q140" s="26"/>
      <c r="R140" s="26"/>
      <c r="S140" s="25" t="s">
        <v>523</v>
      </c>
      <c r="T140" s="25">
        <v>147</v>
      </c>
      <c r="U140" s="26" t="s">
        <v>430</v>
      </c>
      <c r="V140" s="26">
        <f t="shared" si="77"/>
        <v>101</v>
      </c>
      <c r="W140" s="26"/>
      <c r="Y140" s="25" t="s">
        <v>523</v>
      </c>
      <c r="Z140" s="25">
        <v>147</v>
      </c>
      <c r="AA140" s="26" t="s">
        <v>730</v>
      </c>
      <c r="AB140" s="26">
        <f t="shared" si="78"/>
        <v>138</v>
      </c>
      <c r="AE140" s="25" t="s">
        <v>523</v>
      </c>
      <c r="AF140" s="25">
        <v>147</v>
      </c>
      <c r="AG140" s="26" t="s">
        <v>419</v>
      </c>
      <c r="AH140" s="26">
        <f t="shared" si="79"/>
        <v>127</v>
      </c>
      <c r="AK140" s="25" t="s">
        <v>523</v>
      </c>
      <c r="AL140" s="25">
        <v>147</v>
      </c>
      <c r="AM140" s="26" t="s">
        <v>865</v>
      </c>
      <c r="AN140" s="26">
        <f t="shared" si="80"/>
        <v>75</v>
      </c>
      <c r="AQ140" s="25" t="s">
        <v>523</v>
      </c>
      <c r="AR140" s="25">
        <v>147</v>
      </c>
      <c r="AS140" s="26" t="s">
        <v>730</v>
      </c>
      <c r="AT140" s="26">
        <f t="shared" si="81"/>
        <v>138</v>
      </c>
      <c r="AX140" s="15"/>
      <c r="AY140" s="35">
        <f t="shared" si="82"/>
        <v>137</v>
      </c>
      <c r="AZ140" s="35" t="str">
        <f t="shared" si="83"/>
        <v>688+672</v>
      </c>
      <c r="BA140" s="35">
        <f t="shared" si="84"/>
        <v>90</v>
      </c>
      <c r="BB140" s="38">
        <f>COUNTIF($BA$4:$BA140,$BA140)</f>
        <v>2</v>
      </c>
      <c r="BC140" s="36" t="str">
        <f t="shared" si="85"/>
        <v/>
      </c>
      <c r="BD140" s="36" t="str">
        <f t="shared" si="86"/>
        <v>村</v>
      </c>
      <c r="BE140" s="36" t="str">
        <f t="shared" si="87"/>
        <v>村</v>
      </c>
      <c r="BF140" s="36" t="str">
        <f t="shared" si="88"/>
        <v/>
      </c>
      <c r="BG140" s="36" t="str">
        <f t="shared" si="89"/>
        <v/>
      </c>
      <c r="BH140" s="36" t="str">
        <f t="shared" si="90"/>
        <v>村</v>
      </c>
      <c r="BI140" s="36" t="str">
        <f t="shared" si="91"/>
        <v>村</v>
      </c>
      <c r="BJ140" s="29" t="str">
        <f t="shared" si="92"/>
        <v>村</v>
      </c>
      <c r="BL140" s="15">
        <v>137</v>
      </c>
      <c r="BM140" s="39" t="str">
        <f t="shared" si="98"/>
        <v>423+678</v>
      </c>
      <c r="BN140" s="39" t="str">
        <f t="shared" si="98"/>
        <v>463+672</v>
      </c>
      <c r="BO140" s="39" t="str">
        <f t="shared" si="98"/>
        <v/>
      </c>
      <c r="BP140" s="39" t="str">
        <f t="shared" si="98"/>
        <v>407+694</v>
      </c>
      <c r="BQ140" s="39" t="str">
        <f t="shared" si="98"/>
        <v/>
      </c>
      <c r="BR140" s="39" t="str">
        <f t="shared" si="98"/>
        <v>488+678</v>
      </c>
      <c r="BS140" s="39" t="str">
        <f t="shared" si="98"/>
        <v/>
      </c>
      <c r="BT140" s="39" t="str">
        <f t="shared" si="98"/>
        <v/>
      </c>
      <c r="BU140" s="39" t="str">
        <f t="shared" si="98"/>
        <v/>
      </c>
      <c r="BV140" s="39" t="str">
        <f t="shared" si="98"/>
        <v/>
      </c>
      <c r="BW140" s="39" t="str">
        <f t="shared" si="98"/>
        <v/>
      </c>
      <c r="BX140" s="39" t="str">
        <f t="shared" si="98"/>
        <v/>
      </c>
      <c r="BY140" s="39" t="str">
        <f t="shared" si="98"/>
        <v/>
      </c>
      <c r="BZ140" s="39" t="str">
        <f t="shared" si="98"/>
        <v/>
      </c>
      <c r="CA140" s="39" t="str">
        <f t="shared" si="98"/>
        <v/>
      </c>
      <c r="CB140" s="39" t="str">
        <f t="shared" si="99"/>
        <v/>
      </c>
      <c r="CC140" s="39" t="str">
        <f t="shared" si="99"/>
        <v/>
      </c>
      <c r="CD140" s="39" t="str">
        <f t="shared" si="99"/>
        <v/>
      </c>
      <c r="CE140" s="39" t="str">
        <f t="shared" si="99"/>
        <v/>
      </c>
      <c r="CF140" s="39" t="str">
        <f t="shared" si="99"/>
        <v/>
      </c>
      <c r="CG140" s="39" t="str">
        <f t="shared" si="99"/>
        <v/>
      </c>
      <c r="CH140" s="39" t="str">
        <f t="shared" si="99"/>
        <v/>
      </c>
      <c r="CI140" s="39" t="str">
        <f t="shared" si="99"/>
        <v/>
      </c>
      <c r="CJ140" s="39" t="str">
        <f t="shared" si="99"/>
        <v/>
      </c>
      <c r="CK140" s="39" t="str">
        <f t="shared" si="99"/>
        <v/>
      </c>
      <c r="CL140" s="39" t="str">
        <f t="shared" si="99"/>
        <v/>
      </c>
      <c r="CM140" s="39" t="str">
        <f t="shared" si="99"/>
        <v/>
      </c>
      <c r="CN140" s="39" t="str">
        <f t="shared" si="99"/>
        <v/>
      </c>
      <c r="CO140" s="39" t="str">
        <f t="shared" si="99"/>
        <v/>
      </c>
      <c r="CP140" s="39" t="str">
        <f t="shared" si="99"/>
        <v/>
      </c>
      <c r="CQ140" s="39" t="str">
        <f t="shared" si="100"/>
        <v/>
      </c>
      <c r="CR140" s="39" t="str">
        <f t="shared" si="100"/>
        <v/>
      </c>
      <c r="CS140" s="39" t="str">
        <f t="shared" si="100"/>
        <v>450+683</v>
      </c>
      <c r="CT140" s="39" t="str">
        <f t="shared" si="100"/>
        <v/>
      </c>
      <c r="CU140" s="39" t="str">
        <f t="shared" si="100"/>
        <v>428+665</v>
      </c>
      <c r="CV140" s="39" t="str">
        <f t="shared" si="100"/>
        <v/>
      </c>
      <c r="CW140" s="39" t="str">
        <f t="shared" si="100"/>
        <v/>
      </c>
      <c r="CX140" s="39" t="str">
        <f t="shared" si="100"/>
        <v/>
      </c>
      <c r="CY140" s="39" t="str">
        <f t="shared" si="100"/>
        <v/>
      </c>
      <c r="CZ140" s="39" t="str">
        <f t="shared" si="100"/>
        <v/>
      </c>
      <c r="DA140" s="39" t="str">
        <f t="shared" si="100"/>
        <v/>
      </c>
      <c r="DB140" s="39" t="str">
        <f t="shared" si="100"/>
        <v/>
      </c>
      <c r="DC140" s="39" t="str">
        <f t="shared" si="100"/>
        <v/>
      </c>
      <c r="DD140" s="39" t="str">
        <f t="shared" si="100"/>
        <v/>
      </c>
      <c r="DE140" s="39" t="str">
        <f t="shared" si="100"/>
        <v/>
      </c>
      <c r="DF140" s="37" t="str">
        <f t="shared" si="93"/>
        <v>4+0+2</v>
      </c>
      <c r="DG140" s="37" t="str">
        <f t="shared" si="94"/>
        <v>423+678|463+672|407+694|488+678</v>
      </c>
      <c r="DH140" s="37" t="str">
        <f t="shared" si="95"/>
        <v>0+0</v>
      </c>
      <c r="DI140" s="37" t="str">
        <f t="shared" si="96"/>
        <v>450+683|428+665</v>
      </c>
      <c r="DJ140" s="37" t="str">
        <f t="shared" si="97"/>
        <v>4+0+2|423+678|463+672|407+694|488+678|0+0|450+683|428+665</v>
      </c>
    </row>
    <row r="141" spans="2:114" x14ac:dyDescent="0.15">
      <c r="B141" s="15">
        <v>138</v>
      </c>
      <c r="C141" s="15" t="s">
        <v>629</v>
      </c>
      <c r="D141" s="15">
        <v>90</v>
      </c>
      <c r="G141" s="25" t="s">
        <v>523</v>
      </c>
      <c r="H141" s="25">
        <v>148</v>
      </c>
      <c r="I141" s="26" t="s">
        <v>62</v>
      </c>
      <c r="J141" s="26">
        <f t="shared" si="75"/>
        <v>27</v>
      </c>
      <c r="M141" s="25" t="s">
        <v>523</v>
      </c>
      <c r="N141" s="25">
        <v>148</v>
      </c>
      <c r="O141" s="26" t="s">
        <v>673</v>
      </c>
      <c r="P141" s="26">
        <f t="shared" si="76"/>
        <v>159</v>
      </c>
      <c r="Q141" s="26"/>
      <c r="R141" s="26"/>
      <c r="S141" s="25" t="s">
        <v>523</v>
      </c>
      <c r="T141" s="25">
        <v>148</v>
      </c>
      <c r="U141" s="26" t="s">
        <v>860</v>
      </c>
      <c r="V141" s="26">
        <f t="shared" si="77"/>
        <v>37</v>
      </c>
      <c r="W141" s="26"/>
      <c r="Y141" s="25" t="s">
        <v>523</v>
      </c>
      <c r="Z141" s="25">
        <v>148</v>
      </c>
      <c r="AA141" s="26" t="s">
        <v>200</v>
      </c>
      <c r="AB141" s="26">
        <f t="shared" si="78"/>
        <v>95</v>
      </c>
      <c r="AE141" s="25" t="s">
        <v>523</v>
      </c>
      <c r="AF141" s="25">
        <v>148</v>
      </c>
      <c r="AG141" s="26" t="s">
        <v>947</v>
      </c>
      <c r="AH141" s="26">
        <f t="shared" si="79"/>
        <v>110</v>
      </c>
      <c r="AK141" s="25" t="s">
        <v>523</v>
      </c>
      <c r="AL141" s="25">
        <v>148</v>
      </c>
      <c r="AM141" s="26" t="s">
        <v>659</v>
      </c>
      <c r="AN141" s="26">
        <f t="shared" si="80"/>
        <v>137</v>
      </c>
      <c r="AQ141" s="25" t="s">
        <v>523</v>
      </c>
      <c r="AR141" s="25">
        <v>148</v>
      </c>
      <c r="AS141" s="26" t="s">
        <v>656</v>
      </c>
      <c r="AT141" s="26">
        <f t="shared" si="81"/>
        <v>132</v>
      </c>
      <c r="AX141" s="15"/>
      <c r="AY141" s="35">
        <f t="shared" si="82"/>
        <v>138</v>
      </c>
      <c r="AZ141" s="35" t="str">
        <f t="shared" si="83"/>
        <v>703+663</v>
      </c>
      <c r="BA141" s="35">
        <f t="shared" si="84"/>
        <v>90</v>
      </c>
      <c r="BB141" s="38">
        <f>COUNTIF($BA$4:$BA141,$BA141)</f>
        <v>3</v>
      </c>
      <c r="BC141" s="36" t="str">
        <f t="shared" si="85"/>
        <v/>
      </c>
      <c r="BD141" s="36" t="str">
        <f t="shared" si="86"/>
        <v>营</v>
      </c>
      <c r="BE141" s="36" t="str">
        <f t="shared" si="87"/>
        <v>营</v>
      </c>
      <c r="BF141" s="36" t="str">
        <f t="shared" si="88"/>
        <v/>
      </c>
      <c r="BG141" s="36" t="str">
        <f t="shared" si="89"/>
        <v>营</v>
      </c>
      <c r="BH141" s="36" t="str">
        <f t="shared" si="90"/>
        <v/>
      </c>
      <c r="BI141" s="36" t="str">
        <f t="shared" si="91"/>
        <v/>
      </c>
      <c r="BJ141" s="29" t="str">
        <f t="shared" si="92"/>
        <v>营</v>
      </c>
      <c r="BL141" s="15">
        <v>138</v>
      </c>
      <c r="BM141" s="39" t="str">
        <f t="shared" si="98"/>
        <v>341+675</v>
      </c>
      <c r="BN141" s="39" t="str">
        <f t="shared" si="98"/>
        <v>378+669</v>
      </c>
      <c r="BO141" s="39" t="str">
        <f t="shared" si="98"/>
        <v/>
      </c>
      <c r="BP141" s="39" t="str">
        <f t="shared" si="98"/>
        <v/>
      </c>
      <c r="BQ141" s="39" t="str">
        <f t="shared" si="98"/>
        <v/>
      </c>
      <c r="BR141" s="39" t="str">
        <f t="shared" si="98"/>
        <v>394+674</v>
      </c>
      <c r="BS141" s="39" t="str">
        <f t="shared" si="98"/>
        <v>359+644</v>
      </c>
      <c r="BT141" s="39" t="str">
        <f t="shared" si="98"/>
        <v/>
      </c>
      <c r="BU141" s="39" t="str">
        <f t="shared" si="98"/>
        <v/>
      </c>
      <c r="BV141" s="39" t="str">
        <f t="shared" si="98"/>
        <v/>
      </c>
      <c r="BW141" s="39" t="str">
        <f t="shared" si="98"/>
        <v/>
      </c>
      <c r="BX141" s="39" t="str">
        <f t="shared" si="98"/>
        <v/>
      </c>
      <c r="BY141" s="39" t="str">
        <f t="shared" si="98"/>
        <v/>
      </c>
      <c r="BZ141" s="39" t="str">
        <f t="shared" si="98"/>
        <v/>
      </c>
      <c r="CA141" s="39" t="str">
        <f t="shared" si="98"/>
        <v/>
      </c>
      <c r="CB141" s="39" t="str">
        <f t="shared" si="99"/>
        <v/>
      </c>
      <c r="CC141" s="39" t="str">
        <f t="shared" si="99"/>
        <v/>
      </c>
      <c r="CD141" s="39" t="str">
        <f t="shared" si="99"/>
        <v>361+664</v>
      </c>
      <c r="CE141" s="39" t="str">
        <f t="shared" si="99"/>
        <v/>
      </c>
      <c r="CF141" s="39" t="str">
        <f t="shared" si="99"/>
        <v/>
      </c>
      <c r="CG141" s="39" t="str">
        <f t="shared" si="99"/>
        <v/>
      </c>
      <c r="CH141" s="39" t="str">
        <f t="shared" si="99"/>
        <v/>
      </c>
      <c r="CI141" s="39" t="str">
        <f t="shared" si="99"/>
        <v/>
      </c>
      <c r="CJ141" s="39" t="str">
        <f t="shared" si="99"/>
        <v/>
      </c>
      <c r="CK141" s="39" t="str">
        <f t="shared" si="99"/>
        <v/>
      </c>
      <c r="CL141" s="39" t="str">
        <f t="shared" si="99"/>
        <v/>
      </c>
      <c r="CM141" s="39" t="str">
        <f t="shared" si="99"/>
        <v/>
      </c>
      <c r="CN141" s="39" t="str">
        <f t="shared" si="99"/>
        <v/>
      </c>
      <c r="CO141" s="39" t="str">
        <f t="shared" si="99"/>
        <v/>
      </c>
      <c r="CP141" s="39" t="str">
        <f t="shared" si="99"/>
        <v/>
      </c>
      <c r="CQ141" s="39" t="str">
        <f t="shared" si="100"/>
        <v/>
      </c>
      <c r="CR141" s="39" t="str">
        <f t="shared" si="100"/>
        <v/>
      </c>
      <c r="CS141" s="39" t="str">
        <f t="shared" si="100"/>
        <v/>
      </c>
      <c r="CT141" s="39" t="str">
        <f t="shared" si="100"/>
        <v>362+682</v>
      </c>
      <c r="CU141" s="39" t="str">
        <f t="shared" si="100"/>
        <v>396+668</v>
      </c>
      <c r="CV141" s="39" t="str">
        <f t="shared" si="100"/>
        <v/>
      </c>
      <c r="CW141" s="39" t="str">
        <f t="shared" si="100"/>
        <v/>
      </c>
      <c r="CX141" s="39" t="str">
        <f t="shared" si="100"/>
        <v/>
      </c>
      <c r="CY141" s="39" t="str">
        <f t="shared" si="100"/>
        <v/>
      </c>
      <c r="CZ141" s="39" t="str">
        <f t="shared" si="100"/>
        <v/>
      </c>
      <c r="DA141" s="39" t="str">
        <f t="shared" si="100"/>
        <v/>
      </c>
      <c r="DB141" s="39" t="str">
        <f t="shared" si="100"/>
        <v/>
      </c>
      <c r="DC141" s="39" t="str">
        <f t="shared" si="100"/>
        <v/>
      </c>
      <c r="DD141" s="39" t="str">
        <f t="shared" si="100"/>
        <v/>
      </c>
      <c r="DE141" s="39" t="str">
        <f t="shared" si="100"/>
        <v/>
      </c>
      <c r="DF141" s="37" t="str">
        <f t="shared" si="93"/>
        <v>4+1+2</v>
      </c>
      <c r="DG141" s="37" t="str">
        <f t="shared" si="94"/>
        <v>341+675|378+669|394+674|359+644</v>
      </c>
      <c r="DH141" s="37" t="str">
        <f t="shared" si="95"/>
        <v>361+664</v>
      </c>
      <c r="DI141" s="37" t="str">
        <f t="shared" si="96"/>
        <v>362+682|396+668</v>
      </c>
      <c r="DJ141" s="37" t="str">
        <f t="shared" si="97"/>
        <v>4+1+2|341+675|378+669|394+674|359+644|361+664|362+682|396+668</v>
      </c>
    </row>
    <row r="142" spans="2:114" x14ac:dyDescent="0.15">
      <c r="B142" s="15">
        <v>139</v>
      </c>
      <c r="C142" s="15" t="s">
        <v>191</v>
      </c>
      <c r="D142" s="15">
        <v>91</v>
      </c>
      <c r="G142" s="25" t="s">
        <v>523</v>
      </c>
      <c r="H142" s="25">
        <v>149</v>
      </c>
      <c r="I142" s="26" t="s">
        <v>417</v>
      </c>
      <c r="J142" s="26">
        <f t="shared" si="75"/>
        <v>31</v>
      </c>
      <c r="M142" s="25" t="s">
        <v>523</v>
      </c>
      <c r="N142" s="25">
        <v>149</v>
      </c>
      <c r="O142" s="26" t="s">
        <v>657</v>
      </c>
      <c r="P142" s="26">
        <f t="shared" si="76"/>
        <v>133</v>
      </c>
      <c r="Q142" s="26"/>
      <c r="R142" s="26"/>
      <c r="S142" s="25" t="s">
        <v>523</v>
      </c>
      <c r="T142" s="25">
        <v>149</v>
      </c>
      <c r="U142" s="26" t="s">
        <v>426</v>
      </c>
      <c r="V142" s="26">
        <f t="shared" si="77"/>
        <v>51</v>
      </c>
      <c r="W142" s="26"/>
      <c r="Y142" s="25" t="s">
        <v>523</v>
      </c>
      <c r="Z142" s="25">
        <v>149</v>
      </c>
      <c r="AA142" s="26" t="s">
        <v>326</v>
      </c>
      <c r="AB142" s="26">
        <f t="shared" si="78"/>
        <v>156</v>
      </c>
      <c r="AE142" s="25" t="s">
        <v>523</v>
      </c>
      <c r="AF142" s="25">
        <v>149</v>
      </c>
      <c r="AG142" s="26" t="s">
        <v>631</v>
      </c>
      <c r="AH142" s="26">
        <f t="shared" si="79"/>
        <v>92</v>
      </c>
      <c r="AK142" s="25" t="s">
        <v>523</v>
      </c>
      <c r="AL142" s="25">
        <v>149</v>
      </c>
      <c r="AM142" s="26" t="s">
        <v>983</v>
      </c>
      <c r="AN142" s="26">
        <f t="shared" si="80"/>
        <v>137</v>
      </c>
      <c r="AQ142" s="25" t="s">
        <v>523</v>
      </c>
      <c r="AR142" s="25">
        <v>149</v>
      </c>
      <c r="AS142" s="26" t="s">
        <v>951</v>
      </c>
      <c r="AT142" s="26">
        <f t="shared" si="81"/>
        <v>90</v>
      </c>
      <c r="AX142" s="15"/>
      <c r="AY142" s="35">
        <f t="shared" si="82"/>
        <v>139</v>
      </c>
      <c r="AZ142" s="35" t="str">
        <f t="shared" si="83"/>
        <v>621+660</v>
      </c>
      <c r="BA142" s="35">
        <f t="shared" si="84"/>
        <v>91</v>
      </c>
      <c r="BB142" s="38">
        <f>COUNTIF($BA$4:$BA142,$BA142)</f>
        <v>1</v>
      </c>
      <c r="BC142" s="36" t="str">
        <f t="shared" si="85"/>
        <v/>
      </c>
      <c r="BD142" s="36" t="str">
        <f t="shared" si="86"/>
        <v>村</v>
      </c>
      <c r="BE142" s="36" t="str">
        <f t="shared" si="87"/>
        <v>村</v>
      </c>
      <c r="BF142" s="36" t="str">
        <f t="shared" si="88"/>
        <v/>
      </c>
      <c r="BG142" s="36" t="str">
        <f t="shared" si="89"/>
        <v>村</v>
      </c>
      <c r="BH142" s="36" t="str">
        <f t="shared" si="90"/>
        <v>村</v>
      </c>
      <c r="BI142" s="36" t="str">
        <f t="shared" si="91"/>
        <v/>
      </c>
      <c r="BJ142" s="29" t="str">
        <f t="shared" si="92"/>
        <v>村</v>
      </c>
      <c r="BL142" s="15">
        <v>139</v>
      </c>
      <c r="BM142" s="39" t="str">
        <f t="shared" si="98"/>
        <v>297+643</v>
      </c>
      <c r="BN142" s="39" t="str">
        <f t="shared" si="98"/>
        <v/>
      </c>
      <c r="BO142" s="39" t="str">
        <f t="shared" si="98"/>
        <v/>
      </c>
      <c r="BP142" s="39" t="str">
        <f t="shared" si="98"/>
        <v/>
      </c>
      <c r="BQ142" s="39" t="str">
        <f t="shared" si="98"/>
        <v/>
      </c>
      <c r="BR142" s="39" t="str">
        <f t="shared" si="98"/>
        <v/>
      </c>
      <c r="BS142" s="39" t="str">
        <f t="shared" si="98"/>
        <v/>
      </c>
      <c r="BT142" s="39" t="str">
        <f t="shared" si="98"/>
        <v/>
      </c>
      <c r="BU142" s="39" t="str">
        <f t="shared" si="98"/>
        <v/>
      </c>
      <c r="BV142" s="39" t="str">
        <f t="shared" si="98"/>
        <v/>
      </c>
      <c r="BW142" s="39" t="str">
        <f t="shared" si="98"/>
        <v/>
      </c>
      <c r="BX142" s="39" t="str">
        <f t="shared" si="98"/>
        <v/>
      </c>
      <c r="BY142" s="39" t="str">
        <f t="shared" si="98"/>
        <v/>
      </c>
      <c r="BZ142" s="39" t="str">
        <f t="shared" si="98"/>
        <v/>
      </c>
      <c r="CA142" s="39" t="str">
        <f t="shared" si="98"/>
        <v/>
      </c>
      <c r="CB142" s="39" t="str">
        <f t="shared" si="99"/>
        <v/>
      </c>
      <c r="CC142" s="39" t="str">
        <f t="shared" si="99"/>
        <v/>
      </c>
      <c r="CD142" s="39" t="str">
        <f t="shared" si="99"/>
        <v/>
      </c>
      <c r="CE142" s="39" t="str">
        <f t="shared" si="99"/>
        <v/>
      </c>
      <c r="CF142" s="39" t="str">
        <f t="shared" si="99"/>
        <v/>
      </c>
      <c r="CG142" s="39" t="str">
        <f t="shared" si="99"/>
        <v/>
      </c>
      <c r="CH142" s="39" t="str">
        <f t="shared" si="99"/>
        <v/>
      </c>
      <c r="CI142" s="39" t="str">
        <f t="shared" si="99"/>
        <v/>
      </c>
      <c r="CJ142" s="39" t="str">
        <f t="shared" si="99"/>
        <v/>
      </c>
      <c r="CK142" s="39" t="str">
        <f t="shared" si="99"/>
        <v/>
      </c>
      <c r="CL142" s="39" t="str">
        <f t="shared" si="99"/>
        <v/>
      </c>
      <c r="CM142" s="39" t="str">
        <f t="shared" si="99"/>
        <v/>
      </c>
      <c r="CN142" s="39" t="str">
        <f t="shared" si="99"/>
        <v/>
      </c>
      <c r="CO142" s="39" t="str">
        <f t="shared" si="99"/>
        <v/>
      </c>
      <c r="CP142" s="39" t="str">
        <f t="shared" si="99"/>
        <v/>
      </c>
      <c r="CQ142" s="39" t="str">
        <f t="shared" si="100"/>
        <v/>
      </c>
      <c r="CR142" s="39" t="str">
        <f t="shared" si="100"/>
        <v/>
      </c>
      <c r="CS142" s="39" t="str">
        <f t="shared" si="100"/>
        <v/>
      </c>
      <c r="CT142" s="39" t="str">
        <f t="shared" si="100"/>
        <v/>
      </c>
      <c r="CU142" s="39" t="str">
        <f t="shared" si="100"/>
        <v/>
      </c>
      <c r="CV142" s="39" t="str">
        <f t="shared" si="100"/>
        <v/>
      </c>
      <c r="CW142" s="39" t="str">
        <f t="shared" si="100"/>
        <v/>
      </c>
      <c r="CX142" s="39" t="str">
        <f t="shared" si="100"/>
        <v/>
      </c>
      <c r="CY142" s="39" t="str">
        <f t="shared" si="100"/>
        <v/>
      </c>
      <c r="CZ142" s="39" t="str">
        <f t="shared" si="100"/>
        <v/>
      </c>
      <c r="DA142" s="39" t="str">
        <f t="shared" si="100"/>
        <v/>
      </c>
      <c r="DB142" s="39" t="str">
        <f t="shared" si="100"/>
        <v/>
      </c>
      <c r="DC142" s="39" t="str">
        <f t="shared" si="100"/>
        <v/>
      </c>
      <c r="DD142" s="39" t="str">
        <f t="shared" si="100"/>
        <v/>
      </c>
      <c r="DE142" s="39" t="str">
        <f t="shared" si="100"/>
        <v/>
      </c>
      <c r="DF142" s="37" t="str">
        <f t="shared" si="93"/>
        <v>1+0+0</v>
      </c>
      <c r="DG142" s="37" t="str">
        <f t="shared" si="94"/>
        <v>297+643</v>
      </c>
      <c r="DH142" s="37" t="str">
        <f t="shared" si="95"/>
        <v>0+0</v>
      </c>
      <c r="DI142" s="37" t="str">
        <f t="shared" si="96"/>
        <v>0+0</v>
      </c>
      <c r="DJ142" s="37" t="str">
        <f t="shared" si="97"/>
        <v>1+0+0|297+643|0+0|0+0</v>
      </c>
    </row>
    <row r="143" spans="2:114" x14ac:dyDescent="0.15">
      <c r="B143" s="15">
        <v>140</v>
      </c>
      <c r="C143" s="15" t="s">
        <v>630</v>
      </c>
      <c r="D143" s="15">
        <v>91</v>
      </c>
      <c r="G143" s="27" t="s">
        <v>525</v>
      </c>
      <c r="H143" s="27">
        <v>150</v>
      </c>
      <c r="I143" s="26" t="s">
        <v>730</v>
      </c>
      <c r="J143" s="26">
        <f t="shared" si="75"/>
        <v>138</v>
      </c>
      <c r="M143" s="27" t="s">
        <v>525</v>
      </c>
      <c r="N143" s="27">
        <v>150</v>
      </c>
      <c r="O143" s="26" t="s">
        <v>601</v>
      </c>
      <c r="P143" s="26">
        <f t="shared" si="76"/>
        <v>48</v>
      </c>
      <c r="Q143" s="26"/>
      <c r="R143" s="26"/>
      <c r="S143" s="27" t="s">
        <v>525</v>
      </c>
      <c r="T143" s="27">
        <v>150</v>
      </c>
      <c r="U143" s="26" t="s">
        <v>670</v>
      </c>
      <c r="V143" s="26">
        <f t="shared" si="77"/>
        <v>155</v>
      </c>
      <c r="W143" s="26"/>
      <c r="Y143" s="27" t="s">
        <v>525</v>
      </c>
      <c r="Z143" s="27">
        <v>150</v>
      </c>
      <c r="AA143" s="26" t="s">
        <v>657</v>
      </c>
      <c r="AB143" s="26">
        <f t="shared" si="78"/>
        <v>133</v>
      </c>
      <c r="AE143" s="27" t="s">
        <v>525</v>
      </c>
      <c r="AF143" s="27">
        <v>150</v>
      </c>
      <c r="AG143" s="26" t="s">
        <v>919</v>
      </c>
      <c r="AH143" s="26">
        <f t="shared" si="79"/>
        <v>134</v>
      </c>
      <c r="AK143" s="27" t="s">
        <v>525</v>
      </c>
      <c r="AL143" s="27">
        <v>150</v>
      </c>
      <c r="AM143" s="26" t="s">
        <v>877</v>
      </c>
      <c r="AN143" s="26">
        <f t="shared" si="80"/>
        <v>79</v>
      </c>
      <c r="AQ143" s="27" t="s">
        <v>525</v>
      </c>
      <c r="AR143" s="27">
        <v>150</v>
      </c>
      <c r="AS143" s="26" t="s">
        <v>663</v>
      </c>
      <c r="AT143" s="26">
        <f t="shared" si="81"/>
        <v>144</v>
      </c>
      <c r="AX143" s="15"/>
      <c r="AY143" s="35">
        <f t="shared" si="82"/>
        <v>140</v>
      </c>
      <c r="AZ143" s="35" t="str">
        <f t="shared" si="83"/>
        <v>636+668</v>
      </c>
      <c r="BA143" s="35">
        <f t="shared" si="84"/>
        <v>91</v>
      </c>
      <c r="BB143" s="38">
        <f>COUNTIF($BA$4:$BA143,$BA143)</f>
        <v>2</v>
      </c>
      <c r="BC143" s="36" t="str">
        <f t="shared" si="85"/>
        <v/>
      </c>
      <c r="BD143" s="36" t="str">
        <f t="shared" si="86"/>
        <v>村</v>
      </c>
      <c r="BE143" s="36" t="str">
        <f t="shared" si="87"/>
        <v>村</v>
      </c>
      <c r="BF143" s="36" t="str">
        <f t="shared" si="88"/>
        <v/>
      </c>
      <c r="BG143" s="36" t="str">
        <f t="shared" si="89"/>
        <v>村</v>
      </c>
      <c r="BH143" s="36" t="str">
        <f t="shared" si="90"/>
        <v>村</v>
      </c>
      <c r="BI143" s="36" t="str">
        <f t="shared" si="91"/>
        <v>村</v>
      </c>
      <c r="BJ143" s="29" t="str">
        <f t="shared" si="92"/>
        <v>村</v>
      </c>
      <c r="BL143" s="15">
        <v>140</v>
      </c>
      <c r="BM143" s="39" t="str">
        <f t="shared" si="98"/>
        <v>216+649</v>
      </c>
      <c r="BN143" s="39" t="str">
        <f t="shared" si="98"/>
        <v>186+675</v>
      </c>
      <c r="BO143" s="39" t="str">
        <f t="shared" si="98"/>
        <v/>
      </c>
      <c r="BP143" s="39" t="str">
        <f t="shared" si="98"/>
        <v/>
      </c>
      <c r="BQ143" s="39" t="str">
        <f t="shared" si="98"/>
        <v/>
      </c>
      <c r="BR143" s="39" t="str">
        <f t="shared" si="98"/>
        <v/>
      </c>
      <c r="BS143" s="39" t="str">
        <f t="shared" si="98"/>
        <v/>
      </c>
      <c r="BT143" s="39" t="str">
        <f t="shared" si="98"/>
        <v/>
      </c>
      <c r="BU143" s="39" t="str">
        <f t="shared" si="98"/>
        <v/>
      </c>
      <c r="BV143" s="39" t="str">
        <f t="shared" si="98"/>
        <v/>
      </c>
      <c r="BW143" s="39" t="str">
        <f t="shared" si="98"/>
        <v/>
      </c>
      <c r="BX143" s="39" t="str">
        <f t="shared" si="98"/>
        <v/>
      </c>
      <c r="BY143" s="39" t="str">
        <f t="shared" si="98"/>
        <v/>
      </c>
      <c r="BZ143" s="39" t="str">
        <f t="shared" si="98"/>
        <v/>
      </c>
      <c r="CA143" s="39" t="str">
        <f t="shared" si="98"/>
        <v/>
      </c>
      <c r="CB143" s="39" t="str">
        <f t="shared" si="99"/>
        <v/>
      </c>
      <c r="CC143" s="39" t="str">
        <f t="shared" si="99"/>
        <v/>
      </c>
      <c r="CD143" s="39" t="str">
        <f t="shared" si="99"/>
        <v/>
      </c>
      <c r="CE143" s="39" t="str">
        <f t="shared" si="99"/>
        <v/>
      </c>
      <c r="CF143" s="39" t="str">
        <f t="shared" si="99"/>
        <v/>
      </c>
      <c r="CG143" s="39" t="str">
        <f t="shared" si="99"/>
        <v/>
      </c>
      <c r="CH143" s="39" t="str">
        <f t="shared" si="99"/>
        <v/>
      </c>
      <c r="CI143" s="39" t="str">
        <f t="shared" si="99"/>
        <v/>
      </c>
      <c r="CJ143" s="39" t="str">
        <f t="shared" si="99"/>
        <v/>
      </c>
      <c r="CK143" s="39" t="str">
        <f t="shared" si="99"/>
        <v/>
      </c>
      <c r="CL143" s="39" t="str">
        <f t="shared" si="99"/>
        <v/>
      </c>
      <c r="CM143" s="39" t="str">
        <f t="shared" si="99"/>
        <v/>
      </c>
      <c r="CN143" s="39" t="str">
        <f t="shared" si="99"/>
        <v/>
      </c>
      <c r="CO143" s="39" t="str">
        <f t="shared" si="99"/>
        <v/>
      </c>
      <c r="CP143" s="39" t="str">
        <f t="shared" si="99"/>
        <v/>
      </c>
      <c r="CQ143" s="39" t="str">
        <f t="shared" si="100"/>
        <v/>
      </c>
      <c r="CR143" s="39" t="str">
        <f t="shared" si="100"/>
        <v/>
      </c>
      <c r="CS143" s="39" t="str">
        <f t="shared" si="100"/>
        <v>206+604</v>
      </c>
      <c r="CT143" s="39" t="str">
        <f t="shared" si="100"/>
        <v/>
      </c>
      <c r="CU143" s="39" t="str">
        <f t="shared" si="100"/>
        <v/>
      </c>
      <c r="CV143" s="39" t="str">
        <f t="shared" si="100"/>
        <v/>
      </c>
      <c r="CW143" s="39" t="str">
        <f t="shared" si="100"/>
        <v/>
      </c>
      <c r="CX143" s="39" t="str">
        <f t="shared" si="100"/>
        <v/>
      </c>
      <c r="CY143" s="39" t="str">
        <f t="shared" si="100"/>
        <v/>
      </c>
      <c r="CZ143" s="39" t="str">
        <f t="shared" si="100"/>
        <v/>
      </c>
      <c r="DA143" s="39" t="str">
        <f t="shared" si="100"/>
        <v/>
      </c>
      <c r="DB143" s="39" t="str">
        <f t="shared" si="100"/>
        <v/>
      </c>
      <c r="DC143" s="39" t="str">
        <f t="shared" si="100"/>
        <v/>
      </c>
      <c r="DD143" s="39" t="str">
        <f t="shared" si="100"/>
        <v/>
      </c>
      <c r="DE143" s="39" t="str">
        <f t="shared" si="100"/>
        <v/>
      </c>
      <c r="DF143" s="37" t="str">
        <f t="shared" si="93"/>
        <v>2+0+1</v>
      </c>
      <c r="DG143" s="37" t="str">
        <f t="shared" si="94"/>
        <v>216+649|186+675</v>
      </c>
      <c r="DH143" s="37" t="str">
        <f t="shared" si="95"/>
        <v>0+0</v>
      </c>
      <c r="DI143" s="37" t="str">
        <f t="shared" si="96"/>
        <v>206+604</v>
      </c>
      <c r="DJ143" s="37" t="str">
        <f t="shared" si="97"/>
        <v>2+0+1|216+649|186+675|0+0|206+604</v>
      </c>
    </row>
    <row r="144" spans="2:114" x14ac:dyDescent="0.15">
      <c r="B144" s="15">
        <v>141</v>
      </c>
      <c r="C144" s="15" t="s">
        <v>192</v>
      </c>
      <c r="D144" s="15">
        <v>91</v>
      </c>
      <c r="G144" s="27" t="s">
        <v>525</v>
      </c>
      <c r="H144" s="27">
        <v>151</v>
      </c>
      <c r="I144" s="26" t="s">
        <v>659</v>
      </c>
      <c r="J144" s="26">
        <f t="shared" si="75"/>
        <v>137</v>
      </c>
      <c r="M144" s="27" t="s">
        <v>525</v>
      </c>
      <c r="N144" s="27">
        <v>151</v>
      </c>
      <c r="O144" s="26" t="s">
        <v>62</v>
      </c>
      <c r="P144" s="26">
        <f t="shared" si="76"/>
        <v>27</v>
      </c>
      <c r="Q144" s="26"/>
      <c r="R144" s="26"/>
      <c r="S144" s="27" t="s">
        <v>525</v>
      </c>
      <c r="T144" s="27">
        <v>151</v>
      </c>
      <c r="U144" s="26" t="s">
        <v>632</v>
      </c>
      <c r="V144" s="26">
        <f t="shared" si="77"/>
        <v>93</v>
      </c>
      <c r="W144" s="26"/>
      <c r="Y144" s="27" t="s">
        <v>525</v>
      </c>
      <c r="Z144" s="27">
        <v>151</v>
      </c>
      <c r="AA144" s="26" t="s">
        <v>668</v>
      </c>
      <c r="AB144" s="26">
        <f t="shared" si="78"/>
        <v>153</v>
      </c>
      <c r="AE144" s="27" t="s">
        <v>525</v>
      </c>
      <c r="AF144" s="27">
        <v>151</v>
      </c>
      <c r="AG144" s="26" t="s">
        <v>658</v>
      </c>
      <c r="AH144" s="26">
        <f t="shared" si="79"/>
        <v>135</v>
      </c>
      <c r="AK144" s="27" t="s">
        <v>525</v>
      </c>
      <c r="AL144" s="27">
        <v>151</v>
      </c>
      <c r="AM144" s="26" t="s">
        <v>838</v>
      </c>
      <c r="AN144" s="26">
        <f t="shared" si="80"/>
        <v>71</v>
      </c>
      <c r="AQ144" s="27" t="s">
        <v>525</v>
      </c>
      <c r="AR144" s="27">
        <v>151</v>
      </c>
      <c r="AS144" s="26" t="s">
        <v>999</v>
      </c>
      <c r="AT144" s="26">
        <f t="shared" si="81"/>
        <v>143</v>
      </c>
      <c r="AX144" s="15"/>
      <c r="AY144" s="35">
        <f t="shared" si="82"/>
        <v>141</v>
      </c>
      <c r="AZ144" s="35" t="str">
        <f t="shared" si="83"/>
        <v>648+668</v>
      </c>
      <c r="BA144" s="35">
        <f t="shared" si="84"/>
        <v>91</v>
      </c>
      <c r="BB144" s="38">
        <f>COUNTIF($BA$4:$BA144,$BA144)</f>
        <v>3</v>
      </c>
      <c r="BC144" s="36" t="str">
        <f t="shared" si="85"/>
        <v/>
      </c>
      <c r="BD144" s="36" t="str">
        <f t="shared" si="86"/>
        <v>营</v>
      </c>
      <c r="BE144" s="36" t="str">
        <f t="shared" si="87"/>
        <v>营</v>
      </c>
      <c r="BF144" s="36" t="str">
        <f t="shared" si="88"/>
        <v/>
      </c>
      <c r="BG144" s="36" t="str">
        <f t="shared" si="89"/>
        <v>营</v>
      </c>
      <c r="BH144" s="36" t="str">
        <f t="shared" si="90"/>
        <v>营</v>
      </c>
      <c r="BI144" s="36" t="str">
        <f t="shared" si="91"/>
        <v>营</v>
      </c>
      <c r="BJ144" s="29" t="str">
        <f t="shared" si="92"/>
        <v>营</v>
      </c>
      <c r="BL144" s="15">
        <v>141</v>
      </c>
      <c r="BM144" s="39" t="str">
        <f t="shared" si="98"/>
        <v>151+613</v>
      </c>
      <c r="BN144" s="39" t="str">
        <f t="shared" si="98"/>
        <v/>
      </c>
      <c r="BO144" s="39" t="str">
        <f t="shared" si="98"/>
        <v/>
      </c>
      <c r="BP144" s="39" t="str">
        <f t="shared" si="98"/>
        <v/>
      </c>
      <c r="BQ144" s="39" t="str">
        <f t="shared" si="98"/>
        <v/>
      </c>
      <c r="BR144" s="39" t="str">
        <f t="shared" si="98"/>
        <v/>
      </c>
      <c r="BS144" s="39" t="str">
        <f t="shared" si="98"/>
        <v/>
      </c>
      <c r="BT144" s="39" t="str">
        <f t="shared" si="98"/>
        <v/>
      </c>
      <c r="BU144" s="39" t="str">
        <f t="shared" si="98"/>
        <v/>
      </c>
      <c r="BV144" s="39" t="str">
        <f t="shared" si="98"/>
        <v/>
      </c>
      <c r="BW144" s="39" t="str">
        <f t="shared" si="98"/>
        <v/>
      </c>
      <c r="BX144" s="39" t="str">
        <f t="shared" si="98"/>
        <v/>
      </c>
      <c r="BY144" s="39" t="str">
        <f t="shared" si="98"/>
        <v/>
      </c>
      <c r="BZ144" s="39" t="str">
        <f t="shared" si="98"/>
        <v/>
      </c>
      <c r="CA144" s="39" t="str">
        <f t="shared" si="98"/>
        <v/>
      </c>
      <c r="CB144" s="39" t="str">
        <f t="shared" si="99"/>
        <v/>
      </c>
      <c r="CC144" s="39" t="str">
        <f t="shared" si="99"/>
        <v/>
      </c>
      <c r="CD144" s="39" t="str">
        <f t="shared" si="99"/>
        <v/>
      </c>
      <c r="CE144" s="39" t="str">
        <f t="shared" si="99"/>
        <v/>
      </c>
      <c r="CF144" s="39" t="str">
        <f t="shared" si="99"/>
        <v/>
      </c>
      <c r="CG144" s="39" t="str">
        <f t="shared" si="99"/>
        <v/>
      </c>
      <c r="CH144" s="39" t="str">
        <f t="shared" si="99"/>
        <v/>
      </c>
      <c r="CI144" s="39" t="str">
        <f t="shared" si="99"/>
        <v/>
      </c>
      <c r="CJ144" s="39" t="str">
        <f t="shared" si="99"/>
        <v/>
      </c>
      <c r="CK144" s="39" t="str">
        <f t="shared" si="99"/>
        <v/>
      </c>
      <c r="CL144" s="39" t="str">
        <f t="shared" si="99"/>
        <v/>
      </c>
      <c r="CM144" s="39" t="str">
        <f t="shared" si="99"/>
        <v/>
      </c>
      <c r="CN144" s="39" t="str">
        <f t="shared" si="99"/>
        <v/>
      </c>
      <c r="CO144" s="39" t="str">
        <f t="shared" si="99"/>
        <v/>
      </c>
      <c r="CP144" s="39" t="str">
        <f t="shared" si="99"/>
        <v/>
      </c>
      <c r="CQ144" s="39" t="str">
        <f t="shared" si="100"/>
        <v/>
      </c>
      <c r="CR144" s="39" t="str">
        <f t="shared" si="100"/>
        <v>173+593</v>
      </c>
      <c r="CS144" s="39" t="str">
        <f t="shared" si="100"/>
        <v/>
      </c>
      <c r="CT144" s="39" t="str">
        <f t="shared" si="100"/>
        <v/>
      </c>
      <c r="CU144" s="39" t="str">
        <f t="shared" si="100"/>
        <v/>
      </c>
      <c r="CV144" s="39" t="str">
        <f t="shared" si="100"/>
        <v/>
      </c>
      <c r="CW144" s="39" t="str">
        <f t="shared" si="100"/>
        <v/>
      </c>
      <c r="CX144" s="39" t="str">
        <f t="shared" si="100"/>
        <v/>
      </c>
      <c r="CY144" s="39" t="str">
        <f t="shared" si="100"/>
        <v/>
      </c>
      <c r="CZ144" s="39" t="str">
        <f t="shared" si="100"/>
        <v/>
      </c>
      <c r="DA144" s="39" t="str">
        <f t="shared" si="100"/>
        <v/>
      </c>
      <c r="DB144" s="39" t="str">
        <f t="shared" si="100"/>
        <v/>
      </c>
      <c r="DC144" s="39" t="str">
        <f t="shared" si="100"/>
        <v/>
      </c>
      <c r="DD144" s="39" t="str">
        <f t="shared" si="100"/>
        <v/>
      </c>
      <c r="DE144" s="39" t="str">
        <f t="shared" si="100"/>
        <v/>
      </c>
      <c r="DF144" s="37" t="str">
        <f t="shared" si="93"/>
        <v>1+0+1</v>
      </c>
      <c r="DG144" s="37" t="str">
        <f t="shared" si="94"/>
        <v>151+613</v>
      </c>
      <c r="DH144" s="37" t="str">
        <f t="shared" si="95"/>
        <v>0+0</v>
      </c>
      <c r="DI144" s="37" t="str">
        <f t="shared" si="96"/>
        <v>173+593</v>
      </c>
      <c r="DJ144" s="37" t="str">
        <f t="shared" si="97"/>
        <v>1+0+1|151+613|0+0|173+593</v>
      </c>
    </row>
    <row r="145" spans="2:114" x14ac:dyDescent="0.15">
      <c r="B145" s="15">
        <v>142</v>
      </c>
      <c r="C145" s="15" t="s">
        <v>193</v>
      </c>
      <c r="D145" s="15">
        <v>92</v>
      </c>
      <c r="G145" s="27" t="s">
        <v>525</v>
      </c>
      <c r="H145" s="27">
        <v>152</v>
      </c>
      <c r="I145" s="26" t="s">
        <v>326</v>
      </c>
      <c r="J145" s="26">
        <f t="shared" si="75"/>
        <v>156</v>
      </c>
      <c r="M145" s="27" t="s">
        <v>525</v>
      </c>
      <c r="N145" s="27">
        <v>152</v>
      </c>
      <c r="O145" s="26" t="s">
        <v>408</v>
      </c>
      <c r="P145" s="26">
        <f t="shared" si="76"/>
        <v>50</v>
      </c>
      <c r="Q145" s="26"/>
      <c r="R145" s="26"/>
      <c r="S145" s="27" t="s">
        <v>525</v>
      </c>
      <c r="T145" s="27">
        <v>152</v>
      </c>
      <c r="U145" s="26" t="s">
        <v>88</v>
      </c>
      <c r="V145" s="26">
        <f t="shared" si="77"/>
        <v>40</v>
      </c>
      <c r="W145" s="26"/>
      <c r="Y145" s="27" t="s">
        <v>525</v>
      </c>
      <c r="Z145" s="27">
        <v>152</v>
      </c>
      <c r="AA145" s="26" t="s">
        <v>634</v>
      </c>
      <c r="AB145" s="26">
        <f t="shared" si="78"/>
        <v>96</v>
      </c>
      <c r="AE145" s="27" t="s">
        <v>525</v>
      </c>
      <c r="AF145" s="27">
        <v>152</v>
      </c>
      <c r="AG145" s="26" t="s">
        <v>948</v>
      </c>
      <c r="AH145" s="26">
        <f t="shared" si="79"/>
        <v>109</v>
      </c>
      <c r="AK145" s="27" t="s">
        <v>525</v>
      </c>
      <c r="AL145" s="27">
        <v>152</v>
      </c>
      <c r="AM145" s="26" t="s">
        <v>271</v>
      </c>
      <c r="AN145" s="26">
        <f t="shared" si="80"/>
        <v>130</v>
      </c>
      <c r="AQ145" s="27" t="s">
        <v>525</v>
      </c>
      <c r="AR145" s="27">
        <v>152</v>
      </c>
      <c r="AS145" s="26" t="s">
        <v>660</v>
      </c>
      <c r="AT145" s="26">
        <f t="shared" si="81"/>
        <v>138</v>
      </c>
      <c r="AX145" s="15"/>
      <c r="AY145" s="35">
        <f t="shared" si="82"/>
        <v>142</v>
      </c>
      <c r="AZ145" s="35" t="str">
        <f t="shared" si="83"/>
        <v>610+632</v>
      </c>
      <c r="BA145" s="35">
        <f t="shared" si="84"/>
        <v>92</v>
      </c>
      <c r="BB145" s="38">
        <f>COUNTIF($BA$4:$BA145,$BA145)</f>
        <v>1</v>
      </c>
      <c r="BC145" s="36" t="str">
        <f t="shared" si="85"/>
        <v/>
      </c>
      <c r="BD145" s="36" t="str">
        <f t="shared" si="86"/>
        <v>村</v>
      </c>
      <c r="BE145" s="36" t="str">
        <f t="shared" si="87"/>
        <v>村</v>
      </c>
      <c r="BF145" s="36" t="str">
        <f t="shared" si="88"/>
        <v>村</v>
      </c>
      <c r="BG145" s="36" t="str">
        <f t="shared" si="89"/>
        <v>村</v>
      </c>
      <c r="BH145" s="36" t="str">
        <f t="shared" si="90"/>
        <v/>
      </c>
      <c r="BI145" s="36" t="str">
        <f t="shared" si="91"/>
        <v>村</v>
      </c>
      <c r="BJ145" s="29" t="str">
        <f t="shared" si="92"/>
        <v>村</v>
      </c>
      <c r="BL145" s="15">
        <v>142</v>
      </c>
      <c r="BM145" s="39" t="str">
        <f t="shared" si="98"/>
        <v>265+593</v>
      </c>
      <c r="BN145" s="39" t="str">
        <f t="shared" si="98"/>
        <v>303+591</v>
      </c>
      <c r="BO145" s="39" t="str">
        <f t="shared" si="98"/>
        <v/>
      </c>
      <c r="BP145" s="39" t="str">
        <f t="shared" si="98"/>
        <v/>
      </c>
      <c r="BQ145" s="39" t="str">
        <f t="shared" si="98"/>
        <v/>
      </c>
      <c r="BR145" s="39" t="str">
        <f t="shared" si="98"/>
        <v/>
      </c>
      <c r="BS145" s="39" t="str">
        <f t="shared" si="98"/>
        <v/>
      </c>
      <c r="BT145" s="39" t="str">
        <f t="shared" si="98"/>
        <v/>
      </c>
      <c r="BU145" s="39" t="str">
        <f t="shared" si="98"/>
        <v/>
      </c>
      <c r="BV145" s="39" t="str">
        <f t="shared" si="98"/>
        <v/>
      </c>
      <c r="BW145" s="39" t="str">
        <f t="shared" si="98"/>
        <v/>
      </c>
      <c r="BX145" s="39" t="str">
        <f t="shared" si="98"/>
        <v/>
      </c>
      <c r="BY145" s="39" t="str">
        <f t="shared" si="98"/>
        <v/>
      </c>
      <c r="BZ145" s="39" t="str">
        <f t="shared" si="98"/>
        <v/>
      </c>
      <c r="CA145" s="39" t="str">
        <f t="shared" si="98"/>
        <v/>
      </c>
      <c r="CB145" s="39" t="str">
        <f t="shared" si="99"/>
        <v/>
      </c>
      <c r="CC145" s="39" t="str">
        <f t="shared" si="99"/>
        <v/>
      </c>
      <c r="CD145" s="39" t="str">
        <f t="shared" si="99"/>
        <v/>
      </c>
      <c r="CE145" s="39" t="str">
        <f t="shared" si="99"/>
        <v/>
      </c>
      <c r="CF145" s="39" t="str">
        <f t="shared" si="99"/>
        <v/>
      </c>
      <c r="CG145" s="39" t="str">
        <f t="shared" si="99"/>
        <v/>
      </c>
      <c r="CH145" s="39" t="str">
        <f t="shared" si="99"/>
        <v/>
      </c>
      <c r="CI145" s="39" t="str">
        <f t="shared" si="99"/>
        <v/>
      </c>
      <c r="CJ145" s="39" t="str">
        <f t="shared" si="99"/>
        <v/>
      </c>
      <c r="CK145" s="39" t="str">
        <f t="shared" si="99"/>
        <v/>
      </c>
      <c r="CL145" s="39" t="str">
        <f t="shared" si="99"/>
        <v/>
      </c>
      <c r="CM145" s="39" t="str">
        <f t="shared" si="99"/>
        <v/>
      </c>
      <c r="CN145" s="39" t="str">
        <f t="shared" si="99"/>
        <v/>
      </c>
      <c r="CO145" s="39" t="str">
        <f t="shared" si="99"/>
        <v/>
      </c>
      <c r="CP145" s="39" t="str">
        <f t="shared" si="99"/>
        <v/>
      </c>
      <c r="CQ145" s="39" t="str">
        <f t="shared" si="100"/>
        <v/>
      </c>
      <c r="CR145" s="39" t="str">
        <f t="shared" si="100"/>
        <v/>
      </c>
      <c r="CS145" s="39" t="str">
        <f t="shared" si="100"/>
        <v>291+608</v>
      </c>
      <c r="CT145" s="39" t="str">
        <f t="shared" si="100"/>
        <v/>
      </c>
      <c r="CU145" s="39" t="str">
        <f t="shared" si="100"/>
        <v/>
      </c>
      <c r="CV145" s="39" t="str">
        <f t="shared" si="100"/>
        <v/>
      </c>
      <c r="CW145" s="39" t="str">
        <f t="shared" si="100"/>
        <v/>
      </c>
      <c r="CX145" s="39" t="str">
        <f t="shared" si="100"/>
        <v/>
      </c>
      <c r="CY145" s="39" t="str">
        <f t="shared" si="100"/>
        <v/>
      </c>
      <c r="CZ145" s="39" t="str">
        <f t="shared" si="100"/>
        <v/>
      </c>
      <c r="DA145" s="39" t="str">
        <f t="shared" si="100"/>
        <v/>
      </c>
      <c r="DB145" s="39" t="str">
        <f t="shared" si="100"/>
        <v/>
      </c>
      <c r="DC145" s="39" t="str">
        <f t="shared" si="100"/>
        <v/>
      </c>
      <c r="DD145" s="39" t="str">
        <f t="shared" si="100"/>
        <v/>
      </c>
      <c r="DE145" s="39" t="str">
        <f t="shared" si="100"/>
        <v/>
      </c>
      <c r="DF145" s="37" t="str">
        <f t="shared" si="93"/>
        <v>2+0+1</v>
      </c>
      <c r="DG145" s="37" t="str">
        <f t="shared" si="94"/>
        <v>265+593|303+591</v>
      </c>
      <c r="DH145" s="37" t="str">
        <f t="shared" si="95"/>
        <v>0+0</v>
      </c>
      <c r="DI145" s="37" t="str">
        <f t="shared" si="96"/>
        <v>291+608</v>
      </c>
      <c r="DJ145" s="37" t="str">
        <f t="shared" si="97"/>
        <v>2+0+1|265+593|303+591|0+0|291+608</v>
      </c>
    </row>
    <row r="146" spans="2:114" x14ac:dyDescent="0.15">
      <c r="B146" s="15">
        <v>143</v>
      </c>
      <c r="C146" s="15" t="s">
        <v>194</v>
      </c>
      <c r="D146" s="15">
        <v>92</v>
      </c>
      <c r="G146" s="27" t="s">
        <v>525</v>
      </c>
      <c r="H146" s="27">
        <v>153</v>
      </c>
      <c r="I146" s="26" t="s">
        <v>60</v>
      </c>
      <c r="J146" s="26">
        <f t="shared" si="75"/>
        <v>26</v>
      </c>
      <c r="M146" s="27" t="s">
        <v>525</v>
      </c>
      <c r="N146" s="27">
        <v>153</v>
      </c>
      <c r="O146" s="26" t="s">
        <v>730</v>
      </c>
      <c r="P146" s="26">
        <f t="shared" si="76"/>
        <v>138</v>
      </c>
      <c r="Q146" s="26"/>
      <c r="R146" s="26"/>
      <c r="S146" s="27" t="s">
        <v>525</v>
      </c>
      <c r="T146" s="27">
        <v>153</v>
      </c>
      <c r="U146" s="26" t="s">
        <v>734</v>
      </c>
      <c r="V146" s="26">
        <f t="shared" si="77"/>
        <v>41</v>
      </c>
      <c r="W146" s="26"/>
      <c r="Y146" s="27" t="s">
        <v>525</v>
      </c>
      <c r="Z146" s="27">
        <v>153</v>
      </c>
      <c r="AA146" s="26" t="s">
        <v>667</v>
      </c>
      <c r="AB146" s="26">
        <f t="shared" si="78"/>
        <v>150</v>
      </c>
      <c r="AE146" s="27" t="s">
        <v>525</v>
      </c>
      <c r="AF146" s="27">
        <v>153</v>
      </c>
      <c r="AG146" s="26" t="s">
        <v>638</v>
      </c>
      <c r="AH146" s="26">
        <f t="shared" si="79"/>
        <v>102</v>
      </c>
      <c r="AK146" s="27" t="s">
        <v>525</v>
      </c>
      <c r="AL146" s="27">
        <v>153</v>
      </c>
      <c r="AM146" s="26" t="s">
        <v>664</v>
      </c>
      <c r="AN146" s="26">
        <f t="shared" si="80"/>
        <v>145</v>
      </c>
      <c r="AQ146" s="27" t="s">
        <v>525</v>
      </c>
      <c r="AR146" s="27">
        <v>153</v>
      </c>
      <c r="AS146" s="26" t="s">
        <v>638</v>
      </c>
      <c r="AT146" s="26">
        <f t="shared" si="81"/>
        <v>102</v>
      </c>
      <c r="AX146" s="15"/>
      <c r="AY146" s="35">
        <f t="shared" si="82"/>
        <v>143</v>
      </c>
      <c r="AZ146" s="35" t="str">
        <f t="shared" si="83"/>
        <v>602+608</v>
      </c>
      <c r="BA146" s="35">
        <f t="shared" si="84"/>
        <v>92</v>
      </c>
      <c r="BB146" s="38">
        <f>COUNTIF($BA$4:$BA146,$BA146)</f>
        <v>2</v>
      </c>
      <c r="BC146" s="36" t="str">
        <f t="shared" si="85"/>
        <v/>
      </c>
      <c r="BD146" s="36" t="str">
        <f t="shared" si="86"/>
        <v>村</v>
      </c>
      <c r="BE146" s="36" t="str">
        <f t="shared" si="87"/>
        <v>村</v>
      </c>
      <c r="BF146" s="36" t="str">
        <f t="shared" si="88"/>
        <v>村</v>
      </c>
      <c r="BG146" s="36" t="str">
        <f t="shared" si="89"/>
        <v>村</v>
      </c>
      <c r="BH146" s="36" t="str">
        <f t="shared" si="90"/>
        <v/>
      </c>
      <c r="BI146" s="36" t="str">
        <f t="shared" si="91"/>
        <v>村</v>
      </c>
      <c r="BJ146" s="29" t="str">
        <f t="shared" si="92"/>
        <v>村</v>
      </c>
      <c r="BL146" s="15">
        <v>143</v>
      </c>
      <c r="BM146" s="39" t="str">
        <f t="shared" si="98"/>
        <v>318+640</v>
      </c>
      <c r="BN146" s="39" t="str">
        <f t="shared" si="98"/>
        <v>336+616</v>
      </c>
      <c r="BO146" s="39" t="str">
        <f t="shared" si="98"/>
        <v/>
      </c>
      <c r="BP146" s="39" t="str">
        <f t="shared" si="98"/>
        <v/>
      </c>
      <c r="BQ146" s="39" t="str">
        <f t="shared" si="98"/>
        <v/>
      </c>
      <c r="BR146" s="39" t="str">
        <f t="shared" si="98"/>
        <v/>
      </c>
      <c r="BS146" s="39" t="str">
        <f t="shared" si="98"/>
        <v/>
      </c>
      <c r="BT146" s="39" t="str">
        <f t="shared" si="98"/>
        <v/>
      </c>
      <c r="BU146" s="39" t="str">
        <f t="shared" si="98"/>
        <v/>
      </c>
      <c r="BV146" s="39" t="str">
        <f t="shared" si="98"/>
        <v/>
      </c>
      <c r="BW146" s="39" t="str">
        <f t="shared" si="98"/>
        <v/>
      </c>
      <c r="BX146" s="39" t="str">
        <f t="shared" si="98"/>
        <v/>
      </c>
      <c r="BY146" s="39" t="str">
        <f t="shared" si="98"/>
        <v/>
      </c>
      <c r="BZ146" s="39" t="str">
        <f t="shared" si="98"/>
        <v/>
      </c>
      <c r="CA146" s="39" t="str">
        <f t="shared" si="98"/>
        <v/>
      </c>
      <c r="CB146" s="39" t="str">
        <f t="shared" si="99"/>
        <v/>
      </c>
      <c r="CC146" s="39" t="str">
        <f t="shared" si="99"/>
        <v/>
      </c>
      <c r="CD146" s="39" t="str">
        <f t="shared" si="99"/>
        <v/>
      </c>
      <c r="CE146" s="39" t="str">
        <f t="shared" si="99"/>
        <v/>
      </c>
      <c r="CF146" s="39" t="str">
        <f t="shared" si="99"/>
        <v/>
      </c>
      <c r="CG146" s="39" t="str">
        <f t="shared" si="99"/>
        <v/>
      </c>
      <c r="CH146" s="39" t="str">
        <f t="shared" si="99"/>
        <v/>
      </c>
      <c r="CI146" s="39" t="str">
        <f t="shared" si="99"/>
        <v/>
      </c>
      <c r="CJ146" s="39" t="str">
        <f t="shared" si="99"/>
        <v/>
      </c>
      <c r="CK146" s="39" t="str">
        <f t="shared" si="99"/>
        <v/>
      </c>
      <c r="CL146" s="39" t="str">
        <f t="shared" si="99"/>
        <v/>
      </c>
      <c r="CM146" s="39" t="str">
        <f t="shared" si="99"/>
        <v/>
      </c>
      <c r="CN146" s="39" t="str">
        <f t="shared" si="99"/>
        <v/>
      </c>
      <c r="CO146" s="39" t="str">
        <f t="shared" si="99"/>
        <v/>
      </c>
      <c r="CP146" s="39" t="str">
        <f t="shared" si="99"/>
        <v/>
      </c>
      <c r="CQ146" s="39" t="str">
        <f t="shared" si="100"/>
        <v/>
      </c>
      <c r="CR146" s="39" t="str">
        <f t="shared" si="100"/>
        <v/>
      </c>
      <c r="CS146" s="39" t="str">
        <f t="shared" si="100"/>
        <v>320+602</v>
      </c>
      <c r="CT146" s="39" t="str">
        <f t="shared" si="100"/>
        <v>352+593</v>
      </c>
      <c r="CU146" s="39" t="str">
        <f t="shared" si="100"/>
        <v/>
      </c>
      <c r="CV146" s="39" t="str">
        <f t="shared" si="100"/>
        <v/>
      </c>
      <c r="CW146" s="39" t="str">
        <f t="shared" si="100"/>
        <v/>
      </c>
      <c r="CX146" s="39" t="str">
        <f t="shared" si="100"/>
        <v/>
      </c>
      <c r="CY146" s="39" t="str">
        <f t="shared" si="100"/>
        <v/>
      </c>
      <c r="CZ146" s="39" t="str">
        <f t="shared" si="100"/>
        <v/>
      </c>
      <c r="DA146" s="39" t="str">
        <f t="shared" si="100"/>
        <v/>
      </c>
      <c r="DB146" s="39" t="str">
        <f t="shared" si="100"/>
        <v/>
      </c>
      <c r="DC146" s="39" t="str">
        <f t="shared" si="100"/>
        <v/>
      </c>
      <c r="DD146" s="39" t="str">
        <f t="shared" si="100"/>
        <v/>
      </c>
      <c r="DE146" s="39" t="str">
        <f t="shared" si="100"/>
        <v/>
      </c>
      <c r="DF146" s="37" t="str">
        <f t="shared" si="93"/>
        <v>2+0+2</v>
      </c>
      <c r="DG146" s="37" t="str">
        <f t="shared" si="94"/>
        <v>318+640|336+616</v>
      </c>
      <c r="DH146" s="37" t="str">
        <f t="shared" si="95"/>
        <v>0+0</v>
      </c>
      <c r="DI146" s="37" t="str">
        <f t="shared" si="96"/>
        <v>320+602|352+593</v>
      </c>
      <c r="DJ146" s="37" t="str">
        <f t="shared" si="97"/>
        <v>2+0+2|318+640|336+616|0+0|320+602|352+593</v>
      </c>
    </row>
    <row r="147" spans="2:114" x14ac:dyDescent="0.15">
      <c r="B147" s="15">
        <v>144</v>
      </c>
      <c r="C147" s="15" t="s">
        <v>631</v>
      </c>
      <c r="D147" s="15">
        <v>92</v>
      </c>
      <c r="G147" s="25" t="s">
        <v>527</v>
      </c>
      <c r="H147" s="25">
        <v>154</v>
      </c>
      <c r="I147" s="26" t="s">
        <v>660</v>
      </c>
      <c r="J147" s="26">
        <f t="shared" si="75"/>
        <v>138</v>
      </c>
      <c r="M147" s="25" t="s">
        <v>527</v>
      </c>
      <c r="N147" s="25">
        <v>154</v>
      </c>
      <c r="O147" s="26" t="s">
        <v>101</v>
      </c>
      <c r="P147" s="26">
        <f t="shared" si="76"/>
        <v>47</v>
      </c>
      <c r="Q147" s="26"/>
      <c r="R147" s="26"/>
      <c r="S147" s="25" t="s">
        <v>527</v>
      </c>
      <c r="T147" s="25">
        <v>154</v>
      </c>
      <c r="U147" s="26" t="s">
        <v>326</v>
      </c>
      <c r="V147" s="26">
        <f t="shared" si="77"/>
        <v>156</v>
      </c>
      <c r="W147" s="26"/>
      <c r="Y147" s="25" t="s">
        <v>527</v>
      </c>
      <c r="Z147" s="25">
        <v>154</v>
      </c>
      <c r="AA147" s="26" t="s">
        <v>284</v>
      </c>
      <c r="AB147" s="26">
        <f t="shared" si="78"/>
        <v>136</v>
      </c>
      <c r="AE147" s="25" t="s">
        <v>527</v>
      </c>
      <c r="AF147" s="25">
        <v>154</v>
      </c>
      <c r="AG147" s="26" t="s">
        <v>708</v>
      </c>
      <c r="AH147" s="26">
        <f t="shared" si="79"/>
        <v>86</v>
      </c>
      <c r="AK147" s="25" t="s">
        <v>527</v>
      </c>
      <c r="AL147" s="25">
        <v>154</v>
      </c>
      <c r="AM147" s="26" t="s">
        <v>625</v>
      </c>
      <c r="AN147" s="26">
        <f t="shared" si="80"/>
        <v>85</v>
      </c>
      <c r="AQ147" s="25" t="s">
        <v>527</v>
      </c>
      <c r="AR147" s="25">
        <v>154</v>
      </c>
      <c r="AS147" s="26" t="s">
        <v>673</v>
      </c>
      <c r="AT147" s="26">
        <f t="shared" si="81"/>
        <v>159</v>
      </c>
      <c r="AX147" s="15"/>
      <c r="AY147" s="35">
        <f t="shared" si="82"/>
        <v>144</v>
      </c>
      <c r="AZ147" s="35" t="str">
        <f t="shared" si="83"/>
        <v>595+635</v>
      </c>
      <c r="BA147" s="35">
        <f t="shared" si="84"/>
        <v>92</v>
      </c>
      <c r="BB147" s="38">
        <f>COUNTIF($BA$4:$BA147,$BA147)</f>
        <v>3</v>
      </c>
      <c r="BC147" s="36" t="str">
        <f t="shared" si="85"/>
        <v/>
      </c>
      <c r="BD147" s="36" t="str">
        <f t="shared" si="86"/>
        <v/>
      </c>
      <c r="BE147" s="36" t="str">
        <f t="shared" si="87"/>
        <v>营</v>
      </c>
      <c r="BF147" s="36" t="str">
        <f t="shared" si="88"/>
        <v>营</v>
      </c>
      <c r="BG147" s="36" t="str">
        <f t="shared" si="89"/>
        <v>营</v>
      </c>
      <c r="BH147" s="36" t="str">
        <f t="shared" si="90"/>
        <v/>
      </c>
      <c r="BI147" s="36" t="str">
        <f t="shared" si="91"/>
        <v>营</v>
      </c>
      <c r="BJ147" s="29" t="str">
        <f t="shared" si="92"/>
        <v>营</v>
      </c>
      <c r="BL147" s="15">
        <v>144</v>
      </c>
      <c r="BM147" s="39" t="str">
        <f t="shared" si="98"/>
        <v>362+608</v>
      </c>
      <c r="BN147" s="39" t="str">
        <f t="shared" si="98"/>
        <v>371+630</v>
      </c>
      <c r="BO147" s="39" t="str">
        <f t="shared" si="98"/>
        <v/>
      </c>
      <c r="BP147" s="39" t="str">
        <f t="shared" si="98"/>
        <v/>
      </c>
      <c r="BQ147" s="39" t="str">
        <f t="shared" si="98"/>
        <v/>
      </c>
      <c r="BR147" s="39" t="str">
        <f t="shared" si="98"/>
        <v/>
      </c>
      <c r="BS147" s="39" t="str">
        <f t="shared" si="98"/>
        <v/>
      </c>
      <c r="BT147" s="39" t="str">
        <f t="shared" si="98"/>
        <v/>
      </c>
      <c r="BU147" s="39" t="str">
        <f t="shared" si="98"/>
        <v/>
      </c>
      <c r="BV147" s="39" t="str">
        <f t="shared" si="98"/>
        <v/>
      </c>
      <c r="BW147" s="39" t="str">
        <f t="shared" si="98"/>
        <v/>
      </c>
      <c r="BX147" s="39" t="str">
        <f t="shared" si="98"/>
        <v/>
      </c>
      <c r="BY147" s="39" t="str">
        <f t="shared" si="98"/>
        <v/>
      </c>
      <c r="BZ147" s="39" t="str">
        <f t="shared" si="98"/>
        <v/>
      </c>
      <c r="CA147" s="39" t="str">
        <f t="shared" si="98"/>
        <v/>
      </c>
      <c r="CB147" s="39" t="str">
        <f t="shared" si="99"/>
        <v/>
      </c>
      <c r="CC147" s="39" t="str">
        <f t="shared" si="99"/>
        <v/>
      </c>
      <c r="CD147" s="39" t="str">
        <f t="shared" si="99"/>
        <v/>
      </c>
      <c r="CE147" s="39" t="str">
        <f t="shared" si="99"/>
        <v/>
      </c>
      <c r="CF147" s="39" t="str">
        <f t="shared" si="99"/>
        <v/>
      </c>
      <c r="CG147" s="39" t="str">
        <f t="shared" si="99"/>
        <v/>
      </c>
      <c r="CH147" s="39" t="str">
        <f t="shared" si="99"/>
        <v/>
      </c>
      <c r="CI147" s="39" t="str">
        <f t="shared" si="99"/>
        <v/>
      </c>
      <c r="CJ147" s="39" t="str">
        <f t="shared" si="99"/>
        <v/>
      </c>
      <c r="CK147" s="39" t="str">
        <f t="shared" si="99"/>
        <v/>
      </c>
      <c r="CL147" s="39" t="str">
        <f t="shared" si="99"/>
        <v/>
      </c>
      <c r="CM147" s="39" t="str">
        <f t="shared" si="99"/>
        <v/>
      </c>
      <c r="CN147" s="39" t="str">
        <f t="shared" si="99"/>
        <v/>
      </c>
      <c r="CO147" s="39" t="str">
        <f t="shared" si="99"/>
        <v/>
      </c>
      <c r="CP147" s="39" t="str">
        <f t="shared" si="99"/>
        <v/>
      </c>
      <c r="CQ147" s="39" t="str">
        <f t="shared" si="100"/>
        <v/>
      </c>
      <c r="CR147" s="39" t="str">
        <f t="shared" si="100"/>
        <v/>
      </c>
      <c r="CS147" s="39" t="str">
        <f t="shared" si="100"/>
        <v>351+621</v>
      </c>
      <c r="CT147" s="39" t="str">
        <f t="shared" si="100"/>
        <v/>
      </c>
      <c r="CU147" s="39" t="str">
        <f t="shared" si="100"/>
        <v/>
      </c>
      <c r="CV147" s="39" t="str">
        <f t="shared" si="100"/>
        <v/>
      </c>
      <c r="CW147" s="39" t="str">
        <f t="shared" si="100"/>
        <v/>
      </c>
      <c r="CX147" s="39" t="str">
        <f t="shared" si="100"/>
        <v/>
      </c>
      <c r="CY147" s="39" t="str">
        <f t="shared" si="100"/>
        <v/>
      </c>
      <c r="CZ147" s="39" t="str">
        <f t="shared" si="100"/>
        <v/>
      </c>
      <c r="DA147" s="39" t="str">
        <f t="shared" si="100"/>
        <v/>
      </c>
      <c r="DB147" s="39" t="str">
        <f t="shared" si="100"/>
        <v/>
      </c>
      <c r="DC147" s="39" t="str">
        <f t="shared" si="100"/>
        <v/>
      </c>
      <c r="DD147" s="39" t="str">
        <f t="shared" si="100"/>
        <v/>
      </c>
      <c r="DE147" s="39" t="str">
        <f t="shared" si="100"/>
        <v/>
      </c>
      <c r="DF147" s="37" t="str">
        <f t="shared" si="93"/>
        <v>2+0+1</v>
      </c>
      <c r="DG147" s="37" t="str">
        <f t="shared" si="94"/>
        <v>362+608|371+630</v>
      </c>
      <c r="DH147" s="37" t="str">
        <f t="shared" si="95"/>
        <v>0+0</v>
      </c>
      <c r="DI147" s="37" t="str">
        <f t="shared" si="96"/>
        <v>351+621</v>
      </c>
      <c r="DJ147" s="37" t="str">
        <f t="shared" si="97"/>
        <v>2+0+1|362+608|371+630|0+0|351+621</v>
      </c>
    </row>
    <row r="148" spans="2:114" x14ac:dyDescent="0.15">
      <c r="B148" s="15">
        <v>145</v>
      </c>
      <c r="C148" s="15" t="s">
        <v>195</v>
      </c>
      <c r="D148" s="15">
        <v>93</v>
      </c>
      <c r="G148" s="25" t="s">
        <v>527</v>
      </c>
      <c r="H148" s="25">
        <v>155</v>
      </c>
      <c r="I148" s="26" t="s">
        <v>271</v>
      </c>
      <c r="J148" s="26">
        <f t="shared" si="75"/>
        <v>130</v>
      </c>
      <c r="M148" s="25" t="s">
        <v>527</v>
      </c>
      <c r="N148" s="25">
        <v>155</v>
      </c>
      <c r="O148" s="26" t="s">
        <v>60</v>
      </c>
      <c r="P148" s="26">
        <f t="shared" si="76"/>
        <v>26</v>
      </c>
      <c r="Q148" s="26"/>
      <c r="R148" s="26"/>
      <c r="S148" s="25" t="s">
        <v>527</v>
      </c>
      <c r="T148" s="25">
        <v>155</v>
      </c>
      <c r="U148" s="26" t="s">
        <v>721</v>
      </c>
      <c r="V148" s="26">
        <f t="shared" si="77"/>
        <v>148</v>
      </c>
      <c r="W148" s="26"/>
      <c r="Y148" s="25" t="s">
        <v>527</v>
      </c>
      <c r="Z148" s="25">
        <v>155</v>
      </c>
      <c r="AA148" s="26" t="s">
        <v>308</v>
      </c>
      <c r="AB148" s="26">
        <f t="shared" si="78"/>
        <v>147</v>
      </c>
      <c r="AE148" s="25" t="s">
        <v>527</v>
      </c>
      <c r="AF148" s="25">
        <v>155</v>
      </c>
      <c r="AG148" s="26" t="s">
        <v>628</v>
      </c>
      <c r="AH148" s="26">
        <f t="shared" si="79"/>
        <v>88</v>
      </c>
      <c r="AK148" s="25" t="s">
        <v>527</v>
      </c>
      <c r="AL148" s="25">
        <v>155</v>
      </c>
      <c r="AM148" s="26" t="s">
        <v>835</v>
      </c>
      <c r="AN148" s="26">
        <f t="shared" si="80"/>
        <v>110</v>
      </c>
      <c r="AQ148" s="25" t="s">
        <v>527</v>
      </c>
      <c r="AR148" s="25">
        <v>155</v>
      </c>
      <c r="AS148" s="26" t="s">
        <v>1000</v>
      </c>
      <c r="AT148" s="26">
        <f t="shared" si="81"/>
        <v>161</v>
      </c>
      <c r="AX148" s="15"/>
      <c r="AY148" s="35">
        <f t="shared" si="82"/>
        <v>145</v>
      </c>
      <c r="AZ148" s="35" t="str">
        <f t="shared" si="83"/>
        <v>581+630</v>
      </c>
      <c r="BA148" s="35">
        <f t="shared" si="84"/>
        <v>93</v>
      </c>
      <c r="BB148" s="38">
        <f>COUNTIF($BA$4:$BA148,$BA148)</f>
        <v>1</v>
      </c>
      <c r="BC148" s="36" t="str">
        <f t="shared" si="85"/>
        <v/>
      </c>
      <c r="BD148" s="36" t="str">
        <f t="shared" si="86"/>
        <v>村</v>
      </c>
      <c r="BE148" s="36" t="str">
        <f t="shared" si="87"/>
        <v/>
      </c>
      <c r="BF148" s="36" t="str">
        <f t="shared" si="88"/>
        <v/>
      </c>
      <c r="BG148" s="36" t="str">
        <f t="shared" si="89"/>
        <v>村</v>
      </c>
      <c r="BH148" s="36" t="str">
        <f t="shared" si="90"/>
        <v/>
      </c>
      <c r="BI148" s="36" t="str">
        <f t="shared" si="91"/>
        <v>村</v>
      </c>
      <c r="BJ148" s="29" t="str">
        <f t="shared" si="92"/>
        <v>村</v>
      </c>
      <c r="BL148" s="15">
        <v>145</v>
      </c>
      <c r="BM148" s="39" t="str">
        <f t="shared" si="98"/>
        <v>450+641</v>
      </c>
      <c r="BN148" s="39" t="str">
        <f t="shared" si="98"/>
        <v>424+636</v>
      </c>
      <c r="BO148" s="39" t="str">
        <f t="shared" si="98"/>
        <v/>
      </c>
      <c r="BP148" s="39" t="str">
        <f t="shared" si="98"/>
        <v/>
      </c>
      <c r="BQ148" s="39" t="str">
        <f t="shared" si="98"/>
        <v/>
      </c>
      <c r="BR148" s="39" t="str">
        <f t="shared" si="98"/>
        <v/>
      </c>
      <c r="BS148" s="39" t="str">
        <f t="shared" si="98"/>
        <v/>
      </c>
      <c r="BT148" s="39" t="str">
        <f t="shared" si="98"/>
        <v/>
      </c>
      <c r="BU148" s="39" t="str">
        <f t="shared" si="98"/>
        <v/>
      </c>
      <c r="BV148" s="39" t="str">
        <f t="shared" si="98"/>
        <v/>
      </c>
      <c r="BW148" s="39" t="str">
        <f t="shared" si="98"/>
        <v/>
      </c>
      <c r="BX148" s="39" t="str">
        <f t="shared" si="98"/>
        <v/>
      </c>
      <c r="BY148" s="39" t="str">
        <f t="shared" si="98"/>
        <v/>
      </c>
      <c r="BZ148" s="39" t="str">
        <f t="shared" si="98"/>
        <v/>
      </c>
      <c r="CA148" s="39" t="str">
        <f t="shared" si="98"/>
        <v/>
      </c>
      <c r="CB148" s="39" t="str">
        <f t="shared" si="99"/>
        <v/>
      </c>
      <c r="CC148" s="39" t="str">
        <f t="shared" si="99"/>
        <v/>
      </c>
      <c r="CD148" s="39" t="str">
        <f t="shared" si="99"/>
        <v/>
      </c>
      <c r="CE148" s="39" t="str">
        <f t="shared" si="99"/>
        <v>414+661</v>
      </c>
      <c r="CF148" s="39" t="str">
        <f t="shared" si="99"/>
        <v/>
      </c>
      <c r="CG148" s="39" t="str">
        <f t="shared" si="99"/>
        <v/>
      </c>
      <c r="CH148" s="39" t="str">
        <f t="shared" si="99"/>
        <v/>
      </c>
      <c r="CI148" s="39" t="str">
        <f t="shared" si="99"/>
        <v/>
      </c>
      <c r="CJ148" s="39" t="str">
        <f t="shared" si="99"/>
        <v/>
      </c>
      <c r="CK148" s="39" t="str">
        <f t="shared" si="99"/>
        <v/>
      </c>
      <c r="CL148" s="39" t="str">
        <f t="shared" si="99"/>
        <v/>
      </c>
      <c r="CM148" s="39" t="str">
        <f t="shared" si="99"/>
        <v/>
      </c>
      <c r="CN148" s="39" t="str">
        <f t="shared" si="99"/>
        <v/>
      </c>
      <c r="CO148" s="39" t="str">
        <f t="shared" si="99"/>
        <v/>
      </c>
      <c r="CP148" s="39" t="str">
        <f t="shared" si="99"/>
        <v/>
      </c>
      <c r="CQ148" s="39" t="str">
        <f t="shared" si="100"/>
        <v/>
      </c>
      <c r="CR148" s="39" t="str">
        <f t="shared" si="100"/>
        <v/>
      </c>
      <c r="CS148" s="39" t="str">
        <f t="shared" si="100"/>
        <v>405+624</v>
      </c>
      <c r="CT148" s="39" t="str">
        <f t="shared" si="100"/>
        <v/>
      </c>
      <c r="CU148" s="39" t="str">
        <f t="shared" si="100"/>
        <v/>
      </c>
      <c r="CV148" s="39" t="str">
        <f t="shared" si="100"/>
        <v/>
      </c>
      <c r="CW148" s="39" t="str">
        <f t="shared" si="100"/>
        <v/>
      </c>
      <c r="CX148" s="39" t="str">
        <f t="shared" si="100"/>
        <v/>
      </c>
      <c r="CY148" s="39" t="str">
        <f t="shared" si="100"/>
        <v/>
      </c>
      <c r="CZ148" s="39" t="str">
        <f t="shared" si="100"/>
        <v/>
      </c>
      <c r="DA148" s="39" t="str">
        <f t="shared" si="100"/>
        <v/>
      </c>
      <c r="DB148" s="39" t="str">
        <f t="shared" si="100"/>
        <v/>
      </c>
      <c r="DC148" s="39" t="str">
        <f t="shared" si="100"/>
        <v/>
      </c>
      <c r="DD148" s="39" t="str">
        <f t="shared" si="100"/>
        <v/>
      </c>
      <c r="DE148" s="39" t="str">
        <f t="shared" si="100"/>
        <v/>
      </c>
      <c r="DF148" s="37" t="str">
        <f t="shared" si="93"/>
        <v>2+1+1</v>
      </c>
      <c r="DG148" s="37" t="str">
        <f t="shared" si="94"/>
        <v>450+641|424+636</v>
      </c>
      <c r="DH148" s="37" t="str">
        <f t="shared" si="95"/>
        <v>414+661</v>
      </c>
      <c r="DI148" s="37" t="str">
        <f t="shared" si="96"/>
        <v>405+624</v>
      </c>
      <c r="DJ148" s="37" t="str">
        <f t="shared" si="97"/>
        <v>2+1+1|450+641|424+636|414+661|405+624</v>
      </c>
    </row>
    <row r="149" spans="2:114" x14ac:dyDescent="0.15">
      <c r="B149" s="15">
        <v>146</v>
      </c>
      <c r="C149" s="15" t="s">
        <v>196</v>
      </c>
      <c r="D149" s="15">
        <v>93</v>
      </c>
      <c r="G149" s="25" t="s">
        <v>527</v>
      </c>
      <c r="H149" s="25">
        <v>156</v>
      </c>
      <c r="I149" s="26" t="s">
        <v>670</v>
      </c>
      <c r="J149" s="26">
        <f t="shared" si="75"/>
        <v>155</v>
      </c>
      <c r="M149" s="25" t="s">
        <v>527</v>
      </c>
      <c r="N149" s="25">
        <v>156</v>
      </c>
      <c r="O149" s="26" t="s">
        <v>604</v>
      </c>
      <c r="P149" s="26">
        <f t="shared" si="76"/>
        <v>56</v>
      </c>
      <c r="Q149" s="26"/>
      <c r="R149" s="26"/>
      <c r="S149" s="25" t="s">
        <v>527</v>
      </c>
      <c r="T149" s="25">
        <v>156</v>
      </c>
      <c r="U149" s="26" t="s">
        <v>732</v>
      </c>
      <c r="V149" s="26">
        <f t="shared" si="77"/>
        <v>152</v>
      </c>
      <c r="W149" s="26"/>
      <c r="Y149" s="25" t="s">
        <v>527</v>
      </c>
      <c r="Z149" s="25">
        <v>156</v>
      </c>
      <c r="AA149" s="26" t="s">
        <v>74</v>
      </c>
      <c r="AB149" s="26">
        <f t="shared" si="78"/>
        <v>33</v>
      </c>
      <c r="AE149" s="25" t="s">
        <v>527</v>
      </c>
      <c r="AF149" s="25">
        <v>156</v>
      </c>
      <c r="AG149" s="26" t="s">
        <v>420</v>
      </c>
      <c r="AH149" s="26">
        <f t="shared" si="79"/>
        <v>89</v>
      </c>
      <c r="AK149" s="25" t="s">
        <v>527</v>
      </c>
      <c r="AL149" s="25">
        <v>156</v>
      </c>
      <c r="AM149" s="26" t="s">
        <v>272</v>
      </c>
      <c r="AN149" s="26">
        <f t="shared" si="80"/>
        <v>130</v>
      </c>
      <c r="AQ149" s="25" t="s">
        <v>527</v>
      </c>
      <c r="AR149" s="25">
        <v>156</v>
      </c>
      <c r="AS149" s="26" t="s">
        <v>661</v>
      </c>
      <c r="AT149" s="26">
        <f t="shared" si="81"/>
        <v>142</v>
      </c>
      <c r="AX149" s="15"/>
      <c r="AY149" s="35">
        <f t="shared" si="82"/>
        <v>146</v>
      </c>
      <c r="AZ149" s="35" t="str">
        <f t="shared" si="83"/>
        <v>569+613</v>
      </c>
      <c r="BA149" s="35">
        <f t="shared" si="84"/>
        <v>93</v>
      </c>
      <c r="BB149" s="38">
        <f>COUNTIF($BA$4:$BA149,$BA149)</f>
        <v>2</v>
      </c>
      <c r="BC149" s="36" t="str">
        <f t="shared" si="85"/>
        <v/>
      </c>
      <c r="BD149" s="36" t="str">
        <f t="shared" si="86"/>
        <v>村</v>
      </c>
      <c r="BE149" s="36" t="str">
        <f t="shared" si="87"/>
        <v>村</v>
      </c>
      <c r="BF149" s="36" t="str">
        <f t="shared" si="88"/>
        <v>村</v>
      </c>
      <c r="BG149" s="36" t="str">
        <f t="shared" si="89"/>
        <v>村</v>
      </c>
      <c r="BH149" s="36" t="str">
        <f t="shared" si="90"/>
        <v/>
      </c>
      <c r="BI149" s="36" t="str">
        <f t="shared" si="91"/>
        <v>村</v>
      </c>
      <c r="BJ149" s="29" t="str">
        <f t="shared" si="92"/>
        <v>村</v>
      </c>
      <c r="BL149" s="15">
        <v>146</v>
      </c>
      <c r="BM149" s="39" t="str">
        <f t="shared" si="98"/>
        <v>466+619</v>
      </c>
      <c r="BN149" s="39" t="str">
        <f t="shared" si="98"/>
        <v>478+646</v>
      </c>
      <c r="BO149" s="39" t="str">
        <f t="shared" si="98"/>
        <v>489+625</v>
      </c>
      <c r="BP149" s="39" t="str">
        <f t="shared" si="98"/>
        <v/>
      </c>
      <c r="BQ149" s="39" t="str">
        <f t="shared" si="98"/>
        <v/>
      </c>
      <c r="BR149" s="39" t="str">
        <f t="shared" si="98"/>
        <v/>
      </c>
      <c r="BS149" s="39" t="str">
        <f t="shared" si="98"/>
        <v/>
      </c>
      <c r="BT149" s="39" t="str">
        <f t="shared" si="98"/>
        <v/>
      </c>
      <c r="BU149" s="39" t="str">
        <f t="shared" si="98"/>
        <v/>
      </c>
      <c r="BV149" s="39" t="str">
        <f t="shared" si="98"/>
        <v/>
      </c>
      <c r="BW149" s="39" t="str">
        <f t="shared" si="98"/>
        <v/>
      </c>
      <c r="BX149" s="39" t="str">
        <f t="shared" si="98"/>
        <v/>
      </c>
      <c r="BY149" s="39" t="str">
        <f t="shared" si="98"/>
        <v/>
      </c>
      <c r="BZ149" s="39" t="str">
        <f t="shared" si="98"/>
        <v/>
      </c>
      <c r="CA149" s="39" t="str">
        <f t="shared" si="98"/>
        <v/>
      </c>
      <c r="CB149" s="39" t="str">
        <f t="shared" si="99"/>
        <v/>
      </c>
      <c r="CC149" s="39" t="str">
        <f t="shared" si="99"/>
        <v/>
      </c>
      <c r="CD149" s="39" t="str">
        <f t="shared" si="99"/>
        <v/>
      </c>
      <c r="CE149" s="39" t="str">
        <f t="shared" si="99"/>
        <v/>
      </c>
      <c r="CF149" s="39" t="str">
        <f t="shared" si="99"/>
        <v/>
      </c>
      <c r="CG149" s="39" t="str">
        <f t="shared" si="99"/>
        <v/>
      </c>
      <c r="CH149" s="39" t="str">
        <f t="shared" si="99"/>
        <v/>
      </c>
      <c r="CI149" s="39" t="str">
        <f t="shared" si="99"/>
        <v/>
      </c>
      <c r="CJ149" s="39" t="str">
        <f t="shared" si="99"/>
        <v/>
      </c>
      <c r="CK149" s="39" t="str">
        <f t="shared" si="99"/>
        <v/>
      </c>
      <c r="CL149" s="39" t="str">
        <f t="shared" si="99"/>
        <v/>
      </c>
      <c r="CM149" s="39" t="str">
        <f t="shared" si="99"/>
        <v/>
      </c>
      <c r="CN149" s="39" t="str">
        <f t="shared" si="99"/>
        <v/>
      </c>
      <c r="CO149" s="39" t="str">
        <f t="shared" si="99"/>
        <v/>
      </c>
      <c r="CP149" s="39" t="str">
        <f t="shared" si="99"/>
        <v/>
      </c>
      <c r="CQ149" s="39" t="str">
        <f t="shared" si="100"/>
        <v/>
      </c>
      <c r="CR149" s="39" t="str">
        <f t="shared" si="100"/>
        <v/>
      </c>
      <c r="CS149" s="39" t="str">
        <f t="shared" si="100"/>
        <v/>
      </c>
      <c r="CT149" s="39" t="str">
        <f t="shared" si="100"/>
        <v/>
      </c>
      <c r="CU149" s="39" t="str">
        <f t="shared" si="100"/>
        <v/>
      </c>
      <c r="CV149" s="39" t="str">
        <f t="shared" si="100"/>
        <v/>
      </c>
      <c r="CW149" s="39" t="str">
        <f t="shared" si="100"/>
        <v/>
      </c>
      <c r="CX149" s="39" t="str">
        <f t="shared" si="100"/>
        <v/>
      </c>
      <c r="CY149" s="39" t="str">
        <f t="shared" si="100"/>
        <v/>
      </c>
      <c r="CZ149" s="39" t="str">
        <f t="shared" si="100"/>
        <v/>
      </c>
      <c r="DA149" s="39" t="str">
        <f t="shared" si="100"/>
        <v/>
      </c>
      <c r="DB149" s="39" t="str">
        <f t="shared" si="100"/>
        <v/>
      </c>
      <c r="DC149" s="39" t="str">
        <f t="shared" si="100"/>
        <v/>
      </c>
      <c r="DD149" s="39" t="str">
        <f t="shared" si="100"/>
        <v/>
      </c>
      <c r="DE149" s="39" t="str">
        <f t="shared" si="100"/>
        <v/>
      </c>
      <c r="DF149" s="37" t="str">
        <f t="shared" si="93"/>
        <v>3+0+0</v>
      </c>
      <c r="DG149" s="37" t="str">
        <f t="shared" si="94"/>
        <v>466+619|478+646|489+625</v>
      </c>
      <c r="DH149" s="37" t="str">
        <f t="shared" si="95"/>
        <v>0+0</v>
      </c>
      <c r="DI149" s="37" t="str">
        <f t="shared" si="96"/>
        <v>0+0</v>
      </c>
      <c r="DJ149" s="37" t="str">
        <f t="shared" si="97"/>
        <v>3+0+0|466+619|478+646|489+625|0+0|0+0</v>
      </c>
    </row>
    <row r="150" spans="2:114" x14ac:dyDescent="0.15">
      <c r="B150" s="15">
        <v>147</v>
      </c>
      <c r="C150" s="15" t="s">
        <v>633</v>
      </c>
      <c r="D150" s="15">
        <v>93</v>
      </c>
      <c r="G150" s="25" t="s">
        <v>527</v>
      </c>
      <c r="H150" s="25">
        <v>157</v>
      </c>
      <c r="I150" s="26" t="s">
        <v>74</v>
      </c>
      <c r="J150" s="26">
        <f t="shared" si="75"/>
        <v>33</v>
      </c>
      <c r="M150" s="25" t="s">
        <v>527</v>
      </c>
      <c r="N150" s="25">
        <v>157</v>
      </c>
      <c r="O150" s="26" t="s">
        <v>664</v>
      </c>
      <c r="P150" s="26">
        <f t="shared" si="76"/>
        <v>145</v>
      </c>
      <c r="Q150" s="26"/>
      <c r="R150" s="26"/>
      <c r="S150" s="25" t="s">
        <v>527</v>
      </c>
      <c r="T150" s="25">
        <v>157</v>
      </c>
      <c r="U150" s="26" t="s">
        <v>599</v>
      </c>
      <c r="V150" s="26">
        <f t="shared" si="77"/>
        <v>43</v>
      </c>
      <c r="W150" s="26"/>
      <c r="Y150" s="25" t="s">
        <v>527</v>
      </c>
      <c r="Z150" s="25">
        <v>157</v>
      </c>
      <c r="AA150" s="26" t="s">
        <v>632</v>
      </c>
      <c r="AB150" s="26">
        <f t="shared" si="78"/>
        <v>93</v>
      </c>
      <c r="AE150" s="25" t="s">
        <v>527</v>
      </c>
      <c r="AF150" s="25">
        <v>157</v>
      </c>
      <c r="AG150" s="26" t="s">
        <v>629</v>
      </c>
      <c r="AH150" s="26">
        <f t="shared" si="79"/>
        <v>90</v>
      </c>
      <c r="AK150" s="25" t="s">
        <v>527</v>
      </c>
      <c r="AL150" s="25">
        <v>157</v>
      </c>
      <c r="AM150" s="26" t="s">
        <v>663</v>
      </c>
      <c r="AN150" s="26">
        <f t="shared" si="80"/>
        <v>144</v>
      </c>
      <c r="AQ150" s="25" t="s">
        <v>527</v>
      </c>
      <c r="AR150" s="25">
        <v>157</v>
      </c>
      <c r="AS150" s="26" t="s">
        <v>639</v>
      </c>
      <c r="AT150" s="26">
        <f t="shared" si="81"/>
        <v>103</v>
      </c>
      <c r="AX150" s="15"/>
      <c r="AY150" s="35">
        <f t="shared" si="82"/>
        <v>147</v>
      </c>
      <c r="AZ150" s="35" t="str">
        <f t="shared" si="83"/>
        <v>574+643</v>
      </c>
      <c r="BA150" s="35">
        <f t="shared" si="84"/>
        <v>93</v>
      </c>
      <c r="BB150" s="38">
        <f>COUNTIF($BA$4:$BA150,$BA150)</f>
        <v>3</v>
      </c>
      <c r="BC150" s="36" t="str">
        <f t="shared" si="85"/>
        <v/>
      </c>
      <c r="BD150" s="36" t="str">
        <f t="shared" si="86"/>
        <v>县</v>
      </c>
      <c r="BE150" s="36" t="str">
        <f t="shared" si="87"/>
        <v/>
      </c>
      <c r="BF150" s="36" t="str">
        <f t="shared" si="88"/>
        <v/>
      </c>
      <c r="BG150" s="36" t="str">
        <f t="shared" si="89"/>
        <v/>
      </c>
      <c r="BH150" s="36" t="str">
        <f t="shared" si="90"/>
        <v/>
      </c>
      <c r="BI150" s="36" t="str">
        <f t="shared" si="91"/>
        <v/>
      </c>
      <c r="BJ150" s="29" t="str">
        <f t="shared" si="92"/>
        <v>县</v>
      </c>
      <c r="BL150" s="15">
        <v>147</v>
      </c>
      <c r="BM150" s="39" t="str">
        <f t="shared" si="98"/>
        <v/>
      </c>
      <c r="BN150" s="39" t="str">
        <f t="shared" si="98"/>
        <v>506+636</v>
      </c>
      <c r="BO150" s="39" t="str">
        <f t="shared" si="98"/>
        <v/>
      </c>
      <c r="BP150" s="39" t="str">
        <f t="shared" si="98"/>
        <v/>
      </c>
      <c r="BQ150" s="39" t="str">
        <f t="shared" si="98"/>
        <v/>
      </c>
      <c r="BR150" s="39" t="str">
        <f t="shared" si="98"/>
        <v/>
      </c>
      <c r="BS150" s="39" t="str">
        <f t="shared" si="98"/>
        <v/>
      </c>
      <c r="BT150" s="39" t="str">
        <f t="shared" si="98"/>
        <v/>
      </c>
      <c r="BU150" s="39" t="str">
        <f t="shared" si="98"/>
        <v/>
      </c>
      <c r="BV150" s="39" t="str">
        <f t="shared" si="98"/>
        <v/>
      </c>
      <c r="BW150" s="39" t="str">
        <f t="shared" si="98"/>
        <v/>
      </c>
      <c r="BX150" s="39" t="str">
        <f t="shared" si="98"/>
        <v/>
      </c>
      <c r="BY150" s="39" t="str">
        <f t="shared" si="98"/>
        <v/>
      </c>
      <c r="BZ150" s="39" t="str">
        <f t="shared" si="98"/>
        <v/>
      </c>
      <c r="CA150" s="39" t="str">
        <f t="shared" si="98"/>
        <v/>
      </c>
      <c r="CB150" s="39" t="str">
        <f t="shared" si="99"/>
        <v/>
      </c>
      <c r="CC150" s="39" t="str">
        <f t="shared" si="99"/>
        <v/>
      </c>
      <c r="CD150" s="39" t="str">
        <f t="shared" si="99"/>
        <v>509+603</v>
      </c>
      <c r="CE150" s="39" t="str">
        <f t="shared" si="99"/>
        <v/>
      </c>
      <c r="CF150" s="39" t="str">
        <f t="shared" si="99"/>
        <v/>
      </c>
      <c r="CG150" s="39" t="str">
        <f t="shared" si="99"/>
        <v/>
      </c>
      <c r="CH150" s="39" t="str">
        <f t="shared" si="99"/>
        <v/>
      </c>
      <c r="CI150" s="39" t="str">
        <f t="shared" si="99"/>
        <v/>
      </c>
      <c r="CJ150" s="39" t="str">
        <f t="shared" si="99"/>
        <v/>
      </c>
      <c r="CK150" s="39" t="str">
        <f t="shared" si="99"/>
        <v/>
      </c>
      <c r="CL150" s="39" t="str">
        <f t="shared" si="99"/>
        <v/>
      </c>
      <c r="CM150" s="39" t="str">
        <f t="shared" si="99"/>
        <v/>
      </c>
      <c r="CN150" s="39" t="str">
        <f t="shared" si="99"/>
        <v/>
      </c>
      <c r="CO150" s="39" t="str">
        <f t="shared" si="99"/>
        <v/>
      </c>
      <c r="CP150" s="39" t="str">
        <f t="shared" si="99"/>
        <v/>
      </c>
      <c r="CQ150" s="39" t="str">
        <f t="shared" si="100"/>
        <v>499+650</v>
      </c>
      <c r="CR150" s="39" t="str">
        <f t="shared" si="100"/>
        <v/>
      </c>
      <c r="CS150" s="39" t="str">
        <f t="shared" si="100"/>
        <v/>
      </c>
      <c r="CT150" s="39" t="str">
        <f t="shared" si="100"/>
        <v/>
      </c>
      <c r="CU150" s="39" t="str">
        <f t="shared" si="100"/>
        <v/>
      </c>
      <c r="CV150" s="39" t="str">
        <f t="shared" si="100"/>
        <v/>
      </c>
      <c r="CW150" s="39" t="str">
        <f t="shared" si="100"/>
        <v/>
      </c>
      <c r="CX150" s="39" t="str">
        <f t="shared" si="100"/>
        <v/>
      </c>
      <c r="CY150" s="39" t="str">
        <f t="shared" si="100"/>
        <v/>
      </c>
      <c r="CZ150" s="39" t="str">
        <f t="shared" si="100"/>
        <v/>
      </c>
      <c r="DA150" s="39" t="str">
        <f t="shared" si="100"/>
        <v/>
      </c>
      <c r="DB150" s="39" t="str">
        <f t="shared" si="100"/>
        <v/>
      </c>
      <c r="DC150" s="39" t="str">
        <f t="shared" si="100"/>
        <v/>
      </c>
      <c r="DD150" s="39" t="str">
        <f t="shared" si="100"/>
        <v/>
      </c>
      <c r="DE150" s="39" t="str">
        <f t="shared" si="100"/>
        <v/>
      </c>
      <c r="DF150" s="37" t="str">
        <f t="shared" si="93"/>
        <v>1+1+1</v>
      </c>
      <c r="DG150" s="37" t="str">
        <f t="shared" si="94"/>
        <v>506+636</v>
      </c>
      <c r="DH150" s="37" t="str">
        <f t="shared" si="95"/>
        <v>509+603</v>
      </c>
      <c r="DI150" s="37" t="str">
        <f t="shared" si="96"/>
        <v>499+650</v>
      </c>
      <c r="DJ150" s="37" t="str">
        <f t="shared" si="97"/>
        <v>1+1+1|506+636|509+603|499+650</v>
      </c>
    </row>
    <row r="151" spans="2:114" x14ac:dyDescent="0.15">
      <c r="B151" s="15">
        <v>148</v>
      </c>
      <c r="C151" s="15" t="s">
        <v>632</v>
      </c>
      <c r="D151" s="15">
        <v>93</v>
      </c>
      <c r="G151" s="27" t="s">
        <v>529</v>
      </c>
      <c r="H151" s="27">
        <v>158</v>
      </c>
      <c r="I151" s="26" t="s">
        <v>656</v>
      </c>
      <c r="J151" s="26">
        <f t="shared" si="75"/>
        <v>132</v>
      </c>
      <c r="M151" s="27" t="s">
        <v>529</v>
      </c>
      <c r="N151" s="27">
        <v>158</v>
      </c>
      <c r="O151" s="26" t="s">
        <v>91</v>
      </c>
      <c r="P151" s="26">
        <f t="shared" si="76"/>
        <v>42</v>
      </c>
      <c r="Q151" s="26"/>
      <c r="R151" s="26"/>
      <c r="S151" s="27" t="s">
        <v>529</v>
      </c>
      <c r="T151" s="27">
        <v>158</v>
      </c>
      <c r="U151" s="26" t="s">
        <v>308</v>
      </c>
      <c r="V151" s="26">
        <f t="shared" si="77"/>
        <v>147</v>
      </c>
      <c r="W151" s="26"/>
      <c r="Y151" s="27" t="s">
        <v>529</v>
      </c>
      <c r="Z151" s="27">
        <v>158</v>
      </c>
      <c r="AA151" s="26" t="s">
        <v>658</v>
      </c>
      <c r="AB151" s="26">
        <f t="shared" si="78"/>
        <v>135</v>
      </c>
      <c r="AE151" s="27" t="s">
        <v>529</v>
      </c>
      <c r="AF151" s="27">
        <v>158</v>
      </c>
      <c r="AG151" s="26" t="s">
        <v>625</v>
      </c>
      <c r="AH151" s="26">
        <f t="shared" si="79"/>
        <v>85</v>
      </c>
      <c r="AK151" s="27" t="s">
        <v>529</v>
      </c>
      <c r="AL151" s="27">
        <v>158</v>
      </c>
      <c r="AM151" s="26" t="s">
        <v>708</v>
      </c>
      <c r="AN151" s="26">
        <f t="shared" si="80"/>
        <v>86</v>
      </c>
      <c r="AQ151" s="27" t="s">
        <v>529</v>
      </c>
      <c r="AR151" s="27">
        <v>158</v>
      </c>
      <c r="AS151" s="26" t="s">
        <v>996</v>
      </c>
      <c r="AT151" s="26">
        <f t="shared" si="81"/>
        <v>158</v>
      </c>
      <c r="AX151" s="15"/>
      <c r="AY151" s="35">
        <f t="shared" si="82"/>
        <v>148</v>
      </c>
      <c r="AZ151" s="35" t="str">
        <f t="shared" si="83"/>
        <v>592+610</v>
      </c>
      <c r="BA151" s="35">
        <f t="shared" si="84"/>
        <v>93</v>
      </c>
      <c r="BB151" s="38">
        <f>COUNTIF($BA$4:$BA151,$BA151)</f>
        <v>4</v>
      </c>
      <c r="BC151" s="36" t="str">
        <f t="shared" si="85"/>
        <v/>
      </c>
      <c r="BD151" s="36" t="str">
        <f t="shared" si="86"/>
        <v>营</v>
      </c>
      <c r="BE151" s="36" t="str">
        <f t="shared" si="87"/>
        <v>营</v>
      </c>
      <c r="BF151" s="36" t="str">
        <f t="shared" si="88"/>
        <v>营</v>
      </c>
      <c r="BG151" s="36" t="str">
        <f t="shared" si="89"/>
        <v>营</v>
      </c>
      <c r="BH151" s="36" t="str">
        <f t="shared" si="90"/>
        <v/>
      </c>
      <c r="BI151" s="36" t="str">
        <f t="shared" si="91"/>
        <v>营</v>
      </c>
      <c r="BJ151" s="29" t="str">
        <f t="shared" si="92"/>
        <v>营</v>
      </c>
      <c r="BL151" s="15">
        <v>148</v>
      </c>
      <c r="BM151" s="39" t="str">
        <f t="shared" si="98"/>
        <v>525+639</v>
      </c>
      <c r="BN151" s="39" t="str">
        <f t="shared" si="98"/>
        <v>514+674</v>
      </c>
      <c r="BO151" s="39" t="str">
        <f t="shared" si="98"/>
        <v/>
      </c>
      <c r="BP151" s="39" t="str">
        <f t="shared" si="98"/>
        <v/>
      </c>
      <c r="BQ151" s="39" t="str">
        <f t="shared" si="98"/>
        <v/>
      </c>
      <c r="BR151" s="39" t="str">
        <f t="shared" si="98"/>
        <v/>
      </c>
      <c r="BS151" s="39" t="str">
        <f t="shared" si="98"/>
        <v/>
      </c>
      <c r="BT151" s="39" t="str">
        <f t="shared" si="98"/>
        <v/>
      </c>
      <c r="BU151" s="39" t="str">
        <f t="shared" si="98"/>
        <v/>
      </c>
      <c r="BV151" s="39" t="str">
        <f t="shared" si="98"/>
        <v/>
      </c>
      <c r="BW151" s="39" t="str">
        <f t="shared" si="98"/>
        <v/>
      </c>
      <c r="BX151" s="39" t="str">
        <f t="shared" si="98"/>
        <v/>
      </c>
      <c r="BY151" s="39" t="str">
        <f t="shared" si="98"/>
        <v/>
      </c>
      <c r="BZ151" s="39" t="str">
        <f t="shared" si="98"/>
        <v/>
      </c>
      <c r="CA151" s="39" t="str">
        <f t="shared" si="98"/>
        <v/>
      </c>
      <c r="CB151" s="39" t="str">
        <f t="shared" si="99"/>
        <v/>
      </c>
      <c r="CC151" s="39" t="str">
        <f t="shared" si="99"/>
        <v/>
      </c>
      <c r="CD151" s="39" t="str">
        <f t="shared" si="99"/>
        <v/>
      </c>
      <c r="CE151" s="39" t="str">
        <f t="shared" si="99"/>
        <v/>
      </c>
      <c r="CF151" s="39" t="str">
        <f t="shared" si="99"/>
        <v/>
      </c>
      <c r="CG151" s="39" t="str">
        <f t="shared" si="99"/>
        <v/>
      </c>
      <c r="CH151" s="39" t="str">
        <f t="shared" si="99"/>
        <v/>
      </c>
      <c r="CI151" s="39" t="str">
        <f t="shared" si="99"/>
        <v/>
      </c>
      <c r="CJ151" s="39" t="str">
        <f t="shared" si="99"/>
        <v/>
      </c>
      <c r="CK151" s="39" t="str">
        <f t="shared" si="99"/>
        <v/>
      </c>
      <c r="CL151" s="39" t="str">
        <f t="shared" si="99"/>
        <v/>
      </c>
      <c r="CM151" s="39" t="str">
        <f t="shared" si="99"/>
        <v/>
      </c>
      <c r="CN151" s="39" t="str">
        <f t="shared" si="99"/>
        <v/>
      </c>
      <c r="CO151" s="39" t="str">
        <f t="shared" si="99"/>
        <v/>
      </c>
      <c r="CP151" s="39" t="str">
        <f t="shared" si="99"/>
        <v/>
      </c>
      <c r="CQ151" s="39" t="str">
        <f t="shared" si="100"/>
        <v/>
      </c>
      <c r="CR151" s="39" t="str">
        <f t="shared" si="100"/>
        <v/>
      </c>
      <c r="CS151" s="39" t="str">
        <f t="shared" si="100"/>
        <v>543+640</v>
      </c>
      <c r="CT151" s="39" t="str">
        <f t="shared" si="100"/>
        <v>541+632</v>
      </c>
      <c r="CU151" s="39" t="str">
        <f t="shared" si="100"/>
        <v/>
      </c>
      <c r="CV151" s="39" t="str">
        <f t="shared" si="100"/>
        <v/>
      </c>
      <c r="CW151" s="39" t="str">
        <f t="shared" si="100"/>
        <v/>
      </c>
      <c r="CX151" s="39" t="str">
        <f t="shared" si="100"/>
        <v/>
      </c>
      <c r="CY151" s="39" t="str">
        <f t="shared" si="100"/>
        <v/>
      </c>
      <c r="CZ151" s="39" t="str">
        <f t="shared" si="100"/>
        <v/>
      </c>
      <c r="DA151" s="39" t="str">
        <f t="shared" si="100"/>
        <v/>
      </c>
      <c r="DB151" s="39" t="str">
        <f t="shared" si="100"/>
        <v/>
      </c>
      <c r="DC151" s="39" t="str">
        <f t="shared" si="100"/>
        <v/>
      </c>
      <c r="DD151" s="39" t="str">
        <f t="shared" si="100"/>
        <v/>
      </c>
      <c r="DE151" s="39" t="str">
        <f t="shared" si="100"/>
        <v/>
      </c>
      <c r="DF151" s="37" t="str">
        <f t="shared" si="93"/>
        <v>2+0+2</v>
      </c>
      <c r="DG151" s="37" t="str">
        <f t="shared" si="94"/>
        <v>525+639|514+674</v>
      </c>
      <c r="DH151" s="37" t="str">
        <f t="shared" si="95"/>
        <v>0+0</v>
      </c>
      <c r="DI151" s="37" t="str">
        <f t="shared" si="96"/>
        <v>543+640|541+632</v>
      </c>
      <c r="DJ151" s="37" t="str">
        <f t="shared" si="97"/>
        <v>2+0+2|525+639|514+674|0+0|543+640|541+632</v>
      </c>
    </row>
    <row r="152" spans="2:114" x14ac:dyDescent="0.15">
      <c r="B152" s="15">
        <v>149</v>
      </c>
      <c r="C152" s="15" t="s">
        <v>197</v>
      </c>
      <c r="D152" s="15">
        <v>94</v>
      </c>
      <c r="G152" s="27" t="s">
        <v>529</v>
      </c>
      <c r="H152" s="27">
        <v>159</v>
      </c>
      <c r="I152" s="26" t="s">
        <v>272</v>
      </c>
      <c r="J152" s="26">
        <f t="shared" si="75"/>
        <v>130</v>
      </c>
      <c r="M152" s="27" t="s">
        <v>529</v>
      </c>
      <c r="N152" s="27">
        <v>159</v>
      </c>
      <c r="O152" s="26" t="s">
        <v>595</v>
      </c>
      <c r="P152" s="26">
        <f t="shared" si="76"/>
        <v>32</v>
      </c>
      <c r="Q152" s="26"/>
      <c r="R152" s="26"/>
      <c r="S152" s="27" t="s">
        <v>529</v>
      </c>
      <c r="T152" s="27">
        <v>159</v>
      </c>
      <c r="U152" s="26" t="s">
        <v>666</v>
      </c>
      <c r="V152" s="26">
        <f t="shared" si="77"/>
        <v>149</v>
      </c>
      <c r="W152" s="26"/>
      <c r="Y152" s="27" t="s">
        <v>529</v>
      </c>
      <c r="Z152" s="27">
        <v>159</v>
      </c>
      <c r="AA152" s="26" t="s">
        <v>721</v>
      </c>
      <c r="AB152" s="26">
        <f t="shared" si="78"/>
        <v>148</v>
      </c>
      <c r="AE152" s="27" t="s">
        <v>529</v>
      </c>
      <c r="AF152" s="27">
        <v>159</v>
      </c>
      <c r="AG152" s="26" t="s">
        <v>627</v>
      </c>
      <c r="AH152" s="26">
        <f t="shared" si="79"/>
        <v>87</v>
      </c>
      <c r="AK152" s="27" t="s">
        <v>529</v>
      </c>
      <c r="AL152" s="27">
        <v>159</v>
      </c>
      <c r="AM152" s="26" t="s">
        <v>902</v>
      </c>
      <c r="AN152" s="26">
        <f t="shared" si="80"/>
        <v>111</v>
      </c>
      <c r="AQ152" s="27" t="s">
        <v>529</v>
      </c>
      <c r="AR152" s="27">
        <v>159</v>
      </c>
      <c r="AS152" s="26" t="s">
        <v>599</v>
      </c>
      <c r="AT152" s="26">
        <f t="shared" si="81"/>
        <v>43</v>
      </c>
      <c r="AX152" s="15"/>
      <c r="AY152" s="35">
        <f t="shared" si="82"/>
        <v>149</v>
      </c>
      <c r="AZ152" s="35" t="str">
        <f t="shared" si="83"/>
        <v>580+582</v>
      </c>
      <c r="BA152" s="35">
        <f t="shared" si="84"/>
        <v>94</v>
      </c>
      <c r="BB152" s="38">
        <f>COUNTIF($BA$4:$BA152,$BA152)</f>
        <v>1</v>
      </c>
      <c r="BC152" s="36" t="str">
        <f t="shared" si="85"/>
        <v>村</v>
      </c>
      <c r="BD152" s="36" t="str">
        <f t="shared" si="86"/>
        <v>村</v>
      </c>
      <c r="BE152" s="36" t="str">
        <f t="shared" si="87"/>
        <v>村</v>
      </c>
      <c r="BF152" s="36" t="str">
        <f t="shared" si="88"/>
        <v>村</v>
      </c>
      <c r="BG152" s="36" t="str">
        <f t="shared" si="89"/>
        <v>村</v>
      </c>
      <c r="BH152" s="36" t="str">
        <f t="shared" si="90"/>
        <v/>
      </c>
      <c r="BI152" s="36" t="str">
        <f t="shared" si="91"/>
        <v>村</v>
      </c>
      <c r="BJ152" s="29" t="str">
        <f t="shared" si="92"/>
        <v>村</v>
      </c>
      <c r="BL152" s="15">
        <v>149</v>
      </c>
      <c r="BM152" s="39" t="str">
        <f t="shared" si="98"/>
        <v/>
      </c>
      <c r="BN152" s="39" t="str">
        <f t="shared" si="98"/>
        <v>568+657</v>
      </c>
      <c r="BO152" s="39" t="str">
        <f t="shared" si="98"/>
        <v>544+658</v>
      </c>
      <c r="BP152" s="39" t="str">
        <f t="shared" si="98"/>
        <v>535+666</v>
      </c>
      <c r="BQ152" s="39" t="str">
        <f t="shared" si="98"/>
        <v/>
      </c>
      <c r="BR152" s="39" t="str">
        <f t="shared" si="98"/>
        <v/>
      </c>
      <c r="BS152" s="39" t="str">
        <f t="shared" si="98"/>
        <v/>
      </c>
      <c r="BT152" s="39" t="str">
        <f t="shared" si="98"/>
        <v/>
      </c>
      <c r="BU152" s="39" t="str">
        <f t="shared" si="98"/>
        <v/>
      </c>
      <c r="BV152" s="39" t="str">
        <f t="shared" si="98"/>
        <v/>
      </c>
      <c r="BW152" s="39" t="str">
        <f t="shared" si="98"/>
        <v/>
      </c>
      <c r="BX152" s="39" t="str">
        <f t="shared" si="98"/>
        <v/>
      </c>
      <c r="BY152" s="39" t="str">
        <f t="shared" si="98"/>
        <v/>
      </c>
      <c r="BZ152" s="39" t="str">
        <f t="shared" si="98"/>
        <v/>
      </c>
      <c r="CA152" s="39" t="str">
        <f t="shared" si="98"/>
        <v/>
      </c>
      <c r="CB152" s="39" t="str">
        <f t="shared" si="99"/>
        <v/>
      </c>
      <c r="CC152" s="39" t="str">
        <f t="shared" si="99"/>
        <v/>
      </c>
      <c r="CD152" s="39" t="str">
        <f t="shared" si="99"/>
        <v/>
      </c>
      <c r="CE152" s="39" t="str">
        <f t="shared" si="99"/>
        <v/>
      </c>
      <c r="CF152" s="39" t="str">
        <f t="shared" si="99"/>
        <v/>
      </c>
      <c r="CG152" s="39" t="str">
        <f t="shared" si="99"/>
        <v/>
      </c>
      <c r="CH152" s="39" t="str">
        <f t="shared" si="99"/>
        <v/>
      </c>
      <c r="CI152" s="39" t="str">
        <f t="shared" si="99"/>
        <v/>
      </c>
      <c r="CJ152" s="39" t="str">
        <f t="shared" si="99"/>
        <v/>
      </c>
      <c r="CK152" s="39" t="str">
        <f t="shared" si="99"/>
        <v/>
      </c>
      <c r="CL152" s="39" t="str">
        <f t="shared" si="99"/>
        <v/>
      </c>
      <c r="CM152" s="39" t="str">
        <f t="shared" si="99"/>
        <v/>
      </c>
      <c r="CN152" s="39" t="str">
        <f t="shared" si="99"/>
        <v/>
      </c>
      <c r="CO152" s="39" t="str">
        <f t="shared" si="99"/>
        <v/>
      </c>
      <c r="CP152" s="39" t="str">
        <f t="shared" si="99"/>
        <v/>
      </c>
      <c r="CQ152" s="39" t="str">
        <f t="shared" si="100"/>
        <v>557+675</v>
      </c>
      <c r="CR152" s="39" t="str">
        <f t="shared" si="100"/>
        <v/>
      </c>
      <c r="CS152" s="39" t="str">
        <f t="shared" si="100"/>
        <v/>
      </c>
      <c r="CT152" s="39" t="str">
        <f t="shared" si="100"/>
        <v/>
      </c>
      <c r="CU152" s="39" t="str">
        <f t="shared" si="100"/>
        <v/>
      </c>
      <c r="CV152" s="39" t="str">
        <f t="shared" si="100"/>
        <v/>
      </c>
      <c r="CW152" s="39" t="str">
        <f t="shared" si="100"/>
        <v/>
      </c>
      <c r="CX152" s="39" t="str">
        <f t="shared" si="100"/>
        <v/>
      </c>
      <c r="CY152" s="39" t="str">
        <f t="shared" si="100"/>
        <v/>
      </c>
      <c r="CZ152" s="39" t="str">
        <f t="shared" si="100"/>
        <v/>
      </c>
      <c r="DA152" s="39" t="str">
        <f t="shared" si="100"/>
        <v/>
      </c>
      <c r="DB152" s="39" t="str">
        <f t="shared" si="100"/>
        <v/>
      </c>
      <c r="DC152" s="39" t="str">
        <f t="shared" si="100"/>
        <v/>
      </c>
      <c r="DD152" s="39" t="str">
        <f t="shared" si="100"/>
        <v/>
      </c>
      <c r="DE152" s="39" t="str">
        <f t="shared" si="100"/>
        <v/>
      </c>
      <c r="DF152" s="37" t="str">
        <f t="shared" si="93"/>
        <v>3+0+1</v>
      </c>
      <c r="DG152" s="37" t="str">
        <f t="shared" si="94"/>
        <v>568+657|544+658|535+666</v>
      </c>
      <c r="DH152" s="37" t="str">
        <f t="shared" si="95"/>
        <v>0+0</v>
      </c>
      <c r="DI152" s="37" t="str">
        <f t="shared" si="96"/>
        <v>557+675</v>
      </c>
      <c r="DJ152" s="37" t="str">
        <f t="shared" si="97"/>
        <v>3+0+1|568+657|544+658|535+666|0+0|557+675</v>
      </c>
    </row>
    <row r="153" spans="2:114" x14ac:dyDescent="0.15">
      <c r="B153" s="15">
        <v>150</v>
      </c>
      <c r="C153" s="15" t="s">
        <v>198</v>
      </c>
      <c r="D153" s="15">
        <v>94</v>
      </c>
      <c r="G153" s="27" t="s">
        <v>529</v>
      </c>
      <c r="H153" s="27">
        <v>160</v>
      </c>
      <c r="I153" s="26" t="s">
        <v>667</v>
      </c>
      <c r="J153" s="26">
        <f t="shared" si="75"/>
        <v>150</v>
      </c>
      <c r="M153" s="27" t="s">
        <v>529</v>
      </c>
      <c r="N153" s="27">
        <v>160</v>
      </c>
      <c r="O153" s="26" t="s">
        <v>605</v>
      </c>
      <c r="P153" s="26">
        <f t="shared" si="76"/>
        <v>56</v>
      </c>
      <c r="Q153" s="26"/>
      <c r="R153" s="26"/>
      <c r="S153" s="27" t="s">
        <v>529</v>
      </c>
      <c r="T153" s="27">
        <v>160</v>
      </c>
      <c r="U153" s="26" t="s">
        <v>668</v>
      </c>
      <c r="V153" s="26">
        <f t="shared" si="77"/>
        <v>153</v>
      </c>
      <c r="W153" s="26"/>
      <c r="Y153" s="27" t="s">
        <v>529</v>
      </c>
      <c r="Z153" s="27">
        <v>160</v>
      </c>
      <c r="AA153" s="26" t="s">
        <v>590</v>
      </c>
      <c r="AB153" s="26">
        <f t="shared" si="78"/>
        <v>14</v>
      </c>
      <c r="AE153" s="27" t="s">
        <v>529</v>
      </c>
      <c r="AF153" s="27">
        <v>160</v>
      </c>
      <c r="AG153" s="26" t="s">
        <v>951</v>
      </c>
      <c r="AH153" s="26">
        <f t="shared" si="79"/>
        <v>90</v>
      </c>
      <c r="AK153" s="27" t="s">
        <v>529</v>
      </c>
      <c r="AL153" s="27">
        <v>160</v>
      </c>
      <c r="AM153" s="26" t="s">
        <v>981</v>
      </c>
      <c r="AN153" s="26">
        <f t="shared" si="80"/>
        <v>117</v>
      </c>
      <c r="AQ153" s="27" t="s">
        <v>529</v>
      </c>
      <c r="AR153" s="27">
        <v>160</v>
      </c>
      <c r="AS153" s="26" t="s">
        <v>340</v>
      </c>
      <c r="AT153" s="26">
        <f t="shared" si="81"/>
        <v>163</v>
      </c>
      <c r="AX153" s="15"/>
      <c r="AY153" s="35">
        <f t="shared" si="82"/>
        <v>150</v>
      </c>
      <c r="AZ153" s="35" t="str">
        <f t="shared" si="83"/>
        <v>596+566</v>
      </c>
      <c r="BA153" s="35">
        <f t="shared" si="84"/>
        <v>94</v>
      </c>
      <c r="BB153" s="38">
        <f>COUNTIF($BA$4:$BA153,$BA153)</f>
        <v>2</v>
      </c>
      <c r="BC153" s="36" t="str">
        <f t="shared" si="85"/>
        <v>村</v>
      </c>
      <c r="BD153" s="36" t="str">
        <f t="shared" si="86"/>
        <v>村</v>
      </c>
      <c r="BE153" s="36" t="str">
        <f t="shared" si="87"/>
        <v>村</v>
      </c>
      <c r="BF153" s="36" t="str">
        <f t="shared" si="88"/>
        <v>村</v>
      </c>
      <c r="BG153" s="36" t="str">
        <f t="shared" si="89"/>
        <v/>
      </c>
      <c r="BH153" s="36" t="str">
        <f t="shared" si="90"/>
        <v/>
      </c>
      <c r="BI153" s="36" t="str">
        <f t="shared" si="91"/>
        <v>村</v>
      </c>
      <c r="BJ153" s="29" t="str">
        <f t="shared" si="92"/>
        <v>村</v>
      </c>
      <c r="BL153" s="15">
        <v>150</v>
      </c>
      <c r="BM153" s="39" t="str">
        <f t="shared" si="98"/>
        <v>549+615</v>
      </c>
      <c r="BN153" s="39" t="str">
        <f t="shared" si="98"/>
        <v>525+602</v>
      </c>
      <c r="BO153" s="39" t="str">
        <f t="shared" si="98"/>
        <v/>
      </c>
      <c r="BP153" s="39" t="str">
        <f t="shared" si="98"/>
        <v/>
      </c>
      <c r="BQ153" s="39" t="str">
        <f t="shared" si="98"/>
        <v/>
      </c>
      <c r="BR153" s="39" t="str">
        <f t="shared" si="98"/>
        <v/>
      </c>
      <c r="BS153" s="39" t="str">
        <f t="shared" si="98"/>
        <v/>
      </c>
      <c r="BT153" s="39" t="str">
        <f t="shared" si="98"/>
        <v/>
      </c>
      <c r="BU153" s="39" t="str">
        <f t="shared" si="98"/>
        <v/>
      </c>
      <c r="BV153" s="39" t="str">
        <f t="shared" si="98"/>
        <v/>
      </c>
      <c r="BW153" s="39" t="str">
        <f t="shared" si="98"/>
        <v/>
      </c>
      <c r="BX153" s="39" t="str">
        <f t="shared" si="98"/>
        <v/>
      </c>
      <c r="BY153" s="39" t="str">
        <f t="shared" si="98"/>
        <v/>
      </c>
      <c r="BZ153" s="39" t="str">
        <f t="shared" si="98"/>
        <v/>
      </c>
      <c r="CA153" s="39" t="str">
        <f t="shared" si="98"/>
        <v/>
      </c>
      <c r="CB153" s="39" t="str">
        <f t="shared" si="99"/>
        <v/>
      </c>
      <c r="CC153" s="39" t="str">
        <f t="shared" si="99"/>
        <v/>
      </c>
      <c r="CD153" s="39" t="str">
        <f t="shared" si="99"/>
        <v>536+622</v>
      </c>
      <c r="CE153" s="39" t="str">
        <f t="shared" si="99"/>
        <v/>
      </c>
      <c r="CF153" s="39" t="str">
        <f t="shared" si="99"/>
        <v/>
      </c>
      <c r="CG153" s="39" t="str">
        <f t="shared" si="99"/>
        <v/>
      </c>
      <c r="CH153" s="39" t="str">
        <f t="shared" si="99"/>
        <v/>
      </c>
      <c r="CI153" s="39" t="str">
        <f t="shared" si="99"/>
        <v/>
      </c>
      <c r="CJ153" s="39" t="str">
        <f t="shared" si="99"/>
        <v/>
      </c>
      <c r="CK153" s="39" t="str">
        <f t="shared" si="99"/>
        <v/>
      </c>
      <c r="CL153" s="39" t="str">
        <f t="shared" si="99"/>
        <v/>
      </c>
      <c r="CM153" s="39" t="str">
        <f t="shared" si="99"/>
        <v/>
      </c>
      <c r="CN153" s="39" t="str">
        <f t="shared" si="99"/>
        <v/>
      </c>
      <c r="CO153" s="39" t="str">
        <f t="shared" si="99"/>
        <v/>
      </c>
      <c r="CP153" s="39" t="str">
        <f t="shared" si="99"/>
        <v/>
      </c>
      <c r="CQ153" s="39" t="str">
        <f t="shared" si="100"/>
        <v/>
      </c>
      <c r="CR153" s="39" t="str">
        <f t="shared" si="100"/>
        <v/>
      </c>
      <c r="CS153" s="39" t="str">
        <f t="shared" si="100"/>
        <v/>
      </c>
      <c r="CT153" s="39" t="str">
        <f t="shared" si="100"/>
        <v>543+597</v>
      </c>
      <c r="CU153" s="39" t="str">
        <f t="shared" si="100"/>
        <v/>
      </c>
      <c r="CV153" s="39" t="str">
        <f t="shared" si="100"/>
        <v/>
      </c>
      <c r="CW153" s="39" t="str">
        <f t="shared" si="100"/>
        <v/>
      </c>
      <c r="CX153" s="39" t="str">
        <f t="shared" si="100"/>
        <v/>
      </c>
      <c r="CY153" s="39" t="str">
        <f t="shared" si="100"/>
        <v/>
      </c>
      <c r="CZ153" s="39" t="str">
        <f t="shared" si="100"/>
        <v/>
      </c>
      <c r="DA153" s="39" t="str">
        <f t="shared" si="100"/>
        <v/>
      </c>
      <c r="DB153" s="39" t="str">
        <f t="shared" si="100"/>
        <v/>
      </c>
      <c r="DC153" s="39" t="str">
        <f t="shared" si="100"/>
        <v/>
      </c>
      <c r="DD153" s="39" t="str">
        <f t="shared" si="100"/>
        <v/>
      </c>
      <c r="DE153" s="39" t="str">
        <f t="shared" si="100"/>
        <v/>
      </c>
      <c r="DF153" s="37" t="str">
        <f t="shared" si="93"/>
        <v>2+1+1</v>
      </c>
      <c r="DG153" s="37" t="str">
        <f t="shared" si="94"/>
        <v>549+615|525+602</v>
      </c>
      <c r="DH153" s="37" t="str">
        <f t="shared" si="95"/>
        <v>536+622</v>
      </c>
      <c r="DI153" s="37" t="str">
        <f t="shared" si="96"/>
        <v>543+597</v>
      </c>
      <c r="DJ153" s="37" t="str">
        <f t="shared" si="97"/>
        <v>2+1+1|549+615|525+602|536+622|543+597</v>
      </c>
    </row>
    <row r="154" spans="2:114" x14ac:dyDescent="0.15">
      <c r="B154" s="15">
        <v>151</v>
      </c>
      <c r="C154" s="15" t="s">
        <v>199</v>
      </c>
      <c r="D154" s="15">
        <v>95</v>
      </c>
      <c r="G154" s="27" t="s">
        <v>529</v>
      </c>
      <c r="H154" s="27">
        <v>161</v>
      </c>
      <c r="I154" s="26" t="s">
        <v>733</v>
      </c>
      <c r="J154" s="26">
        <f t="shared" si="75"/>
        <v>34</v>
      </c>
      <c r="M154" s="27" t="s">
        <v>529</v>
      </c>
      <c r="N154" s="27">
        <v>161</v>
      </c>
      <c r="O154" s="26" t="s">
        <v>663</v>
      </c>
      <c r="P154" s="26">
        <f t="shared" si="76"/>
        <v>144</v>
      </c>
      <c r="Q154" s="26"/>
      <c r="R154" s="26"/>
      <c r="S154" s="27" t="s">
        <v>529</v>
      </c>
      <c r="T154" s="27">
        <v>161</v>
      </c>
      <c r="U154" s="26" t="s">
        <v>673</v>
      </c>
      <c r="V154" s="26">
        <f t="shared" si="77"/>
        <v>159</v>
      </c>
      <c r="W154" s="26"/>
      <c r="Y154" s="27" t="s">
        <v>529</v>
      </c>
      <c r="Z154" s="27">
        <v>161</v>
      </c>
      <c r="AA154" s="26" t="s">
        <v>631</v>
      </c>
      <c r="AB154" s="26">
        <f t="shared" si="78"/>
        <v>92</v>
      </c>
      <c r="AE154" s="27" t="s">
        <v>529</v>
      </c>
      <c r="AF154" s="27">
        <v>161</v>
      </c>
      <c r="AG154" s="26" t="s">
        <v>643</v>
      </c>
      <c r="AH154" s="26">
        <f t="shared" si="79"/>
        <v>106</v>
      </c>
      <c r="AK154" s="27" t="s">
        <v>529</v>
      </c>
      <c r="AL154" s="27">
        <v>161</v>
      </c>
      <c r="AM154" s="26" t="s">
        <v>920</v>
      </c>
      <c r="AN154" s="26">
        <f t="shared" si="80"/>
        <v>131</v>
      </c>
      <c r="AQ154" s="27" t="s">
        <v>529</v>
      </c>
      <c r="AR154" s="27">
        <v>161</v>
      </c>
      <c r="AS154" s="26" t="s">
        <v>634</v>
      </c>
      <c r="AT154" s="26">
        <f t="shared" si="81"/>
        <v>96</v>
      </c>
      <c r="AX154" s="15"/>
      <c r="AY154" s="35">
        <f t="shared" si="82"/>
        <v>151</v>
      </c>
      <c r="AZ154" s="35" t="str">
        <f t="shared" si="83"/>
        <v>592+532</v>
      </c>
      <c r="BA154" s="35">
        <f t="shared" si="84"/>
        <v>95</v>
      </c>
      <c r="BB154" s="38">
        <f>COUNTIF($BA$4:$BA154,$BA154)</f>
        <v>1</v>
      </c>
      <c r="BC154" s="36" t="str">
        <f t="shared" si="85"/>
        <v>县</v>
      </c>
      <c r="BD154" s="36" t="str">
        <f t="shared" si="86"/>
        <v>县</v>
      </c>
      <c r="BE154" s="36" t="str">
        <f t="shared" si="87"/>
        <v/>
      </c>
      <c r="BF154" s="36" t="str">
        <f t="shared" si="88"/>
        <v/>
      </c>
      <c r="BG154" s="36" t="str">
        <f t="shared" si="89"/>
        <v/>
      </c>
      <c r="BH154" s="36" t="str">
        <f t="shared" si="90"/>
        <v/>
      </c>
      <c r="BI154" s="36" t="str">
        <f t="shared" si="91"/>
        <v/>
      </c>
      <c r="BJ154" s="29" t="str">
        <f t="shared" si="92"/>
        <v>县</v>
      </c>
      <c r="BL154" s="15">
        <v>151</v>
      </c>
      <c r="BM154" s="39" t="str">
        <f t="shared" ref="BM154:CA169" si="101">IFERROR(INDEX($AZ$4:$AZ$1000,MATCH(SUMIFS($AY$4:$AY$1000,$BA$4:$BA$1000,$BL154,$BB$4:$BB$1000,BM$3,$BJ$4:$BJ$1000,"村"),$AY$4:$AY$1000,0)),"")</f>
        <v>482+593</v>
      </c>
      <c r="BN154" s="39" t="str">
        <f t="shared" si="101"/>
        <v>505+583</v>
      </c>
      <c r="BO154" s="39" t="str">
        <f t="shared" si="101"/>
        <v/>
      </c>
      <c r="BP154" s="39" t="str">
        <f t="shared" si="101"/>
        <v/>
      </c>
      <c r="BQ154" s="39" t="str">
        <f t="shared" si="101"/>
        <v/>
      </c>
      <c r="BR154" s="39" t="str">
        <f t="shared" si="101"/>
        <v/>
      </c>
      <c r="BS154" s="39" t="str">
        <f t="shared" si="101"/>
        <v/>
      </c>
      <c r="BT154" s="39" t="str">
        <f t="shared" si="101"/>
        <v/>
      </c>
      <c r="BU154" s="39" t="str">
        <f t="shared" si="101"/>
        <v/>
      </c>
      <c r="BV154" s="39" t="str">
        <f t="shared" si="101"/>
        <v/>
      </c>
      <c r="BW154" s="39" t="str">
        <f t="shared" si="101"/>
        <v/>
      </c>
      <c r="BX154" s="39" t="str">
        <f t="shared" si="101"/>
        <v/>
      </c>
      <c r="BY154" s="39" t="str">
        <f t="shared" si="101"/>
        <v/>
      </c>
      <c r="BZ154" s="39" t="str">
        <f t="shared" si="101"/>
        <v/>
      </c>
      <c r="CA154" s="39" t="str">
        <f t="shared" si="101"/>
        <v/>
      </c>
      <c r="CB154" s="39" t="str">
        <f t="shared" si="99"/>
        <v/>
      </c>
      <c r="CC154" s="39" t="str">
        <f t="shared" si="99"/>
        <v/>
      </c>
      <c r="CD154" s="39" t="str">
        <f t="shared" si="99"/>
        <v/>
      </c>
      <c r="CE154" s="39" t="str">
        <f t="shared" si="99"/>
        <v/>
      </c>
      <c r="CF154" s="39" t="str">
        <f t="shared" si="99"/>
        <v/>
      </c>
      <c r="CG154" s="39" t="str">
        <f t="shared" si="99"/>
        <v/>
      </c>
      <c r="CH154" s="39" t="str">
        <f t="shared" si="99"/>
        <v/>
      </c>
      <c r="CI154" s="39" t="str">
        <f t="shared" si="99"/>
        <v/>
      </c>
      <c r="CJ154" s="39" t="str">
        <f t="shared" si="99"/>
        <v/>
      </c>
      <c r="CK154" s="39" t="str">
        <f t="shared" si="99"/>
        <v/>
      </c>
      <c r="CL154" s="39" t="str">
        <f t="shared" si="99"/>
        <v/>
      </c>
      <c r="CM154" s="39" t="str">
        <f t="shared" si="99"/>
        <v/>
      </c>
      <c r="CN154" s="39" t="str">
        <f t="shared" si="99"/>
        <v/>
      </c>
      <c r="CO154" s="39" t="str">
        <f t="shared" si="99"/>
        <v/>
      </c>
      <c r="CP154" s="39" t="str">
        <f t="shared" si="99"/>
        <v/>
      </c>
      <c r="CQ154" s="39" t="str">
        <f t="shared" si="100"/>
        <v/>
      </c>
      <c r="CR154" s="39" t="str">
        <f t="shared" si="100"/>
        <v/>
      </c>
      <c r="CS154" s="39" t="str">
        <f t="shared" si="100"/>
        <v/>
      </c>
      <c r="CT154" s="39" t="str">
        <f t="shared" si="100"/>
        <v/>
      </c>
      <c r="CU154" s="39" t="str">
        <f t="shared" si="100"/>
        <v/>
      </c>
      <c r="CV154" s="39" t="str">
        <f t="shared" si="100"/>
        <v/>
      </c>
      <c r="CW154" s="39" t="str">
        <f t="shared" si="100"/>
        <v/>
      </c>
      <c r="CX154" s="39" t="str">
        <f t="shared" si="100"/>
        <v/>
      </c>
      <c r="CY154" s="39" t="str">
        <f t="shared" si="100"/>
        <v/>
      </c>
      <c r="CZ154" s="39" t="str">
        <f t="shared" si="100"/>
        <v/>
      </c>
      <c r="DA154" s="39" t="str">
        <f t="shared" si="100"/>
        <v/>
      </c>
      <c r="DB154" s="39" t="str">
        <f t="shared" si="100"/>
        <v/>
      </c>
      <c r="DC154" s="39" t="str">
        <f t="shared" si="100"/>
        <v/>
      </c>
      <c r="DD154" s="39" t="str">
        <f t="shared" si="100"/>
        <v/>
      </c>
      <c r="DE154" s="39" t="str">
        <f t="shared" si="100"/>
        <v/>
      </c>
      <c r="DF154" s="37" t="str">
        <f t="shared" si="93"/>
        <v>2+0+0</v>
      </c>
      <c r="DG154" s="37" t="str">
        <f t="shared" si="94"/>
        <v>482+593|505+583</v>
      </c>
      <c r="DH154" s="37" t="str">
        <f t="shared" si="95"/>
        <v>0+0</v>
      </c>
      <c r="DI154" s="37" t="str">
        <f t="shared" si="96"/>
        <v>0+0</v>
      </c>
      <c r="DJ154" s="37" t="str">
        <f t="shared" si="97"/>
        <v>2+0+0|482+593|505+583|0+0|0+0</v>
      </c>
    </row>
    <row r="155" spans="2:114" x14ac:dyDescent="0.15">
      <c r="B155" s="15">
        <v>152</v>
      </c>
      <c r="C155" s="15" t="s">
        <v>200</v>
      </c>
      <c r="D155" s="15">
        <v>95</v>
      </c>
      <c r="G155" s="25" t="s">
        <v>489</v>
      </c>
      <c r="H155" s="25">
        <v>106</v>
      </c>
      <c r="I155" s="26" t="s">
        <v>117</v>
      </c>
      <c r="J155" s="26">
        <f t="shared" si="75"/>
        <v>54</v>
      </c>
      <c r="M155" s="25" t="s">
        <v>489</v>
      </c>
      <c r="N155" s="25">
        <v>106</v>
      </c>
      <c r="O155" s="26" t="s">
        <v>199</v>
      </c>
      <c r="P155" s="26">
        <f t="shared" si="76"/>
        <v>95</v>
      </c>
      <c r="Q155" s="26"/>
      <c r="R155" s="26"/>
      <c r="S155" s="25" t="s">
        <v>489</v>
      </c>
      <c r="T155" s="25">
        <v>106</v>
      </c>
      <c r="U155" s="26" t="s">
        <v>713</v>
      </c>
      <c r="V155" s="26">
        <f t="shared" si="77"/>
        <v>113</v>
      </c>
      <c r="W155" s="26"/>
      <c r="Y155" s="25" t="s">
        <v>489</v>
      </c>
      <c r="Z155" s="25">
        <v>106</v>
      </c>
      <c r="AA155" s="26" t="s">
        <v>603</v>
      </c>
      <c r="AB155" s="26">
        <f t="shared" si="78"/>
        <v>52</v>
      </c>
      <c r="AE155" s="25" t="s">
        <v>489</v>
      </c>
      <c r="AF155" s="25">
        <v>106</v>
      </c>
      <c r="AG155" s="26" t="s">
        <v>843</v>
      </c>
      <c r="AH155" s="26">
        <f t="shared" si="79"/>
        <v>73</v>
      </c>
      <c r="AK155" s="25" t="s">
        <v>489</v>
      </c>
      <c r="AL155" s="25">
        <v>106</v>
      </c>
      <c r="AM155" s="26" t="s">
        <v>418</v>
      </c>
      <c r="AN155" s="26">
        <f t="shared" si="80"/>
        <v>125</v>
      </c>
      <c r="AQ155" s="25" t="s">
        <v>489</v>
      </c>
      <c r="AR155" s="25">
        <v>106</v>
      </c>
      <c r="AS155" s="26" t="s">
        <v>723</v>
      </c>
      <c r="AT155" s="26">
        <f t="shared" si="81"/>
        <v>150</v>
      </c>
      <c r="AX155" s="15"/>
      <c r="AY155" s="35">
        <f t="shared" si="82"/>
        <v>152</v>
      </c>
      <c r="AZ155" s="35" t="str">
        <f t="shared" si="83"/>
        <v>607+534</v>
      </c>
      <c r="BA155" s="35">
        <f t="shared" si="84"/>
        <v>95</v>
      </c>
      <c r="BB155" s="38">
        <f>COUNTIF($BA$4:$BA155,$BA155)</f>
        <v>2</v>
      </c>
      <c r="BC155" s="36" t="str">
        <f t="shared" si="85"/>
        <v/>
      </c>
      <c r="BD155" s="36" t="str">
        <f t="shared" si="86"/>
        <v/>
      </c>
      <c r="BE155" s="36" t="str">
        <f t="shared" si="87"/>
        <v>营</v>
      </c>
      <c r="BF155" s="36" t="str">
        <f t="shared" si="88"/>
        <v>营</v>
      </c>
      <c r="BG155" s="36" t="str">
        <f t="shared" si="89"/>
        <v/>
      </c>
      <c r="BH155" s="36" t="str">
        <f t="shared" si="90"/>
        <v/>
      </c>
      <c r="BI155" s="36" t="str">
        <f t="shared" si="91"/>
        <v>营</v>
      </c>
      <c r="BJ155" s="29" t="str">
        <f t="shared" si="92"/>
        <v>营</v>
      </c>
      <c r="BL155" s="15">
        <v>152</v>
      </c>
      <c r="BM155" s="39" t="str">
        <f t="shared" si="101"/>
        <v/>
      </c>
      <c r="BN155" s="39" t="str">
        <f t="shared" si="101"/>
        <v>455+580</v>
      </c>
      <c r="BO155" s="39" t="str">
        <f t="shared" si="101"/>
        <v/>
      </c>
      <c r="BP155" s="39" t="str">
        <f t="shared" si="101"/>
        <v/>
      </c>
      <c r="BQ155" s="39" t="str">
        <f t="shared" si="101"/>
        <v/>
      </c>
      <c r="BR155" s="39" t="str">
        <f t="shared" si="101"/>
        <v/>
      </c>
      <c r="BS155" s="39" t="str">
        <f t="shared" si="101"/>
        <v/>
      </c>
      <c r="BT155" s="39" t="str">
        <f t="shared" si="101"/>
        <v/>
      </c>
      <c r="BU155" s="39" t="str">
        <f t="shared" si="101"/>
        <v/>
      </c>
      <c r="BV155" s="39" t="str">
        <f t="shared" si="101"/>
        <v/>
      </c>
      <c r="BW155" s="39" t="str">
        <f t="shared" si="101"/>
        <v/>
      </c>
      <c r="BX155" s="39" t="str">
        <f t="shared" si="101"/>
        <v/>
      </c>
      <c r="BY155" s="39" t="str">
        <f t="shared" si="101"/>
        <v/>
      </c>
      <c r="BZ155" s="39" t="str">
        <f t="shared" si="101"/>
        <v/>
      </c>
      <c r="CA155" s="39" t="str">
        <f t="shared" si="101"/>
        <v/>
      </c>
      <c r="CB155" s="39" t="str">
        <f t="shared" ref="CB155:CP171" si="102">IFERROR(INDEX($AZ$4:$AZ$1000,MATCH(SUMIFS($AY$4:$AY$1000,$BA$4:$BA$1000,$BL155,$BB$4:$BB$1000,CB$3,$BJ$4:$BJ$1000,"县"),$AY$4:$AY$1000,0)),"")</f>
        <v/>
      </c>
      <c r="CC155" s="39" t="str">
        <f t="shared" si="102"/>
        <v/>
      </c>
      <c r="CD155" s="39" t="str">
        <f t="shared" si="102"/>
        <v/>
      </c>
      <c r="CE155" s="39" t="str">
        <f t="shared" si="102"/>
        <v/>
      </c>
      <c r="CF155" s="39" t="str">
        <f t="shared" si="102"/>
        <v/>
      </c>
      <c r="CG155" s="39" t="str">
        <f t="shared" si="102"/>
        <v/>
      </c>
      <c r="CH155" s="39" t="str">
        <f t="shared" si="102"/>
        <v/>
      </c>
      <c r="CI155" s="39" t="str">
        <f t="shared" si="102"/>
        <v/>
      </c>
      <c r="CJ155" s="39" t="str">
        <f t="shared" si="102"/>
        <v/>
      </c>
      <c r="CK155" s="39" t="str">
        <f t="shared" si="102"/>
        <v/>
      </c>
      <c r="CL155" s="39" t="str">
        <f t="shared" si="102"/>
        <v/>
      </c>
      <c r="CM155" s="39" t="str">
        <f t="shared" si="102"/>
        <v/>
      </c>
      <c r="CN155" s="39" t="str">
        <f t="shared" si="102"/>
        <v/>
      </c>
      <c r="CO155" s="39" t="str">
        <f t="shared" si="102"/>
        <v/>
      </c>
      <c r="CP155" s="39" t="str">
        <f t="shared" si="102"/>
        <v/>
      </c>
      <c r="CQ155" s="39" t="str">
        <f t="shared" ref="CQ155:DE171" si="103">IFERROR(INDEX($AZ$4:$AZ$1000,MATCH(SUMIFS($AY$4:$AY$1000,$BA$4:$BA$1000,$BL155,$BB$4:$BB$1000,CQ$3,$BJ$4:$BJ$1000,"营"),$AY$4:$AY$1000,0)),"")</f>
        <v>447+599</v>
      </c>
      <c r="CR155" s="39" t="str">
        <f t="shared" si="103"/>
        <v/>
      </c>
      <c r="CS155" s="39" t="str">
        <f t="shared" si="103"/>
        <v/>
      </c>
      <c r="CT155" s="39" t="str">
        <f t="shared" si="103"/>
        <v/>
      </c>
      <c r="CU155" s="39" t="str">
        <f t="shared" si="103"/>
        <v/>
      </c>
      <c r="CV155" s="39" t="str">
        <f t="shared" si="103"/>
        <v/>
      </c>
      <c r="CW155" s="39" t="str">
        <f t="shared" si="103"/>
        <v/>
      </c>
      <c r="CX155" s="39" t="str">
        <f t="shared" si="103"/>
        <v/>
      </c>
      <c r="CY155" s="39" t="str">
        <f t="shared" si="103"/>
        <v/>
      </c>
      <c r="CZ155" s="39" t="str">
        <f t="shared" si="103"/>
        <v/>
      </c>
      <c r="DA155" s="39" t="str">
        <f t="shared" si="103"/>
        <v/>
      </c>
      <c r="DB155" s="39" t="str">
        <f t="shared" si="103"/>
        <v/>
      </c>
      <c r="DC155" s="39" t="str">
        <f t="shared" si="103"/>
        <v/>
      </c>
      <c r="DD155" s="39" t="str">
        <f t="shared" si="103"/>
        <v/>
      </c>
      <c r="DE155" s="39" t="str">
        <f t="shared" si="103"/>
        <v/>
      </c>
      <c r="DF155" s="37" t="str">
        <f t="shared" si="93"/>
        <v>1+0+1</v>
      </c>
      <c r="DG155" s="37" t="str">
        <f t="shared" si="94"/>
        <v>455+580</v>
      </c>
      <c r="DH155" s="37" t="str">
        <f t="shared" si="95"/>
        <v>0+0</v>
      </c>
      <c r="DI155" s="37" t="str">
        <f t="shared" si="96"/>
        <v>447+599</v>
      </c>
      <c r="DJ155" s="37" t="str">
        <f t="shared" si="97"/>
        <v>1+0+1|455+580|0+0|447+599</v>
      </c>
    </row>
    <row r="156" spans="2:114" x14ac:dyDescent="0.15">
      <c r="B156" s="15">
        <v>153</v>
      </c>
      <c r="C156" s="15" t="s">
        <v>201</v>
      </c>
      <c r="D156" s="15">
        <v>96</v>
      </c>
      <c r="G156" s="25" t="s">
        <v>491</v>
      </c>
      <c r="H156" s="25">
        <v>107</v>
      </c>
      <c r="I156" s="26" t="s">
        <v>728</v>
      </c>
      <c r="J156" s="26">
        <f t="shared" si="75"/>
        <v>169</v>
      </c>
      <c r="M156" s="25" t="s">
        <v>491</v>
      </c>
      <c r="N156" s="25">
        <v>107</v>
      </c>
      <c r="O156" s="26" t="s">
        <v>633</v>
      </c>
      <c r="P156" s="26">
        <f t="shared" si="76"/>
        <v>93</v>
      </c>
      <c r="Q156" s="26"/>
      <c r="R156" s="26"/>
      <c r="S156" s="25" t="s">
        <v>491</v>
      </c>
      <c r="T156" s="25">
        <v>107</v>
      </c>
      <c r="U156" s="26" t="s">
        <v>833</v>
      </c>
      <c r="V156" s="26">
        <f t="shared" si="77"/>
        <v>109</v>
      </c>
      <c r="W156" s="26"/>
      <c r="Y156" s="25" t="s">
        <v>491</v>
      </c>
      <c r="Z156" s="25">
        <v>107</v>
      </c>
      <c r="AA156" s="26" t="s">
        <v>697</v>
      </c>
      <c r="AB156" s="26">
        <f t="shared" si="78"/>
        <v>53</v>
      </c>
      <c r="AE156" s="25" t="s">
        <v>491</v>
      </c>
      <c r="AF156" s="25">
        <v>107</v>
      </c>
      <c r="AG156" s="26" t="s">
        <v>873</v>
      </c>
      <c r="AH156" s="26">
        <f t="shared" si="79"/>
        <v>123</v>
      </c>
      <c r="AK156" s="25" t="s">
        <v>491</v>
      </c>
      <c r="AL156" s="25">
        <v>107</v>
      </c>
      <c r="AM156" s="26" t="s">
        <v>957</v>
      </c>
      <c r="AN156" s="26">
        <f t="shared" si="80"/>
        <v>125</v>
      </c>
      <c r="AQ156" s="25" t="s">
        <v>491</v>
      </c>
      <c r="AR156" s="25">
        <v>107</v>
      </c>
      <c r="AS156" s="26" t="s">
        <v>984</v>
      </c>
      <c r="AT156" s="26">
        <f t="shared" si="81"/>
        <v>145</v>
      </c>
      <c r="AX156" s="15"/>
      <c r="AY156" s="35">
        <f t="shared" si="82"/>
        <v>153</v>
      </c>
      <c r="AZ156" s="35" t="str">
        <f t="shared" si="83"/>
        <v>648+580</v>
      </c>
      <c r="BA156" s="35">
        <f t="shared" si="84"/>
        <v>96</v>
      </c>
      <c r="BB156" s="38">
        <f>COUNTIF($BA$4:$BA156,$BA156)</f>
        <v>1</v>
      </c>
      <c r="BC156" s="36" t="str">
        <f t="shared" si="85"/>
        <v/>
      </c>
      <c r="BD156" s="36" t="str">
        <f t="shared" si="86"/>
        <v>村</v>
      </c>
      <c r="BE156" s="36" t="str">
        <f t="shared" si="87"/>
        <v>村</v>
      </c>
      <c r="BF156" s="36" t="str">
        <f t="shared" si="88"/>
        <v>村</v>
      </c>
      <c r="BG156" s="36" t="str">
        <f t="shared" si="89"/>
        <v/>
      </c>
      <c r="BH156" s="36" t="str">
        <f t="shared" si="90"/>
        <v/>
      </c>
      <c r="BI156" s="36" t="str">
        <f t="shared" si="91"/>
        <v/>
      </c>
      <c r="BJ156" s="29" t="str">
        <f t="shared" si="92"/>
        <v>村</v>
      </c>
      <c r="BL156" s="15">
        <v>153</v>
      </c>
      <c r="BM156" s="39" t="str">
        <f t="shared" si="101"/>
        <v>412+608</v>
      </c>
      <c r="BN156" s="39" t="str">
        <f t="shared" si="101"/>
        <v>429+596</v>
      </c>
      <c r="BO156" s="39" t="str">
        <f t="shared" si="101"/>
        <v/>
      </c>
      <c r="BP156" s="39" t="str">
        <f t="shared" si="101"/>
        <v/>
      </c>
      <c r="BQ156" s="39" t="str">
        <f t="shared" si="101"/>
        <v/>
      </c>
      <c r="BR156" s="39" t="str">
        <f t="shared" si="101"/>
        <v/>
      </c>
      <c r="BS156" s="39" t="str">
        <f t="shared" si="101"/>
        <v/>
      </c>
      <c r="BT156" s="39" t="str">
        <f t="shared" si="101"/>
        <v/>
      </c>
      <c r="BU156" s="39" t="str">
        <f t="shared" si="101"/>
        <v/>
      </c>
      <c r="BV156" s="39" t="str">
        <f t="shared" si="101"/>
        <v/>
      </c>
      <c r="BW156" s="39" t="str">
        <f t="shared" si="101"/>
        <v/>
      </c>
      <c r="BX156" s="39" t="str">
        <f t="shared" si="101"/>
        <v/>
      </c>
      <c r="BY156" s="39" t="str">
        <f t="shared" si="101"/>
        <v/>
      </c>
      <c r="BZ156" s="39" t="str">
        <f t="shared" si="101"/>
        <v/>
      </c>
      <c r="CA156" s="39" t="str">
        <f t="shared" si="101"/>
        <v/>
      </c>
      <c r="CB156" s="39" t="str">
        <f t="shared" si="102"/>
        <v/>
      </c>
      <c r="CC156" s="39" t="str">
        <f t="shared" si="102"/>
        <v/>
      </c>
      <c r="CD156" s="39" t="str">
        <f t="shared" si="102"/>
        <v/>
      </c>
      <c r="CE156" s="39" t="str">
        <f t="shared" si="102"/>
        <v/>
      </c>
      <c r="CF156" s="39" t="str">
        <f t="shared" si="102"/>
        <v/>
      </c>
      <c r="CG156" s="39" t="str">
        <f t="shared" si="102"/>
        <v/>
      </c>
      <c r="CH156" s="39" t="str">
        <f t="shared" si="102"/>
        <v/>
      </c>
      <c r="CI156" s="39" t="str">
        <f t="shared" si="102"/>
        <v/>
      </c>
      <c r="CJ156" s="39" t="str">
        <f t="shared" si="102"/>
        <v/>
      </c>
      <c r="CK156" s="39" t="str">
        <f t="shared" si="102"/>
        <v/>
      </c>
      <c r="CL156" s="39" t="str">
        <f t="shared" si="102"/>
        <v/>
      </c>
      <c r="CM156" s="39" t="str">
        <f t="shared" si="102"/>
        <v/>
      </c>
      <c r="CN156" s="39" t="str">
        <f t="shared" si="102"/>
        <v/>
      </c>
      <c r="CO156" s="39" t="str">
        <f t="shared" si="102"/>
        <v/>
      </c>
      <c r="CP156" s="39" t="str">
        <f t="shared" si="102"/>
        <v/>
      </c>
      <c r="CQ156" s="39" t="str">
        <f t="shared" si="103"/>
        <v/>
      </c>
      <c r="CR156" s="39" t="str">
        <f t="shared" si="103"/>
        <v/>
      </c>
      <c r="CS156" s="39" t="str">
        <f t="shared" si="103"/>
        <v>444+611</v>
      </c>
      <c r="CT156" s="39" t="str">
        <f t="shared" si="103"/>
        <v/>
      </c>
      <c r="CU156" s="39" t="str">
        <f t="shared" si="103"/>
        <v/>
      </c>
      <c r="CV156" s="39" t="str">
        <f t="shared" si="103"/>
        <v/>
      </c>
      <c r="CW156" s="39" t="str">
        <f t="shared" si="103"/>
        <v/>
      </c>
      <c r="CX156" s="39" t="str">
        <f t="shared" si="103"/>
        <v/>
      </c>
      <c r="CY156" s="39" t="str">
        <f t="shared" si="103"/>
        <v/>
      </c>
      <c r="CZ156" s="39" t="str">
        <f t="shared" si="103"/>
        <v/>
      </c>
      <c r="DA156" s="39" t="str">
        <f t="shared" si="103"/>
        <v/>
      </c>
      <c r="DB156" s="39" t="str">
        <f t="shared" si="103"/>
        <v/>
      </c>
      <c r="DC156" s="39" t="str">
        <f t="shared" si="103"/>
        <v/>
      </c>
      <c r="DD156" s="39" t="str">
        <f t="shared" si="103"/>
        <v/>
      </c>
      <c r="DE156" s="39" t="str">
        <f t="shared" si="103"/>
        <v/>
      </c>
      <c r="DF156" s="37" t="str">
        <f t="shared" si="93"/>
        <v>2+0+1</v>
      </c>
      <c r="DG156" s="37" t="str">
        <f t="shared" si="94"/>
        <v>412+608|429+596</v>
      </c>
      <c r="DH156" s="37" t="str">
        <f t="shared" si="95"/>
        <v>0+0</v>
      </c>
      <c r="DI156" s="37" t="str">
        <f t="shared" si="96"/>
        <v>444+611</v>
      </c>
      <c r="DJ156" s="37" t="str">
        <f t="shared" si="97"/>
        <v>2+0+1|412+608|429+596|0+0|444+611</v>
      </c>
    </row>
    <row r="157" spans="2:114" x14ac:dyDescent="0.15">
      <c r="B157" s="15">
        <v>154</v>
      </c>
      <c r="C157" s="15" t="s">
        <v>202</v>
      </c>
      <c r="D157" s="15">
        <v>96</v>
      </c>
      <c r="G157" s="25" t="s">
        <v>493</v>
      </c>
      <c r="H157" s="25">
        <v>108</v>
      </c>
      <c r="I157" s="26" t="s">
        <v>423</v>
      </c>
      <c r="J157" s="26">
        <f t="shared" si="75"/>
        <v>138</v>
      </c>
      <c r="M157" s="25" t="s">
        <v>493</v>
      </c>
      <c r="N157" s="25">
        <v>108</v>
      </c>
      <c r="O157" s="26" t="s">
        <v>641</v>
      </c>
      <c r="P157" s="26">
        <f t="shared" si="76"/>
        <v>104</v>
      </c>
      <c r="Q157" s="26"/>
      <c r="R157" s="26"/>
      <c r="S157" s="25" t="s">
        <v>493</v>
      </c>
      <c r="T157" s="25">
        <v>108</v>
      </c>
      <c r="U157" s="26" t="s">
        <v>843</v>
      </c>
      <c r="V157" s="26">
        <f t="shared" si="77"/>
        <v>73</v>
      </c>
      <c r="W157" s="26"/>
      <c r="Y157" s="25" t="s">
        <v>493</v>
      </c>
      <c r="Z157" s="25">
        <v>108</v>
      </c>
      <c r="AA157" s="26" t="s">
        <v>411</v>
      </c>
      <c r="AB157" s="26">
        <f t="shared" si="78"/>
        <v>19</v>
      </c>
      <c r="AE157" s="25" t="s">
        <v>493</v>
      </c>
      <c r="AF157" s="25">
        <v>108</v>
      </c>
      <c r="AG157" s="26" t="s">
        <v>879</v>
      </c>
      <c r="AH157" s="26">
        <f t="shared" si="79"/>
        <v>75</v>
      </c>
      <c r="AK157" s="25" t="s">
        <v>493</v>
      </c>
      <c r="AL157" s="25">
        <v>108</v>
      </c>
      <c r="AM157" s="26" t="s">
        <v>960</v>
      </c>
      <c r="AN157" s="26">
        <f t="shared" si="80"/>
        <v>80</v>
      </c>
      <c r="AQ157" s="25" t="s">
        <v>493</v>
      </c>
      <c r="AR157" s="25">
        <v>108</v>
      </c>
      <c r="AS157" s="26" t="s">
        <v>990</v>
      </c>
      <c r="AT157" s="26">
        <f t="shared" si="81"/>
        <v>147</v>
      </c>
      <c r="AX157" s="15"/>
      <c r="AY157" s="35">
        <f t="shared" si="82"/>
        <v>154</v>
      </c>
      <c r="AZ157" s="35" t="str">
        <f t="shared" si="83"/>
        <v>637+563</v>
      </c>
      <c r="BA157" s="35">
        <f t="shared" si="84"/>
        <v>96</v>
      </c>
      <c r="BB157" s="38">
        <f>COUNTIF($BA$4:$BA157,$BA157)</f>
        <v>2</v>
      </c>
      <c r="BC157" s="36" t="str">
        <f t="shared" si="85"/>
        <v/>
      </c>
      <c r="BD157" s="36" t="str">
        <f t="shared" si="86"/>
        <v/>
      </c>
      <c r="BE157" s="36" t="str">
        <f t="shared" si="87"/>
        <v>村</v>
      </c>
      <c r="BF157" s="36" t="str">
        <f t="shared" si="88"/>
        <v>村</v>
      </c>
      <c r="BG157" s="36" t="str">
        <f t="shared" si="89"/>
        <v/>
      </c>
      <c r="BH157" s="36" t="str">
        <f t="shared" si="90"/>
        <v/>
      </c>
      <c r="BI157" s="36" t="str">
        <f t="shared" si="91"/>
        <v/>
      </c>
      <c r="BJ157" s="29" t="str">
        <f t="shared" si="92"/>
        <v>村</v>
      </c>
      <c r="BL157" s="15">
        <v>154</v>
      </c>
      <c r="BM157" s="39" t="str">
        <f t="shared" si="101"/>
        <v>399+585</v>
      </c>
      <c r="BN157" s="39" t="str">
        <f t="shared" si="101"/>
        <v>383+590</v>
      </c>
      <c r="BO157" s="39" t="str">
        <f t="shared" si="101"/>
        <v/>
      </c>
      <c r="BP157" s="39" t="str">
        <f t="shared" si="101"/>
        <v/>
      </c>
      <c r="BQ157" s="39" t="str">
        <f t="shared" si="101"/>
        <v/>
      </c>
      <c r="BR157" s="39" t="str">
        <f t="shared" si="101"/>
        <v/>
      </c>
      <c r="BS157" s="39" t="str">
        <f t="shared" si="101"/>
        <v/>
      </c>
      <c r="BT157" s="39" t="str">
        <f t="shared" si="101"/>
        <v/>
      </c>
      <c r="BU157" s="39" t="str">
        <f t="shared" si="101"/>
        <v/>
      </c>
      <c r="BV157" s="39" t="str">
        <f t="shared" si="101"/>
        <v/>
      </c>
      <c r="BW157" s="39" t="str">
        <f t="shared" si="101"/>
        <v/>
      </c>
      <c r="BX157" s="39" t="str">
        <f t="shared" si="101"/>
        <v/>
      </c>
      <c r="BY157" s="39" t="str">
        <f t="shared" si="101"/>
        <v/>
      </c>
      <c r="BZ157" s="39" t="str">
        <f t="shared" si="101"/>
        <v/>
      </c>
      <c r="CA157" s="39" t="str">
        <f t="shared" si="101"/>
        <v/>
      </c>
      <c r="CB157" s="39" t="str">
        <f t="shared" si="102"/>
        <v/>
      </c>
      <c r="CC157" s="39" t="str">
        <f t="shared" si="102"/>
        <v/>
      </c>
      <c r="CD157" s="39" t="str">
        <f t="shared" si="102"/>
        <v>419+583</v>
      </c>
      <c r="CE157" s="39" t="str">
        <f t="shared" si="102"/>
        <v/>
      </c>
      <c r="CF157" s="39" t="str">
        <f t="shared" si="102"/>
        <v/>
      </c>
      <c r="CG157" s="39" t="str">
        <f t="shared" si="102"/>
        <v/>
      </c>
      <c r="CH157" s="39" t="str">
        <f t="shared" si="102"/>
        <v/>
      </c>
      <c r="CI157" s="39" t="str">
        <f t="shared" si="102"/>
        <v/>
      </c>
      <c r="CJ157" s="39" t="str">
        <f t="shared" si="102"/>
        <v/>
      </c>
      <c r="CK157" s="39" t="str">
        <f t="shared" si="102"/>
        <v/>
      </c>
      <c r="CL157" s="39" t="str">
        <f t="shared" si="102"/>
        <v/>
      </c>
      <c r="CM157" s="39" t="str">
        <f t="shared" si="102"/>
        <v/>
      </c>
      <c r="CN157" s="39" t="str">
        <f t="shared" si="102"/>
        <v/>
      </c>
      <c r="CO157" s="39" t="str">
        <f t="shared" si="102"/>
        <v/>
      </c>
      <c r="CP157" s="39" t="str">
        <f t="shared" si="102"/>
        <v/>
      </c>
      <c r="CQ157" s="39" t="str">
        <f t="shared" si="103"/>
        <v/>
      </c>
      <c r="CR157" s="39" t="str">
        <f t="shared" si="103"/>
        <v/>
      </c>
      <c r="CS157" s="39" t="str">
        <f t="shared" si="103"/>
        <v/>
      </c>
      <c r="CT157" s="39" t="str">
        <f t="shared" si="103"/>
        <v>424+583</v>
      </c>
      <c r="CU157" s="39" t="str">
        <f t="shared" si="103"/>
        <v/>
      </c>
      <c r="CV157" s="39" t="str">
        <f t="shared" si="103"/>
        <v/>
      </c>
      <c r="CW157" s="39" t="str">
        <f t="shared" si="103"/>
        <v/>
      </c>
      <c r="CX157" s="39" t="str">
        <f t="shared" si="103"/>
        <v/>
      </c>
      <c r="CY157" s="39" t="str">
        <f t="shared" si="103"/>
        <v/>
      </c>
      <c r="CZ157" s="39" t="str">
        <f t="shared" si="103"/>
        <v/>
      </c>
      <c r="DA157" s="39" t="str">
        <f t="shared" si="103"/>
        <v/>
      </c>
      <c r="DB157" s="39" t="str">
        <f t="shared" si="103"/>
        <v/>
      </c>
      <c r="DC157" s="39" t="str">
        <f t="shared" si="103"/>
        <v/>
      </c>
      <c r="DD157" s="39" t="str">
        <f t="shared" si="103"/>
        <v/>
      </c>
      <c r="DE157" s="39" t="str">
        <f t="shared" si="103"/>
        <v/>
      </c>
      <c r="DF157" s="37" t="str">
        <f t="shared" si="93"/>
        <v>2+1+1</v>
      </c>
      <c r="DG157" s="37" t="str">
        <f t="shared" si="94"/>
        <v>399+585|383+590</v>
      </c>
      <c r="DH157" s="37" t="str">
        <f t="shared" si="95"/>
        <v>419+583</v>
      </c>
      <c r="DI157" s="37" t="str">
        <f t="shared" si="96"/>
        <v>424+583</v>
      </c>
      <c r="DJ157" s="37" t="str">
        <f t="shared" si="97"/>
        <v>2+1+1|399+585|383+590|419+583|424+583</v>
      </c>
    </row>
    <row r="158" spans="2:114" x14ac:dyDescent="0.15">
      <c r="B158" s="15">
        <v>155</v>
      </c>
      <c r="C158" s="15" t="s">
        <v>634</v>
      </c>
      <c r="D158" s="15">
        <v>96</v>
      </c>
      <c r="G158" s="25" t="s">
        <v>495</v>
      </c>
      <c r="H158" s="25">
        <v>109</v>
      </c>
      <c r="I158" s="26" t="s">
        <v>334</v>
      </c>
      <c r="J158" s="26">
        <f t="shared" si="75"/>
        <v>160</v>
      </c>
      <c r="M158" s="25" t="s">
        <v>495</v>
      </c>
      <c r="N158" s="25">
        <v>109</v>
      </c>
      <c r="O158" s="26" t="s">
        <v>709</v>
      </c>
      <c r="P158" s="26">
        <f t="shared" si="76"/>
        <v>99</v>
      </c>
      <c r="Q158" s="26"/>
      <c r="R158" s="26"/>
      <c r="S158" s="25" t="s">
        <v>495</v>
      </c>
      <c r="T158" s="25">
        <v>109</v>
      </c>
      <c r="U158" s="26" t="s">
        <v>707</v>
      </c>
      <c r="V158" s="26">
        <f t="shared" si="77"/>
        <v>85</v>
      </c>
      <c r="W158" s="26"/>
      <c r="Y158" s="25" t="s">
        <v>495</v>
      </c>
      <c r="Z158" s="25">
        <v>109</v>
      </c>
      <c r="AA158" s="26" t="s">
        <v>398</v>
      </c>
      <c r="AB158" s="26">
        <f t="shared" si="78"/>
        <v>18</v>
      </c>
      <c r="AE158" s="25" t="s">
        <v>495</v>
      </c>
      <c r="AF158" s="25">
        <v>109</v>
      </c>
      <c r="AG158" s="26" t="s">
        <v>1014</v>
      </c>
      <c r="AH158" s="26">
        <f t="shared" si="79"/>
        <v>82</v>
      </c>
      <c r="AK158" s="25" t="s">
        <v>495</v>
      </c>
      <c r="AL158" s="25">
        <v>109</v>
      </c>
      <c r="AM158" s="26" t="s">
        <v>972</v>
      </c>
      <c r="AN158" s="26">
        <f t="shared" si="80"/>
        <v>76</v>
      </c>
      <c r="AQ158" s="25" t="s">
        <v>495</v>
      </c>
      <c r="AR158" s="25">
        <v>109</v>
      </c>
      <c r="AS158" s="26" t="s">
        <v>953</v>
      </c>
      <c r="AT158" s="26">
        <f t="shared" si="81"/>
        <v>93</v>
      </c>
      <c r="AX158" s="15"/>
      <c r="AY158" s="35">
        <f t="shared" si="82"/>
        <v>155</v>
      </c>
      <c r="AZ158" s="35" t="str">
        <f t="shared" si="83"/>
        <v>650+558</v>
      </c>
      <c r="BA158" s="35">
        <f t="shared" si="84"/>
        <v>96</v>
      </c>
      <c r="BB158" s="38">
        <f>COUNTIF($BA$4:$BA158,$BA158)</f>
        <v>3</v>
      </c>
      <c r="BC158" s="36" t="str">
        <f t="shared" si="85"/>
        <v/>
      </c>
      <c r="BD158" s="36" t="str">
        <f t="shared" si="86"/>
        <v>营</v>
      </c>
      <c r="BE158" s="36" t="str">
        <f t="shared" si="87"/>
        <v>营</v>
      </c>
      <c r="BF158" s="36" t="str">
        <f t="shared" si="88"/>
        <v>营</v>
      </c>
      <c r="BG158" s="36" t="str">
        <f t="shared" si="89"/>
        <v/>
      </c>
      <c r="BH158" s="36" t="str">
        <f t="shared" si="90"/>
        <v/>
      </c>
      <c r="BI158" s="36" t="str">
        <f t="shared" si="91"/>
        <v>营</v>
      </c>
      <c r="BJ158" s="29" t="str">
        <f t="shared" si="92"/>
        <v>营</v>
      </c>
      <c r="BL158" s="15">
        <v>155</v>
      </c>
      <c r="BM158" s="39" t="str">
        <f t="shared" si="101"/>
        <v>572+551</v>
      </c>
      <c r="BN158" s="39" t="str">
        <f t="shared" si="101"/>
        <v>549+574</v>
      </c>
      <c r="BO158" s="39" t="str">
        <f t="shared" si="101"/>
        <v/>
      </c>
      <c r="BP158" s="39" t="str">
        <f t="shared" si="101"/>
        <v/>
      </c>
      <c r="BQ158" s="39" t="str">
        <f t="shared" si="101"/>
        <v/>
      </c>
      <c r="BR158" s="39" t="str">
        <f t="shared" si="101"/>
        <v/>
      </c>
      <c r="BS158" s="39" t="str">
        <f t="shared" si="101"/>
        <v/>
      </c>
      <c r="BT158" s="39" t="str">
        <f t="shared" si="101"/>
        <v/>
      </c>
      <c r="BU158" s="39" t="str">
        <f t="shared" si="101"/>
        <v/>
      </c>
      <c r="BV158" s="39" t="str">
        <f t="shared" si="101"/>
        <v/>
      </c>
      <c r="BW158" s="39" t="str">
        <f t="shared" si="101"/>
        <v/>
      </c>
      <c r="BX158" s="39" t="str">
        <f t="shared" si="101"/>
        <v/>
      </c>
      <c r="BY158" s="39" t="str">
        <f t="shared" si="101"/>
        <v/>
      </c>
      <c r="BZ158" s="39" t="str">
        <f t="shared" si="101"/>
        <v/>
      </c>
      <c r="CA158" s="39" t="str">
        <f t="shared" si="101"/>
        <v/>
      </c>
      <c r="CB158" s="39" t="str">
        <f t="shared" si="102"/>
        <v/>
      </c>
      <c r="CC158" s="39" t="str">
        <f t="shared" si="102"/>
        <v/>
      </c>
      <c r="CD158" s="39" t="str">
        <f t="shared" si="102"/>
        <v/>
      </c>
      <c r="CE158" s="39" t="str">
        <f t="shared" si="102"/>
        <v/>
      </c>
      <c r="CF158" s="39" t="str">
        <f t="shared" si="102"/>
        <v/>
      </c>
      <c r="CG158" s="39" t="str">
        <f t="shared" si="102"/>
        <v/>
      </c>
      <c r="CH158" s="39" t="str">
        <f t="shared" si="102"/>
        <v/>
      </c>
      <c r="CI158" s="39" t="str">
        <f t="shared" si="102"/>
        <v/>
      </c>
      <c r="CJ158" s="39" t="str">
        <f t="shared" si="102"/>
        <v/>
      </c>
      <c r="CK158" s="39" t="str">
        <f t="shared" si="102"/>
        <v/>
      </c>
      <c r="CL158" s="39" t="str">
        <f t="shared" si="102"/>
        <v/>
      </c>
      <c r="CM158" s="39" t="str">
        <f t="shared" si="102"/>
        <v/>
      </c>
      <c r="CN158" s="39" t="str">
        <f t="shared" si="102"/>
        <v/>
      </c>
      <c r="CO158" s="39" t="str">
        <f t="shared" si="102"/>
        <v/>
      </c>
      <c r="CP158" s="39" t="str">
        <f t="shared" si="102"/>
        <v/>
      </c>
      <c r="CQ158" s="39" t="str">
        <f t="shared" si="103"/>
        <v/>
      </c>
      <c r="CR158" s="39" t="str">
        <f t="shared" si="103"/>
        <v/>
      </c>
      <c r="CS158" s="39" t="str">
        <f t="shared" si="103"/>
        <v>564+569</v>
      </c>
      <c r="CT158" s="39" t="str">
        <f t="shared" si="103"/>
        <v/>
      </c>
      <c r="CU158" s="39" t="str">
        <f t="shared" si="103"/>
        <v/>
      </c>
      <c r="CV158" s="39" t="str">
        <f t="shared" si="103"/>
        <v/>
      </c>
      <c r="CW158" s="39" t="str">
        <f t="shared" si="103"/>
        <v/>
      </c>
      <c r="CX158" s="39" t="str">
        <f t="shared" si="103"/>
        <v/>
      </c>
      <c r="CY158" s="39" t="str">
        <f t="shared" si="103"/>
        <v/>
      </c>
      <c r="CZ158" s="39" t="str">
        <f t="shared" si="103"/>
        <v/>
      </c>
      <c r="DA158" s="39" t="str">
        <f t="shared" si="103"/>
        <v/>
      </c>
      <c r="DB158" s="39" t="str">
        <f t="shared" si="103"/>
        <v/>
      </c>
      <c r="DC158" s="39" t="str">
        <f t="shared" si="103"/>
        <v/>
      </c>
      <c r="DD158" s="39" t="str">
        <f t="shared" si="103"/>
        <v/>
      </c>
      <c r="DE158" s="39" t="str">
        <f t="shared" si="103"/>
        <v/>
      </c>
      <c r="DF158" s="37" t="str">
        <f t="shared" si="93"/>
        <v>2+0+1</v>
      </c>
      <c r="DG158" s="37" t="str">
        <f t="shared" si="94"/>
        <v>572+551|549+574</v>
      </c>
      <c r="DH158" s="37" t="str">
        <f t="shared" si="95"/>
        <v>0+0</v>
      </c>
      <c r="DI158" s="37" t="str">
        <f t="shared" si="96"/>
        <v>564+569</v>
      </c>
      <c r="DJ158" s="37" t="str">
        <f t="shared" si="97"/>
        <v>2+0+1|572+551|549+574|0+0|564+569</v>
      </c>
    </row>
    <row r="159" spans="2:114" x14ac:dyDescent="0.15">
      <c r="B159" s="15">
        <v>156</v>
      </c>
      <c r="C159" s="15" t="s">
        <v>203</v>
      </c>
      <c r="D159" s="15">
        <v>97</v>
      </c>
      <c r="G159" s="25" t="s">
        <v>498</v>
      </c>
      <c r="H159" s="25">
        <v>110</v>
      </c>
      <c r="I159" s="26" t="s">
        <v>697</v>
      </c>
      <c r="J159" s="26">
        <f t="shared" si="75"/>
        <v>53</v>
      </c>
      <c r="M159" s="25" t="s">
        <v>498</v>
      </c>
      <c r="N159" s="25">
        <v>110</v>
      </c>
      <c r="O159" s="26" t="s">
        <v>713</v>
      </c>
      <c r="P159" s="26">
        <f t="shared" si="76"/>
        <v>113</v>
      </c>
      <c r="Q159" s="26"/>
      <c r="R159" s="26"/>
      <c r="S159" s="25" t="s">
        <v>498</v>
      </c>
      <c r="T159" s="25">
        <v>110</v>
      </c>
      <c r="U159" s="26" t="s">
        <v>846</v>
      </c>
      <c r="V159" s="26">
        <f t="shared" si="77"/>
        <v>108</v>
      </c>
      <c r="W159" s="26"/>
      <c r="Y159" s="25" t="s">
        <v>498</v>
      </c>
      <c r="Z159" s="25">
        <v>110</v>
      </c>
      <c r="AA159" s="26" t="s">
        <v>598</v>
      </c>
      <c r="AB159" s="26">
        <f t="shared" si="78"/>
        <v>42</v>
      </c>
      <c r="AE159" s="25" t="s">
        <v>498</v>
      </c>
      <c r="AF159" s="25">
        <v>110</v>
      </c>
      <c r="AG159" s="26" t="s">
        <v>933</v>
      </c>
      <c r="AH159" s="26">
        <f t="shared" si="79"/>
        <v>122</v>
      </c>
      <c r="AK159" s="25" t="s">
        <v>498</v>
      </c>
      <c r="AL159" s="25">
        <v>110</v>
      </c>
      <c r="AM159" s="26" t="s">
        <v>973</v>
      </c>
      <c r="AN159" s="26">
        <f t="shared" si="80"/>
        <v>67</v>
      </c>
      <c r="AQ159" s="25" t="s">
        <v>498</v>
      </c>
      <c r="AR159" s="25">
        <v>110</v>
      </c>
      <c r="AS159" s="26" t="s">
        <v>954</v>
      </c>
      <c r="AT159" s="26">
        <f t="shared" si="81"/>
        <v>102</v>
      </c>
      <c r="AX159" s="15"/>
      <c r="AY159" s="35">
        <f t="shared" si="82"/>
        <v>156</v>
      </c>
      <c r="AZ159" s="35" t="str">
        <f t="shared" si="83"/>
        <v>686+566</v>
      </c>
      <c r="BA159" s="35">
        <f t="shared" si="84"/>
        <v>97</v>
      </c>
      <c r="BB159" s="38">
        <f>COUNTIF($BA$4:$BA159,$BA159)</f>
        <v>1</v>
      </c>
      <c r="BC159" s="36" t="str">
        <f t="shared" si="85"/>
        <v/>
      </c>
      <c r="BD159" s="36" t="str">
        <f t="shared" si="86"/>
        <v>村</v>
      </c>
      <c r="BE159" s="36" t="str">
        <f t="shared" si="87"/>
        <v>村</v>
      </c>
      <c r="BF159" s="36" t="str">
        <f t="shared" si="88"/>
        <v/>
      </c>
      <c r="BG159" s="36" t="str">
        <f t="shared" si="89"/>
        <v/>
      </c>
      <c r="BH159" s="36" t="str">
        <f t="shared" si="90"/>
        <v/>
      </c>
      <c r="BI159" s="36" t="str">
        <f t="shared" si="91"/>
        <v/>
      </c>
      <c r="BJ159" s="29" t="str">
        <f t="shared" si="92"/>
        <v>村</v>
      </c>
      <c r="BL159" s="15">
        <v>156</v>
      </c>
      <c r="BM159" s="39" t="str">
        <f t="shared" si="101"/>
        <v>542+535</v>
      </c>
      <c r="BN159" s="39" t="str">
        <f t="shared" si="101"/>
        <v>558+518</v>
      </c>
      <c r="BO159" s="39" t="str">
        <f t="shared" si="101"/>
        <v/>
      </c>
      <c r="BP159" s="39" t="str">
        <f t="shared" si="101"/>
        <v/>
      </c>
      <c r="BQ159" s="39" t="str">
        <f t="shared" si="101"/>
        <v/>
      </c>
      <c r="BR159" s="39" t="str">
        <f t="shared" si="101"/>
        <v/>
      </c>
      <c r="BS159" s="39" t="str">
        <f t="shared" si="101"/>
        <v/>
      </c>
      <c r="BT159" s="39" t="str">
        <f t="shared" si="101"/>
        <v/>
      </c>
      <c r="BU159" s="39" t="str">
        <f t="shared" si="101"/>
        <v/>
      </c>
      <c r="BV159" s="39" t="str">
        <f t="shared" si="101"/>
        <v/>
      </c>
      <c r="BW159" s="39" t="str">
        <f t="shared" si="101"/>
        <v/>
      </c>
      <c r="BX159" s="39" t="str">
        <f t="shared" si="101"/>
        <v/>
      </c>
      <c r="BY159" s="39" t="str">
        <f t="shared" si="101"/>
        <v/>
      </c>
      <c r="BZ159" s="39" t="str">
        <f t="shared" si="101"/>
        <v/>
      </c>
      <c r="CA159" s="39" t="str">
        <f t="shared" si="101"/>
        <v/>
      </c>
      <c r="CB159" s="39" t="str">
        <f t="shared" si="102"/>
        <v/>
      </c>
      <c r="CC159" s="39" t="str">
        <f t="shared" si="102"/>
        <v/>
      </c>
      <c r="CD159" s="39" t="str">
        <f t="shared" si="102"/>
        <v/>
      </c>
      <c r="CE159" s="39" t="str">
        <f t="shared" si="102"/>
        <v/>
      </c>
      <c r="CF159" s="39" t="str">
        <f t="shared" si="102"/>
        <v/>
      </c>
      <c r="CG159" s="39" t="str">
        <f t="shared" si="102"/>
        <v/>
      </c>
      <c r="CH159" s="39" t="str">
        <f t="shared" si="102"/>
        <v/>
      </c>
      <c r="CI159" s="39" t="str">
        <f t="shared" si="102"/>
        <v/>
      </c>
      <c r="CJ159" s="39" t="str">
        <f t="shared" si="102"/>
        <v/>
      </c>
      <c r="CK159" s="39" t="str">
        <f t="shared" si="102"/>
        <v/>
      </c>
      <c r="CL159" s="39" t="str">
        <f t="shared" si="102"/>
        <v/>
      </c>
      <c r="CM159" s="39" t="str">
        <f t="shared" si="102"/>
        <v/>
      </c>
      <c r="CN159" s="39" t="str">
        <f t="shared" si="102"/>
        <v/>
      </c>
      <c r="CO159" s="39" t="str">
        <f t="shared" si="102"/>
        <v/>
      </c>
      <c r="CP159" s="39" t="str">
        <f t="shared" si="102"/>
        <v/>
      </c>
      <c r="CQ159" s="39" t="str">
        <f t="shared" si="103"/>
        <v/>
      </c>
      <c r="CR159" s="39" t="str">
        <f t="shared" si="103"/>
        <v/>
      </c>
      <c r="CS159" s="39" t="str">
        <f t="shared" si="103"/>
        <v>525+557</v>
      </c>
      <c r="CT159" s="39" t="str">
        <f t="shared" si="103"/>
        <v/>
      </c>
      <c r="CU159" s="39" t="str">
        <f t="shared" si="103"/>
        <v/>
      </c>
      <c r="CV159" s="39" t="str">
        <f t="shared" si="103"/>
        <v/>
      </c>
      <c r="CW159" s="39" t="str">
        <f t="shared" si="103"/>
        <v/>
      </c>
      <c r="CX159" s="39" t="str">
        <f t="shared" si="103"/>
        <v/>
      </c>
      <c r="CY159" s="39" t="str">
        <f t="shared" si="103"/>
        <v/>
      </c>
      <c r="CZ159" s="39" t="str">
        <f t="shared" si="103"/>
        <v/>
      </c>
      <c r="DA159" s="39" t="str">
        <f t="shared" si="103"/>
        <v/>
      </c>
      <c r="DB159" s="39" t="str">
        <f t="shared" si="103"/>
        <v/>
      </c>
      <c r="DC159" s="39" t="str">
        <f t="shared" si="103"/>
        <v/>
      </c>
      <c r="DD159" s="39" t="str">
        <f t="shared" si="103"/>
        <v/>
      </c>
      <c r="DE159" s="39" t="str">
        <f t="shared" si="103"/>
        <v/>
      </c>
      <c r="DF159" s="37" t="str">
        <f t="shared" si="93"/>
        <v>2+0+1</v>
      </c>
      <c r="DG159" s="37" t="str">
        <f t="shared" si="94"/>
        <v>542+535|558+518</v>
      </c>
      <c r="DH159" s="37" t="str">
        <f t="shared" si="95"/>
        <v>0+0</v>
      </c>
      <c r="DI159" s="37" t="str">
        <f t="shared" si="96"/>
        <v>525+557</v>
      </c>
      <c r="DJ159" s="37" t="str">
        <f t="shared" si="97"/>
        <v>2+0+1|542+535|558+518|0+0|525+557</v>
      </c>
    </row>
    <row r="160" spans="2:114" x14ac:dyDescent="0.15">
      <c r="B160" s="15">
        <v>157</v>
      </c>
      <c r="C160" s="15" t="s">
        <v>204</v>
      </c>
      <c r="D160" s="15">
        <v>97</v>
      </c>
      <c r="G160" s="25" t="s">
        <v>500</v>
      </c>
      <c r="H160" s="25">
        <v>111</v>
      </c>
      <c r="I160" s="26" t="s">
        <v>368</v>
      </c>
      <c r="J160" s="26">
        <f t="shared" si="75"/>
        <v>175</v>
      </c>
      <c r="M160" s="25" t="s">
        <v>500</v>
      </c>
      <c r="N160" s="25">
        <v>111</v>
      </c>
      <c r="O160" s="26" t="s">
        <v>707</v>
      </c>
      <c r="P160" s="26">
        <f t="shared" si="76"/>
        <v>85</v>
      </c>
      <c r="Q160" s="26"/>
      <c r="R160" s="26"/>
      <c r="S160" s="25" t="s">
        <v>500</v>
      </c>
      <c r="T160" s="25">
        <v>111</v>
      </c>
      <c r="U160" s="26" t="s">
        <v>709</v>
      </c>
      <c r="V160" s="26">
        <f t="shared" si="77"/>
        <v>99</v>
      </c>
      <c r="W160" s="26"/>
      <c r="Y160" s="25" t="s">
        <v>500</v>
      </c>
      <c r="Z160" s="25">
        <v>111</v>
      </c>
      <c r="AA160" s="26" t="s">
        <v>597</v>
      </c>
      <c r="AB160" s="26">
        <f t="shared" si="78"/>
        <v>40</v>
      </c>
      <c r="AE160" s="25" t="s">
        <v>500</v>
      </c>
      <c r="AF160" s="25">
        <v>111</v>
      </c>
      <c r="AG160" s="26" t="s">
        <v>718</v>
      </c>
      <c r="AH160" s="26">
        <f t="shared" si="79"/>
        <v>133</v>
      </c>
      <c r="AK160" s="25" t="s">
        <v>500</v>
      </c>
      <c r="AL160" s="25">
        <v>111</v>
      </c>
      <c r="AM160" s="26" t="s">
        <v>833</v>
      </c>
      <c r="AN160" s="26">
        <f t="shared" si="80"/>
        <v>109</v>
      </c>
      <c r="AQ160" s="25" t="s">
        <v>500</v>
      </c>
      <c r="AR160" s="25">
        <v>111</v>
      </c>
      <c r="AS160" s="26" t="s">
        <v>431</v>
      </c>
      <c r="AT160" s="26">
        <f t="shared" si="81"/>
        <v>134</v>
      </c>
      <c r="AX160" s="15"/>
      <c r="AY160" s="35">
        <f t="shared" si="82"/>
        <v>157</v>
      </c>
      <c r="AZ160" s="35" t="str">
        <f t="shared" si="83"/>
        <v>700+571</v>
      </c>
      <c r="BA160" s="35">
        <f t="shared" si="84"/>
        <v>97</v>
      </c>
      <c r="BB160" s="38">
        <f>COUNTIF($BA$4:$BA160,$BA160)</f>
        <v>2</v>
      </c>
      <c r="BC160" s="36" t="str">
        <f t="shared" si="85"/>
        <v/>
      </c>
      <c r="BD160" s="36" t="str">
        <f t="shared" si="86"/>
        <v>村</v>
      </c>
      <c r="BE160" s="36" t="str">
        <f t="shared" si="87"/>
        <v>村</v>
      </c>
      <c r="BF160" s="36" t="str">
        <f t="shared" si="88"/>
        <v/>
      </c>
      <c r="BG160" s="36" t="str">
        <f t="shared" si="89"/>
        <v/>
      </c>
      <c r="BH160" s="36" t="str">
        <f t="shared" si="90"/>
        <v/>
      </c>
      <c r="BI160" s="36" t="str">
        <f t="shared" si="91"/>
        <v/>
      </c>
      <c r="BJ160" s="29" t="str">
        <f t="shared" si="92"/>
        <v>村</v>
      </c>
      <c r="BL160" s="15">
        <v>157</v>
      </c>
      <c r="BM160" s="39" t="str">
        <f t="shared" si="101"/>
        <v>495+551</v>
      </c>
      <c r="BN160" s="39" t="str">
        <f t="shared" si="101"/>
        <v>510+516</v>
      </c>
      <c r="BO160" s="39" t="str">
        <f t="shared" si="101"/>
        <v/>
      </c>
      <c r="BP160" s="39" t="str">
        <f t="shared" si="101"/>
        <v/>
      </c>
      <c r="BQ160" s="39" t="str">
        <f t="shared" si="101"/>
        <v/>
      </c>
      <c r="BR160" s="39" t="str">
        <f t="shared" si="101"/>
        <v/>
      </c>
      <c r="BS160" s="39" t="str">
        <f t="shared" si="101"/>
        <v/>
      </c>
      <c r="BT160" s="39" t="str">
        <f t="shared" si="101"/>
        <v/>
      </c>
      <c r="BU160" s="39" t="str">
        <f t="shared" si="101"/>
        <v/>
      </c>
      <c r="BV160" s="39" t="str">
        <f t="shared" si="101"/>
        <v/>
      </c>
      <c r="BW160" s="39" t="str">
        <f t="shared" si="101"/>
        <v/>
      </c>
      <c r="BX160" s="39" t="str">
        <f t="shared" si="101"/>
        <v/>
      </c>
      <c r="BY160" s="39" t="str">
        <f t="shared" si="101"/>
        <v/>
      </c>
      <c r="BZ160" s="39" t="str">
        <f t="shared" si="101"/>
        <v/>
      </c>
      <c r="CA160" s="39" t="str">
        <f t="shared" si="101"/>
        <v/>
      </c>
      <c r="CB160" s="39" t="str">
        <f t="shared" si="102"/>
        <v/>
      </c>
      <c r="CC160" s="39" t="str">
        <f t="shared" si="102"/>
        <v/>
      </c>
      <c r="CD160" s="39" t="str">
        <f t="shared" si="102"/>
        <v/>
      </c>
      <c r="CE160" s="39" t="str">
        <f t="shared" si="102"/>
        <v/>
      </c>
      <c r="CF160" s="39" t="str">
        <f t="shared" si="102"/>
        <v/>
      </c>
      <c r="CG160" s="39" t="str">
        <f t="shared" si="102"/>
        <v/>
      </c>
      <c r="CH160" s="39" t="str">
        <f t="shared" si="102"/>
        <v/>
      </c>
      <c r="CI160" s="39" t="str">
        <f t="shared" si="102"/>
        <v/>
      </c>
      <c r="CJ160" s="39" t="str">
        <f t="shared" si="102"/>
        <v/>
      </c>
      <c r="CK160" s="39" t="str">
        <f t="shared" si="102"/>
        <v/>
      </c>
      <c r="CL160" s="39" t="str">
        <f t="shared" si="102"/>
        <v/>
      </c>
      <c r="CM160" s="39" t="str">
        <f t="shared" si="102"/>
        <v/>
      </c>
      <c r="CN160" s="39" t="str">
        <f t="shared" si="102"/>
        <v/>
      </c>
      <c r="CO160" s="39" t="str">
        <f t="shared" si="102"/>
        <v/>
      </c>
      <c r="CP160" s="39" t="str">
        <f t="shared" si="102"/>
        <v/>
      </c>
      <c r="CQ160" s="39" t="str">
        <f t="shared" si="103"/>
        <v/>
      </c>
      <c r="CR160" s="39" t="str">
        <f t="shared" si="103"/>
        <v/>
      </c>
      <c r="CS160" s="39" t="str">
        <f t="shared" si="103"/>
        <v>515+546</v>
      </c>
      <c r="CT160" s="39" t="str">
        <f t="shared" si="103"/>
        <v/>
      </c>
      <c r="CU160" s="39" t="str">
        <f t="shared" si="103"/>
        <v/>
      </c>
      <c r="CV160" s="39" t="str">
        <f t="shared" si="103"/>
        <v/>
      </c>
      <c r="CW160" s="39" t="str">
        <f t="shared" si="103"/>
        <v/>
      </c>
      <c r="CX160" s="39" t="str">
        <f t="shared" si="103"/>
        <v/>
      </c>
      <c r="CY160" s="39" t="str">
        <f t="shared" si="103"/>
        <v/>
      </c>
      <c r="CZ160" s="39" t="str">
        <f t="shared" si="103"/>
        <v/>
      </c>
      <c r="DA160" s="39" t="str">
        <f t="shared" si="103"/>
        <v/>
      </c>
      <c r="DB160" s="39" t="str">
        <f t="shared" si="103"/>
        <v/>
      </c>
      <c r="DC160" s="39" t="str">
        <f t="shared" si="103"/>
        <v/>
      </c>
      <c r="DD160" s="39" t="str">
        <f t="shared" si="103"/>
        <v/>
      </c>
      <c r="DE160" s="39" t="str">
        <f t="shared" si="103"/>
        <v/>
      </c>
      <c r="DF160" s="37" t="str">
        <f t="shared" si="93"/>
        <v>2+0+1</v>
      </c>
      <c r="DG160" s="37" t="str">
        <f t="shared" si="94"/>
        <v>495+551|510+516</v>
      </c>
      <c r="DH160" s="37" t="str">
        <f t="shared" si="95"/>
        <v>0+0</v>
      </c>
      <c r="DI160" s="37" t="str">
        <f t="shared" si="96"/>
        <v>515+546</v>
      </c>
      <c r="DJ160" s="37" t="str">
        <f t="shared" si="97"/>
        <v>2+0+1|495+551|510+516|0+0|515+546</v>
      </c>
    </row>
    <row r="161" spans="2:114" x14ac:dyDescent="0.15">
      <c r="B161" s="15">
        <v>158</v>
      </c>
      <c r="C161" s="15" t="s">
        <v>205</v>
      </c>
      <c r="D161" s="15">
        <v>98</v>
      </c>
      <c r="G161" s="25" t="s">
        <v>503</v>
      </c>
      <c r="H161" s="25">
        <v>112</v>
      </c>
      <c r="I161" s="26" t="s">
        <v>699</v>
      </c>
      <c r="J161" s="26">
        <f t="shared" si="75"/>
        <v>57</v>
      </c>
      <c r="M161" s="25" t="s">
        <v>503</v>
      </c>
      <c r="N161" s="25">
        <v>112</v>
      </c>
      <c r="O161" s="26" t="s">
        <v>431</v>
      </c>
      <c r="P161" s="26">
        <f t="shared" si="76"/>
        <v>134</v>
      </c>
      <c r="Q161" s="26"/>
      <c r="R161" s="26"/>
      <c r="S161" s="25" t="s">
        <v>503</v>
      </c>
      <c r="T161" s="25">
        <v>112</v>
      </c>
      <c r="U161" s="26" t="s">
        <v>641</v>
      </c>
      <c r="V161" s="26">
        <f t="shared" si="77"/>
        <v>104</v>
      </c>
      <c r="W161" s="26"/>
      <c r="Y161" s="25" t="s">
        <v>503</v>
      </c>
      <c r="Z161" s="25">
        <v>112</v>
      </c>
      <c r="AA161" s="26" t="s">
        <v>678</v>
      </c>
      <c r="AB161" s="26">
        <f t="shared" si="78"/>
        <v>166</v>
      </c>
      <c r="AE161" s="25" t="s">
        <v>503</v>
      </c>
      <c r="AF161" s="25">
        <v>112</v>
      </c>
      <c r="AG161" s="26" t="s">
        <v>905</v>
      </c>
      <c r="AH161" s="26">
        <f t="shared" si="79"/>
        <v>83</v>
      </c>
      <c r="AK161" s="25" t="s">
        <v>503</v>
      </c>
      <c r="AL161" s="25">
        <v>112</v>
      </c>
      <c r="AM161" s="26" t="s">
        <v>905</v>
      </c>
      <c r="AN161" s="26">
        <f t="shared" si="80"/>
        <v>83</v>
      </c>
      <c r="AQ161" s="25" t="s">
        <v>503</v>
      </c>
      <c r="AR161" s="25">
        <v>112</v>
      </c>
      <c r="AS161" s="26" t="s">
        <v>718</v>
      </c>
      <c r="AT161" s="26">
        <f t="shared" si="81"/>
        <v>133</v>
      </c>
      <c r="AX161" s="15"/>
      <c r="AY161" s="35">
        <f t="shared" si="82"/>
        <v>158</v>
      </c>
      <c r="AZ161" s="35" t="str">
        <f t="shared" si="83"/>
        <v>718+580</v>
      </c>
      <c r="BA161" s="35">
        <f t="shared" si="84"/>
        <v>98</v>
      </c>
      <c r="BB161" s="38">
        <f>COUNTIF($BA$4:$BA161,$BA161)</f>
        <v>1</v>
      </c>
      <c r="BC161" s="36" t="str">
        <f t="shared" si="85"/>
        <v/>
      </c>
      <c r="BD161" s="36" t="str">
        <f t="shared" si="86"/>
        <v>村</v>
      </c>
      <c r="BE161" s="36" t="str">
        <f t="shared" si="87"/>
        <v>村</v>
      </c>
      <c r="BF161" s="36" t="str">
        <f t="shared" si="88"/>
        <v/>
      </c>
      <c r="BG161" s="36" t="str">
        <f t="shared" si="89"/>
        <v/>
      </c>
      <c r="BH161" s="36" t="str">
        <f t="shared" si="90"/>
        <v/>
      </c>
      <c r="BI161" s="36" t="str">
        <f t="shared" si="91"/>
        <v/>
      </c>
      <c r="BJ161" s="29" t="str">
        <f t="shared" si="92"/>
        <v>村</v>
      </c>
      <c r="BL161" s="15">
        <v>158</v>
      </c>
      <c r="BM161" s="39" t="str">
        <f t="shared" si="101"/>
        <v>444+551</v>
      </c>
      <c r="BN161" s="39" t="str">
        <f t="shared" si="101"/>
        <v>468+532</v>
      </c>
      <c r="BO161" s="39" t="str">
        <f t="shared" si="101"/>
        <v/>
      </c>
      <c r="BP161" s="39" t="str">
        <f t="shared" si="101"/>
        <v/>
      </c>
      <c r="BQ161" s="39" t="str">
        <f t="shared" si="101"/>
        <v/>
      </c>
      <c r="BR161" s="39" t="str">
        <f t="shared" si="101"/>
        <v/>
      </c>
      <c r="BS161" s="39" t="str">
        <f t="shared" si="101"/>
        <v/>
      </c>
      <c r="BT161" s="39" t="str">
        <f t="shared" si="101"/>
        <v/>
      </c>
      <c r="BU161" s="39" t="str">
        <f t="shared" si="101"/>
        <v/>
      </c>
      <c r="BV161" s="39" t="str">
        <f t="shared" si="101"/>
        <v/>
      </c>
      <c r="BW161" s="39" t="str">
        <f t="shared" si="101"/>
        <v/>
      </c>
      <c r="BX161" s="39" t="str">
        <f t="shared" si="101"/>
        <v/>
      </c>
      <c r="BY161" s="39" t="str">
        <f t="shared" si="101"/>
        <v/>
      </c>
      <c r="BZ161" s="39" t="str">
        <f t="shared" si="101"/>
        <v/>
      </c>
      <c r="CA161" s="39" t="str">
        <f t="shared" si="101"/>
        <v/>
      </c>
      <c r="CB161" s="39" t="str">
        <f t="shared" si="102"/>
        <v/>
      </c>
      <c r="CC161" s="39" t="str">
        <f t="shared" si="102"/>
        <v/>
      </c>
      <c r="CD161" s="39" t="str">
        <f t="shared" si="102"/>
        <v/>
      </c>
      <c r="CE161" s="39" t="str">
        <f t="shared" si="102"/>
        <v/>
      </c>
      <c r="CF161" s="39" t="str">
        <f t="shared" si="102"/>
        <v/>
      </c>
      <c r="CG161" s="39" t="str">
        <f t="shared" si="102"/>
        <v/>
      </c>
      <c r="CH161" s="39" t="str">
        <f t="shared" si="102"/>
        <v/>
      </c>
      <c r="CI161" s="39" t="str">
        <f t="shared" si="102"/>
        <v/>
      </c>
      <c r="CJ161" s="39" t="str">
        <f t="shared" si="102"/>
        <v/>
      </c>
      <c r="CK161" s="39" t="str">
        <f t="shared" si="102"/>
        <v/>
      </c>
      <c r="CL161" s="39" t="str">
        <f t="shared" si="102"/>
        <v/>
      </c>
      <c r="CM161" s="39" t="str">
        <f t="shared" si="102"/>
        <v/>
      </c>
      <c r="CN161" s="39" t="str">
        <f t="shared" si="102"/>
        <v/>
      </c>
      <c r="CO161" s="39" t="str">
        <f t="shared" si="102"/>
        <v/>
      </c>
      <c r="CP161" s="39" t="str">
        <f t="shared" si="102"/>
        <v/>
      </c>
      <c r="CQ161" s="39" t="str">
        <f t="shared" si="103"/>
        <v/>
      </c>
      <c r="CR161" s="39" t="str">
        <f t="shared" si="103"/>
        <v/>
      </c>
      <c r="CS161" s="39" t="str">
        <f t="shared" si="103"/>
        <v>455+538</v>
      </c>
      <c r="CT161" s="39" t="str">
        <f t="shared" si="103"/>
        <v/>
      </c>
      <c r="CU161" s="39" t="str">
        <f t="shared" si="103"/>
        <v/>
      </c>
      <c r="CV161" s="39" t="str">
        <f t="shared" si="103"/>
        <v/>
      </c>
      <c r="CW161" s="39" t="str">
        <f t="shared" si="103"/>
        <v/>
      </c>
      <c r="CX161" s="39" t="str">
        <f t="shared" si="103"/>
        <v/>
      </c>
      <c r="CY161" s="39" t="str">
        <f t="shared" si="103"/>
        <v/>
      </c>
      <c r="CZ161" s="39" t="str">
        <f t="shared" si="103"/>
        <v/>
      </c>
      <c r="DA161" s="39" t="str">
        <f t="shared" si="103"/>
        <v/>
      </c>
      <c r="DB161" s="39" t="str">
        <f t="shared" si="103"/>
        <v/>
      </c>
      <c r="DC161" s="39" t="str">
        <f t="shared" si="103"/>
        <v/>
      </c>
      <c r="DD161" s="39" t="str">
        <f t="shared" si="103"/>
        <v/>
      </c>
      <c r="DE161" s="39" t="str">
        <f t="shared" si="103"/>
        <v/>
      </c>
      <c r="DF161" s="37" t="str">
        <f t="shared" si="93"/>
        <v>2+0+1</v>
      </c>
      <c r="DG161" s="37" t="str">
        <f t="shared" si="94"/>
        <v>444+551|468+532</v>
      </c>
      <c r="DH161" s="37" t="str">
        <f t="shared" si="95"/>
        <v>0+0</v>
      </c>
      <c r="DI161" s="37" t="str">
        <f t="shared" si="96"/>
        <v>455+538</v>
      </c>
      <c r="DJ161" s="37" t="str">
        <f t="shared" si="97"/>
        <v>2+0+1|444+551|468+532|0+0|455+538</v>
      </c>
    </row>
    <row r="162" spans="2:114" x14ac:dyDescent="0.15">
      <c r="B162" s="15">
        <v>159</v>
      </c>
      <c r="C162" s="15" t="s">
        <v>206</v>
      </c>
      <c r="D162" s="15">
        <v>98</v>
      </c>
      <c r="G162" s="25" t="s">
        <v>505</v>
      </c>
      <c r="H162" s="25">
        <v>113</v>
      </c>
      <c r="I162" s="26" t="s">
        <v>411</v>
      </c>
      <c r="J162" s="26">
        <f t="shared" si="75"/>
        <v>19</v>
      </c>
      <c r="M162" s="25" t="s">
        <v>505</v>
      </c>
      <c r="N162" s="25">
        <v>113</v>
      </c>
      <c r="O162" s="26" t="s">
        <v>418</v>
      </c>
      <c r="P162" s="26">
        <f t="shared" si="76"/>
        <v>125</v>
      </c>
      <c r="Q162" s="26"/>
      <c r="R162" s="26"/>
      <c r="S162" s="25" t="s">
        <v>505</v>
      </c>
      <c r="T162" s="25">
        <v>113</v>
      </c>
      <c r="U162" s="26" t="s">
        <v>598</v>
      </c>
      <c r="V162" s="26">
        <f t="shared" si="77"/>
        <v>42</v>
      </c>
      <c r="W162" s="26"/>
      <c r="Y162" s="25" t="s">
        <v>505</v>
      </c>
      <c r="Z162" s="25">
        <v>113</v>
      </c>
      <c r="AA162" s="26" t="s">
        <v>669</v>
      </c>
      <c r="AB162" s="26">
        <f t="shared" si="78"/>
        <v>154</v>
      </c>
      <c r="AE162" s="25" t="s">
        <v>505</v>
      </c>
      <c r="AF162" s="25">
        <v>113</v>
      </c>
      <c r="AG162" s="26" t="s">
        <v>953</v>
      </c>
      <c r="AH162" s="26">
        <f t="shared" si="79"/>
        <v>93</v>
      </c>
      <c r="AK162" s="25" t="s">
        <v>505</v>
      </c>
      <c r="AL162" s="25">
        <v>113</v>
      </c>
      <c r="AM162" s="26" t="s">
        <v>723</v>
      </c>
      <c r="AN162" s="26">
        <f t="shared" si="80"/>
        <v>150</v>
      </c>
      <c r="AQ162" s="25" t="s">
        <v>505</v>
      </c>
      <c r="AR162" s="25">
        <v>113</v>
      </c>
      <c r="AS162" s="26" t="s">
        <v>707</v>
      </c>
      <c r="AT162" s="26">
        <f t="shared" si="81"/>
        <v>85</v>
      </c>
      <c r="AX162" s="15"/>
      <c r="AY162" s="35">
        <f t="shared" si="82"/>
        <v>159</v>
      </c>
      <c r="AZ162" s="35" t="str">
        <f t="shared" si="83"/>
        <v>741+599</v>
      </c>
      <c r="BA162" s="35">
        <f t="shared" si="84"/>
        <v>98</v>
      </c>
      <c r="BB162" s="38">
        <f>COUNTIF($BA$4:$BA162,$BA162)</f>
        <v>2</v>
      </c>
      <c r="BC162" s="36" t="str">
        <f t="shared" si="85"/>
        <v/>
      </c>
      <c r="BD162" s="36" t="str">
        <f t="shared" si="86"/>
        <v>村</v>
      </c>
      <c r="BE162" s="36" t="str">
        <f t="shared" si="87"/>
        <v>村</v>
      </c>
      <c r="BF162" s="36" t="str">
        <f t="shared" si="88"/>
        <v/>
      </c>
      <c r="BG162" s="36" t="str">
        <f t="shared" si="89"/>
        <v/>
      </c>
      <c r="BH162" s="36" t="str">
        <f t="shared" si="90"/>
        <v/>
      </c>
      <c r="BI162" s="36" t="str">
        <f t="shared" si="91"/>
        <v/>
      </c>
      <c r="BJ162" s="29" t="str">
        <f t="shared" si="92"/>
        <v>村</v>
      </c>
      <c r="BL162" s="15">
        <v>159</v>
      </c>
      <c r="BM162" s="39" t="str">
        <f t="shared" si="101"/>
        <v>434+523</v>
      </c>
      <c r="BN162" s="39" t="str">
        <f t="shared" si="101"/>
        <v>418+554</v>
      </c>
      <c r="BO162" s="39" t="str">
        <f t="shared" si="101"/>
        <v/>
      </c>
      <c r="BP162" s="39" t="str">
        <f t="shared" si="101"/>
        <v/>
      </c>
      <c r="BQ162" s="39" t="str">
        <f t="shared" si="101"/>
        <v/>
      </c>
      <c r="BR162" s="39" t="str">
        <f t="shared" si="101"/>
        <v/>
      </c>
      <c r="BS162" s="39" t="str">
        <f t="shared" si="101"/>
        <v/>
      </c>
      <c r="BT162" s="39" t="str">
        <f t="shared" si="101"/>
        <v/>
      </c>
      <c r="BU162" s="39" t="str">
        <f t="shared" si="101"/>
        <v/>
      </c>
      <c r="BV162" s="39" t="str">
        <f t="shared" si="101"/>
        <v/>
      </c>
      <c r="BW162" s="39" t="str">
        <f t="shared" si="101"/>
        <v/>
      </c>
      <c r="BX162" s="39" t="str">
        <f t="shared" si="101"/>
        <v/>
      </c>
      <c r="BY162" s="39" t="str">
        <f t="shared" si="101"/>
        <v/>
      </c>
      <c r="BZ162" s="39" t="str">
        <f t="shared" si="101"/>
        <v/>
      </c>
      <c r="CA162" s="39" t="str">
        <f t="shared" si="101"/>
        <v/>
      </c>
      <c r="CB162" s="39" t="str">
        <f t="shared" si="102"/>
        <v/>
      </c>
      <c r="CC162" s="39" t="str">
        <f t="shared" si="102"/>
        <v/>
      </c>
      <c r="CD162" s="39" t="str">
        <f t="shared" si="102"/>
        <v/>
      </c>
      <c r="CE162" s="39" t="str">
        <f t="shared" si="102"/>
        <v/>
      </c>
      <c r="CF162" s="39" t="str">
        <f t="shared" si="102"/>
        <v/>
      </c>
      <c r="CG162" s="39" t="str">
        <f t="shared" si="102"/>
        <v/>
      </c>
      <c r="CH162" s="39" t="str">
        <f t="shared" si="102"/>
        <v/>
      </c>
      <c r="CI162" s="39" t="str">
        <f t="shared" si="102"/>
        <v/>
      </c>
      <c r="CJ162" s="39" t="str">
        <f t="shared" si="102"/>
        <v/>
      </c>
      <c r="CK162" s="39" t="str">
        <f t="shared" si="102"/>
        <v/>
      </c>
      <c r="CL162" s="39" t="str">
        <f t="shared" si="102"/>
        <v/>
      </c>
      <c r="CM162" s="39" t="str">
        <f t="shared" si="102"/>
        <v/>
      </c>
      <c r="CN162" s="39" t="str">
        <f t="shared" si="102"/>
        <v/>
      </c>
      <c r="CO162" s="39" t="str">
        <f t="shared" si="102"/>
        <v/>
      </c>
      <c r="CP162" s="39" t="str">
        <f t="shared" si="102"/>
        <v/>
      </c>
      <c r="CQ162" s="39" t="str">
        <f t="shared" si="103"/>
        <v/>
      </c>
      <c r="CR162" s="39" t="str">
        <f t="shared" si="103"/>
        <v/>
      </c>
      <c r="CS162" s="39" t="str">
        <f t="shared" si="103"/>
        <v>423+520</v>
      </c>
      <c r="CT162" s="39" t="str">
        <f t="shared" si="103"/>
        <v/>
      </c>
      <c r="CU162" s="39" t="str">
        <f t="shared" si="103"/>
        <v/>
      </c>
      <c r="CV162" s="39" t="str">
        <f t="shared" si="103"/>
        <v/>
      </c>
      <c r="CW162" s="39" t="str">
        <f t="shared" si="103"/>
        <v/>
      </c>
      <c r="CX162" s="39" t="str">
        <f t="shared" si="103"/>
        <v/>
      </c>
      <c r="CY162" s="39" t="str">
        <f t="shared" si="103"/>
        <v/>
      </c>
      <c r="CZ162" s="39" t="str">
        <f t="shared" si="103"/>
        <v/>
      </c>
      <c r="DA162" s="39" t="str">
        <f t="shared" si="103"/>
        <v/>
      </c>
      <c r="DB162" s="39" t="str">
        <f t="shared" si="103"/>
        <v/>
      </c>
      <c r="DC162" s="39" t="str">
        <f t="shared" si="103"/>
        <v/>
      </c>
      <c r="DD162" s="39" t="str">
        <f t="shared" si="103"/>
        <v/>
      </c>
      <c r="DE162" s="39" t="str">
        <f t="shared" si="103"/>
        <v/>
      </c>
      <c r="DF162" s="37" t="str">
        <f t="shared" si="93"/>
        <v>2+0+1</v>
      </c>
      <c r="DG162" s="37" t="str">
        <f t="shared" si="94"/>
        <v>434+523|418+554</v>
      </c>
      <c r="DH162" s="37" t="str">
        <f t="shared" si="95"/>
        <v>0+0</v>
      </c>
      <c r="DI162" s="37" t="str">
        <f t="shared" si="96"/>
        <v>423+520</v>
      </c>
      <c r="DJ162" s="37" t="str">
        <f t="shared" si="97"/>
        <v>2+0+1|434+523|418+554|0+0|423+520</v>
      </c>
    </row>
    <row r="163" spans="2:114" x14ac:dyDescent="0.15">
      <c r="B163" s="15">
        <v>160</v>
      </c>
      <c r="C163" s="15" t="s">
        <v>709</v>
      </c>
      <c r="D163" s="15">
        <v>99</v>
      </c>
      <c r="G163" s="25" t="s">
        <v>506</v>
      </c>
      <c r="H163" s="25">
        <v>114</v>
      </c>
      <c r="I163" s="26" t="s">
        <v>598</v>
      </c>
      <c r="J163" s="26">
        <f t="shared" si="75"/>
        <v>42</v>
      </c>
      <c r="M163" s="25" t="s">
        <v>506</v>
      </c>
      <c r="N163" s="25">
        <v>114</v>
      </c>
      <c r="O163" s="26" t="s">
        <v>718</v>
      </c>
      <c r="P163" s="26">
        <f t="shared" si="76"/>
        <v>133</v>
      </c>
      <c r="Q163" s="26"/>
      <c r="R163" s="26"/>
      <c r="S163" s="25" t="s">
        <v>506</v>
      </c>
      <c r="T163" s="25">
        <v>114</v>
      </c>
      <c r="U163" s="26" t="s">
        <v>699</v>
      </c>
      <c r="V163" s="26">
        <f t="shared" si="77"/>
        <v>57</v>
      </c>
      <c r="W163" s="26"/>
      <c r="Y163" s="25" t="s">
        <v>506</v>
      </c>
      <c r="Z163" s="25">
        <v>114</v>
      </c>
      <c r="AA163" s="26" t="s">
        <v>723</v>
      </c>
      <c r="AB163" s="26">
        <f t="shared" si="78"/>
        <v>150</v>
      </c>
      <c r="AE163" s="25" t="s">
        <v>506</v>
      </c>
      <c r="AF163" s="25">
        <v>114</v>
      </c>
      <c r="AG163" s="26" t="s">
        <v>954</v>
      </c>
      <c r="AH163" s="26">
        <f t="shared" si="79"/>
        <v>102</v>
      </c>
      <c r="AK163" s="25" t="s">
        <v>506</v>
      </c>
      <c r="AL163" s="25">
        <v>114</v>
      </c>
      <c r="AM163" s="26" t="s">
        <v>984</v>
      </c>
      <c r="AN163" s="26">
        <f t="shared" si="80"/>
        <v>145</v>
      </c>
      <c r="AQ163" s="25" t="s">
        <v>506</v>
      </c>
      <c r="AR163" s="25">
        <v>114</v>
      </c>
      <c r="AS163" s="26" t="s">
        <v>846</v>
      </c>
      <c r="AT163" s="26">
        <f t="shared" si="81"/>
        <v>108</v>
      </c>
      <c r="AX163" s="15"/>
      <c r="AY163" s="35">
        <f t="shared" si="82"/>
        <v>160</v>
      </c>
      <c r="AZ163" s="35" t="str">
        <f t="shared" si="83"/>
        <v>732+562</v>
      </c>
      <c r="BA163" s="35">
        <f t="shared" si="84"/>
        <v>99</v>
      </c>
      <c r="BB163" s="38">
        <f>COUNTIF($BA$4:$BA163,$BA163)</f>
        <v>1</v>
      </c>
      <c r="BC163" s="36" t="str">
        <f t="shared" si="85"/>
        <v/>
      </c>
      <c r="BD163" s="36" t="str">
        <f t="shared" si="86"/>
        <v>县</v>
      </c>
      <c r="BE163" s="36" t="str">
        <f t="shared" si="87"/>
        <v>县</v>
      </c>
      <c r="BF163" s="36" t="str">
        <f t="shared" si="88"/>
        <v>县</v>
      </c>
      <c r="BG163" s="36" t="str">
        <f t="shared" si="89"/>
        <v/>
      </c>
      <c r="BH163" s="36" t="str">
        <f t="shared" si="90"/>
        <v/>
      </c>
      <c r="BI163" s="36" t="str">
        <f t="shared" si="91"/>
        <v/>
      </c>
      <c r="BJ163" s="29" t="str">
        <f t="shared" si="92"/>
        <v>县</v>
      </c>
      <c r="BL163" s="15">
        <v>160</v>
      </c>
      <c r="BM163" s="39" t="str">
        <f t="shared" si="101"/>
        <v>370+552</v>
      </c>
      <c r="BN163" s="39" t="str">
        <f t="shared" si="101"/>
        <v/>
      </c>
      <c r="BO163" s="39" t="str">
        <f t="shared" si="101"/>
        <v/>
      </c>
      <c r="BP163" s="39" t="str">
        <f t="shared" si="101"/>
        <v/>
      </c>
      <c r="BQ163" s="39" t="str">
        <f t="shared" si="101"/>
        <v/>
      </c>
      <c r="BR163" s="39" t="str">
        <f t="shared" si="101"/>
        <v/>
      </c>
      <c r="BS163" s="39" t="str">
        <f t="shared" si="101"/>
        <v/>
      </c>
      <c r="BT163" s="39" t="str">
        <f t="shared" si="101"/>
        <v/>
      </c>
      <c r="BU163" s="39" t="str">
        <f t="shared" si="101"/>
        <v/>
      </c>
      <c r="BV163" s="39" t="str">
        <f t="shared" si="101"/>
        <v/>
      </c>
      <c r="BW163" s="39" t="str">
        <f t="shared" si="101"/>
        <v/>
      </c>
      <c r="BX163" s="39" t="str">
        <f t="shared" si="101"/>
        <v/>
      </c>
      <c r="BY163" s="39" t="str">
        <f t="shared" si="101"/>
        <v/>
      </c>
      <c r="BZ163" s="39" t="str">
        <f t="shared" si="101"/>
        <v/>
      </c>
      <c r="CA163" s="39" t="str">
        <f t="shared" si="101"/>
        <v/>
      </c>
      <c r="CB163" s="39" t="str">
        <f t="shared" si="102"/>
        <v/>
      </c>
      <c r="CC163" s="39" t="str">
        <f t="shared" si="102"/>
        <v>394+537</v>
      </c>
      <c r="CD163" s="39" t="str">
        <f t="shared" si="102"/>
        <v/>
      </c>
      <c r="CE163" s="39" t="str">
        <f t="shared" si="102"/>
        <v/>
      </c>
      <c r="CF163" s="39" t="str">
        <f t="shared" si="102"/>
        <v/>
      </c>
      <c r="CG163" s="39" t="str">
        <f t="shared" si="102"/>
        <v/>
      </c>
      <c r="CH163" s="39" t="str">
        <f t="shared" si="102"/>
        <v/>
      </c>
      <c r="CI163" s="39" t="str">
        <f t="shared" si="102"/>
        <v/>
      </c>
      <c r="CJ163" s="39" t="str">
        <f t="shared" si="102"/>
        <v/>
      </c>
      <c r="CK163" s="39" t="str">
        <f t="shared" si="102"/>
        <v/>
      </c>
      <c r="CL163" s="39" t="str">
        <f t="shared" si="102"/>
        <v/>
      </c>
      <c r="CM163" s="39" t="str">
        <f t="shared" si="102"/>
        <v/>
      </c>
      <c r="CN163" s="39" t="str">
        <f t="shared" si="102"/>
        <v/>
      </c>
      <c r="CO163" s="39" t="str">
        <f t="shared" si="102"/>
        <v/>
      </c>
      <c r="CP163" s="39" t="str">
        <f t="shared" si="102"/>
        <v/>
      </c>
      <c r="CQ163" s="39" t="str">
        <f t="shared" si="103"/>
        <v/>
      </c>
      <c r="CR163" s="39" t="str">
        <f t="shared" si="103"/>
        <v/>
      </c>
      <c r="CS163" s="39" t="str">
        <f t="shared" si="103"/>
        <v>386+557</v>
      </c>
      <c r="CT163" s="39" t="str">
        <f t="shared" si="103"/>
        <v/>
      </c>
      <c r="CU163" s="39" t="str">
        <f t="shared" si="103"/>
        <v/>
      </c>
      <c r="CV163" s="39" t="str">
        <f t="shared" si="103"/>
        <v/>
      </c>
      <c r="CW163" s="39" t="str">
        <f t="shared" si="103"/>
        <v/>
      </c>
      <c r="CX163" s="39" t="str">
        <f t="shared" si="103"/>
        <v/>
      </c>
      <c r="CY163" s="39" t="str">
        <f t="shared" si="103"/>
        <v/>
      </c>
      <c r="CZ163" s="39" t="str">
        <f t="shared" si="103"/>
        <v/>
      </c>
      <c r="DA163" s="39" t="str">
        <f t="shared" si="103"/>
        <v/>
      </c>
      <c r="DB163" s="39" t="str">
        <f t="shared" si="103"/>
        <v/>
      </c>
      <c r="DC163" s="39" t="str">
        <f t="shared" si="103"/>
        <v/>
      </c>
      <c r="DD163" s="39" t="str">
        <f t="shared" si="103"/>
        <v/>
      </c>
      <c r="DE163" s="39" t="str">
        <f t="shared" si="103"/>
        <v/>
      </c>
      <c r="DF163" s="37" t="str">
        <f t="shared" si="93"/>
        <v>1+1+1</v>
      </c>
      <c r="DG163" s="37" t="str">
        <f t="shared" si="94"/>
        <v>370+552</v>
      </c>
      <c r="DH163" s="37" t="str">
        <f t="shared" si="95"/>
        <v>394+537</v>
      </c>
      <c r="DI163" s="37" t="str">
        <f t="shared" si="96"/>
        <v>386+557</v>
      </c>
      <c r="DJ163" s="37" t="str">
        <f t="shared" si="97"/>
        <v>1+1+1|370+552|394+537|386+557</v>
      </c>
    </row>
    <row r="164" spans="2:114" x14ac:dyDescent="0.15">
      <c r="B164" s="15">
        <v>161</v>
      </c>
      <c r="C164" s="15" t="s">
        <v>209</v>
      </c>
      <c r="D164" s="15">
        <v>100</v>
      </c>
      <c r="G164" s="25" t="s">
        <v>509</v>
      </c>
      <c r="H164" s="25">
        <v>115</v>
      </c>
      <c r="I164" s="26" t="s">
        <v>199</v>
      </c>
      <c r="J164" s="26">
        <f t="shared" si="75"/>
        <v>95</v>
      </c>
      <c r="M164" s="25" t="s">
        <v>509</v>
      </c>
      <c r="N164" s="25">
        <v>115</v>
      </c>
      <c r="O164" s="26" t="s">
        <v>686</v>
      </c>
      <c r="P164" s="26">
        <f t="shared" si="76"/>
        <v>56</v>
      </c>
      <c r="Q164" s="26"/>
      <c r="R164" s="26"/>
      <c r="S164" s="25" t="s">
        <v>509</v>
      </c>
      <c r="T164" s="25">
        <v>115</v>
      </c>
      <c r="U164" s="26" t="s">
        <v>669</v>
      </c>
      <c r="V164" s="26">
        <f t="shared" si="77"/>
        <v>154</v>
      </c>
      <c r="W164" s="26"/>
      <c r="Y164" s="25" t="s">
        <v>509</v>
      </c>
      <c r="Z164" s="25">
        <v>115</v>
      </c>
      <c r="AA164" s="26" t="s">
        <v>709</v>
      </c>
      <c r="AB164" s="26">
        <f t="shared" si="78"/>
        <v>99</v>
      </c>
      <c r="AE164" s="25" t="s">
        <v>509</v>
      </c>
      <c r="AF164" s="25">
        <v>115</v>
      </c>
      <c r="AG164" s="26" t="s">
        <v>707</v>
      </c>
      <c r="AH164" s="26">
        <f t="shared" si="79"/>
        <v>85</v>
      </c>
      <c r="AK164" s="25" t="s">
        <v>509</v>
      </c>
      <c r="AL164" s="25">
        <v>115</v>
      </c>
      <c r="AM164" s="26" t="s">
        <v>979</v>
      </c>
      <c r="AN164" s="26">
        <f t="shared" si="80"/>
        <v>119</v>
      </c>
      <c r="AQ164" s="25" t="s">
        <v>509</v>
      </c>
      <c r="AR164" s="25">
        <v>115</v>
      </c>
      <c r="AS164" s="26" t="s">
        <v>678</v>
      </c>
      <c r="AT164" s="26">
        <f t="shared" si="81"/>
        <v>166</v>
      </c>
      <c r="AX164" s="15"/>
      <c r="AY164" s="35">
        <f t="shared" si="82"/>
        <v>161</v>
      </c>
      <c r="AZ164" s="35" t="str">
        <f t="shared" si="83"/>
        <v>780+615</v>
      </c>
      <c r="BA164" s="35">
        <f t="shared" si="84"/>
        <v>100</v>
      </c>
      <c r="BB164" s="38">
        <f>COUNTIF($BA$4:$BA164,$BA164)</f>
        <v>1</v>
      </c>
      <c r="BC164" s="36" t="str">
        <f t="shared" si="85"/>
        <v/>
      </c>
      <c r="BD164" s="36" t="str">
        <f t="shared" si="86"/>
        <v>村</v>
      </c>
      <c r="BE164" s="36" t="str">
        <f t="shared" si="87"/>
        <v>村</v>
      </c>
      <c r="BF164" s="36" t="str">
        <f t="shared" si="88"/>
        <v/>
      </c>
      <c r="BG164" s="36" t="str">
        <f t="shared" si="89"/>
        <v/>
      </c>
      <c r="BH164" s="36" t="str">
        <f t="shared" si="90"/>
        <v/>
      </c>
      <c r="BI164" s="36" t="str">
        <f t="shared" si="91"/>
        <v/>
      </c>
      <c r="BJ164" s="29" t="str">
        <f t="shared" si="92"/>
        <v>村</v>
      </c>
      <c r="BL164" s="15">
        <v>161</v>
      </c>
      <c r="BM164" s="39" t="str">
        <f t="shared" si="101"/>
        <v>356+546</v>
      </c>
      <c r="BN164" s="39" t="str">
        <f t="shared" si="101"/>
        <v>334+566</v>
      </c>
      <c r="BO164" s="39" t="str">
        <f t="shared" si="101"/>
        <v/>
      </c>
      <c r="BP164" s="39" t="str">
        <f t="shared" si="101"/>
        <v/>
      </c>
      <c r="BQ164" s="39" t="str">
        <f t="shared" si="101"/>
        <v/>
      </c>
      <c r="BR164" s="39" t="str">
        <f t="shared" si="101"/>
        <v/>
      </c>
      <c r="BS164" s="39" t="str">
        <f t="shared" si="101"/>
        <v/>
      </c>
      <c r="BT164" s="39" t="str">
        <f t="shared" si="101"/>
        <v/>
      </c>
      <c r="BU164" s="39" t="str">
        <f t="shared" si="101"/>
        <v/>
      </c>
      <c r="BV164" s="39" t="str">
        <f t="shared" si="101"/>
        <v/>
      </c>
      <c r="BW164" s="39" t="str">
        <f t="shared" si="101"/>
        <v/>
      </c>
      <c r="BX164" s="39" t="str">
        <f t="shared" si="101"/>
        <v/>
      </c>
      <c r="BY164" s="39" t="str">
        <f t="shared" si="101"/>
        <v/>
      </c>
      <c r="BZ164" s="39" t="str">
        <f t="shared" si="101"/>
        <v/>
      </c>
      <c r="CA164" s="39" t="str">
        <f t="shared" si="101"/>
        <v/>
      </c>
      <c r="CB164" s="39" t="str">
        <f t="shared" si="102"/>
        <v/>
      </c>
      <c r="CC164" s="39" t="str">
        <f t="shared" si="102"/>
        <v/>
      </c>
      <c r="CD164" s="39" t="str">
        <f t="shared" si="102"/>
        <v/>
      </c>
      <c r="CE164" s="39" t="str">
        <f t="shared" si="102"/>
        <v/>
      </c>
      <c r="CF164" s="39" t="str">
        <f t="shared" si="102"/>
        <v/>
      </c>
      <c r="CG164" s="39" t="str">
        <f t="shared" si="102"/>
        <v/>
      </c>
      <c r="CH164" s="39" t="str">
        <f t="shared" si="102"/>
        <v/>
      </c>
      <c r="CI164" s="39" t="str">
        <f t="shared" si="102"/>
        <v/>
      </c>
      <c r="CJ164" s="39" t="str">
        <f t="shared" si="102"/>
        <v/>
      </c>
      <c r="CK164" s="39" t="str">
        <f t="shared" si="102"/>
        <v/>
      </c>
      <c r="CL164" s="39" t="str">
        <f t="shared" si="102"/>
        <v/>
      </c>
      <c r="CM164" s="39" t="str">
        <f t="shared" si="102"/>
        <v/>
      </c>
      <c r="CN164" s="39" t="str">
        <f t="shared" si="102"/>
        <v/>
      </c>
      <c r="CO164" s="39" t="str">
        <f t="shared" si="102"/>
        <v/>
      </c>
      <c r="CP164" s="39" t="str">
        <f t="shared" si="102"/>
        <v/>
      </c>
      <c r="CQ164" s="39" t="str">
        <f t="shared" si="103"/>
        <v/>
      </c>
      <c r="CR164" s="39" t="str">
        <f t="shared" si="103"/>
        <v/>
      </c>
      <c r="CS164" s="39" t="str">
        <f t="shared" si="103"/>
        <v>381+530</v>
      </c>
      <c r="CT164" s="39" t="str">
        <f t="shared" si="103"/>
        <v/>
      </c>
      <c r="CU164" s="39" t="str">
        <f t="shared" si="103"/>
        <v/>
      </c>
      <c r="CV164" s="39" t="str">
        <f t="shared" si="103"/>
        <v/>
      </c>
      <c r="CW164" s="39" t="str">
        <f t="shared" si="103"/>
        <v/>
      </c>
      <c r="CX164" s="39" t="str">
        <f t="shared" si="103"/>
        <v/>
      </c>
      <c r="CY164" s="39" t="str">
        <f t="shared" si="103"/>
        <v/>
      </c>
      <c r="CZ164" s="39" t="str">
        <f t="shared" si="103"/>
        <v/>
      </c>
      <c r="DA164" s="39" t="str">
        <f t="shared" si="103"/>
        <v/>
      </c>
      <c r="DB164" s="39" t="str">
        <f t="shared" si="103"/>
        <v/>
      </c>
      <c r="DC164" s="39" t="str">
        <f t="shared" si="103"/>
        <v/>
      </c>
      <c r="DD164" s="39" t="str">
        <f t="shared" si="103"/>
        <v/>
      </c>
      <c r="DE164" s="39" t="str">
        <f t="shared" si="103"/>
        <v/>
      </c>
      <c r="DF164" s="37" t="str">
        <f t="shared" si="93"/>
        <v>2+0+1</v>
      </c>
      <c r="DG164" s="37" t="str">
        <f t="shared" si="94"/>
        <v>356+546|334+566</v>
      </c>
      <c r="DH164" s="37" t="str">
        <f t="shared" si="95"/>
        <v>0+0</v>
      </c>
      <c r="DI164" s="37" t="str">
        <f t="shared" si="96"/>
        <v>381+530</v>
      </c>
      <c r="DJ164" s="37" t="str">
        <f t="shared" si="97"/>
        <v>2+0+1|356+546|334+566|0+0|381+530</v>
      </c>
    </row>
    <row r="165" spans="2:114" x14ac:dyDescent="0.15">
      <c r="B165" s="15">
        <v>162</v>
      </c>
      <c r="C165" s="15" t="s">
        <v>210</v>
      </c>
      <c r="D165" s="15">
        <v>100</v>
      </c>
      <c r="G165" s="25" t="s">
        <v>538</v>
      </c>
      <c r="H165" s="25">
        <v>162</v>
      </c>
      <c r="I165" s="26" t="s">
        <v>340</v>
      </c>
      <c r="J165" s="26">
        <f t="shared" si="75"/>
        <v>163</v>
      </c>
      <c r="M165" s="25" t="s">
        <v>538</v>
      </c>
      <c r="N165" s="25">
        <v>162</v>
      </c>
      <c r="O165" s="26" t="s">
        <v>667</v>
      </c>
      <c r="P165" s="26">
        <f t="shared" si="76"/>
        <v>150</v>
      </c>
      <c r="Q165" s="26"/>
      <c r="R165" s="26"/>
      <c r="S165" s="25" t="s">
        <v>538</v>
      </c>
      <c r="T165" s="25">
        <v>162</v>
      </c>
      <c r="U165" s="26" t="s">
        <v>831</v>
      </c>
      <c r="V165" s="26">
        <f t="shared" si="77"/>
        <v>107</v>
      </c>
      <c r="W165" s="26"/>
      <c r="Y165" s="25" t="s">
        <v>538</v>
      </c>
      <c r="Z165" s="25">
        <v>162</v>
      </c>
      <c r="AA165" s="26" t="s">
        <v>426</v>
      </c>
      <c r="AB165" s="26">
        <f t="shared" si="78"/>
        <v>51</v>
      </c>
      <c r="AE165" s="25" t="s">
        <v>538</v>
      </c>
      <c r="AF165" s="25">
        <v>162</v>
      </c>
      <c r="AG165" s="26" t="s">
        <v>868</v>
      </c>
      <c r="AH165" s="26">
        <f t="shared" si="79"/>
        <v>73</v>
      </c>
      <c r="AK165" s="25" t="s">
        <v>538</v>
      </c>
      <c r="AL165" s="25">
        <v>162</v>
      </c>
      <c r="AM165" s="26" t="s">
        <v>956</v>
      </c>
      <c r="AN165" s="26">
        <f t="shared" si="80"/>
        <v>124</v>
      </c>
      <c r="AQ165" s="25" t="s">
        <v>538</v>
      </c>
      <c r="AR165" s="25">
        <v>162</v>
      </c>
      <c r="AS165" s="26" t="s">
        <v>308</v>
      </c>
      <c r="AT165" s="26">
        <f t="shared" si="81"/>
        <v>147</v>
      </c>
      <c r="AX165" s="15"/>
      <c r="AY165" s="35">
        <f t="shared" si="82"/>
        <v>162</v>
      </c>
      <c r="AZ165" s="35" t="str">
        <f t="shared" si="83"/>
        <v>808+625</v>
      </c>
      <c r="BA165" s="35">
        <f t="shared" si="84"/>
        <v>100</v>
      </c>
      <c r="BB165" s="38">
        <f>COUNTIF($BA$4:$BA165,$BA165)</f>
        <v>2</v>
      </c>
      <c r="BC165" s="36" t="str">
        <f t="shared" si="85"/>
        <v/>
      </c>
      <c r="BD165" s="36" t="str">
        <f t="shared" si="86"/>
        <v>村</v>
      </c>
      <c r="BE165" s="36" t="str">
        <f t="shared" si="87"/>
        <v>村</v>
      </c>
      <c r="BF165" s="36" t="str">
        <f t="shared" si="88"/>
        <v/>
      </c>
      <c r="BG165" s="36" t="str">
        <f t="shared" si="89"/>
        <v/>
      </c>
      <c r="BH165" s="36" t="str">
        <f t="shared" si="90"/>
        <v/>
      </c>
      <c r="BI165" s="36" t="str">
        <f t="shared" si="91"/>
        <v/>
      </c>
      <c r="BJ165" s="29" t="str">
        <f t="shared" si="92"/>
        <v>村</v>
      </c>
      <c r="BL165" s="15">
        <v>162</v>
      </c>
      <c r="BM165" s="39" t="str">
        <f t="shared" si="101"/>
        <v/>
      </c>
      <c r="BN165" s="39" t="str">
        <f t="shared" si="101"/>
        <v/>
      </c>
      <c r="BO165" s="39" t="str">
        <f t="shared" si="101"/>
        <v/>
      </c>
      <c r="BP165" s="39" t="str">
        <f t="shared" si="101"/>
        <v/>
      </c>
      <c r="BQ165" s="39" t="str">
        <f t="shared" si="101"/>
        <v/>
      </c>
      <c r="BR165" s="39" t="str">
        <f t="shared" si="101"/>
        <v/>
      </c>
      <c r="BS165" s="39" t="str">
        <f t="shared" si="101"/>
        <v/>
      </c>
      <c r="BT165" s="39" t="str">
        <f t="shared" si="101"/>
        <v/>
      </c>
      <c r="BU165" s="39" t="str">
        <f t="shared" si="101"/>
        <v/>
      </c>
      <c r="BV165" s="39" t="str">
        <f t="shared" si="101"/>
        <v/>
      </c>
      <c r="BW165" s="39" t="str">
        <f t="shared" si="101"/>
        <v/>
      </c>
      <c r="BX165" s="39" t="str">
        <f t="shared" si="101"/>
        <v/>
      </c>
      <c r="BY165" s="39" t="str">
        <f t="shared" si="101"/>
        <v/>
      </c>
      <c r="BZ165" s="39" t="str">
        <f t="shared" si="101"/>
        <v/>
      </c>
      <c r="CA165" s="39" t="str">
        <f t="shared" si="101"/>
        <v/>
      </c>
      <c r="CB165" s="39" t="str">
        <f t="shared" si="102"/>
        <v/>
      </c>
      <c r="CC165" s="39" t="str">
        <f t="shared" si="102"/>
        <v/>
      </c>
      <c r="CD165" s="39" t="str">
        <f t="shared" si="102"/>
        <v/>
      </c>
      <c r="CE165" s="39" t="str">
        <f t="shared" si="102"/>
        <v/>
      </c>
      <c r="CF165" s="39" t="str">
        <f t="shared" si="102"/>
        <v/>
      </c>
      <c r="CG165" s="39" t="str">
        <f t="shared" si="102"/>
        <v/>
      </c>
      <c r="CH165" s="39" t="str">
        <f t="shared" si="102"/>
        <v/>
      </c>
      <c r="CI165" s="39" t="str">
        <f t="shared" si="102"/>
        <v/>
      </c>
      <c r="CJ165" s="39" t="str">
        <f t="shared" si="102"/>
        <v/>
      </c>
      <c r="CK165" s="39" t="str">
        <f t="shared" si="102"/>
        <v/>
      </c>
      <c r="CL165" s="39" t="str">
        <f t="shared" si="102"/>
        <v/>
      </c>
      <c r="CM165" s="39" t="str">
        <f t="shared" si="102"/>
        <v/>
      </c>
      <c r="CN165" s="39" t="str">
        <f t="shared" si="102"/>
        <v/>
      </c>
      <c r="CO165" s="39" t="str">
        <f t="shared" si="102"/>
        <v/>
      </c>
      <c r="CP165" s="39" t="str">
        <f t="shared" si="102"/>
        <v/>
      </c>
      <c r="CQ165" s="39" t="str">
        <f t="shared" si="103"/>
        <v>367+496</v>
      </c>
      <c r="CR165" s="39" t="str">
        <f t="shared" si="103"/>
        <v/>
      </c>
      <c r="CS165" s="39" t="str">
        <f t="shared" si="103"/>
        <v/>
      </c>
      <c r="CT165" s="39" t="str">
        <f t="shared" si="103"/>
        <v/>
      </c>
      <c r="CU165" s="39" t="str">
        <f t="shared" si="103"/>
        <v/>
      </c>
      <c r="CV165" s="39" t="str">
        <f t="shared" si="103"/>
        <v/>
      </c>
      <c r="CW165" s="39" t="str">
        <f t="shared" si="103"/>
        <v/>
      </c>
      <c r="CX165" s="39" t="str">
        <f t="shared" si="103"/>
        <v/>
      </c>
      <c r="CY165" s="39" t="str">
        <f t="shared" si="103"/>
        <v/>
      </c>
      <c r="CZ165" s="39" t="str">
        <f t="shared" si="103"/>
        <v/>
      </c>
      <c r="DA165" s="39" t="str">
        <f t="shared" si="103"/>
        <v/>
      </c>
      <c r="DB165" s="39" t="str">
        <f t="shared" si="103"/>
        <v/>
      </c>
      <c r="DC165" s="39" t="str">
        <f t="shared" si="103"/>
        <v/>
      </c>
      <c r="DD165" s="39" t="str">
        <f t="shared" si="103"/>
        <v/>
      </c>
      <c r="DE165" s="39" t="str">
        <f t="shared" si="103"/>
        <v/>
      </c>
      <c r="DF165" s="37" t="str">
        <f t="shared" si="93"/>
        <v>0+0+1</v>
      </c>
      <c r="DG165" s="37" t="str">
        <f t="shared" si="94"/>
        <v>0+0</v>
      </c>
      <c r="DH165" s="37" t="str">
        <f t="shared" si="95"/>
        <v>0+0</v>
      </c>
      <c r="DI165" s="37" t="str">
        <f t="shared" si="96"/>
        <v>367+496</v>
      </c>
      <c r="DJ165" s="37" t="str">
        <f t="shared" si="97"/>
        <v>0+0+1|0+0|0+0|367+496</v>
      </c>
    </row>
    <row r="166" spans="2:114" x14ac:dyDescent="0.15">
      <c r="B166" s="15">
        <v>163</v>
      </c>
      <c r="C166" s="15" t="s">
        <v>636</v>
      </c>
      <c r="D166" s="15">
        <v>100</v>
      </c>
      <c r="G166" s="25" t="s">
        <v>539</v>
      </c>
      <c r="H166" s="25">
        <v>163</v>
      </c>
      <c r="I166" s="26" t="s">
        <v>292</v>
      </c>
      <c r="J166" s="26">
        <f t="shared" si="75"/>
        <v>140</v>
      </c>
      <c r="M166" s="25" t="s">
        <v>539</v>
      </c>
      <c r="N166" s="25">
        <v>163</v>
      </c>
      <c r="O166" s="26" t="s">
        <v>639</v>
      </c>
      <c r="P166" s="26">
        <f t="shared" si="76"/>
        <v>103</v>
      </c>
      <c r="Q166" s="26"/>
      <c r="R166" s="26"/>
      <c r="S166" s="25" t="s">
        <v>539</v>
      </c>
      <c r="T166" s="25">
        <v>163</v>
      </c>
      <c r="U166" s="26" t="s">
        <v>838</v>
      </c>
      <c r="V166" s="26">
        <f t="shared" si="77"/>
        <v>71</v>
      </c>
      <c r="W166" s="26"/>
      <c r="Y166" s="25" t="s">
        <v>539</v>
      </c>
      <c r="Z166" s="25">
        <v>163</v>
      </c>
      <c r="AA166" s="26" t="s">
        <v>606</v>
      </c>
      <c r="AB166" s="26">
        <f t="shared" si="78"/>
        <v>58</v>
      </c>
      <c r="AE166" s="25" t="s">
        <v>539</v>
      </c>
      <c r="AF166" s="25">
        <v>163</v>
      </c>
      <c r="AG166" s="26" t="s">
        <v>926</v>
      </c>
      <c r="AH166" s="26">
        <f t="shared" si="79"/>
        <v>82</v>
      </c>
      <c r="AK166" s="25" t="s">
        <v>539</v>
      </c>
      <c r="AL166" s="25">
        <v>163</v>
      </c>
      <c r="AM166" s="26" t="s">
        <v>959</v>
      </c>
      <c r="AN166" s="26">
        <f t="shared" si="80"/>
        <v>82</v>
      </c>
      <c r="AQ166" s="25" t="s">
        <v>539</v>
      </c>
      <c r="AR166" s="25">
        <v>163</v>
      </c>
      <c r="AS166" s="26" t="s">
        <v>664</v>
      </c>
      <c r="AT166" s="26">
        <f t="shared" si="81"/>
        <v>145</v>
      </c>
      <c r="AX166" s="15"/>
      <c r="AY166" s="35">
        <f t="shared" si="82"/>
        <v>163</v>
      </c>
      <c r="AZ166" s="35" t="str">
        <f t="shared" si="83"/>
        <v>793+604</v>
      </c>
      <c r="BA166" s="35">
        <f t="shared" si="84"/>
        <v>100</v>
      </c>
      <c r="BB166" s="38">
        <f>COUNTIF($BA$4:$BA166,$BA166)</f>
        <v>3</v>
      </c>
      <c r="BC166" s="36" t="str">
        <f t="shared" si="85"/>
        <v/>
      </c>
      <c r="BD166" s="36" t="str">
        <f t="shared" si="86"/>
        <v>营</v>
      </c>
      <c r="BE166" s="36" t="str">
        <f t="shared" si="87"/>
        <v>营</v>
      </c>
      <c r="BF166" s="36" t="str">
        <f t="shared" si="88"/>
        <v/>
      </c>
      <c r="BG166" s="36" t="str">
        <f t="shared" si="89"/>
        <v/>
      </c>
      <c r="BH166" s="36" t="str">
        <f t="shared" si="90"/>
        <v/>
      </c>
      <c r="BI166" s="36" t="str">
        <f t="shared" si="91"/>
        <v/>
      </c>
      <c r="BJ166" s="29" t="str">
        <f t="shared" si="92"/>
        <v>营</v>
      </c>
      <c r="BL166" s="15">
        <v>163</v>
      </c>
      <c r="BM166" s="39" t="str">
        <f t="shared" si="101"/>
        <v>325+524</v>
      </c>
      <c r="BN166" s="39" t="str">
        <f t="shared" si="101"/>
        <v>293+552</v>
      </c>
      <c r="BO166" s="39" t="str">
        <f t="shared" si="101"/>
        <v/>
      </c>
      <c r="BP166" s="39" t="str">
        <f t="shared" si="101"/>
        <v/>
      </c>
      <c r="BQ166" s="39" t="str">
        <f t="shared" si="101"/>
        <v/>
      </c>
      <c r="BR166" s="39" t="str">
        <f t="shared" si="101"/>
        <v/>
      </c>
      <c r="BS166" s="39" t="str">
        <f t="shared" si="101"/>
        <v/>
      </c>
      <c r="BT166" s="39" t="str">
        <f t="shared" si="101"/>
        <v/>
      </c>
      <c r="BU166" s="39" t="str">
        <f t="shared" si="101"/>
        <v/>
      </c>
      <c r="BV166" s="39" t="str">
        <f t="shared" si="101"/>
        <v/>
      </c>
      <c r="BW166" s="39" t="str">
        <f t="shared" si="101"/>
        <v/>
      </c>
      <c r="BX166" s="39" t="str">
        <f t="shared" si="101"/>
        <v/>
      </c>
      <c r="BY166" s="39" t="str">
        <f t="shared" si="101"/>
        <v/>
      </c>
      <c r="BZ166" s="39" t="str">
        <f t="shared" si="101"/>
        <v/>
      </c>
      <c r="CA166" s="39" t="str">
        <f t="shared" si="101"/>
        <v/>
      </c>
      <c r="CB166" s="39" t="str">
        <f t="shared" si="102"/>
        <v/>
      </c>
      <c r="CC166" s="39" t="str">
        <f t="shared" si="102"/>
        <v/>
      </c>
      <c r="CD166" s="39" t="str">
        <f t="shared" si="102"/>
        <v/>
      </c>
      <c r="CE166" s="39" t="str">
        <f t="shared" si="102"/>
        <v/>
      </c>
      <c r="CF166" s="39" t="str">
        <f t="shared" si="102"/>
        <v/>
      </c>
      <c r="CG166" s="39" t="str">
        <f t="shared" si="102"/>
        <v/>
      </c>
      <c r="CH166" s="39" t="str">
        <f t="shared" si="102"/>
        <v/>
      </c>
      <c r="CI166" s="39" t="str">
        <f t="shared" si="102"/>
        <v/>
      </c>
      <c r="CJ166" s="39" t="str">
        <f t="shared" si="102"/>
        <v/>
      </c>
      <c r="CK166" s="39" t="str">
        <f t="shared" si="102"/>
        <v/>
      </c>
      <c r="CL166" s="39" t="str">
        <f t="shared" si="102"/>
        <v/>
      </c>
      <c r="CM166" s="39" t="str">
        <f t="shared" si="102"/>
        <v/>
      </c>
      <c r="CN166" s="39" t="str">
        <f t="shared" si="102"/>
        <v/>
      </c>
      <c r="CO166" s="39" t="str">
        <f t="shared" si="102"/>
        <v/>
      </c>
      <c r="CP166" s="39" t="str">
        <f t="shared" si="102"/>
        <v/>
      </c>
      <c r="CQ166" s="39" t="str">
        <f t="shared" si="103"/>
        <v/>
      </c>
      <c r="CR166" s="39" t="str">
        <f t="shared" si="103"/>
        <v/>
      </c>
      <c r="CS166" s="39" t="str">
        <f t="shared" si="103"/>
        <v>316+554</v>
      </c>
      <c r="CT166" s="39" t="str">
        <f t="shared" si="103"/>
        <v/>
      </c>
      <c r="CU166" s="39" t="str">
        <f t="shared" si="103"/>
        <v/>
      </c>
      <c r="CV166" s="39" t="str">
        <f t="shared" si="103"/>
        <v/>
      </c>
      <c r="CW166" s="39" t="str">
        <f t="shared" si="103"/>
        <v/>
      </c>
      <c r="CX166" s="39" t="str">
        <f t="shared" si="103"/>
        <v/>
      </c>
      <c r="CY166" s="39" t="str">
        <f t="shared" si="103"/>
        <v/>
      </c>
      <c r="CZ166" s="39" t="str">
        <f t="shared" si="103"/>
        <v/>
      </c>
      <c r="DA166" s="39" t="str">
        <f t="shared" si="103"/>
        <v/>
      </c>
      <c r="DB166" s="39" t="str">
        <f t="shared" si="103"/>
        <v/>
      </c>
      <c r="DC166" s="39" t="str">
        <f t="shared" si="103"/>
        <v/>
      </c>
      <c r="DD166" s="39" t="str">
        <f t="shared" si="103"/>
        <v/>
      </c>
      <c r="DE166" s="39" t="str">
        <f t="shared" si="103"/>
        <v/>
      </c>
      <c r="DF166" s="37" t="str">
        <f t="shared" si="93"/>
        <v>2+0+1</v>
      </c>
      <c r="DG166" s="37" t="str">
        <f t="shared" si="94"/>
        <v>325+524|293+552</v>
      </c>
      <c r="DH166" s="37" t="str">
        <f t="shared" si="95"/>
        <v>0+0</v>
      </c>
      <c r="DI166" s="37" t="str">
        <f t="shared" si="96"/>
        <v>316+554</v>
      </c>
      <c r="DJ166" s="37" t="str">
        <f t="shared" si="97"/>
        <v>2+0+1|325+524|293+552|0+0|316+554</v>
      </c>
    </row>
    <row r="167" spans="2:114" x14ac:dyDescent="0.15">
      <c r="B167" s="15">
        <v>164</v>
      </c>
      <c r="C167" s="15" t="s">
        <v>211</v>
      </c>
      <c r="D167" s="15">
        <v>101</v>
      </c>
      <c r="G167" s="25" t="s">
        <v>540</v>
      </c>
      <c r="H167" s="25">
        <v>164</v>
      </c>
      <c r="I167" s="26" t="s">
        <v>663</v>
      </c>
      <c r="J167" s="26">
        <f t="shared" si="75"/>
        <v>144</v>
      </c>
      <c r="M167" s="25" t="s">
        <v>540</v>
      </c>
      <c r="N167" s="25">
        <v>164</v>
      </c>
      <c r="O167" s="26" t="s">
        <v>733</v>
      </c>
      <c r="P167" s="26">
        <f t="shared" si="76"/>
        <v>34</v>
      </c>
      <c r="Q167" s="26"/>
      <c r="R167" s="26"/>
      <c r="S167" s="25" t="s">
        <v>540</v>
      </c>
      <c r="T167" s="25">
        <v>164</v>
      </c>
      <c r="U167" s="26" t="s">
        <v>907</v>
      </c>
      <c r="V167" s="26">
        <f t="shared" si="77"/>
        <v>83</v>
      </c>
      <c r="W167" s="26"/>
      <c r="Y167" s="25" t="s">
        <v>540</v>
      </c>
      <c r="Z167" s="25">
        <v>164</v>
      </c>
      <c r="AA167" s="26" t="s">
        <v>47</v>
      </c>
      <c r="AB167" s="26">
        <f t="shared" si="78"/>
        <v>20</v>
      </c>
      <c r="AE167" s="25" t="s">
        <v>540</v>
      </c>
      <c r="AF167" s="25">
        <v>164</v>
      </c>
      <c r="AG167" s="26" t="s">
        <v>882</v>
      </c>
      <c r="AH167" s="26">
        <f t="shared" si="79"/>
        <v>69</v>
      </c>
      <c r="AK167" s="25" t="s">
        <v>540</v>
      </c>
      <c r="AL167" s="25">
        <v>164</v>
      </c>
      <c r="AM167" s="26" t="s">
        <v>929</v>
      </c>
      <c r="AN167" s="26">
        <f t="shared" si="80"/>
        <v>81</v>
      </c>
      <c r="AQ167" s="25" t="s">
        <v>540</v>
      </c>
      <c r="AR167" s="25">
        <v>164</v>
      </c>
      <c r="AS167" s="26" t="s">
        <v>667</v>
      </c>
      <c r="AT167" s="26">
        <f t="shared" si="81"/>
        <v>150</v>
      </c>
      <c r="AX167" s="15"/>
      <c r="AY167" s="35">
        <f t="shared" si="82"/>
        <v>164</v>
      </c>
      <c r="AZ167" s="35" t="str">
        <f t="shared" si="83"/>
        <v>640+615</v>
      </c>
      <c r="BA167" s="35">
        <f t="shared" si="84"/>
        <v>101</v>
      </c>
      <c r="BB167" s="38">
        <f>COUNTIF($BA$4:$BA167,$BA167)</f>
        <v>1</v>
      </c>
      <c r="BC167" s="36" t="str">
        <f t="shared" si="85"/>
        <v/>
      </c>
      <c r="BD167" s="36" t="str">
        <f t="shared" si="86"/>
        <v>村</v>
      </c>
      <c r="BE167" s="36" t="str">
        <f t="shared" si="87"/>
        <v/>
      </c>
      <c r="BF167" s="36" t="str">
        <f t="shared" si="88"/>
        <v/>
      </c>
      <c r="BG167" s="36" t="str">
        <f t="shared" si="89"/>
        <v>村</v>
      </c>
      <c r="BH167" s="36" t="str">
        <f t="shared" si="90"/>
        <v/>
      </c>
      <c r="BI167" s="36" t="str">
        <f t="shared" si="91"/>
        <v/>
      </c>
      <c r="BJ167" s="29" t="str">
        <f t="shared" si="92"/>
        <v>村</v>
      </c>
      <c r="BL167" s="15">
        <v>164</v>
      </c>
      <c r="BM167" s="39" t="str">
        <f t="shared" si="101"/>
        <v>318+463</v>
      </c>
      <c r="BN167" s="39" t="str">
        <f t="shared" si="101"/>
        <v>302+421</v>
      </c>
      <c r="BO167" s="39" t="str">
        <f t="shared" si="101"/>
        <v/>
      </c>
      <c r="BP167" s="39" t="str">
        <f t="shared" si="101"/>
        <v/>
      </c>
      <c r="BQ167" s="39" t="str">
        <f t="shared" si="101"/>
        <v/>
      </c>
      <c r="BR167" s="39" t="str">
        <f t="shared" si="101"/>
        <v/>
      </c>
      <c r="BS167" s="39" t="str">
        <f t="shared" si="101"/>
        <v/>
      </c>
      <c r="BT167" s="39" t="str">
        <f t="shared" si="101"/>
        <v/>
      </c>
      <c r="BU167" s="39" t="str">
        <f t="shared" si="101"/>
        <v/>
      </c>
      <c r="BV167" s="39" t="str">
        <f t="shared" si="101"/>
        <v/>
      </c>
      <c r="BW167" s="39" t="str">
        <f t="shared" si="101"/>
        <v/>
      </c>
      <c r="BX167" s="39" t="str">
        <f t="shared" si="101"/>
        <v/>
      </c>
      <c r="BY167" s="39" t="str">
        <f t="shared" si="101"/>
        <v/>
      </c>
      <c r="BZ167" s="39" t="str">
        <f t="shared" si="101"/>
        <v/>
      </c>
      <c r="CA167" s="39" t="str">
        <f t="shared" si="101"/>
        <v/>
      </c>
      <c r="CB167" s="39" t="str">
        <f t="shared" si="102"/>
        <v/>
      </c>
      <c r="CC167" s="39" t="str">
        <f t="shared" si="102"/>
        <v/>
      </c>
      <c r="CD167" s="39" t="str">
        <f t="shared" si="102"/>
        <v/>
      </c>
      <c r="CE167" s="39" t="str">
        <f t="shared" si="102"/>
        <v/>
      </c>
      <c r="CF167" s="39" t="str">
        <f t="shared" si="102"/>
        <v/>
      </c>
      <c r="CG167" s="39" t="str">
        <f t="shared" si="102"/>
        <v/>
      </c>
      <c r="CH167" s="39" t="str">
        <f t="shared" si="102"/>
        <v/>
      </c>
      <c r="CI167" s="39" t="str">
        <f t="shared" si="102"/>
        <v/>
      </c>
      <c r="CJ167" s="39" t="str">
        <f t="shared" si="102"/>
        <v/>
      </c>
      <c r="CK167" s="39" t="str">
        <f t="shared" si="102"/>
        <v/>
      </c>
      <c r="CL167" s="39" t="str">
        <f t="shared" si="102"/>
        <v/>
      </c>
      <c r="CM167" s="39" t="str">
        <f t="shared" si="102"/>
        <v/>
      </c>
      <c r="CN167" s="39" t="str">
        <f t="shared" si="102"/>
        <v/>
      </c>
      <c r="CO167" s="39" t="str">
        <f t="shared" si="102"/>
        <v/>
      </c>
      <c r="CP167" s="39" t="str">
        <f t="shared" si="102"/>
        <v/>
      </c>
      <c r="CQ167" s="39" t="str">
        <f t="shared" si="103"/>
        <v/>
      </c>
      <c r="CR167" s="39" t="str">
        <f t="shared" si="103"/>
        <v/>
      </c>
      <c r="CS167" s="39" t="str">
        <f t="shared" si="103"/>
        <v>335+470</v>
      </c>
      <c r="CT167" s="39" t="str">
        <f t="shared" si="103"/>
        <v/>
      </c>
      <c r="CU167" s="39" t="str">
        <f t="shared" si="103"/>
        <v/>
      </c>
      <c r="CV167" s="39" t="str">
        <f t="shared" si="103"/>
        <v/>
      </c>
      <c r="CW167" s="39" t="str">
        <f t="shared" si="103"/>
        <v/>
      </c>
      <c r="CX167" s="39" t="str">
        <f t="shared" si="103"/>
        <v/>
      </c>
      <c r="CY167" s="39" t="str">
        <f t="shared" si="103"/>
        <v/>
      </c>
      <c r="CZ167" s="39" t="str">
        <f t="shared" si="103"/>
        <v/>
      </c>
      <c r="DA167" s="39" t="str">
        <f t="shared" si="103"/>
        <v/>
      </c>
      <c r="DB167" s="39" t="str">
        <f t="shared" si="103"/>
        <v/>
      </c>
      <c r="DC167" s="39" t="str">
        <f t="shared" si="103"/>
        <v/>
      </c>
      <c r="DD167" s="39" t="str">
        <f t="shared" si="103"/>
        <v/>
      </c>
      <c r="DE167" s="39" t="str">
        <f t="shared" si="103"/>
        <v/>
      </c>
      <c r="DF167" s="37" t="str">
        <f t="shared" si="93"/>
        <v>2+0+1</v>
      </c>
      <c r="DG167" s="37" t="str">
        <f t="shared" si="94"/>
        <v>318+463|302+421</v>
      </c>
      <c r="DH167" s="37" t="str">
        <f t="shared" si="95"/>
        <v>0+0</v>
      </c>
      <c r="DI167" s="37" t="str">
        <f t="shared" si="96"/>
        <v>335+470</v>
      </c>
      <c r="DJ167" s="37" t="str">
        <f t="shared" si="97"/>
        <v>2+0+1|318+463|302+421|0+0|335+470</v>
      </c>
    </row>
    <row r="168" spans="2:114" x14ac:dyDescent="0.15">
      <c r="B168" s="15">
        <v>165</v>
      </c>
      <c r="C168" s="15" t="s">
        <v>212</v>
      </c>
      <c r="D168" s="15">
        <v>101</v>
      </c>
      <c r="G168" s="25" t="s">
        <v>541</v>
      </c>
      <c r="H168" s="25">
        <v>165</v>
      </c>
      <c r="I168" s="26" t="s">
        <v>337</v>
      </c>
      <c r="J168" s="26">
        <f t="shared" si="75"/>
        <v>162</v>
      </c>
      <c r="M168" s="25" t="s">
        <v>541</v>
      </c>
      <c r="N168" s="25">
        <v>165</v>
      </c>
      <c r="O168" s="26" t="s">
        <v>589</v>
      </c>
      <c r="P168" s="26">
        <f t="shared" si="76"/>
        <v>13</v>
      </c>
      <c r="Q168" s="26"/>
      <c r="R168" s="26"/>
      <c r="S168" s="25" t="s">
        <v>541</v>
      </c>
      <c r="T168" s="25">
        <v>165</v>
      </c>
      <c r="U168" s="26" t="s">
        <v>420</v>
      </c>
      <c r="V168" s="26">
        <f t="shared" si="77"/>
        <v>89</v>
      </c>
      <c r="W168" s="26"/>
      <c r="Y168" s="25" t="s">
        <v>541</v>
      </c>
      <c r="Z168" s="25">
        <v>165</v>
      </c>
      <c r="AA168" s="26" t="s">
        <v>397</v>
      </c>
      <c r="AB168" s="26">
        <f t="shared" si="78"/>
        <v>16</v>
      </c>
      <c r="AE168" s="25" t="s">
        <v>541</v>
      </c>
      <c r="AF168" s="25">
        <v>165</v>
      </c>
      <c r="AG168" s="26" t="s">
        <v>929</v>
      </c>
      <c r="AH168" s="26">
        <f t="shared" si="79"/>
        <v>81</v>
      </c>
      <c r="AK168" s="25" t="s">
        <v>541</v>
      </c>
      <c r="AL168" s="25">
        <v>165</v>
      </c>
      <c r="AM168" s="26" t="s">
        <v>896</v>
      </c>
      <c r="AN168" s="26">
        <f t="shared" si="80"/>
        <v>70</v>
      </c>
      <c r="AQ168" s="25" t="s">
        <v>541</v>
      </c>
      <c r="AR168" s="25">
        <v>165</v>
      </c>
      <c r="AS168" s="26" t="s">
        <v>430</v>
      </c>
      <c r="AT168" s="26">
        <f t="shared" si="81"/>
        <v>101</v>
      </c>
      <c r="AX168" s="15"/>
      <c r="AY168" s="35">
        <f t="shared" si="82"/>
        <v>165</v>
      </c>
      <c r="AZ168" s="35" t="str">
        <f t="shared" si="83"/>
        <v>654+610</v>
      </c>
      <c r="BA168" s="35">
        <f t="shared" si="84"/>
        <v>101</v>
      </c>
      <c r="BB168" s="38">
        <f>COUNTIF($BA$4:$BA168,$BA168)</f>
        <v>2</v>
      </c>
      <c r="BC168" s="36" t="str">
        <f t="shared" si="85"/>
        <v/>
      </c>
      <c r="BD168" s="36" t="str">
        <f t="shared" si="86"/>
        <v>村</v>
      </c>
      <c r="BE168" s="36" t="str">
        <f t="shared" si="87"/>
        <v/>
      </c>
      <c r="BF168" s="36" t="str">
        <f t="shared" si="88"/>
        <v/>
      </c>
      <c r="BG168" s="36" t="str">
        <f t="shared" si="89"/>
        <v/>
      </c>
      <c r="BH168" s="36" t="str">
        <f t="shared" si="90"/>
        <v/>
      </c>
      <c r="BI168" s="36" t="str">
        <f t="shared" si="91"/>
        <v>村</v>
      </c>
      <c r="BJ168" s="29" t="str">
        <f t="shared" si="92"/>
        <v>村</v>
      </c>
      <c r="BL168" s="15">
        <v>165</v>
      </c>
      <c r="BM168" s="39" t="str">
        <f t="shared" si="101"/>
        <v>282+424</v>
      </c>
      <c r="BN168" s="39" t="str">
        <f t="shared" si="101"/>
        <v>288+465</v>
      </c>
      <c r="BO168" s="39" t="str">
        <f t="shared" si="101"/>
        <v/>
      </c>
      <c r="BP168" s="39" t="str">
        <f t="shared" si="101"/>
        <v/>
      </c>
      <c r="BQ168" s="39" t="str">
        <f t="shared" si="101"/>
        <v/>
      </c>
      <c r="BR168" s="39" t="str">
        <f t="shared" si="101"/>
        <v/>
      </c>
      <c r="BS168" s="39" t="str">
        <f t="shared" si="101"/>
        <v/>
      </c>
      <c r="BT168" s="39" t="str">
        <f t="shared" si="101"/>
        <v/>
      </c>
      <c r="BU168" s="39" t="str">
        <f t="shared" si="101"/>
        <v/>
      </c>
      <c r="BV168" s="39" t="str">
        <f t="shared" si="101"/>
        <v/>
      </c>
      <c r="BW168" s="39" t="str">
        <f t="shared" si="101"/>
        <v/>
      </c>
      <c r="BX168" s="39" t="str">
        <f t="shared" si="101"/>
        <v/>
      </c>
      <c r="BY168" s="39" t="str">
        <f t="shared" si="101"/>
        <v/>
      </c>
      <c r="BZ168" s="39" t="str">
        <f t="shared" si="101"/>
        <v/>
      </c>
      <c r="CA168" s="39" t="str">
        <f t="shared" si="101"/>
        <v/>
      </c>
      <c r="CB168" s="39" t="str">
        <f t="shared" si="102"/>
        <v/>
      </c>
      <c r="CC168" s="39" t="str">
        <f t="shared" si="102"/>
        <v/>
      </c>
      <c r="CD168" s="39" t="str">
        <f t="shared" si="102"/>
        <v/>
      </c>
      <c r="CE168" s="39" t="str">
        <f t="shared" si="102"/>
        <v/>
      </c>
      <c r="CF168" s="39" t="str">
        <f t="shared" si="102"/>
        <v/>
      </c>
      <c r="CG168" s="39" t="str">
        <f t="shared" si="102"/>
        <v/>
      </c>
      <c r="CH168" s="39" t="str">
        <f t="shared" si="102"/>
        <v/>
      </c>
      <c r="CI168" s="39" t="str">
        <f t="shared" si="102"/>
        <v/>
      </c>
      <c r="CJ168" s="39" t="str">
        <f t="shared" si="102"/>
        <v/>
      </c>
      <c r="CK168" s="39" t="str">
        <f t="shared" si="102"/>
        <v/>
      </c>
      <c r="CL168" s="39" t="str">
        <f t="shared" si="102"/>
        <v/>
      </c>
      <c r="CM168" s="39" t="str">
        <f t="shared" si="102"/>
        <v/>
      </c>
      <c r="CN168" s="39" t="str">
        <f t="shared" si="102"/>
        <v/>
      </c>
      <c r="CO168" s="39" t="str">
        <f t="shared" si="102"/>
        <v/>
      </c>
      <c r="CP168" s="39" t="str">
        <f t="shared" si="102"/>
        <v/>
      </c>
      <c r="CQ168" s="39" t="str">
        <f t="shared" si="103"/>
        <v/>
      </c>
      <c r="CR168" s="39" t="str">
        <f t="shared" si="103"/>
        <v/>
      </c>
      <c r="CS168" s="39" t="str">
        <f t="shared" si="103"/>
        <v>260+502</v>
      </c>
      <c r="CT168" s="39" t="str">
        <f t="shared" si="103"/>
        <v/>
      </c>
      <c r="CU168" s="39" t="str">
        <f t="shared" si="103"/>
        <v/>
      </c>
      <c r="CV168" s="39" t="str">
        <f t="shared" si="103"/>
        <v/>
      </c>
      <c r="CW168" s="39" t="str">
        <f t="shared" si="103"/>
        <v/>
      </c>
      <c r="CX168" s="39" t="str">
        <f t="shared" si="103"/>
        <v/>
      </c>
      <c r="CY168" s="39" t="str">
        <f t="shared" si="103"/>
        <v/>
      </c>
      <c r="CZ168" s="39" t="str">
        <f t="shared" si="103"/>
        <v/>
      </c>
      <c r="DA168" s="39" t="str">
        <f t="shared" si="103"/>
        <v/>
      </c>
      <c r="DB168" s="39" t="str">
        <f t="shared" si="103"/>
        <v/>
      </c>
      <c r="DC168" s="39" t="str">
        <f t="shared" si="103"/>
        <v/>
      </c>
      <c r="DD168" s="39" t="str">
        <f t="shared" si="103"/>
        <v/>
      </c>
      <c r="DE168" s="39" t="str">
        <f t="shared" si="103"/>
        <v/>
      </c>
      <c r="DF168" s="37" t="str">
        <f t="shared" si="93"/>
        <v>2+0+1</v>
      </c>
      <c r="DG168" s="37" t="str">
        <f t="shared" si="94"/>
        <v>282+424|288+465</v>
      </c>
      <c r="DH168" s="37" t="str">
        <f t="shared" si="95"/>
        <v>0+0</v>
      </c>
      <c r="DI168" s="37" t="str">
        <f t="shared" si="96"/>
        <v>260+502</v>
      </c>
      <c r="DJ168" s="37" t="str">
        <f t="shared" si="97"/>
        <v>2+0+1|282+424|288+465|0+0|260+502</v>
      </c>
    </row>
    <row r="169" spans="2:114" x14ac:dyDescent="0.15">
      <c r="B169" s="15">
        <v>166</v>
      </c>
      <c r="C169" s="15" t="s">
        <v>430</v>
      </c>
      <c r="D169" s="15">
        <v>101</v>
      </c>
      <c r="G169" s="25" t="s">
        <v>542</v>
      </c>
      <c r="H169" s="25">
        <v>166</v>
      </c>
      <c r="I169" s="26" t="s">
        <v>359</v>
      </c>
      <c r="J169" s="26">
        <f t="shared" si="75"/>
        <v>172</v>
      </c>
      <c r="M169" s="25" t="s">
        <v>542</v>
      </c>
      <c r="N169" s="25">
        <v>166</v>
      </c>
      <c r="O169" s="26" t="s">
        <v>629</v>
      </c>
      <c r="P169" s="26">
        <f t="shared" si="76"/>
        <v>90</v>
      </c>
      <c r="Q169" s="26"/>
      <c r="R169" s="26"/>
      <c r="S169" s="25" t="s">
        <v>542</v>
      </c>
      <c r="T169" s="25">
        <v>166</v>
      </c>
      <c r="U169" s="26" t="s">
        <v>847</v>
      </c>
      <c r="V169" s="26">
        <f t="shared" si="77"/>
        <v>99</v>
      </c>
      <c r="W169" s="26"/>
      <c r="Y169" s="25" t="s">
        <v>542</v>
      </c>
      <c r="Z169" s="25">
        <v>166</v>
      </c>
      <c r="AA169" s="26" t="s">
        <v>735</v>
      </c>
      <c r="AB169" s="26">
        <f t="shared" si="78"/>
        <v>39</v>
      </c>
      <c r="AE169" s="25" t="s">
        <v>542</v>
      </c>
      <c r="AF169" s="25">
        <v>166</v>
      </c>
      <c r="AG169" s="26" t="s">
        <v>939</v>
      </c>
      <c r="AH169" s="26">
        <f t="shared" si="79"/>
        <v>129</v>
      </c>
      <c r="AK169" s="25" t="s">
        <v>542</v>
      </c>
      <c r="AL169" s="25">
        <v>166</v>
      </c>
      <c r="AM169" s="26" t="s">
        <v>947</v>
      </c>
      <c r="AN169" s="26">
        <f t="shared" si="80"/>
        <v>110</v>
      </c>
      <c r="AQ169" s="25" t="s">
        <v>542</v>
      </c>
      <c r="AR169" s="25">
        <v>166</v>
      </c>
      <c r="AS169" s="26" t="s">
        <v>708</v>
      </c>
      <c r="AT169" s="26">
        <f t="shared" si="81"/>
        <v>86</v>
      </c>
      <c r="AX169" s="15"/>
      <c r="AY169" s="35">
        <f t="shared" si="82"/>
        <v>166</v>
      </c>
      <c r="AZ169" s="35" t="str">
        <f t="shared" si="83"/>
        <v>621+602</v>
      </c>
      <c r="BA169" s="35">
        <f t="shared" si="84"/>
        <v>101</v>
      </c>
      <c r="BB169" s="38">
        <f>COUNTIF($BA$4:$BA169,$BA169)</f>
        <v>3</v>
      </c>
      <c r="BC169" s="36" t="str">
        <f t="shared" si="85"/>
        <v/>
      </c>
      <c r="BD169" s="36" t="str">
        <f t="shared" si="86"/>
        <v>营</v>
      </c>
      <c r="BE169" s="36" t="str">
        <f t="shared" si="87"/>
        <v>营</v>
      </c>
      <c r="BF169" s="36" t="str">
        <f t="shared" si="88"/>
        <v/>
      </c>
      <c r="BG169" s="36" t="str">
        <f t="shared" si="89"/>
        <v/>
      </c>
      <c r="BH169" s="36" t="str">
        <f t="shared" si="90"/>
        <v/>
      </c>
      <c r="BI169" s="36" t="str">
        <f t="shared" si="91"/>
        <v>营</v>
      </c>
      <c r="BJ169" s="29" t="str">
        <f t="shared" si="92"/>
        <v>营</v>
      </c>
      <c r="BL169" s="15">
        <v>166</v>
      </c>
      <c r="BM169" s="39" t="str">
        <f t="shared" si="101"/>
        <v>268+537</v>
      </c>
      <c r="BN169" s="39" t="str">
        <f t="shared" si="101"/>
        <v/>
      </c>
      <c r="BO169" s="39" t="str">
        <f t="shared" si="101"/>
        <v/>
      </c>
      <c r="BP169" s="39" t="str">
        <f t="shared" si="101"/>
        <v/>
      </c>
      <c r="BQ169" s="39" t="str">
        <f t="shared" si="101"/>
        <v/>
      </c>
      <c r="BR169" s="39" t="str">
        <f t="shared" si="101"/>
        <v/>
      </c>
      <c r="BS169" s="39" t="str">
        <f t="shared" si="101"/>
        <v/>
      </c>
      <c r="BT169" s="39" t="str">
        <f t="shared" si="101"/>
        <v/>
      </c>
      <c r="BU169" s="39" t="str">
        <f t="shared" si="101"/>
        <v/>
      </c>
      <c r="BV169" s="39" t="str">
        <f t="shared" si="101"/>
        <v/>
      </c>
      <c r="BW169" s="39" t="str">
        <f t="shared" si="101"/>
        <v/>
      </c>
      <c r="BX169" s="39" t="str">
        <f t="shared" si="101"/>
        <v/>
      </c>
      <c r="BY169" s="39" t="str">
        <f t="shared" si="101"/>
        <v/>
      </c>
      <c r="BZ169" s="39" t="str">
        <f t="shared" si="101"/>
        <v/>
      </c>
      <c r="CA169" s="39" t="str">
        <f t="shared" si="101"/>
        <v/>
      </c>
      <c r="CB169" s="39" t="str">
        <f t="shared" si="102"/>
        <v/>
      </c>
      <c r="CC169" s="39" t="str">
        <f t="shared" si="102"/>
        <v>286+534</v>
      </c>
      <c r="CD169" s="39" t="str">
        <f t="shared" si="102"/>
        <v/>
      </c>
      <c r="CE169" s="39" t="str">
        <f t="shared" si="102"/>
        <v/>
      </c>
      <c r="CF169" s="39" t="str">
        <f t="shared" si="102"/>
        <v/>
      </c>
      <c r="CG169" s="39" t="str">
        <f t="shared" si="102"/>
        <v/>
      </c>
      <c r="CH169" s="39" t="str">
        <f t="shared" si="102"/>
        <v/>
      </c>
      <c r="CI169" s="39" t="str">
        <f t="shared" si="102"/>
        <v/>
      </c>
      <c r="CJ169" s="39" t="str">
        <f t="shared" si="102"/>
        <v/>
      </c>
      <c r="CK169" s="39" t="str">
        <f t="shared" si="102"/>
        <v/>
      </c>
      <c r="CL169" s="39" t="str">
        <f t="shared" si="102"/>
        <v/>
      </c>
      <c r="CM169" s="39" t="str">
        <f t="shared" si="102"/>
        <v/>
      </c>
      <c r="CN169" s="39" t="str">
        <f t="shared" si="102"/>
        <v/>
      </c>
      <c r="CO169" s="39" t="str">
        <f t="shared" si="102"/>
        <v/>
      </c>
      <c r="CP169" s="39" t="str">
        <f t="shared" si="102"/>
        <v/>
      </c>
      <c r="CQ169" s="39" t="str">
        <f t="shared" si="103"/>
        <v/>
      </c>
      <c r="CR169" s="39" t="str">
        <f t="shared" si="103"/>
        <v/>
      </c>
      <c r="CS169" s="39" t="str">
        <f t="shared" si="103"/>
        <v>258+523</v>
      </c>
      <c r="CT169" s="39" t="str">
        <f t="shared" si="103"/>
        <v/>
      </c>
      <c r="CU169" s="39" t="str">
        <f t="shared" si="103"/>
        <v/>
      </c>
      <c r="CV169" s="39" t="str">
        <f t="shared" si="103"/>
        <v/>
      </c>
      <c r="CW169" s="39" t="str">
        <f t="shared" si="103"/>
        <v/>
      </c>
      <c r="CX169" s="39" t="str">
        <f t="shared" si="103"/>
        <v/>
      </c>
      <c r="CY169" s="39" t="str">
        <f t="shared" si="103"/>
        <v/>
      </c>
      <c r="CZ169" s="39" t="str">
        <f t="shared" si="103"/>
        <v/>
      </c>
      <c r="DA169" s="39" t="str">
        <f t="shared" si="103"/>
        <v/>
      </c>
      <c r="DB169" s="39" t="str">
        <f t="shared" si="103"/>
        <v/>
      </c>
      <c r="DC169" s="39" t="str">
        <f t="shared" si="103"/>
        <v/>
      </c>
      <c r="DD169" s="39" t="str">
        <f t="shared" si="103"/>
        <v/>
      </c>
      <c r="DE169" s="39" t="str">
        <f t="shared" si="103"/>
        <v/>
      </c>
      <c r="DF169" s="37" t="str">
        <f t="shared" si="93"/>
        <v>1+1+1</v>
      </c>
      <c r="DG169" s="37" t="str">
        <f t="shared" si="94"/>
        <v>268+537</v>
      </c>
      <c r="DH169" s="37" t="str">
        <f t="shared" si="95"/>
        <v>286+534</v>
      </c>
      <c r="DI169" s="37" t="str">
        <f t="shared" si="96"/>
        <v>258+523</v>
      </c>
      <c r="DJ169" s="37" t="str">
        <f t="shared" si="97"/>
        <v>1+1+1|268+537|286+534|258+523</v>
      </c>
    </row>
    <row r="170" spans="2:114" x14ac:dyDescent="0.15">
      <c r="B170" s="15">
        <v>167</v>
      </c>
      <c r="C170" s="15" t="s">
        <v>213</v>
      </c>
      <c r="D170" s="15">
        <v>102</v>
      </c>
      <c r="G170" s="25" t="s">
        <v>543</v>
      </c>
      <c r="H170" s="25">
        <v>167</v>
      </c>
      <c r="I170" s="26" t="s">
        <v>608</v>
      </c>
      <c r="J170" s="26">
        <f t="shared" si="75"/>
        <v>60</v>
      </c>
      <c r="M170" s="25" t="s">
        <v>543</v>
      </c>
      <c r="N170" s="25">
        <v>167</v>
      </c>
      <c r="O170" s="26" t="s">
        <v>666</v>
      </c>
      <c r="P170" s="26">
        <f t="shared" si="76"/>
        <v>149</v>
      </c>
      <c r="Q170" s="26"/>
      <c r="R170" s="26"/>
      <c r="S170" s="25" t="s">
        <v>543</v>
      </c>
      <c r="T170" s="25">
        <v>167</v>
      </c>
      <c r="U170" s="26" t="s">
        <v>634</v>
      </c>
      <c r="V170" s="26">
        <f t="shared" si="77"/>
        <v>96</v>
      </c>
      <c r="W170" s="26"/>
      <c r="Y170" s="25" t="s">
        <v>543</v>
      </c>
      <c r="Z170" s="25">
        <v>167</v>
      </c>
      <c r="AA170" s="26" t="s">
        <v>681</v>
      </c>
      <c r="AB170" s="26">
        <f t="shared" si="78"/>
        <v>167</v>
      </c>
      <c r="AE170" s="25" t="s">
        <v>543</v>
      </c>
      <c r="AF170" s="25">
        <v>167</v>
      </c>
      <c r="AG170" s="26" t="s">
        <v>902</v>
      </c>
      <c r="AH170" s="26">
        <f t="shared" si="79"/>
        <v>111</v>
      </c>
      <c r="AK170" s="25" t="s">
        <v>543</v>
      </c>
      <c r="AL170" s="25">
        <v>167</v>
      </c>
      <c r="AM170" s="26" t="s">
        <v>919</v>
      </c>
      <c r="AN170" s="26">
        <f t="shared" si="80"/>
        <v>134</v>
      </c>
      <c r="AQ170" s="25" t="s">
        <v>543</v>
      </c>
      <c r="AR170" s="25">
        <v>167</v>
      </c>
      <c r="AS170" s="26" t="s">
        <v>991</v>
      </c>
      <c r="AT170" s="26">
        <f t="shared" si="81"/>
        <v>128</v>
      </c>
      <c r="AX170" s="15"/>
      <c r="AY170" s="35">
        <f t="shared" si="82"/>
        <v>167</v>
      </c>
      <c r="AZ170" s="35" t="str">
        <f t="shared" si="83"/>
        <v>668+660</v>
      </c>
      <c r="BA170" s="35">
        <f t="shared" si="84"/>
        <v>102</v>
      </c>
      <c r="BB170" s="38">
        <f>COUNTIF($BA$4:$BA170,$BA170)</f>
        <v>1</v>
      </c>
      <c r="BC170" s="36" t="str">
        <f t="shared" si="85"/>
        <v/>
      </c>
      <c r="BD170" s="36" t="str">
        <f t="shared" si="86"/>
        <v>村</v>
      </c>
      <c r="BE170" s="36" t="str">
        <f t="shared" si="87"/>
        <v>村</v>
      </c>
      <c r="BF170" s="36" t="str">
        <f t="shared" si="88"/>
        <v/>
      </c>
      <c r="BG170" s="36" t="str">
        <f t="shared" si="89"/>
        <v>村</v>
      </c>
      <c r="BH170" s="36" t="str">
        <f t="shared" si="90"/>
        <v>村</v>
      </c>
      <c r="BI170" s="36" t="str">
        <f t="shared" si="91"/>
        <v>村</v>
      </c>
      <c r="BJ170" s="29" t="str">
        <f t="shared" si="92"/>
        <v>村</v>
      </c>
      <c r="BL170" s="15">
        <v>167</v>
      </c>
      <c r="BM170" s="39" t="str">
        <f t="shared" ref="BM170:CA183" si="104">IFERROR(INDEX($AZ$4:$AZ$1000,MATCH(SUMIFS($AY$4:$AY$1000,$BA$4:$BA$1000,$BL170,$BB$4:$BB$1000,BM$3,$BJ$4:$BJ$1000,"村"),$AY$4:$AY$1000,0)),"")</f>
        <v>256+451</v>
      </c>
      <c r="BN170" s="39" t="str">
        <f t="shared" si="104"/>
        <v>237+471</v>
      </c>
      <c r="BO170" s="39" t="str">
        <f t="shared" si="104"/>
        <v/>
      </c>
      <c r="BP170" s="39" t="str">
        <f t="shared" si="104"/>
        <v/>
      </c>
      <c r="BQ170" s="39" t="str">
        <f t="shared" si="104"/>
        <v/>
      </c>
      <c r="BR170" s="39" t="str">
        <f t="shared" si="104"/>
        <v/>
      </c>
      <c r="BS170" s="39" t="str">
        <f t="shared" si="104"/>
        <v/>
      </c>
      <c r="BT170" s="39" t="str">
        <f t="shared" si="104"/>
        <v/>
      </c>
      <c r="BU170" s="39" t="str">
        <f t="shared" si="104"/>
        <v/>
      </c>
      <c r="BV170" s="39" t="str">
        <f t="shared" si="104"/>
        <v/>
      </c>
      <c r="BW170" s="39" t="str">
        <f t="shared" si="104"/>
        <v/>
      </c>
      <c r="BX170" s="39" t="str">
        <f t="shared" si="104"/>
        <v/>
      </c>
      <c r="BY170" s="39" t="str">
        <f t="shared" si="104"/>
        <v/>
      </c>
      <c r="BZ170" s="39" t="str">
        <f t="shared" si="104"/>
        <v/>
      </c>
      <c r="CA170" s="39" t="str">
        <f t="shared" si="104"/>
        <v/>
      </c>
      <c r="CB170" s="39" t="str">
        <f t="shared" si="102"/>
        <v/>
      </c>
      <c r="CC170" s="39" t="str">
        <f t="shared" si="102"/>
        <v/>
      </c>
      <c r="CD170" s="39" t="str">
        <f t="shared" si="102"/>
        <v/>
      </c>
      <c r="CE170" s="39" t="str">
        <f t="shared" si="102"/>
        <v/>
      </c>
      <c r="CF170" s="39" t="str">
        <f t="shared" si="102"/>
        <v/>
      </c>
      <c r="CG170" s="39" t="str">
        <f t="shared" si="102"/>
        <v/>
      </c>
      <c r="CH170" s="39" t="str">
        <f t="shared" si="102"/>
        <v/>
      </c>
      <c r="CI170" s="39" t="str">
        <f t="shared" si="102"/>
        <v/>
      </c>
      <c r="CJ170" s="39" t="str">
        <f t="shared" si="102"/>
        <v/>
      </c>
      <c r="CK170" s="39" t="str">
        <f t="shared" si="102"/>
        <v/>
      </c>
      <c r="CL170" s="39" t="str">
        <f t="shared" si="102"/>
        <v/>
      </c>
      <c r="CM170" s="39" t="str">
        <f t="shared" si="102"/>
        <v/>
      </c>
      <c r="CN170" s="39" t="str">
        <f t="shared" si="102"/>
        <v/>
      </c>
      <c r="CO170" s="39" t="str">
        <f t="shared" si="102"/>
        <v/>
      </c>
      <c r="CP170" s="39" t="str">
        <f t="shared" si="102"/>
        <v/>
      </c>
      <c r="CQ170" s="39" t="str">
        <f t="shared" si="103"/>
        <v/>
      </c>
      <c r="CR170" s="39" t="str">
        <f t="shared" si="103"/>
        <v/>
      </c>
      <c r="CS170" s="39" t="str">
        <f t="shared" si="103"/>
        <v>237+431</v>
      </c>
      <c r="CT170" s="39" t="str">
        <f t="shared" si="103"/>
        <v/>
      </c>
      <c r="CU170" s="39" t="str">
        <f t="shared" si="103"/>
        <v/>
      </c>
      <c r="CV170" s="39" t="str">
        <f t="shared" si="103"/>
        <v/>
      </c>
      <c r="CW170" s="39" t="str">
        <f t="shared" si="103"/>
        <v/>
      </c>
      <c r="CX170" s="39" t="str">
        <f t="shared" si="103"/>
        <v/>
      </c>
      <c r="CY170" s="39" t="str">
        <f t="shared" si="103"/>
        <v/>
      </c>
      <c r="CZ170" s="39" t="str">
        <f t="shared" si="103"/>
        <v/>
      </c>
      <c r="DA170" s="39" t="str">
        <f t="shared" si="103"/>
        <v/>
      </c>
      <c r="DB170" s="39" t="str">
        <f t="shared" si="103"/>
        <v/>
      </c>
      <c r="DC170" s="39" t="str">
        <f t="shared" si="103"/>
        <v/>
      </c>
      <c r="DD170" s="39" t="str">
        <f t="shared" si="103"/>
        <v/>
      </c>
      <c r="DE170" s="39" t="str">
        <f t="shared" si="103"/>
        <v/>
      </c>
      <c r="DF170" s="37" t="str">
        <f t="shared" si="93"/>
        <v>2+0+1</v>
      </c>
      <c r="DG170" s="37" t="str">
        <f t="shared" si="94"/>
        <v>256+451|237+471</v>
      </c>
      <c r="DH170" s="37" t="str">
        <f t="shared" si="95"/>
        <v>0+0</v>
      </c>
      <c r="DI170" s="37" t="str">
        <f t="shared" si="96"/>
        <v>237+431</v>
      </c>
      <c r="DJ170" s="37" t="str">
        <f t="shared" si="97"/>
        <v>2+0+1|256+451|237+471|0+0|237+431</v>
      </c>
    </row>
    <row r="171" spans="2:114" x14ac:dyDescent="0.15">
      <c r="B171" s="15">
        <v>168</v>
      </c>
      <c r="C171" s="15" t="s">
        <v>214</v>
      </c>
      <c r="D171" s="15">
        <v>102</v>
      </c>
      <c r="G171" s="25" t="s">
        <v>544</v>
      </c>
      <c r="H171" s="25">
        <v>168</v>
      </c>
      <c r="I171" s="26" t="s">
        <v>426</v>
      </c>
      <c r="J171" s="26">
        <f t="shared" si="75"/>
        <v>51</v>
      </c>
      <c r="M171" s="25" t="s">
        <v>544</v>
      </c>
      <c r="N171" s="25">
        <v>168</v>
      </c>
      <c r="O171" s="26" t="s">
        <v>665</v>
      </c>
      <c r="P171" s="26">
        <f t="shared" si="76"/>
        <v>148</v>
      </c>
      <c r="Q171" s="26"/>
      <c r="R171" s="26"/>
      <c r="S171" s="25" t="s">
        <v>544</v>
      </c>
      <c r="T171" s="25">
        <v>168</v>
      </c>
      <c r="U171" s="26" t="s">
        <v>689</v>
      </c>
      <c r="V171" s="26">
        <f t="shared" si="77"/>
        <v>5</v>
      </c>
      <c r="W171" s="26"/>
      <c r="Y171" s="25" t="s">
        <v>544</v>
      </c>
      <c r="Z171" s="25">
        <v>168</v>
      </c>
      <c r="AA171" s="26" t="s">
        <v>340</v>
      </c>
      <c r="AB171" s="26">
        <f t="shared" si="78"/>
        <v>163</v>
      </c>
      <c r="AE171" s="25" t="s">
        <v>544</v>
      </c>
      <c r="AF171" s="25">
        <v>168</v>
      </c>
      <c r="AG171" s="26" t="s">
        <v>911</v>
      </c>
      <c r="AH171" s="26">
        <f t="shared" si="79"/>
        <v>125</v>
      </c>
      <c r="AK171" s="25" t="s">
        <v>544</v>
      </c>
      <c r="AL171" s="25">
        <v>168</v>
      </c>
      <c r="AM171" s="26" t="s">
        <v>621</v>
      </c>
      <c r="AN171" s="26">
        <f t="shared" si="80"/>
        <v>79</v>
      </c>
      <c r="AQ171" s="25" t="s">
        <v>544</v>
      </c>
      <c r="AR171" s="25">
        <v>168</v>
      </c>
      <c r="AS171" s="26" t="s">
        <v>994</v>
      </c>
      <c r="AT171" s="26">
        <f t="shared" si="81"/>
        <v>129</v>
      </c>
      <c r="AX171" s="15"/>
      <c r="AY171" s="35">
        <f t="shared" si="82"/>
        <v>168</v>
      </c>
      <c r="AZ171" s="35" t="str">
        <f t="shared" si="83"/>
        <v>656+641</v>
      </c>
      <c r="BA171" s="35">
        <f t="shared" si="84"/>
        <v>102</v>
      </c>
      <c r="BB171" s="38">
        <f>COUNTIF($BA$4:$BA171,$BA171)</f>
        <v>2</v>
      </c>
      <c r="BC171" s="36" t="str">
        <f t="shared" si="85"/>
        <v/>
      </c>
      <c r="BD171" s="36" t="str">
        <f t="shared" si="86"/>
        <v>村</v>
      </c>
      <c r="BE171" s="36" t="str">
        <f t="shared" si="87"/>
        <v>村</v>
      </c>
      <c r="BF171" s="36" t="str">
        <f t="shared" si="88"/>
        <v/>
      </c>
      <c r="BG171" s="36" t="str">
        <f t="shared" si="89"/>
        <v>村</v>
      </c>
      <c r="BH171" s="36" t="str">
        <f t="shared" si="90"/>
        <v/>
      </c>
      <c r="BI171" s="36" t="str">
        <f t="shared" si="91"/>
        <v>村</v>
      </c>
      <c r="BJ171" s="29" t="str">
        <f t="shared" si="92"/>
        <v>村</v>
      </c>
      <c r="BL171" s="15">
        <v>168</v>
      </c>
      <c r="BM171" s="39" t="str">
        <f t="shared" si="104"/>
        <v>242+524</v>
      </c>
      <c r="BN171" s="39" t="str">
        <f t="shared" si="104"/>
        <v/>
      </c>
      <c r="BO171" s="39" t="str">
        <f t="shared" si="104"/>
        <v/>
      </c>
      <c r="BP171" s="39" t="str">
        <f t="shared" si="104"/>
        <v/>
      </c>
      <c r="BQ171" s="39" t="str">
        <f t="shared" si="104"/>
        <v/>
      </c>
      <c r="BR171" s="39" t="str">
        <f t="shared" si="104"/>
        <v/>
      </c>
      <c r="BS171" s="39" t="str">
        <f t="shared" si="104"/>
        <v/>
      </c>
      <c r="BT171" s="39" t="str">
        <f t="shared" si="104"/>
        <v/>
      </c>
      <c r="BU171" s="39" t="str">
        <f t="shared" si="104"/>
        <v/>
      </c>
      <c r="BV171" s="39" t="str">
        <f t="shared" si="104"/>
        <v/>
      </c>
      <c r="BW171" s="39" t="str">
        <f t="shared" si="104"/>
        <v/>
      </c>
      <c r="BX171" s="39" t="str">
        <f t="shared" si="104"/>
        <v/>
      </c>
      <c r="BY171" s="39" t="str">
        <f t="shared" si="104"/>
        <v/>
      </c>
      <c r="BZ171" s="39" t="str">
        <f t="shared" si="104"/>
        <v/>
      </c>
      <c r="CA171" s="39" t="str">
        <f t="shared" si="104"/>
        <v/>
      </c>
      <c r="CB171" s="39" t="str">
        <f t="shared" si="102"/>
        <v/>
      </c>
      <c r="CC171" s="39" t="str">
        <f t="shared" si="102"/>
        <v/>
      </c>
      <c r="CD171" s="39" t="str">
        <f t="shared" si="102"/>
        <v/>
      </c>
      <c r="CE171" s="39" t="str">
        <f t="shared" si="102"/>
        <v/>
      </c>
      <c r="CF171" s="39" t="str">
        <f t="shared" si="102"/>
        <v/>
      </c>
      <c r="CG171" s="39" t="str">
        <f t="shared" si="102"/>
        <v/>
      </c>
      <c r="CH171" s="39" t="str">
        <f t="shared" si="102"/>
        <v/>
      </c>
      <c r="CI171" s="39" t="str">
        <f t="shared" si="102"/>
        <v/>
      </c>
      <c r="CJ171" s="39" t="str">
        <f t="shared" si="102"/>
        <v/>
      </c>
      <c r="CK171" s="39" t="str">
        <f t="shared" si="102"/>
        <v/>
      </c>
      <c r="CL171" s="39" t="str">
        <f t="shared" si="102"/>
        <v/>
      </c>
      <c r="CM171" s="39" t="str">
        <f t="shared" si="102"/>
        <v/>
      </c>
      <c r="CN171" s="39" t="str">
        <f t="shared" si="102"/>
        <v/>
      </c>
      <c r="CO171" s="39" t="str">
        <f t="shared" si="102"/>
        <v/>
      </c>
      <c r="CP171" s="39" t="str">
        <f t="shared" si="102"/>
        <v/>
      </c>
      <c r="CQ171" s="39" t="str">
        <f t="shared" si="103"/>
        <v/>
      </c>
      <c r="CR171" s="39" t="str">
        <f t="shared" si="103"/>
        <v/>
      </c>
      <c r="CS171" s="39" t="str">
        <f t="shared" si="103"/>
        <v/>
      </c>
      <c r="CT171" s="39" t="str">
        <f t="shared" si="103"/>
        <v/>
      </c>
      <c r="CU171" s="39" t="str">
        <f t="shared" si="103"/>
        <v/>
      </c>
      <c r="CV171" s="39" t="str">
        <f t="shared" si="103"/>
        <v/>
      </c>
      <c r="CW171" s="39" t="str">
        <f t="shared" si="103"/>
        <v/>
      </c>
      <c r="CX171" s="39" t="str">
        <f t="shared" si="103"/>
        <v/>
      </c>
      <c r="CY171" s="39" t="str">
        <f t="shared" si="103"/>
        <v/>
      </c>
      <c r="CZ171" s="39" t="str">
        <f t="shared" si="103"/>
        <v/>
      </c>
      <c r="DA171" s="39" t="str">
        <f t="shared" si="103"/>
        <v/>
      </c>
      <c r="DB171" s="39" t="str">
        <f t="shared" si="103"/>
        <v/>
      </c>
      <c r="DC171" s="39" t="str">
        <f t="shared" si="103"/>
        <v/>
      </c>
      <c r="DD171" s="39" t="str">
        <f t="shared" si="103"/>
        <v/>
      </c>
      <c r="DE171" s="39" t="str">
        <f t="shared" si="103"/>
        <v/>
      </c>
      <c r="DF171" s="37" t="str">
        <f t="shared" si="93"/>
        <v>1+0+0</v>
      </c>
      <c r="DG171" s="37" t="str">
        <f t="shared" si="94"/>
        <v>242+524</v>
      </c>
      <c r="DH171" s="37" t="str">
        <f t="shared" si="95"/>
        <v>0+0</v>
      </c>
      <c r="DI171" s="37" t="str">
        <f t="shared" si="96"/>
        <v>0+0</v>
      </c>
      <c r="DJ171" s="37" t="str">
        <f t="shared" si="97"/>
        <v>1+0+0|242+524|0+0|0+0</v>
      </c>
    </row>
    <row r="172" spans="2:114" x14ac:dyDescent="0.15">
      <c r="B172" s="15">
        <v>169</v>
      </c>
      <c r="C172" s="15" t="s">
        <v>638</v>
      </c>
      <c r="D172" s="15">
        <v>102</v>
      </c>
      <c r="G172" s="25" t="s">
        <v>545</v>
      </c>
      <c r="H172" s="25">
        <v>169</v>
      </c>
      <c r="I172" s="26" t="s">
        <v>735</v>
      </c>
      <c r="J172" s="26">
        <f t="shared" si="75"/>
        <v>39</v>
      </c>
      <c r="M172" s="25" t="s">
        <v>545</v>
      </c>
      <c r="N172" s="25">
        <v>169</v>
      </c>
      <c r="O172" s="26" t="s">
        <v>674</v>
      </c>
      <c r="P172" s="26">
        <f t="shared" si="76"/>
        <v>160</v>
      </c>
      <c r="Q172" s="26"/>
      <c r="R172" s="26"/>
      <c r="S172" s="25" t="s">
        <v>545</v>
      </c>
      <c r="T172" s="25">
        <v>169</v>
      </c>
      <c r="U172" s="26" t="s">
        <v>735</v>
      </c>
      <c r="V172" s="26">
        <f t="shared" si="77"/>
        <v>39</v>
      </c>
      <c r="W172" s="26"/>
      <c r="Y172" s="25" t="s">
        <v>545</v>
      </c>
      <c r="Z172" s="25">
        <v>169</v>
      </c>
      <c r="AA172" s="26" t="s">
        <v>62</v>
      </c>
      <c r="AB172" s="26">
        <f t="shared" si="78"/>
        <v>27</v>
      </c>
      <c r="AE172" s="25" t="s">
        <v>545</v>
      </c>
      <c r="AF172" s="25">
        <v>169</v>
      </c>
      <c r="AG172" s="26" t="s">
        <v>946</v>
      </c>
      <c r="AH172" s="26">
        <f t="shared" si="79"/>
        <v>110</v>
      </c>
      <c r="AK172" s="25" t="s">
        <v>545</v>
      </c>
      <c r="AL172" s="25">
        <v>169</v>
      </c>
      <c r="AM172" s="26" t="s">
        <v>657</v>
      </c>
      <c r="AN172" s="26">
        <f t="shared" si="80"/>
        <v>133</v>
      </c>
      <c r="AQ172" s="25" t="s">
        <v>545</v>
      </c>
      <c r="AR172" s="25">
        <v>169</v>
      </c>
      <c r="AS172" s="26" t="s">
        <v>981</v>
      </c>
      <c r="AT172" s="26">
        <f t="shared" si="81"/>
        <v>117</v>
      </c>
      <c r="AX172" s="15"/>
      <c r="AY172" s="35">
        <f t="shared" si="82"/>
        <v>169</v>
      </c>
      <c r="AZ172" s="35" t="str">
        <f t="shared" si="83"/>
        <v>670+638</v>
      </c>
      <c r="BA172" s="35">
        <f t="shared" si="84"/>
        <v>102</v>
      </c>
      <c r="BB172" s="38">
        <f>COUNTIF($BA$4:$BA172,$BA172)</f>
        <v>3</v>
      </c>
      <c r="BC172" s="36" t="str">
        <f t="shared" si="85"/>
        <v/>
      </c>
      <c r="BD172" s="36" t="str">
        <f t="shared" si="86"/>
        <v>营</v>
      </c>
      <c r="BE172" s="36" t="str">
        <f t="shared" si="87"/>
        <v>营</v>
      </c>
      <c r="BF172" s="36" t="str">
        <f t="shared" si="88"/>
        <v/>
      </c>
      <c r="BG172" s="36" t="str">
        <f t="shared" si="89"/>
        <v>营</v>
      </c>
      <c r="BH172" s="36" t="str">
        <f t="shared" si="90"/>
        <v/>
      </c>
      <c r="BI172" s="36" t="str">
        <f t="shared" si="91"/>
        <v>营</v>
      </c>
      <c r="BJ172" s="29" t="str">
        <f t="shared" si="92"/>
        <v>营</v>
      </c>
      <c r="BL172" s="15">
        <v>169</v>
      </c>
      <c r="BM172" s="39" t="str">
        <f t="shared" si="104"/>
        <v>201+488</v>
      </c>
      <c r="BN172" s="39" t="str">
        <f t="shared" si="104"/>
        <v>173+537</v>
      </c>
      <c r="BO172" s="39" t="str">
        <f t="shared" si="104"/>
        <v/>
      </c>
      <c r="BP172" s="39" t="str">
        <f t="shared" si="104"/>
        <v/>
      </c>
      <c r="BQ172" s="39" t="str">
        <f t="shared" si="104"/>
        <v/>
      </c>
      <c r="BR172" s="39" t="str">
        <f t="shared" si="104"/>
        <v/>
      </c>
      <c r="BS172" s="39" t="str">
        <f t="shared" si="104"/>
        <v/>
      </c>
      <c r="BT172" s="39" t="str">
        <f t="shared" si="104"/>
        <v/>
      </c>
      <c r="BU172" s="39" t="str">
        <f t="shared" si="104"/>
        <v/>
      </c>
      <c r="BV172" s="39" t="str">
        <f t="shared" si="104"/>
        <v/>
      </c>
      <c r="BW172" s="39" t="str">
        <f t="shared" si="104"/>
        <v/>
      </c>
      <c r="BX172" s="39" t="str">
        <f t="shared" si="104"/>
        <v/>
      </c>
      <c r="BY172" s="39" t="str">
        <f t="shared" si="104"/>
        <v/>
      </c>
      <c r="BZ172" s="39" t="str">
        <f t="shared" si="104"/>
        <v/>
      </c>
      <c r="CA172" s="39" t="str">
        <f t="shared" si="104"/>
        <v/>
      </c>
      <c r="CB172" s="39" t="str">
        <f t="shared" ref="CB172:CP183" si="105">IFERROR(INDEX($AZ$4:$AZ$1000,MATCH(SUMIFS($AY$4:$AY$1000,$BA$4:$BA$1000,$BL172,$BB$4:$BB$1000,CB$3,$BJ$4:$BJ$1000,"县"),$AY$4:$AY$1000,0)),"")</f>
        <v/>
      </c>
      <c r="CC172" s="39" t="str">
        <f t="shared" si="105"/>
        <v/>
      </c>
      <c r="CD172" s="39" t="str">
        <f t="shared" si="105"/>
        <v>132+563</v>
      </c>
      <c r="CE172" s="39" t="str">
        <f t="shared" si="105"/>
        <v/>
      </c>
      <c r="CF172" s="39" t="str">
        <f t="shared" si="105"/>
        <v/>
      </c>
      <c r="CG172" s="39" t="str">
        <f t="shared" si="105"/>
        <v/>
      </c>
      <c r="CH172" s="39" t="str">
        <f t="shared" si="105"/>
        <v/>
      </c>
      <c r="CI172" s="39" t="str">
        <f t="shared" si="105"/>
        <v/>
      </c>
      <c r="CJ172" s="39" t="str">
        <f t="shared" si="105"/>
        <v/>
      </c>
      <c r="CK172" s="39" t="str">
        <f t="shared" si="105"/>
        <v/>
      </c>
      <c r="CL172" s="39" t="str">
        <f t="shared" si="105"/>
        <v/>
      </c>
      <c r="CM172" s="39" t="str">
        <f t="shared" si="105"/>
        <v/>
      </c>
      <c r="CN172" s="39" t="str">
        <f t="shared" si="105"/>
        <v/>
      </c>
      <c r="CO172" s="39" t="str">
        <f t="shared" si="105"/>
        <v/>
      </c>
      <c r="CP172" s="39" t="str">
        <f t="shared" si="105"/>
        <v/>
      </c>
      <c r="CQ172" s="39" t="str">
        <f t="shared" ref="CQ172:DE183" si="106">IFERROR(INDEX($AZ$4:$AZ$1000,MATCH(SUMIFS($AY$4:$AY$1000,$BA$4:$BA$1000,$BL172,$BB$4:$BB$1000,CQ$3,$BJ$4:$BJ$1000,"营"),$AY$4:$AY$1000,0)),"")</f>
        <v/>
      </c>
      <c r="CR172" s="39" t="str">
        <f t="shared" si="106"/>
        <v/>
      </c>
      <c r="CS172" s="39" t="str">
        <f t="shared" si="106"/>
        <v/>
      </c>
      <c r="CT172" s="39" t="str">
        <f t="shared" si="106"/>
        <v/>
      </c>
      <c r="CU172" s="39" t="str">
        <f t="shared" si="106"/>
        <v/>
      </c>
      <c r="CV172" s="39" t="str">
        <f t="shared" si="106"/>
        <v/>
      </c>
      <c r="CW172" s="39" t="str">
        <f t="shared" si="106"/>
        <v/>
      </c>
      <c r="CX172" s="39" t="str">
        <f t="shared" si="106"/>
        <v/>
      </c>
      <c r="CY172" s="39" t="str">
        <f t="shared" si="106"/>
        <v/>
      </c>
      <c r="CZ172" s="39" t="str">
        <f t="shared" si="106"/>
        <v/>
      </c>
      <c r="DA172" s="39" t="str">
        <f t="shared" si="106"/>
        <v/>
      </c>
      <c r="DB172" s="39" t="str">
        <f t="shared" si="106"/>
        <v/>
      </c>
      <c r="DC172" s="39" t="str">
        <f t="shared" si="106"/>
        <v/>
      </c>
      <c r="DD172" s="39" t="str">
        <f t="shared" si="106"/>
        <v/>
      </c>
      <c r="DE172" s="39" t="str">
        <f t="shared" si="106"/>
        <v/>
      </c>
      <c r="DF172" s="37" t="str">
        <f t="shared" si="93"/>
        <v>2+1+0</v>
      </c>
      <c r="DG172" s="37" t="str">
        <f t="shared" si="94"/>
        <v>201+488|173+537</v>
      </c>
      <c r="DH172" s="37" t="str">
        <f t="shared" si="95"/>
        <v>132+563</v>
      </c>
      <c r="DI172" s="37" t="str">
        <f t="shared" si="96"/>
        <v>0+0</v>
      </c>
      <c r="DJ172" s="37" t="str">
        <f t="shared" si="97"/>
        <v>2+1+0|201+488|173+537|132+563|0+0</v>
      </c>
    </row>
    <row r="173" spans="2:114" x14ac:dyDescent="0.15">
      <c r="B173" s="15">
        <v>170</v>
      </c>
      <c r="C173" s="15" t="s">
        <v>215</v>
      </c>
      <c r="D173" s="15">
        <v>103</v>
      </c>
      <c r="G173" s="25" t="s">
        <v>546</v>
      </c>
      <c r="H173" s="25">
        <v>170</v>
      </c>
      <c r="I173" s="26" t="s">
        <v>657</v>
      </c>
      <c r="J173" s="26">
        <f t="shared" si="75"/>
        <v>133</v>
      </c>
      <c r="M173" s="25" t="s">
        <v>546</v>
      </c>
      <c r="N173" s="25">
        <v>170</v>
      </c>
      <c r="O173" s="26" t="s">
        <v>735</v>
      </c>
      <c r="P173" s="26">
        <f t="shared" si="76"/>
        <v>39</v>
      </c>
      <c r="Q173" s="26"/>
      <c r="R173" s="26"/>
      <c r="S173" s="25" t="s">
        <v>546</v>
      </c>
      <c r="T173" s="25">
        <v>170</v>
      </c>
      <c r="U173" s="26" t="s">
        <v>667</v>
      </c>
      <c r="V173" s="26">
        <f t="shared" si="77"/>
        <v>150</v>
      </c>
      <c r="W173" s="26"/>
      <c r="Y173" s="25" t="s">
        <v>546</v>
      </c>
      <c r="Z173" s="25">
        <v>170</v>
      </c>
      <c r="AA173" s="26" t="s">
        <v>659</v>
      </c>
      <c r="AB173" s="26">
        <f t="shared" si="78"/>
        <v>137</v>
      </c>
      <c r="AE173" s="25" t="s">
        <v>546</v>
      </c>
      <c r="AF173" s="25">
        <v>170</v>
      </c>
      <c r="AG173" s="26" t="s">
        <v>976</v>
      </c>
      <c r="AH173" s="26">
        <f t="shared" si="79"/>
        <v>127</v>
      </c>
      <c r="AK173" s="25" t="s">
        <v>546</v>
      </c>
      <c r="AL173" s="25">
        <v>170</v>
      </c>
      <c r="AM173" s="26" t="s">
        <v>900</v>
      </c>
      <c r="AN173" s="26">
        <f t="shared" si="80"/>
        <v>112</v>
      </c>
      <c r="AQ173" s="25" t="s">
        <v>546</v>
      </c>
      <c r="AR173" s="25">
        <v>170</v>
      </c>
      <c r="AS173" s="26" t="s">
        <v>674</v>
      </c>
      <c r="AT173" s="26">
        <f t="shared" si="81"/>
        <v>160</v>
      </c>
      <c r="AX173" s="15"/>
      <c r="AY173" s="35">
        <f t="shared" si="82"/>
        <v>170</v>
      </c>
      <c r="AZ173" s="35" t="str">
        <f t="shared" si="83"/>
        <v>686+633</v>
      </c>
      <c r="BA173" s="35">
        <f t="shared" si="84"/>
        <v>103</v>
      </c>
      <c r="BB173" s="38">
        <f>COUNTIF($BA$4:$BA173,$BA173)</f>
        <v>1</v>
      </c>
      <c r="BC173" s="36" t="str">
        <f t="shared" si="85"/>
        <v/>
      </c>
      <c r="BD173" s="36" t="str">
        <f t="shared" si="86"/>
        <v>村</v>
      </c>
      <c r="BE173" s="36" t="str">
        <f t="shared" si="87"/>
        <v>村</v>
      </c>
      <c r="BF173" s="36" t="str">
        <f t="shared" si="88"/>
        <v/>
      </c>
      <c r="BG173" s="36" t="str">
        <f t="shared" si="89"/>
        <v/>
      </c>
      <c r="BH173" s="36" t="str">
        <f t="shared" si="90"/>
        <v/>
      </c>
      <c r="BI173" s="36" t="str">
        <f t="shared" si="91"/>
        <v/>
      </c>
      <c r="BJ173" s="29" t="str">
        <f t="shared" si="92"/>
        <v>村</v>
      </c>
      <c r="BL173" s="15">
        <v>170</v>
      </c>
      <c r="BM173" s="39" t="str">
        <f t="shared" si="104"/>
        <v/>
      </c>
      <c r="BN173" s="39" t="str">
        <f t="shared" si="104"/>
        <v/>
      </c>
      <c r="BO173" s="39" t="str">
        <f t="shared" si="104"/>
        <v/>
      </c>
      <c r="BP173" s="39" t="str">
        <f t="shared" si="104"/>
        <v/>
      </c>
      <c r="BQ173" s="39" t="str">
        <f t="shared" si="104"/>
        <v/>
      </c>
      <c r="BR173" s="39" t="str">
        <f t="shared" si="104"/>
        <v/>
      </c>
      <c r="BS173" s="39" t="str">
        <f t="shared" si="104"/>
        <v/>
      </c>
      <c r="BT173" s="39" t="str">
        <f t="shared" si="104"/>
        <v/>
      </c>
      <c r="BU173" s="39" t="str">
        <f t="shared" si="104"/>
        <v/>
      </c>
      <c r="BV173" s="39" t="str">
        <f t="shared" si="104"/>
        <v/>
      </c>
      <c r="BW173" s="39" t="str">
        <f t="shared" si="104"/>
        <v/>
      </c>
      <c r="BX173" s="39" t="str">
        <f t="shared" si="104"/>
        <v/>
      </c>
      <c r="BY173" s="39" t="str">
        <f t="shared" si="104"/>
        <v/>
      </c>
      <c r="BZ173" s="39" t="str">
        <f t="shared" si="104"/>
        <v/>
      </c>
      <c r="CA173" s="39" t="str">
        <f t="shared" si="104"/>
        <v/>
      </c>
      <c r="CB173" s="39" t="str">
        <f t="shared" si="105"/>
        <v/>
      </c>
      <c r="CC173" s="39" t="str">
        <f t="shared" si="105"/>
        <v/>
      </c>
      <c r="CD173" s="39" t="str">
        <f t="shared" si="105"/>
        <v/>
      </c>
      <c r="CE173" s="39" t="str">
        <f t="shared" si="105"/>
        <v/>
      </c>
      <c r="CF173" s="39" t="str">
        <f t="shared" si="105"/>
        <v/>
      </c>
      <c r="CG173" s="39" t="str">
        <f t="shared" si="105"/>
        <v/>
      </c>
      <c r="CH173" s="39" t="str">
        <f t="shared" si="105"/>
        <v/>
      </c>
      <c r="CI173" s="39" t="str">
        <f t="shared" si="105"/>
        <v/>
      </c>
      <c r="CJ173" s="39" t="str">
        <f t="shared" si="105"/>
        <v/>
      </c>
      <c r="CK173" s="39" t="str">
        <f t="shared" si="105"/>
        <v/>
      </c>
      <c r="CL173" s="39" t="str">
        <f t="shared" si="105"/>
        <v/>
      </c>
      <c r="CM173" s="39" t="str">
        <f t="shared" si="105"/>
        <v/>
      </c>
      <c r="CN173" s="39" t="str">
        <f t="shared" si="105"/>
        <v/>
      </c>
      <c r="CO173" s="39" t="str">
        <f t="shared" si="105"/>
        <v/>
      </c>
      <c r="CP173" s="39" t="str">
        <f t="shared" si="105"/>
        <v/>
      </c>
      <c r="CQ173" s="39" t="str">
        <f t="shared" si="106"/>
        <v/>
      </c>
      <c r="CR173" s="39" t="str">
        <f t="shared" si="106"/>
        <v/>
      </c>
      <c r="CS173" s="39" t="str">
        <f t="shared" si="106"/>
        <v/>
      </c>
      <c r="CT173" s="39" t="str">
        <f t="shared" si="106"/>
        <v/>
      </c>
      <c r="CU173" s="39" t="str">
        <f t="shared" si="106"/>
        <v/>
      </c>
      <c r="CV173" s="39" t="str">
        <f t="shared" si="106"/>
        <v/>
      </c>
      <c r="CW173" s="39" t="str">
        <f t="shared" si="106"/>
        <v/>
      </c>
      <c r="CX173" s="39" t="str">
        <f t="shared" si="106"/>
        <v/>
      </c>
      <c r="CY173" s="39" t="str">
        <f t="shared" si="106"/>
        <v/>
      </c>
      <c r="CZ173" s="39" t="str">
        <f t="shared" si="106"/>
        <v/>
      </c>
      <c r="DA173" s="39" t="str">
        <f t="shared" si="106"/>
        <v/>
      </c>
      <c r="DB173" s="39" t="str">
        <f t="shared" si="106"/>
        <v/>
      </c>
      <c r="DC173" s="39" t="str">
        <f t="shared" si="106"/>
        <v/>
      </c>
      <c r="DD173" s="39" t="str">
        <f t="shared" si="106"/>
        <v/>
      </c>
      <c r="DE173" s="39" t="str">
        <f t="shared" si="106"/>
        <v/>
      </c>
      <c r="DF173" s="37" t="str">
        <f t="shared" si="93"/>
        <v>0+0+0</v>
      </c>
      <c r="DG173" s="37" t="str">
        <f t="shared" si="94"/>
        <v>0+0</v>
      </c>
      <c r="DH173" s="37" t="str">
        <f t="shared" si="95"/>
        <v>0+0</v>
      </c>
      <c r="DI173" s="37" t="str">
        <f t="shared" si="96"/>
        <v>0+0</v>
      </c>
      <c r="DJ173" s="37" t="str">
        <f t="shared" si="97"/>
        <v>0+0+0|0+0|0+0|0+0</v>
      </c>
    </row>
    <row r="174" spans="2:114" x14ac:dyDescent="0.15">
      <c r="B174" s="15">
        <v>171</v>
      </c>
      <c r="C174" s="15" t="s">
        <v>216</v>
      </c>
      <c r="D174" s="15">
        <v>103</v>
      </c>
      <c r="AX174" s="15"/>
      <c r="AY174" s="35">
        <f t="shared" si="82"/>
        <v>171</v>
      </c>
      <c r="AZ174" s="35" t="str">
        <f t="shared" si="83"/>
        <v>672+596</v>
      </c>
      <c r="BA174" s="35">
        <f t="shared" si="84"/>
        <v>103</v>
      </c>
      <c r="BB174" s="38">
        <f>COUNTIF($BA$4:$BA174,$BA174)</f>
        <v>2</v>
      </c>
      <c r="BC174" s="36" t="str">
        <f t="shared" si="85"/>
        <v/>
      </c>
      <c r="BD174" s="36" t="str">
        <f t="shared" si="86"/>
        <v>村</v>
      </c>
      <c r="BE174" s="36" t="str">
        <f t="shared" si="87"/>
        <v>村</v>
      </c>
      <c r="BF174" s="36" t="str">
        <f t="shared" si="88"/>
        <v/>
      </c>
      <c r="BG174" s="36" t="str">
        <f t="shared" si="89"/>
        <v/>
      </c>
      <c r="BH174" s="36" t="str">
        <f t="shared" si="90"/>
        <v/>
      </c>
      <c r="BI174" s="36" t="str">
        <f t="shared" si="91"/>
        <v>村</v>
      </c>
      <c r="BJ174" s="29" t="str">
        <f t="shared" si="92"/>
        <v>村</v>
      </c>
      <c r="BL174" s="15">
        <v>171</v>
      </c>
      <c r="BM174" s="39" t="str">
        <f t="shared" si="104"/>
        <v>221+222</v>
      </c>
      <c r="BN174" s="39" t="str">
        <f t="shared" si="104"/>
        <v>202+251</v>
      </c>
      <c r="BO174" s="39" t="str">
        <f t="shared" si="104"/>
        <v/>
      </c>
      <c r="BP174" s="39" t="str">
        <f t="shared" si="104"/>
        <v/>
      </c>
      <c r="BQ174" s="39" t="str">
        <f t="shared" si="104"/>
        <v/>
      </c>
      <c r="BR174" s="39" t="str">
        <f t="shared" si="104"/>
        <v/>
      </c>
      <c r="BS174" s="39" t="str">
        <f t="shared" si="104"/>
        <v/>
      </c>
      <c r="BT174" s="39" t="str">
        <f t="shared" si="104"/>
        <v/>
      </c>
      <c r="BU174" s="39" t="str">
        <f t="shared" si="104"/>
        <v/>
      </c>
      <c r="BV174" s="39" t="str">
        <f t="shared" si="104"/>
        <v/>
      </c>
      <c r="BW174" s="39" t="str">
        <f t="shared" si="104"/>
        <v/>
      </c>
      <c r="BX174" s="39" t="str">
        <f t="shared" si="104"/>
        <v/>
      </c>
      <c r="BY174" s="39" t="str">
        <f t="shared" si="104"/>
        <v/>
      </c>
      <c r="BZ174" s="39" t="str">
        <f t="shared" si="104"/>
        <v/>
      </c>
      <c r="CA174" s="39" t="str">
        <f t="shared" si="104"/>
        <v/>
      </c>
      <c r="CB174" s="39" t="str">
        <f t="shared" si="105"/>
        <v/>
      </c>
      <c r="CC174" s="39" t="str">
        <f t="shared" si="105"/>
        <v/>
      </c>
      <c r="CD174" s="39" t="str">
        <f t="shared" si="105"/>
        <v/>
      </c>
      <c r="CE174" s="39" t="str">
        <f t="shared" si="105"/>
        <v/>
      </c>
      <c r="CF174" s="39" t="str">
        <f t="shared" si="105"/>
        <v/>
      </c>
      <c r="CG174" s="39" t="str">
        <f t="shared" si="105"/>
        <v/>
      </c>
      <c r="CH174" s="39" t="str">
        <f t="shared" si="105"/>
        <v/>
      </c>
      <c r="CI174" s="39" t="str">
        <f t="shared" si="105"/>
        <v/>
      </c>
      <c r="CJ174" s="39" t="str">
        <f t="shared" si="105"/>
        <v/>
      </c>
      <c r="CK174" s="39" t="str">
        <f t="shared" si="105"/>
        <v/>
      </c>
      <c r="CL174" s="39" t="str">
        <f t="shared" si="105"/>
        <v/>
      </c>
      <c r="CM174" s="39" t="str">
        <f t="shared" si="105"/>
        <v/>
      </c>
      <c r="CN174" s="39" t="str">
        <f t="shared" si="105"/>
        <v/>
      </c>
      <c r="CO174" s="39" t="str">
        <f t="shared" si="105"/>
        <v/>
      </c>
      <c r="CP174" s="39" t="str">
        <f t="shared" si="105"/>
        <v/>
      </c>
      <c r="CQ174" s="39" t="str">
        <f t="shared" si="106"/>
        <v/>
      </c>
      <c r="CR174" s="39" t="str">
        <f t="shared" si="106"/>
        <v/>
      </c>
      <c r="CS174" s="39" t="str">
        <f t="shared" si="106"/>
        <v>195+211</v>
      </c>
      <c r="CT174" s="39" t="str">
        <f t="shared" si="106"/>
        <v/>
      </c>
      <c r="CU174" s="39" t="str">
        <f t="shared" si="106"/>
        <v/>
      </c>
      <c r="CV174" s="39" t="str">
        <f t="shared" si="106"/>
        <v/>
      </c>
      <c r="CW174" s="39" t="str">
        <f t="shared" si="106"/>
        <v/>
      </c>
      <c r="CX174" s="39" t="str">
        <f t="shared" si="106"/>
        <v/>
      </c>
      <c r="CY174" s="39" t="str">
        <f t="shared" si="106"/>
        <v/>
      </c>
      <c r="CZ174" s="39" t="str">
        <f t="shared" si="106"/>
        <v/>
      </c>
      <c r="DA174" s="39" t="str">
        <f t="shared" si="106"/>
        <v/>
      </c>
      <c r="DB174" s="39" t="str">
        <f t="shared" si="106"/>
        <v/>
      </c>
      <c r="DC174" s="39" t="str">
        <f t="shared" si="106"/>
        <v/>
      </c>
      <c r="DD174" s="39" t="str">
        <f t="shared" si="106"/>
        <v/>
      </c>
      <c r="DE174" s="39" t="str">
        <f t="shared" si="106"/>
        <v/>
      </c>
      <c r="DF174" s="37" t="str">
        <f t="shared" si="93"/>
        <v>2+0+1</v>
      </c>
      <c r="DG174" s="37" t="str">
        <f t="shared" si="94"/>
        <v>221+222|202+251</v>
      </c>
      <c r="DH174" s="37" t="str">
        <f t="shared" si="95"/>
        <v>0+0</v>
      </c>
      <c r="DI174" s="37" t="str">
        <f t="shared" si="96"/>
        <v>195+211</v>
      </c>
      <c r="DJ174" s="37" t="str">
        <f t="shared" si="97"/>
        <v>2+0+1|221+222|202+251|0+0|195+211</v>
      </c>
    </row>
    <row r="175" spans="2:114" x14ac:dyDescent="0.15">
      <c r="B175" s="15">
        <v>172</v>
      </c>
      <c r="C175" s="15" t="s">
        <v>639</v>
      </c>
      <c r="D175" s="15">
        <v>103</v>
      </c>
      <c r="AX175" s="15"/>
      <c r="AY175" s="35">
        <f t="shared" si="82"/>
        <v>172</v>
      </c>
      <c r="AZ175" s="35" t="str">
        <f t="shared" si="83"/>
        <v>682+588</v>
      </c>
      <c r="BA175" s="35">
        <f t="shared" si="84"/>
        <v>103</v>
      </c>
      <c r="BB175" s="38">
        <f>COUNTIF($BA$4:$BA175,$BA175)</f>
        <v>3</v>
      </c>
      <c r="BC175" s="36" t="str">
        <f t="shared" si="85"/>
        <v/>
      </c>
      <c r="BD175" s="36" t="str">
        <f t="shared" si="86"/>
        <v>营</v>
      </c>
      <c r="BE175" s="36" t="str">
        <f t="shared" si="87"/>
        <v>营</v>
      </c>
      <c r="BF175" s="36" t="str">
        <f t="shared" si="88"/>
        <v/>
      </c>
      <c r="BG175" s="36" t="str">
        <f t="shared" si="89"/>
        <v/>
      </c>
      <c r="BH175" s="36" t="str">
        <f t="shared" si="90"/>
        <v/>
      </c>
      <c r="BI175" s="36" t="str">
        <f t="shared" si="91"/>
        <v>营</v>
      </c>
      <c r="BJ175" s="29" t="str">
        <f t="shared" si="92"/>
        <v>营</v>
      </c>
      <c r="BL175" s="15">
        <v>172</v>
      </c>
      <c r="BM175" s="39" t="str">
        <f t="shared" si="104"/>
        <v>173+259</v>
      </c>
      <c r="BN175" s="39" t="str">
        <f t="shared" si="104"/>
        <v/>
      </c>
      <c r="BO175" s="39" t="str">
        <f t="shared" si="104"/>
        <v/>
      </c>
      <c r="BP175" s="39" t="str">
        <f t="shared" si="104"/>
        <v/>
      </c>
      <c r="BQ175" s="39" t="str">
        <f t="shared" si="104"/>
        <v/>
      </c>
      <c r="BR175" s="39" t="str">
        <f t="shared" si="104"/>
        <v/>
      </c>
      <c r="BS175" s="39" t="str">
        <f t="shared" si="104"/>
        <v/>
      </c>
      <c r="BT175" s="39" t="str">
        <f t="shared" si="104"/>
        <v/>
      </c>
      <c r="BU175" s="39" t="str">
        <f t="shared" si="104"/>
        <v/>
      </c>
      <c r="BV175" s="39" t="str">
        <f t="shared" si="104"/>
        <v/>
      </c>
      <c r="BW175" s="39" t="str">
        <f t="shared" si="104"/>
        <v/>
      </c>
      <c r="BX175" s="39" t="str">
        <f t="shared" si="104"/>
        <v/>
      </c>
      <c r="BY175" s="39" t="str">
        <f t="shared" si="104"/>
        <v/>
      </c>
      <c r="BZ175" s="39" t="str">
        <f t="shared" si="104"/>
        <v/>
      </c>
      <c r="CA175" s="39" t="str">
        <f t="shared" si="104"/>
        <v/>
      </c>
      <c r="CB175" s="39" t="str">
        <f t="shared" si="105"/>
        <v/>
      </c>
      <c r="CC175" s="39" t="str">
        <f t="shared" si="105"/>
        <v/>
      </c>
      <c r="CD175" s="39" t="str">
        <f t="shared" si="105"/>
        <v/>
      </c>
      <c r="CE175" s="39" t="str">
        <f t="shared" si="105"/>
        <v/>
      </c>
      <c r="CF175" s="39" t="str">
        <f t="shared" si="105"/>
        <v/>
      </c>
      <c r="CG175" s="39" t="str">
        <f t="shared" si="105"/>
        <v/>
      </c>
      <c r="CH175" s="39" t="str">
        <f t="shared" si="105"/>
        <v/>
      </c>
      <c r="CI175" s="39" t="str">
        <f t="shared" si="105"/>
        <v/>
      </c>
      <c r="CJ175" s="39" t="str">
        <f t="shared" si="105"/>
        <v/>
      </c>
      <c r="CK175" s="39" t="str">
        <f t="shared" si="105"/>
        <v/>
      </c>
      <c r="CL175" s="39" t="str">
        <f t="shared" si="105"/>
        <v/>
      </c>
      <c r="CM175" s="39" t="str">
        <f t="shared" si="105"/>
        <v/>
      </c>
      <c r="CN175" s="39" t="str">
        <f t="shared" si="105"/>
        <v/>
      </c>
      <c r="CO175" s="39" t="str">
        <f t="shared" si="105"/>
        <v/>
      </c>
      <c r="CP175" s="39" t="str">
        <f t="shared" si="105"/>
        <v/>
      </c>
      <c r="CQ175" s="39" t="str">
        <f t="shared" si="106"/>
        <v/>
      </c>
      <c r="CR175" s="39" t="str">
        <f t="shared" si="106"/>
        <v>142+301</v>
      </c>
      <c r="CS175" s="39" t="str">
        <f t="shared" si="106"/>
        <v/>
      </c>
      <c r="CT175" s="39" t="str">
        <f t="shared" si="106"/>
        <v/>
      </c>
      <c r="CU175" s="39" t="str">
        <f t="shared" si="106"/>
        <v/>
      </c>
      <c r="CV175" s="39" t="str">
        <f t="shared" si="106"/>
        <v/>
      </c>
      <c r="CW175" s="39" t="str">
        <f t="shared" si="106"/>
        <v/>
      </c>
      <c r="CX175" s="39" t="str">
        <f t="shared" si="106"/>
        <v/>
      </c>
      <c r="CY175" s="39" t="str">
        <f t="shared" si="106"/>
        <v/>
      </c>
      <c r="CZ175" s="39" t="str">
        <f t="shared" si="106"/>
        <v/>
      </c>
      <c r="DA175" s="39" t="str">
        <f t="shared" si="106"/>
        <v/>
      </c>
      <c r="DB175" s="39" t="str">
        <f t="shared" si="106"/>
        <v/>
      </c>
      <c r="DC175" s="39" t="str">
        <f t="shared" si="106"/>
        <v/>
      </c>
      <c r="DD175" s="39" t="str">
        <f t="shared" si="106"/>
        <v/>
      </c>
      <c r="DE175" s="39" t="str">
        <f t="shared" si="106"/>
        <v/>
      </c>
      <c r="DF175" s="37" t="str">
        <f t="shared" si="93"/>
        <v>1+0+1</v>
      </c>
      <c r="DG175" s="37" t="str">
        <f t="shared" si="94"/>
        <v>173+259</v>
      </c>
      <c r="DH175" s="37" t="str">
        <f t="shared" si="95"/>
        <v>0+0</v>
      </c>
      <c r="DI175" s="37" t="str">
        <f t="shared" si="96"/>
        <v>142+301</v>
      </c>
      <c r="DJ175" s="37" t="str">
        <f t="shared" si="97"/>
        <v>1+0+1|173+259|0+0|142+301</v>
      </c>
    </row>
    <row r="176" spans="2:114" x14ac:dyDescent="0.15">
      <c r="B176" s="15">
        <v>173</v>
      </c>
      <c r="C176" s="15" t="s">
        <v>217</v>
      </c>
      <c r="D176" s="15">
        <v>104</v>
      </c>
      <c r="AX176" s="15"/>
      <c r="AY176" s="35">
        <f t="shared" si="82"/>
        <v>173</v>
      </c>
      <c r="AZ176" s="35" t="str">
        <f t="shared" si="83"/>
        <v>692+602</v>
      </c>
      <c r="BA176" s="35">
        <f t="shared" si="84"/>
        <v>104</v>
      </c>
      <c r="BB176" s="38">
        <f>COUNTIF($BA$4:$BA176,$BA176)</f>
        <v>1</v>
      </c>
      <c r="BC176" s="36" t="str">
        <f t="shared" si="85"/>
        <v/>
      </c>
      <c r="BD176" s="36" t="str">
        <f t="shared" si="86"/>
        <v>村</v>
      </c>
      <c r="BE176" s="36" t="str">
        <f t="shared" si="87"/>
        <v>村</v>
      </c>
      <c r="BF176" s="36" t="str">
        <f t="shared" si="88"/>
        <v/>
      </c>
      <c r="BG176" s="36" t="str">
        <f t="shared" si="89"/>
        <v/>
      </c>
      <c r="BH176" s="36" t="str">
        <f t="shared" si="90"/>
        <v/>
      </c>
      <c r="BI176" s="36" t="str">
        <f t="shared" si="91"/>
        <v/>
      </c>
      <c r="BJ176" s="29" t="str">
        <f t="shared" si="92"/>
        <v>村</v>
      </c>
      <c r="BL176" s="15">
        <v>173</v>
      </c>
      <c r="BM176" s="39" t="str">
        <f t="shared" si="104"/>
        <v/>
      </c>
      <c r="BN176" s="39" t="str">
        <f t="shared" si="104"/>
        <v/>
      </c>
      <c r="BO176" s="39" t="str">
        <f t="shared" si="104"/>
        <v/>
      </c>
      <c r="BP176" s="39" t="str">
        <f t="shared" si="104"/>
        <v/>
      </c>
      <c r="BQ176" s="39" t="str">
        <f t="shared" si="104"/>
        <v/>
      </c>
      <c r="BR176" s="39" t="str">
        <f t="shared" si="104"/>
        <v/>
      </c>
      <c r="BS176" s="39" t="str">
        <f t="shared" si="104"/>
        <v/>
      </c>
      <c r="BT176" s="39" t="str">
        <f t="shared" si="104"/>
        <v/>
      </c>
      <c r="BU176" s="39" t="str">
        <f t="shared" si="104"/>
        <v/>
      </c>
      <c r="BV176" s="39" t="str">
        <f t="shared" si="104"/>
        <v/>
      </c>
      <c r="BW176" s="39" t="str">
        <f t="shared" si="104"/>
        <v/>
      </c>
      <c r="BX176" s="39" t="str">
        <f t="shared" si="104"/>
        <v/>
      </c>
      <c r="BY176" s="39" t="str">
        <f t="shared" si="104"/>
        <v/>
      </c>
      <c r="BZ176" s="39" t="str">
        <f t="shared" si="104"/>
        <v/>
      </c>
      <c r="CA176" s="39" t="str">
        <f t="shared" si="104"/>
        <v/>
      </c>
      <c r="CB176" s="39" t="str">
        <f t="shared" si="105"/>
        <v/>
      </c>
      <c r="CC176" s="39" t="str">
        <f t="shared" si="105"/>
        <v/>
      </c>
      <c r="CD176" s="39" t="str">
        <f t="shared" si="105"/>
        <v/>
      </c>
      <c r="CE176" s="39" t="str">
        <f t="shared" si="105"/>
        <v/>
      </c>
      <c r="CF176" s="39" t="str">
        <f t="shared" si="105"/>
        <v/>
      </c>
      <c r="CG176" s="39" t="str">
        <f t="shared" si="105"/>
        <v/>
      </c>
      <c r="CH176" s="39" t="str">
        <f t="shared" si="105"/>
        <v/>
      </c>
      <c r="CI176" s="39" t="str">
        <f t="shared" si="105"/>
        <v/>
      </c>
      <c r="CJ176" s="39" t="str">
        <f t="shared" si="105"/>
        <v/>
      </c>
      <c r="CK176" s="39" t="str">
        <f t="shared" si="105"/>
        <v/>
      </c>
      <c r="CL176" s="39" t="str">
        <f t="shared" si="105"/>
        <v/>
      </c>
      <c r="CM176" s="39" t="str">
        <f t="shared" si="105"/>
        <v/>
      </c>
      <c r="CN176" s="39" t="str">
        <f t="shared" si="105"/>
        <v/>
      </c>
      <c r="CO176" s="39" t="str">
        <f t="shared" si="105"/>
        <v/>
      </c>
      <c r="CP176" s="39" t="str">
        <f t="shared" si="105"/>
        <v/>
      </c>
      <c r="CQ176" s="39" t="str">
        <f t="shared" si="106"/>
        <v/>
      </c>
      <c r="CR176" s="39" t="str">
        <f t="shared" si="106"/>
        <v/>
      </c>
      <c r="CS176" s="39" t="str">
        <f t="shared" si="106"/>
        <v/>
      </c>
      <c r="CT176" s="39" t="str">
        <f t="shared" si="106"/>
        <v/>
      </c>
      <c r="CU176" s="39" t="str">
        <f t="shared" si="106"/>
        <v/>
      </c>
      <c r="CV176" s="39" t="str">
        <f t="shared" si="106"/>
        <v/>
      </c>
      <c r="CW176" s="39" t="str">
        <f t="shared" si="106"/>
        <v/>
      </c>
      <c r="CX176" s="39" t="str">
        <f t="shared" si="106"/>
        <v/>
      </c>
      <c r="CY176" s="39" t="str">
        <f t="shared" si="106"/>
        <v/>
      </c>
      <c r="CZ176" s="39" t="str">
        <f t="shared" si="106"/>
        <v/>
      </c>
      <c r="DA176" s="39" t="str">
        <f t="shared" si="106"/>
        <v/>
      </c>
      <c r="DB176" s="39" t="str">
        <f t="shared" si="106"/>
        <v/>
      </c>
      <c r="DC176" s="39" t="str">
        <f t="shared" si="106"/>
        <v/>
      </c>
      <c r="DD176" s="39" t="str">
        <f t="shared" si="106"/>
        <v/>
      </c>
      <c r="DE176" s="39" t="str">
        <f t="shared" si="106"/>
        <v/>
      </c>
      <c r="DF176" s="37" t="str">
        <f t="shared" si="93"/>
        <v>0+0+0</v>
      </c>
      <c r="DG176" s="37" t="str">
        <f t="shared" si="94"/>
        <v>0+0</v>
      </c>
      <c r="DH176" s="37" t="str">
        <f t="shared" si="95"/>
        <v>0+0</v>
      </c>
      <c r="DI176" s="37" t="str">
        <f t="shared" si="96"/>
        <v>0+0</v>
      </c>
      <c r="DJ176" s="37" t="str">
        <f t="shared" si="97"/>
        <v>0+0+0|0+0|0+0|0+0</v>
      </c>
    </row>
    <row r="177" spans="2:114" x14ac:dyDescent="0.15">
      <c r="B177" s="15">
        <v>174</v>
      </c>
      <c r="C177" s="15" t="s">
        <v>218</v>
      </c>
      <c r="D177" s="15">
        <v>104</v>
      </c>
      <c r="AX177" s="15"/>
      <c r="AY177" s="35">
        <f t="shared" si="82"/>
        <v>174</v>
      </c>
      <c r="AZ177" s="35" t="str">
        <f t="shared" si="83"/>
        <v>709+630</v>
      </c>
      <c r="BA177" s="35">
        <f t="shared" si="84"/>
        <v>104</v>
      </c>
      <c r="BB177" s="38">
        <f>COUNTIF($BA$4:$BA177,$BA177)</f>
        <v>2</v>
      </c>
      <c r="BC177" s="36" t="str">
        <f t="shared" si="85"/>
        <v/>
      </c>
      <c r="BD177" s="36" t="str">
        <f t="shared" si="86"/>
        <v>村</v>
      </c>
      <c r="BE177" s="36" t="str">
        <f t="shared" si="87"/>
        <v>村</v>
      </c>
      <c r="BF177" s="36" t="str">
        <f t="shared" si="88"/>
        <v/>
      </c>
      <c r="BG177" s="36" t="str">
        <f t="shared" si="89"/>
        <v>村</v>
      </c>
      <c r="BH177" s="36" t="str">
        <f t="shared" si="90"/>
        <v/>
      </c>
      <c r="BI177" s="36" t="str">
        <f t="shared" si="91"/>
        <v/>
      </c>
      <c r="BJ177" s="29" t="str">
        <f t="shared" si="92"/>
        <v>村</v>
      </c>
      <c r="BL177" s="15">
        <v>174</v>
      </c>
      <c r="BM177" s="39" t="str">
        <f t="shared" si="104"/>
        <v/>
      </c>
      <c r="BN177" s="39" t="str">
        <f t="shared" si="104"/>
        <v/>
      </c>
      <c r="BO177" s="39" t="str">
        <f t="shared" si="104"/>
        <v/>
      </c>
      <c r="BP177" s="39" t="str">
        <f t="shared" si="104"/>
        <v/>
      </c>
      <c r="BQ177" s="39" t="str">
        <f t="shared" si="104"/>
        <v/>
      </c>
      <c r="BR177" s="39" t="str">
        <f t="shared" si="104"/>
        <v/>
      </c>
      <c r="BS177" s="39" t="str">
        <f t="shared" si="104"/>
        <v/>
      </c>
      <c r="BT177" s="39" t="str">
        <f t="shared" si="104"/>
        <v/>
      </c>
      <c r="BU177" s="39" t="str">
        <f t="shared" si="104"/>
        <v/>
      </c>
      <c r="BV177" s="39" t="str">
        <f t="shared" si="104"/>
        <v/>
      </c>
      <c r="BW177" s="39" t="str">
        <f t="shared" si="104"/>
        <v/>
      </c>
      <c r="BX177" s="39" t="str">
        <f t="shared" si="104"/>
        <v/>
      </c>
      <c r="BY177" s="39" t="str">
        <f t="shared" si="104"/>
        <v/>
      </c>
      <c r="BZ177" s="39" t="str">
        <f t="shared" si="104"/>
        <v/>
      </c>
      <c r="CA177" s="39" t="str">
        <f t="shared" si="104"/>
        <v/>
      </c>
      <c r="CB177" s="39" t="str">
        <f t="shared" si="105"/>
        <v/>
      </c>
      <c r="CC177" s="39" t="str">
        <f t="shared" si="105"/>
        <v/>
      </c>
      <c r="CD177" s="39" t="str">
        <f t="shared" si="105"/>
        <v/>
      </c>
      <c r="CE177" s="39" t="str">
        <f t="shared" si="105"/>
        <v/>
      </c>
      <c r="CF177" s="39" t="str">
        <f t="shared" si="105"/>
        <v/>
      </c>
      <c r="CG177" s="39" t="str">
        <f t="shared" si="105"/>
        <v/>
      </c>
      <c r="CH177" s="39" t="str">
        <f t="shared" si="105"/>
        <v/>
      </c>
      <c r="CI177" s="39" t="str">
        <f t="shared" si="105"/>
        <v/>
      </c>
      <c r="CJ177" s="39" t="str">
        <f t="shared" si="105"/>
        <v/>
      </c>
      <c r="CK177" s="39" t="str">
        <f t="shared" si="105"/>
        <v/>
      </c>
      <c r="CL177" s="39" t="str">
        <f t="shared" si="105"/>
        <v/>
      </c>
      <c r="CM177" s="39" t="str">
        <f t="shared" si="105"/>
        <v/>
      </c>
      <c r="CN177" s="39" t="str">
        <f t="shared" si="105"/>
        <v/>
      </c>
      <c r="CO177" s="39" t="str">
        <f t="shared" si="105"/>
        <v/>
      </c>
      <c r="CP177" s="39" t="str">
        <f t="shared" si="105"/>
        <v/>
      </c>
      <c r="CQ177" s="39" t="str">
        <f t="shared" si="106"/>
        <v/>
      </c>
      <c r="CR177" s="39" t="str">
        <f t="shared" si="106"/>
        <v/>
      </c>
      <c r="CS177" s="39" t="str">
        <f t="shared" si="106"/>
        <v/>
      </c>
      <c r="CT177" s="39" t="str">
        <f t="shared" si="106"/>
        <v/>
      </c>
      <c r="CU177" s="39" t="str">
        <f t="shared" si="106"/>
        <v/>
      </c>
      <c r="CV177" s="39" t="str">
        <f t="shared" si="106"/>
        <v/>
      </c>
      <c r="CW177" s="39" t="str">
        <f t="shared" si="106"/>
        <v/>
      </c>
      <c r="CX177" s="39" t="str">
        <f t="shared" si="106"/>
        <v/>
      </c>
      <c r="CY177" s="39" t="str">
        <f t="shared" si="106"/>
        <v/>
      </c>
      <c r="CZ177" s="39" t="str">
        <f t="shared" si="106"/>
        <v/>
      </c>
      <c r="DA177" s="39" t="str">
        <f t="shared" si="106"/>
        <v/>
      </c>
      <c r="DB177" s="39" t="str">
        <f t="shared" si="106"/>
        <v/>
      </c>
      <c r="DC177" s="39" t="str">
        <f t="shared" si="106"/>
        <v/>
      </c>
      <c r="DD177" s="39" t="str">
        <f t="shared" si="106"/>
        <v/>
      </c>
      <c r="DE177" s="39" t="str">
        <f t="shared" si="106"/>
        <v/>
      </c>
      <c r="DF177" s="37" t="str">
        <f t="shared" si="93"/>
        <v>0+0+0</v>
      </c>
      <c r="DG177" s="37" t="str">
        <f t="shared" si="94"/>
        <v>0+0</v>
      </c>
      <c r="DH177" s="37" t="str">
        <f t="shared" si="95"/>
        <v>0+0</v>
      </c>
      <c r="DI177" s="37" t="str">
        <f t="shared" si="96"/>
        <v>0+0</v>
      </c>
      <c r="DJ177" s="37" t="str">
        <f t="shared" si="97"/>
        <v>0+0+0|0+0|0+0|0+0</v>
      </c>
    </row>
    <row r="178" spans="2:114" x14ac:dyDescent="0.15">
      <c r="B178" s="15">
        <v>175</v>
      </c>
      <c r="C178" s="15" t="s">
        <v>641</v>
      </c>
      <c r="D178" s="15">
        <v>104</v>
      </c>
      <c r="AX178" s="15"/>
      <c r="AY178" s="35">
        <f t="shared" si="82"/>
        <v>175</v>
      </c>
      <c r="AZ178" s="35" t="str">
        <f t="shared" si="83"/>
        <v>711+605</v>
      </c>
      <c r="BA178" s="35">
        <f t="shared" si="84"/>
        <v>104</v>
      </c>
      <c r="BB178" s="38">
        <f>COUNTIF($BA$4:$BA178,$BA178)</f>
        <v>3</v>
      </c>
      <c r="BC178" s="36" t="str">
        <f t="shared" si="85"/>
        <v/>
      </c>
      <c r="BD178" s="36" t="str">
        <f t="shared" si="86"/>
        <v>县</v>
      </c>
      <c r="BE178" s="36" t="str">
        <f t="shared" si="87"/>
        <v>县</v>
      </c>
      <c r="BF178" s="36" t="str">
        <f t="shared" si="88"/>
        <v/>
      </c>
      <c r="BG178" s="36" t="str">
        <f t="shared" si="89"/>
        <v/>
      </c>
      <c r="BH178" s="36" t="str">
        <f t="shared" si="90"/>
        <v/>
      </c>
      <c r="BI178" s="36" t="str">
        <f t="shared" si="91"/>
        <v/>
      </c>
      <c r="BJ178" s="29" t="str">
        <f t="shared" si="92"/>
        <v>县</v>
      </c>
      <c r="BL178" s="15">
        <v>175</v>
      </c>
      <c r="BM178" s="39" t="str">
        <f t="shared" si="104"/>
        <v>228+130</v>
      </c>
      <c r="BN178" s="39" t="str">
        <f t="shared" si="104"/>
        <v/>
      </c>
      <c r="BO178" s="39" t="str">
        <f t="shared" si="104"/>
        <v/>
      </c>
      <c r="BP178" s="39" t="str">
        <f t="shared" si="104"/>
        <v/>
      </c>
      <c r="BQ178" s="39" t="str">
        <f t="shared" si="104"/>
        <v/>
      </c>
      <c r="BR178" s="39" t="str">
        <f t="shared" si="104"/>
        <v/>
      </c>
      <c r="BS178" s="39" t="str">
        <f t="shared" si="104"/>
        <v/>
      </c>
      <c r="BT178" s="39" t="str">
        <f t="shared" si="104"/>
        <v/>
      </c>
      <c r="BU178" s="39" t="str">
        <f t="shared" si="104"/>
        <v/>
      </c>
      <c r="BV178" s="39" t="str">
        <f t="shared" si="104"/>
        <v/>
      </c>
      <c r="BW178" s="39" t="str">
        <f t="shared" si="104"/>
        <v/>
      </c>
      <c r="BX178" s="39" t="str">
        <f t="shared" si="104"/>
        <v/>
      </c>
      <c r="BY178" s="39" t="str">
        <f t="shared" si="104"/>
        <v/>
      </c>
      <c r="BZ178" s="39" t="str">
        <f t="shared" si="104"/>
        <v/>
      </c>
      <c r="CA178" s="39" t="str">
        <f t="shared" si="104"/>
        <v/>
      </c>
      <c r="CB178" s="39" t="str">
        <f t="shared" si="105"/>
        <v/>
      </c>
      <c r="CC178" s="39" t="str">
        <f t="shared" si="105"/>
        <v>269+131</v>
      </c>
      <c r="CD178" s="39" t="str">
        <f t="shared" si="105"/>
        <v/>
      </c>
      <c r="CE178" s="39" t="str">
        <f t="shared" si="105"/>
        <v/>
      </c>
      <c r="CF178" s="39" t="str">
        <f t="shared" si="105"/>
        <v/>
      </c>
      <c r="CG178" s="39" t="str">
        <f t="shared" si="105"/>
        <v/>
      </c>
      <c r="CH178" s="39" t="str">
        <f t="shared" si="105"/>
        <v/>
      </c>
      <c r="CI178" s="39" t="str">
        <f t="shared" si="105"/>
        <v/>
      </c>
      <c r="CJ178" s="39" t="str">
        <f t="shared" si="105"/>
        <v/>
      </c>
      <c r="CK178" s="39" t="str">
        <f t="shared" si="105"/>
        <v/>
      </c>
      <c r="CL178" s="39" t="str">
        <f t="shared" si="105"/>
        <v/>
      </c>
      <c r="CM178" s="39" t="str">
        <f t="shared" si="105"/>
        <v/>
      </c>
      <c r="CN178" s="39" t="str">
        <f t="shared" si="105"/>
        <v/>
      </c>
      <c r="CO178" s="39" t="str">
        <f t="shared" si="105"/>
        <v/>
      </c>
      <c r="CP178" s="39" t="str">
        <f t="shared" si="105"/>
        <v/>
      </c>
      <c r="CQ178" s="39" t="str">
        <f t="shared" si="106"/>
        <v/>
      </c>
      <c r="CR178" s="39" t="str">
        <f t="shared" si="106"/>
        <v/>
      </c>
      <c r="CS178" s="39" t="str">
        <f t="shared" si="106"/>
        <v/>
      </c>
      <c r="CT178" s="39" t="str">
        <f t="shared" si="106"/>
        <v/>
      </c>
      <c r="CU178" s="39" t="str">
        <f t="shared" si="106"/>
        <v/>
      </c>
      <c r="CV178" s="39" t="str">
        <f t="shared" si="106"/>
        <v/>
      </c>
      <c r="CW178" s="39" t="str">
        <f t="shared" si="106"/>
        <v/>
      </c>
      <c r="CX178" s="39" t="str">
        <f t="shared" si="106"/>
        <v/>
      </c>
      <c r="CY178" s="39" t="str">
        <f t="shared" si="106"/>
        <v/>
      </c>
      <c r="CZ178" s="39" t="str">
        <f t="shared" si="106"/>
        <v/>
      </c>
      <c r="DA178" s="39" t="str">
        <f t="shared" si="106"/>
        <v/>
      </c>
      <c r="DB178" s="39" t="str">
        <f t="shared" si="106"/>
        <v/>
      </c>
      <c r="DC178" s="39" t="str">
        <f t="shared" si="106"/>
        <v/>
      </c>
      <c r="DD178" s="39" t="str">
        <f t="shared" si="106"/>
        <v/>
      </c>
      <c r="DE178" s="39" t="str">
        <f t="shared" si="106"/>
        <v/>
      </c>
      <c r="DF178" s="37" t="str">
        <f t="shared" si="93"/>
        <v>1+1+0</v>
      </c>
      <c r="DG178" s="37" t="str">
        <f t="shared" si="94"/>
        <v>228+130</v>
      </c>
      <c r="DH178" s="37" t="str">
        <f t="shared" si="95"/>
        <v>269+131</v>
      </c>
      <c r="DI178" s="37" t="str">
        <f t="shared" si="96"/>
        <v>0+0</v>
      </c>
      <c r="DJ178" s="37" t="str">
        <f t="shared" si="97"/>
        <v>1+1+0|228+130|269+131|0+0</v>
      </c>
    </row>
    <row r="179" spans="2:114" x14ac:dyDescent="0.15">
      <c r="B179" s="15">
        <v>176</v>
      </c>
      <c r="C179" s="15" t="s">
        <v>640</v>
      </c>
      <c r="D179" s="15">
        <v>104</v>
      </c>
      <c r="AX179" s="15"/>
      <c r="AY179" s="35">
        <f t="shared" si="82"/>
        <v>176</v>
      </c>
      <c r="AZ179" s="35" t="str">
        <f t="shared" si="83"/>
        <v>701+635</v>
      </c>
      <c r="BA179" s="35">
        <f t="shared" si="84"/>
        <v>104</v>
      </c>
      <c r="BB179" s="38">
        <f>COUNTIF($BA$4:$BA179,$BA179)</f>
        <v>4</v>
      </c>
      <c r="BC179" s="36" t="str">
        <f t="shared" si="85"/>
        <v/>
      </c>
      <c r="BD179" s="36" t="str">
        <f t="shared" si="86"/>
        <v>营</v>
      </c>
      <c r="BE179" s="36" t="str">
        <f t="shared" si="87"/>
        <v/>
      </c>
      <c r="BF179" s="36" t="str">
        <f t="shared" si="88"/>
        <v/>
      </c>
      <c r="BG179" s="36" t="str">
        <f t="shared" si="89"/>
        <v/>
      </c>
      <c r="BH179" s="36" t="str">
        <f t="shared" si="90"/>
        <v/>
      </c>
      <c r="BI179" s="36" t="str">
        <f t="shared" si="91"/>
        <v/>
      </c>
      <c r="BJ179" s="29" t="str">
        <f t="shared" si="92"/>
        <v>营</v>
      </c>
      <c r="BL179" s="15">
        <v>176</v>
      </c>
      <c r="BM179" s="39" t="str">
        <f t="shared" si="104"/>
        <v/>
      </c>
      <c r="BN179" s="39" t="str">
        <f t="shared" si="104"/>
        <v/>
      </c>
      <c r="BO179" s="39" t="str">
        <f t="shared" si="104"/>
        <v/>
      </c>
      <c r="BP179" s="39" t="str">
        <f t="shared" si="104"/>
        <v/>
      </c>
      <c r="BQ179" s="39" t="str">
        <f t="shared" si="104"/>
        <v/>
      </c>
      <c r="BR179" s="39" t="str">
        <f t="shared" si="104"/>
        <v/>
      </c>
      <c r="BS179" s="39" t="str">
        <f t="shared" si="104"/>
        <v/>
      </c>
      <c r="BT179" s="39" t="str">
        <f t="shared" si="104"/>
        <v/>
      </c>
      <c r="BU179" s="39" t="str">
        <f t="shared" si="104"/>
        <v/>
      </c>
      <c r="BV179" s="39" t="str">
        <f t="shared" si="104"/>
        <v/>
      </c>
      <c r="BW179" s="39" t="str">
        <f t="shared" si="104"/>
        <v/>
      </c>
      <c r="BX179" s="39" t="str">
        <f t="shared" si="104"/>
        <v/>
      </c>
      <c r="BY179" s="39" t="str">
        <f t="shared" si="104"/>
        <v/>
      </c>
      <c r="BZ179" s="39" t="str">
        <f t="shared" si="104"/>
        <v/>
      </c>
      <c r="CA179" s="39" t="str">
        <f t="shared" si="104"/>
        <v/>
      </c>
      <c r="CB179" s="39" t="str">
        <f t="shared" si="105"/>
        <v/>
      </c>
      <c r="CC179" s="39" t="str">
        <f t="shared" si="105"/>
        <v/>
      </c>
      <c r="CD179" s="39" t="str">
        <f t="shared" si="105"/>
        <v/>
      </c>
      <c r="CE179" s="39" t="str">
        <f t="shared" si="105"/>
        <v/>
      </c>
      <c r="CF179" s="39" t="str">
        <f t="shared" si="105"/>
        <v/>
      </c>
      <c r="CG179" s="39" t="str">
        <f t="shared" si="105"/>
        <v/>
      </c>
      <c r="CH179" s="39" t="str">
        <f t="shared" si="105"/>
        <v/>
      </c>
      <c r="CI179" s="39" t="str">
        <f t="shared" si="105"/>
        <v/>
      </c>
      <c r="CJ179" s="39" t="str">
        <f t="shared" si="105"/>
        <v/>
      </c>
      <c r="CK179" s="39" t="str">
        <f t="shared" si="105"/>
        <v/>
      </c>
      <c r="CL179" s="39" t="str">
        <f t="shared" si="105"/>
        <v/>
      </c>
      <c r="CM179" s="39" t="str">
        <f t="shared" si="105"/>
        <v/>
      </c>
      <c r="CN179" s="39" t="str">
        <f t="shared" si="105"/>
        <v/>
      </c>
      <c r="CO179" s="39" t="str">
        <f t="shared" si="105"/>
        <v/>
      </c>
      <c r="CP179" s="39" t="str">
        <f t="shared" si="105"/>
        <v/>
      </c>
      <c r="CQ179" s="39" t="str">
        <f t="shared" si="106"/>
        <v>378+128</v>
      </c>
      <c r="CR179" s="39" t="str">
        <f t="shared" si="106"/>
        <v/>
      </c>
      <c r="CS179" s="39" t="str">
        <f t="shared" si="106"/>
        <v/>
      </c>
      <c r="CT179" s="39" t="str">
        <f t="shared" si="106"/>
        <v/>
      </c>
      <c r="CU179" s="39" t="str">
        <f t="shared" si="106"/>
        <v/>
      </c>
      <c r="CV179" s="39" t="str">
        <f t="shared" si="106"/>
        <v/>
      </c>
      <c r="CW179" s="39" t="str">
        <f t="shared" si="106"/>
        <v/>
      </c>
      <c r="CX179" s="39" t="str">
        <f t="shared" si="106"/>
        <v/>
      </c>
      <c r="CY179" s="39" t="str">
        <f t="shared" si="106"/>
        <v/>
      </c>
      <c r="CZ179" s="39" t="str">
        <f t="shared" si="106"/>
        <v/>
      </c>
      <c r="DA179" s="39" t="str">
        <f t="shared" si="106"/>
        <v/>
      </c>
      <c r="DB179" s="39" t="str">
        <f t="shared" si="106"/>
        <v/>
      </c>
      <c r="DC179" s="39" t="str">
        <f t="shared" si="106"/>
        <v/>
      </c>
      <c r="DD179" s="39" t="str">
        <f t="shared" si="106"/>
        <v/>
      </c>
      <c r="DE179" s="39" t="str">
        <f t="shared" si="106"/>
        <v/>
      </c>
      <c r="DF179" s="37" t="str">
        <f t="shared" si="93"/>
        <v>0+0+1</v>
      </c>
      <c r="DG179" s="37" t="str">
        <f t="shared" si="94"/>
        <v>0+0</v>
      </c>
      <c r="DH179" s="37" t="str">
        <f t="shared" si="95"/>
        <v>0+0</v>
      </c>
      <c r="DI179" s="37" t="str">
        <f t="shared" si="96"/>
        <v>378+128</v>
      </c>
      <c r="DJ179" s="37" t="str">
        <f t="shared" si="97"/>
        <v>0+0+1|0+0|0+0|378+128</v>
      </c>
    </row>
    <row r="180" spans="2:114" x14ac:dyDescent="0.15">
      <c r="B180" s="15">
        <v>177</v>
      </c>
      <c r="C180" s="15" t="s">
        <v>642</v>
      </c>
      <c r="D180" s="15">
        <v>105</v>
      </c>
      <c r="AX180" s="15"/>
      <c r="AY180" s="35">
        <f t="shared" si="82"/>
        <v>177</v>
      </c>
      <c r="AZ180" s="35" t="str">
        <f t="shared" si="83"/>
        <v>736+644</v>
      </c>
      <c r="BA180" s="35">
        <f t="shared" si="84"/>
        <v>105</v>
      </c>
      <c r="BB180" s="38">
        <f>COUNTIF($BA$4:$BA180,$BA180)</f>
        <v>1</v>
      </c>
      <c r="BC180" s="36" t="str">
        <f t="shared" si="85"/>
        <v/>
      </c>
      <c r="BD180" s="36" t="str">
        <f t="shared" si="86"/>
        <v>村</v>
      </c>
      <c r="BE180" s="36" t="str">
        <f t="shared" si="87"/>
        <v>村</v>
      </c>
      <c r="BF180" s="36" t="str">
        <f t="shared" si="88"/>
        <v/>
      </c>
      <c r="BG180" s="36" t="str">
        <f t="shared" si="89"/>
        <v>村</v>
      </c>
      <c r="BH180" s="36" t="str">
        <f t="shared" si="90"/>
        <v/>
      </c>
      <c r="BI180" s="36" t="str">
        <f t="shared" si="91"/>
        <v/>
      </c>
      <c r="BJ180" s="29" t="str">
        <f t="shared" si="92"/>
        <v>村</v>
      </c>
      <c r="BL180" s="15">
        <v>177</v>
      </c>
      <c r="BM180" s="39" t="str">
        <f t="shared" si="104"/>
        <v>348+163</v>
      </c>
      <c r="BN180" s="39" t="str">
        <f t="shared" si="104"/>
        <v/>
      </c>
      <c r="BO180" s="39" t="str">
        <f t="shared" si="104"/>
        <v/>
      </c>
      <c r="BP180" s="39" t="str">
        <f t="shared" si="104"/>
        <v/>
      </c>
      <c r="BQ180" s="39" t="str">
        <f t="shared" si="104"/>
        <v/>
      </c>
      <c r="BR180" s="39" t="str">
        <f t="shared" si="104"/>
        <v/>
      </c>
      <c r="BS180" s="39" t="str">
        <f t="shared" si="104"/>
        <v/>
      </c>
      <c r="BT180" s="39" t="str">
        <f t="shared" si="104"/>
        <v/>
      </c>
      <c r="BU180" s="39" t="str">
        <f t="shared" si="104"/>
        <v/>
      </c>
      <c r="BV180" s="39" t="str">
        <f t="shared" si="104"/>
        <v/>
      </c>
      <c r="BW180" s="39" t="str">
        <f t="shared" si="104"/>
        <v/>
      </c>
      <c r="BX180" s="39" t="str">
        <f t="shared" si="104"/>
        <v/>
      </c>
      <c r="BY180" s="39" t="str">
        <f t="shared" si="104"/>
        <v/>
      </c>
      <c r="BZ180" s="39" t="str">
        <f t="shared" si="104"/>
        <v/>
      </c>
      <c r="CA180" s="39" t="str">
        <f t="shared" si="104"/>
        <v/>
      </c>
      <c r="CB180" s="39" t="str">
        <f t="shared" si="105"/>
        <v/>
      </c>
      <c r="CC180" s="39" t="str">
        <f t="shared" si="105"/>
        <v/>
      </c>
      <c r="CD180" s="39" t="str">
        <f t="shared" si="105"/>
        <v/>
      </c>
      <c r="CE180" s="39" t="str">
        <f t="shared" si="105"/>
        <v/>
      </c>
      <c r="CF180" s="39" t="str">
        <f t="shared" si="105"/>
        <v/>
      </c>
      <c r="CG180" s="39" t="str">
        <f t="shared" si="105"/>
        <v/>
      </c>
      <c r="CH180" s="39" t="str">
        <f t="shared" si="105"/>
        <v/>
      </c>
      <c r="CI180" s="39" t="str">
        <f t="shared" si="105"/>
        <v/>
      </c>
      <c r="CJ180" s="39" t="str">
        <f t="shared" si="105"/>
        <v/>
      </c>
      <c r="CK180" s="39" t="str">
        <f t="shared" si="105"/>
        <v/>
      </c>
      <c r="CL180" s="39" t="str">
        <f t="shared" si="105"/>
        <v/>
      </c>
      <c r="CM180" s="39" t="str">
        <f t="shared" si="105"/>
        <v/>
      </c>
      <c r="CN180" s="39" t="str">
        <f t="shared" si="105"/>
        <v/>
      </c>
      <c r="CO180" s="39" t="str">
        <f t="shared" si="105"/>
        <v/>
      </c>
      <c r="CP180" s="39" t="str">
        <f t="shared" si="105"/>
        <v/>
      </c>
      <c r="CQ180" s="39" t="str">
        <f t="shared" si="106"/>
        <v/>
      </c>
      <c r="CR180" s="39" t="str">
        <f t="shared" si="106"/>
        <v/>
      </c>
      <c r="CS180" s="39" t="str">
        <f t="shared" si="106"/>
        <v/>
      </c>
      <c r="CT180" s="39" t="str">
        <f t="shared" si="106"/>
        <v/>
      </c>
      <c r="CU180" s="39" t="str">
        <f t="shared" si="106"/>
        <v/>
      </c>
      <c r="CV180" s="39" t="str">
        <f t="shared" si="106"/>
        <v/>
      </c>
      <c r="CW180" s="39" t="str">
        <f t="shared" si="106"/>
        <v/>
      </c>
      <c r="CX180" s="39" t="str">
        <f t="shared" si="106"/>
        <v/>
      </c>
      <c r="CY180" s="39" t="str">
        <f t="shared" si="106"/>
        <v/>
      </c>
      <c r="CZ180" s="39" t="str">
        <f t="shared" si="106"/>
        <v/>
      </c>
      <c r="DA180" s="39" t="str">
        <f t="shared" si="106"/>
        <v/>
      </c>
      <c r="DB180" s="39" t="str">
        <f t="shared" si="106"/>
        <v/>
      </c>
      <c r="DC180" s="39" t="str">
        <f t="shared" si="106"/>
        <v/>
      </c>
      <c r="DD180" s="39" t="str">
        <f t="shared" si="106"/>
        <v/>
      </c>
      <c r="DE180" s="39" t="str">
        <f t="shared" si="106"/>
        <v/>
      </c>
      <c r="DF180" s="37" t="str">
        <f t="shared" si="93"/>
        <v>1+0+0</v>
      </c>
      <c r="DG180" s="37" t="str">
        <f t="shared" si="94"/>
        <v>348+163</v>
      </c>
      <c r="DH180" s="37" t="str">
        <f t="shared" si="95"/>
        <v>0+0</v>
      </c>
      <c r="DI180" s="37" t="str">
        <f t="shared" si="96"/>
        <v>0+0</v>
      </c>
      <c r="DJ180" s="37" t="str">
        <f t="shared" si="97"/>
        <v>1+0+0|348+163|0+0|0+0</v>
      </c>
    </row>
    <row r="181" spans="2:114" x14ac:dyDescent="0.15">
      <c r="B181" s="15">
        <v>178</v>
      </c>
      <c r="C181" s="15" t="s">
        <v>219</v>
      </c>
      <c r="D181" s="15">
        <v>105</v>
      </c>
      <c r="AX181" s="15"/>
      <c r="AY181" s="35">
        <f t="shared" si="82"/>
        <v>178</v>
      </c>
      <c r="AZ181" s="35" t="str">
        <f t="shared" si="83"/>
        <v>747+642</v>
      </c>
      <c r="BA181" s="35">
        <f t="shared" si="84"/>
        <v>105</v>
      </c>
      <c r="BB181" s="38">
        <f>COUNTIF($BA$4:$BA181,$BA181)</f>
        <v>2</v>
      </c>
      <c r="BC181" s="36" t="str">
        <f t="shared" si="85"/>
        <v/>
      </c>
      <c r="BD181" s="36" t="str">
        <f t="shared" si="86"/>
        <v>营</v>
      </c>
      <c r="BE181" s="36" t="str">
        <f t="shared" si="87"/>
        <v>营</v>
      </c>
      <c r="BF181" s="36" t="str">
        <f t="shared" si="88"/>
        <v/>
      </c>
      <c r="BG181" s="36" t="str">
        <f t="shared" si="89"/>
        <v/>
      </c>
      <c r="BH181" s="36" t="str">
        <f t="shared" si="90"/>
        <v/>
      </c>
      <c r="BI181" s="36" t="str">
        <f t="shared" si="91"/>
        <v/>
      </c>
      <c r="BJ181" s="29" t="str">
        <f t="shared" si="92"/>
        <v>营</v>
      </c>
      <c r="BL181" s="15">
        <v>178</v>
      </c>
      <c r="BM181" s="39" t="str">
        <f t="shared" si="104"/>
        <v>295+250</v>
      </c>
      <c r="BN181" s="39" t="str">
        <f t="shared" si="104"/>
        <v/>
      </c>
      <c r="BO181" s="39" t="str">
        <f t="shared" si="104"/>
        <v/>
      </c>
      <c r="BP181" s="39" t="str">
        <f t="shared" si="104"/>
        <v/>
      </c>
      <c r="BQ181" s="39" t="str">
        <f t="shared" si="104"/>
        <v/>
      </c>
      <c r="BR181" s="39" t="str">
        <f t="shared" si="104"/>
        <v/>
      </c>
      <c r="BS181" s="39" t="str">
        <f t="shared" si="104"/>
        <v/>
      </c>
      <c r="BT181" s="39" t="str">
        <f t="shared" si="104"/>
        <v/>
      </c>
      <c r="BU181" s="39" t="str">
        <f t="shared" si="104"/>
        <v/>
      </c>
      <c r="BV181" s="39" t="str">
        <f t="shared" si="104"/>
        <v/>
      </c>
      <c r="BW181" s="39" t="str">
        <f t="shared" si="104"/>
        <v/>
      </c>
      <c r="BX181" s="39" t="str">
        <f t="shared" si="104"/>
        <v/>
      </c>
      <c r="BY181" s="39" t="str">
        <f t="shared" si="104"/>
        <v/>
      </c>
      <c r="BZ181" s="39" t="str">
        <f t="shared" si="104"/>
        <v/>
      </c>
      <c r="CA181" s="39" t="str">
        <f t="shared" si="104"/>
        <v/>
      </c>
      <c r="CB181" s="39" t="str">
        <f t="shared" si="105"/>
        <v/>
      </c>
      <c r="CC181" s="39" t="str">
        <f t="shared" si="105"/>
        <v/>
      </c>
      <c r="CD181" s="39" t="str">
        <f t="shared" si="105"/>
        <v/>
      </c>
      <c r="CE181" s="39" t="str">
        <f t="shared" si="105"/>
        <v/>
      </c>
      <c r="CF181" s="39" t="str">
        <f t="shared" si="105"/>
        <v/>
      </c>
      <c r="CG181" s="39" t="str">
        <f t="shared" si="105"/>
        <v/>
      </c>
      <c r="CH181" s="39" t="str">
        <f t="shared" si="105"/>
        <v/>
      </c>
      <c r="CI181" s="39" t="str">
        <f t="shared" si="105"/>
        <v/>
      </c>
      <c r="CJ181" s="39" t="str">
        <f t="shared" si="105"/>
        <v/>
      </c>
      <c r="CK181" s="39" t="str">
        <f t="shared" si="105"/>
        <v/>
      </c>
      <c r="CL181" s="39" t="str">
        <f t="shared" si="105"/>
        <v/>
      </c>
      <c r="CM181" s="39" t="str">
        <f t="shared" si="105"/>
        <v/>
      </c>
      <c r="CN181" s="39" t="str">
        <f t="shared" si="105"/>
        <v/>
      </c>
      <c r="CO181" s="39" t="str">
        <f t="shared" si="105"/>
        <v/>
      </c>
      <c r="CP181" s="39" t="str">
        <f t="shared" si="105"/>
        <v/>
      </c>
      <c r="CQ181" s="39" t="str">
        <f t="shared" si="106"/>
        <v/>
      </c>
      <c r="CR181" s="39" t="str">
        <f t="shared" si="106"/>
        <v/>
      </c>
      <c r="CS181" s="39" t="str">
        <f t="shared" si="106"/>
        <v/>
      </c>
      <c r="CT181" s="39" t="str">
        <f t="shared" si="106"/>
        <v/>
      </c>
      <c r="CU181" s="39" t="str">
        <f t="shared" si="106"/>
        <v/>
      </c>
      <c r="CV181" s="39" t="str">
        <f t="shared" si="106"/>
        <v/>
      </c>
      <c r="CW181" s="39" t="str">
        <f t="shared" si="106"/>
        <v/>
      </c>
      <c r="CX181" s="39" t="str">
        <f t="shared" si="106"/>
        <v/>
      </c>
      <c r="CY181" s="39" t="str">
        <f t="shared" si="106"/>
        <v/>
      </c>
      <c r="CZ181" s="39" t="str">
        <f t="shared" si="106"/>
        <v/>
      </c>
      <c r="DA181" s="39" t="str">
        <f t="shared" si="106"/>
        <v/>
      </c>
      <c r="DB181" s="39" t="str">
        <f t="shared" si="106"/>
        <v/>
      </c>
      <c r="DC181" s="39" t="str">
        <f t="shared" si="106"/>
        <v/>
      </c>
      <c r="DD181" s="39" t="str">
        <f t="shared" si="106"/>
        <v/>
      </c>
      <c r="DE181" s="39" t="str">
        <f t="shared" si="106"/>
        <v/>
      </c>
      <c r="DF181" s="37" t="str">
        <f t="shared" si="93"/>
        <v>1+0+0</v>
      </c>
      <c r="DG181" s="37" t="str">
        <f t="shared" si="94"/>
        <v>295+250</v>
      </c>
      <c r="DH181" s="37" t="str">
        <f t="shared" si="95"/>
        <v>0+0</v>
      </c>
      <c r="DI181" s="37" t="str">
        <f t="shared" si="96"/>
        <v>0+0</v>
      </c>
      <c r="DJ181" s="37" t="str">
        <f t="shared" si="97"/>
        <v>1+0+0|295+250|0+0|0+0</v>
      </c>
    </row>
    <row r="182" spans="2:114" x14ac:dyDescent="0.15">
      <c r="B182" s="15">
        <v>179</v>
      </c>
      <c r="C182" s="15" t="s">
        <v>221</v>
      </c>
      <c r="D182" s="15">
        <v>106</v>
      </c>
      <c r="AX182" s="15"/>
      <c r="AY182" s="35">
        <f t="shared" si="82"/>
        <v>179</v>
      </c>
      <c r="AZ182" s="35" t="str">
        <f t="shared" si="83"/>
        <v>764+663</v>
      </c>
      <c r="BA182" s="35">
        <f t="shared" si="84"/>
        <v>106</v>
      </c>
      <c r="BB182" s="38">
        <f>COUNTIF($BA$4:$BA182,$BA182)</f>
        <v>1</v>
      </c>
      <c r="BC182" s="36" t="str">
        <f t="shared" si="85"/>
        <v/>
      </c>
      <c r="BD182" s="36" t="str">
        <f t="shared" si="86"/>
        <v>村</v>
      </c>
      <c r="BE182" s="36" t="str">
        <f t="shared" si="87"/>
        <v>村</v>
      </c>
      <c r="BF182" s="36" t="str">
        <f t="shared" si="88"/>
        <v/>
      </c>
      <c r="BG182" s="36" t="str">
        <f t="shared" si="89"/>
        <v/>
      </c>
      <c r="BH182" s="36" t="str">
        <f t="shared" si="90"/>
        <v/>
      </c>
      <c r="BI182" s="36" t="str">
        <f t="shared" si="91"/>
        <v/>
      </c>
      <c r="BJ182" s="29" t="str">
        <f t="shared" si="92"/>
        <v>村</v>
      </c>
      <c r="BL182" s="15">
        <v>179</v>
      </c>
      <c r="BM182" s="39" t="str">
        <f t="shared" si="104"/>
        <v>227+311</v>
      </c>
      <c r="BN182" s="39" t="str">
        <f t="shared" si="104"/>
        <v>255+333</v>
      </c>
      <c r="BO182" s="39" t="str">
        <f t="shared" si="104"/>
        <v/>
      </c>
      <c r="BP182" s="39" t="str">
        <f t="shared" si="104"/>
        <v/>
      </c>
      <c r="BQ182" s="39" t="str">
        <f t="shared" si="104"/>
        <v/>
      </c>
      <c r="BR182" s="39" t="str">
        <f t="shared" si="104"/>
        <v/>
      </c>
      <c r="BS182" s="39" t="str">
        <f t="shared" si="104"/>
        <v/>
      </c>
      <c r="BT182" s="39" t="str">
        <f t="shared" si="104"/>
        <v/>
      </c>
      <c r="BU182" s="39" t="str">
        <f t="shared" si="104"/>
        <v/>
      </c>
      <c r="BV182" s="39" t="str">
        <f t="shared" si="104"/>
        <v/>
      </c>
      <c r="BW182" s="39" t="str">
        <f t="shared" si="104"/>
        <v/>
      </c>
      <c r="BX182" s="39" t="str">
        <f t="shared" si="104"/>
        <v/>
      </c>
      <c r="BY182" s="39" t="str">
        <f t="shared" si="104"/>
        <v/>
      </c>
      <c r="BZ182" s="39" t="str">
        <f t="shared" si="104"/>
        <v/>
      </c>
      <c r="CA182" s="39" t="str">
        <f t="shared" si="104"/>
        <v/>
      </c>
      <c r="CB182" s="39" t="str">
        <f t="shared" si="105"/>
        <v/>
      </c>
      <c r="CC182" s="39" t="str">
        <f t="shared" si="105"/>
        <v/>
      </c>
      <c r="CD182" s="39" t="str">
        <f t="shared" si="105"/>
        <v/>
      </c>
      <c r="CE182" s="39" t="str">
        <f t="shared" si="105"/>
        <v/>
      </c>
      <c r="CF182" s="39" t="str">
        <f t="shared" si="105"/>
        <v/>
      </c>
      <c r="CG182" s="39" t="str">
        <f t="shared" si="105"/>
        <v/>
      </c>
      <c r="CH182" s="39" t="str">
        <f t="shared" si="105"/>
        <v/>
      </c>
      <c r="CI182" s="39" t="str">
        <f t="shared" si="105"/>
        <v/>
      </c>
      <c r="CJ182" s="39" t="str">
        <f t="shared" si="105"/>
        <v/>
      </c>
      <c r="CK182" s="39" t="str">
        <f t="shared" si="105"/>
        <v/>
      </c>
      <c r="CL182" s="39" t="str">
        <f t="shared" si="105"/>
        <v/>
      </c>
      <c r="CM182" s="39" t="str">
        <f t="shared" si="105"/>
        <v/>
      </c>
      <c r="CN182" s="39" t="str">
        <f t="shared" si="105"/>
        <v/>
      </c>
      <c r="CO182" s="39" t="str">
        <f t="shared" si="105"/>
        <v/>
      </c>
      <c r="CP182" s="39" t="str">
        <f t="shared" si="105"/>
        <v/>
      </c>
      <c r="CQ182" s="39" t="str">
        <f t="shared" si="106"/>
        <v/>
      </c>
      <c r="CR182" s="39" t="str">
        <f t="shared" si="106"/>
        <v/>
      </c>
      <c r="CS182" s="39" t="str">
        <f t="shared" si="106"/>
        <v>238+263</v>
      </c>
      <c r="CT182" s="39" t="str">
        <f t="shared" si="106"/>
        <v/>
      </c>
      <c r="CU182" s="39" t="str">
        <f t="shared" si="106"/>
        <v/>
      </c>
      <c r="CV182" s="39" t="str">
        <f t="shared" si="106"/>
        <v/>
      </c>
      <c r="CW182" s="39" t="str">
        <f t="shared" si="106"/>
        <v/>
      </c>
      <c r="CX182" s="39" t="str">
        <f t="shared" si="106"/>
        <v/>
      </c>
      <c r="CY182" s="39" t="str">
        <f t="shared" si="106"/>
        <v/>
      </c>
      <c r="CZ182" s="39" t="str">
        <f t="shared" si="106"/>
        <v/>
      </c>
      <c r="DA182" s="39" t="str">
        <f t="shared" si="106"/>
        <v/>
      </c>
      <c r="DB182" s="39" t="str">
        <f t="shared" si="106"/>
        <v/>
      </c>
      <c r="DC182" s="39" t="str">
        <f t="shared" si="106"/>
        <v/>
      </c>
      <c r="DD182" s="39" t="str">
        <f t="shared" si="106"/>
        <v/>
      </c>
      <c r="DE182" s="39" t="str">
        <f t="shared" si="106"/>
        <v/>
      </c>
      <c r="DF182" s="37" t="str">
        <f t="shared" si="93"/>
        <v>2+0+1</v>
      </c>
      <c r="DG182" s="37" t="str">
        <f t="shared" si="94"/>
        <v>227+311|255+333</v>
      </c>
      <c r="DH182" s="37" t="str">
        <f t="shared" si="95"/>
        <v>0+0</v>
      </c>
      <c r="DI182" s="37" t="str">
        <f t="shared" si="96"/>
        <v>238+263</v>
      </c>
      <c r="DJ182" s="37" t="str">
        <f t="shared" si="97"/>
        <v>2+0+1|227+311|255+333|0+0|238+263</v>
      </c>
    </row>
    <row r="183" spans="2:114" x14ac:dyDescent="0.15">
      <c r="B183" s="15">
        <v>180</v>
      </c>
      <c r="C183" s="15" t="s">
        <v>643</v>
      </c>
      <c r="D183" s="15">
        <v>106</v>
      </c>
      <c r="AX183" s="15"/>
      <c r="AY183" s="35">
        <f t="shared" si="82"/>
        <v>180</v>
      </c>
      <c r="AZ183" s="35" t="str">
        <f t="shared" si="83"/>
        <v>741+664</v>
      </c>
      <c r="BA183" s="35">
        <f t="shared" si="84"/>
        <v>106</v>
      </c>
      <c r="BB183" s="38">
        <f>COUNTIF($BA$4:$BA183,$BA183)</f>
        <v>2</v>
      </c>
      <c r="BC183" s="36" t="str">
        <f t="shared" si="85"/>
        <v/>
      </c>
      <c r="BD183" s="36" t="str">
        <f t="shared" si="86"/>
        <v>营</v>
      </c>
      <c r="BE183" s="36" t="str">
        <f t="shared" si="87"/>
        <v>营</v>
      </c>
      <c r="BF183" s="36" t="str">
        <f t="shared" si="88"/>
        <v/>
      </c>
      <c r="BG183" s="36" t="str">
        <f t="shared" si="89"/>
        <v>营</v>
      </c>
      <c r="BH183" s="36" t="str">
        <f t="shared" si="90"/>
        <v/>
      </c>
      <c r="BI183" s="36" t="str">
        <f t="shared" si="91"/>
        <v/>
      </c>
      <c r="BJ183" s="29" t="str">
        <f t="shared" si="92"/>
        <v>营</v>
      </c>
      <c r="BL183" s="15">
        <v>180</v>
      </c>
      <c r="BM183" s="39" t="str">
        <f t="shared" si="104"/>
        <v/>
      </c>
      <c r="BN183" s="39" t="str">
        <f t="shared" si="104"/>
        <v/>
      </c>
      <c r="BO183" s="39" t="str">
        <f t="shared" si="104"/>
        <v/>
      </c>
      <c r="BP183" s="39" t="str">
        <f t="shared" si="104"/>
        <v/>
      </c>
      <c r="BQ183" s="39" t="str">
        <f t="shared" si="104"/>
        <v/>
      </c>
      <c r="BR183" s="39" t="str">
        <f t="shared" si="104"/>
        <v/>
      </c>
      <c r="BS183" s="39" t="str">
        <f t="shared" si="104"/>
        <v/>
      </c>
      <c r="BT183" s="39" t="str">
        <f t="shared" si="104"/>
        <v/>
      </c>
      <c r="BU183" s="39" t="str">
        <f t="shared" si="104"/>
        <v/>
      </c>
      <c r="BV183" s="39" t="str">
        <f t="shared" si="104"/>
        <v/>
      </c>
      <c r="BW183" s="39" t="str">
        <f t="shared" si="104"/>
        <v/>
      </c>
      <c r="BX183" s="39" t="str">
        <f t="shared" si="104"/>
        <v/>
      </c>
      <c r="BY183" s="39" t="str">
        <f t="shared" si="104"/>
        <v/>
      </c>
      <c r="BZ183" s="39" t="str">
        <f t="shared" si="104"/>
        <v/>
      </c>
      <c r="CA183" s="39" t="str">
        <f t="shared" si="104"/>
        <v/>
      </c>
      <c r="CB183" s="39" t="str">
        <f t="shared" si="105"/>
        <v/>
      </c>
      <c r="CC183" s="39" t="str">
        <f t="shared" si="105"/>
        <v/>
      </c>
      <c r="CD183" s="39" t="str">
        <f t="shared" si="105"/>
        <v/>
      </c>
      <c r="CE183" s="39" t="str">
        <f t="shared" si="105"/>
        <v/>
      </c>
      <c r="CF183" s="39" t="str">
        <f t="shared" si="105"/>
        <v/>
      </c>
      <c r="CG183" s="39" t="str">
        <f t="shared" si="105"/>
        <v/>
      </c>
      <c r="CH183" s="39" t="str">
        <f t="shared" si="105"/>
        <v/>
      </c>
      <c r="CI183" s="39" t="str">
        <f t="shared" si="105"/>
        <v/>
      </c>
      <c r="CJ183" s="39" t="str">
        <f t="shared" si="105"/>
        <v/>
      </c>
      <c r="CK183" s="39" t="str">
        <f t="shared" si="105"/>
        <v/>
      </c>
      <c r="CL183" s="39" t="str">
        <f t="shared" si="105"/>
        <v/>
      </c>
      <c r="CM183" s="39" t="str">
        <f t="shared" si="105"/>
        <v/>
      </c>
      <c r="CN183" s="39" t="str">
        <f t="shared" si="105"/>
        <v/>
      </c>
      <c r="CO183" s="39" t="str">
        <f t="shared" si="105"/>
        <v/>
      </c>
      <c r="CP183" s="39" t="str">
        <f t="shared" si="105"/>
        <v/>
      </c>
      <c r="CQ183" s="39" t="str">
        <f t="shared" si="106"/>
        <v/>
      </c>
      <c r="CR183" s="39" t="str">
        <f t="shared" si="106"/>
        <v/>
      </c>
      <c r="CS183" s="39" t="str">
        <f t="shared" si="106"/>
        <v/>
      </c>
      <c r="CT183" s="39" t="str">
        <f t="shared" si="106"/>
        <v/>
      </c>
      <c r="CU183" s="39" t="str">
        <f t="shared" si="106"/>
        <v/>
      </c>
      <c r="CV183" s="39" t="str">
        <f t="shared" si="106"/>
        <v/>
      </c>
      <c r="CW183" s="39" t="str">
        <f t="shared" si="106"/>
        <v/>
      </c>
      <c r="CX183" s="39" t="str">
        <f t="shared" si="106"/>
        <v/>
      </c>
      <c r="CY183" s="39" t="str">
        <f t="shared" si="106"/>
        <v/>
      </c>
      <c r="CZ183" s="39" t="str">
        <f t="shared" si="106"/>
        <v/>
      </c>
      <c r="DA183" s="39" t="str">
        <f t="shared" si="106"/>
        <v/>
      </c>
      <c r="DB183" s="39" t="str">
        <f t="shared" si="106"/>
        <v/>
      </c>
      <c r="DC183" s="39" t="str">
        <f t="shared" si="106"/>
        <v/>
      </c>
      <c r="DD183" s="39" t="str">
        <f t="shared" si="106"/>
        <v/>
      </c>
      <c r="DE183" s="39" t="str">
        <f t="shared" si="106"/>
        <v/>
      </c>
      <c r="DF183" s="37" t="str">
        <f t="shared" si="93"/>
        <v>0+0+0</v>
      </c>
      <c r="DG183" s="37" t="str">
        <f t="shared" si="94"/>
        <v>0+0</v>
      </c>
      <c r="DH183" s="37" t="str">
        <f t="shared" si="95"/>
        <v>0+0</v>
      </c>
      <c r="DI183" s="37" t="str">
        <f t="shared" si="96"/>
        <v>0+0</v>
      </c>
      <c r="DJ183" s="37" t="str">
        <f t="shared" si="97"/>
        <v>0+0+0|0+0|0+0|0+0</v>
      </c>
    </row>
    <row r="184" spans="2:114" x14ac:dyDescent="0.15">
      <c r="B184" s="15">
        <v>181</v>
      </c>
      <c r="C184" s="15" t="s">
        <v>226</v>
      </c>
      <c r="D184" s="15">
        <v>108</v>
      </c>
      <c r="AX184" s="15"/>
      <c r="AY184" s="35">
        <f t="shared" si="82"/>
        <v>181</v>
      </c>
      <c r="AZ184" s="35" t="str">
        <f t="shared" si="83"/>
        <v>745+696</v>
      </c>
      <c r="BA184" s="35">
        <f t="shared" si="84"/>
        <v>108</v>
      </c>
      <c r="BB184" s="38">
        <f>COUNTIF($BA$4:$BA184,$BA184)</f>
        <v>1</v>
      </c>
      <c r="BC184" s="36" t="str">
        <f t="shared" si="85"/>
        <v/>
      </c>
      <c r="BD184" s="36" t="str">
        <f t="shared" si="86"/>
        <v>村</v>
      </c>
      <c r="BE184" s="36" t="str">
        <f t="shared" si="87"/>
        <v>村</v>
      </c>
      <c r="BF184" s="36" t="str">
        <f t="shared" si="88"/>
        <v/>
      </c>
      <c r="BG184" s="36" t="str">
        <f t="shared" si="89"/>
        <v>村</v>
      </c>
      <c r="BH184" s="36" t="str">
        <f t="shared" si="90"/>
        <v/>
      </c>
      <c r="BI184" s="36" t="str">
        <f t="shared" si="91"/>
        <v/>
      </c>
      <c r="BJ184" s="29" t="str">
        <f t="shared" si="92"/>
        <v>村</v>
      </c>
    </row>
    <row r="185" spans="2:114" x14ac:dyDescent="0.15">
      <c r="B185" s="15">
        <v>182</v>
      </c>
      <c r="C185" s="15" t="s">
        <v>232</v>
      </c>
      <c r="D185" s="15">
        <v>111</v>
      </c>
      <c r="AX185" s="15"/>
      <c r="AY185" s="35">
        <f t="shared" si="82"/>
        <v>182</v>
      </c>
      <c r="AZ185" s="35" t="str">
        <f t="shared" si="83"/>
        <v>670+753</v>
      </c>
      <c r="BA185" s="35">
        <f t="shared" si="84"/>
        <v>111</v>
      </c>
      <c r="BB185" s="38">
        <f>COUNTIF($BA$4:$BA185,$BA185)</f>
        <v>1</v>
      </c>
      <c r="BC185" s="36" t="str">
        <f t="shared" si="85"/>
        <v/>
      </c>
      <c r="BD185" s="36" t="str">
        <f t="shared" si="86"/>
        <v>村</v>
      </c>
      <c r="BE185" s="36" t="str">
        <f t="shared" si="87"/>
        <v>村</v>
      </c>
      <c r="BF185" s="36" t="str">
        <f t="shared" si="88"/>
        <v/>
      </c>
      <c r="BG185" s="36" t="str">
        <f t="shared" si="89"/>
        <v/>
      </c>
      <c r="BH185" s="36" t="str">
        <f t="shared" si="90"/>
        <v/>
      </c>
      <c r="BI185" s="36" t="str">
        <f t="shared" si="91"/>
        <v/>
      </c>
      <c r="BJ185" s="29" t="str">
        <f t="shared" si="92"/>
        <v>村</v>
      </c>
    </row>
    <row r="186" spans="2:114" x14ac:dyDescent="0.15">
      <c r="B186" s="15">
        <v>183</v>
      </c>
      <c r="C186" s="15" t="s">
        <v>713</v>
      </c>
      <c r="D186" s="15">
        <v>113</v>
      </c>
      <c r="AX186" s="15"/>
      <c r="AY186" s="35">
        <f t="shared" si="82"/>
        <v>183</v>
      </c>
      <c r="AZ186" s="35" t="str">
        <f t="shared" si="83"/>
        <v>826+621</v>
      </c>
      <c r="BA186" s="35">
        <f t="shared" si="84"/>
        <v>113</v>
      </c>
      <c r="BB186" s="38">
        <f>COUNTIF($BA$4:$BA186,$BA186)</f>
        <v>1</v>
      </c>
      <c r="BC186" s="36" t="str">
        <f t="shared" si="85"/>
        <v/>
      </c>
      <c r="BD186" s="36" t="str">
        <f t="shared" si="86"/>
        <v>县</v>
      </c>
      <c r="BE186" s="36" t="str">
        <f t="shared" si="87"/>
        <v>县</v>
      </c>
      <c r="BF186" s="36" t="str">
        <f t="shared" si="88"/>
        <v/>
      </c>
      <c r="BG186" s="36" t="str">
        <f t="shared" si="89"/>
        <v/>
      </c>
      <c r="BH186" s="36" t="str">
        <f t="shared" si="90"/>
        <v/>
      </c>
      <c r="BI186" s="36" t="str">
        <f t="shared" si="91"/>
        <v/>
      </c>
      <c r="BJ186" s="29" t="str">
        <f t="shared" si="92"/>
        <v>县</v>
      </c>
    </row>
    <row r="187" spans="2:114" x14ac:dyDescent="0.15">
      <c r="B187" s="15">
        <v>184</v>
      </c>
      <c r="C187" s="15" t="s">
        <v>249</v>
      </c>
      <c r="D187" s="15">
        <v>119</v>
      </c>
      <c r="AX187" s="15"/>
      <c r="AY187" s="35">
        <f t="shared" si="82"/>
        <v>184</v>
      </c>
      <c r="AZ187" s="35" t="str">
        <f t="shared" si="83"/>
        <v>339+805</v>
      </c>
      <c r="BA187" s="35">
        <f t="shared" si="84"/>
        <v>119</v>
      </c>
      <c r="BB187" s="38">
        <f>COUNTIF($BA$4:$BA187,$BA187)</f>
        <v>1</v>
      </c>
      <c r="BC187" s="36" t="str">
        <f t="shared" si="85"/>
        <v>村</v>
      </c>
      <c r="BD187" s="36" t="str">
        <f t="shared" si="86"/>
        <v/>
      </c>
      <c r="BE187" s="36" t="str">
        <f t="shared" si="87"/>
        <v/>
      </c>
      <c r="BF187" s="36" t="str">
        <f t="shared" si="88"/>
        <v/>
      </c>
      <c r="BG187" s="36" t="str">
        <f t="shared" si="89"/>
        <v/>
      </c>
      <c r="BH187" s="36" t="str">
        <f t="shared" si="90"/>
        <v/>
      </c>
      <c r="BI187" s="36" t="str">
        <f t="shared" si="91"/>
        <v>村</v>
      </c>
      <c r="BJ187" s="29" t="str">
        <f t="shared" si="92"/>
        <v>村</v>
      </c>
    </row>
    <row r="188" spans="2:114" x14ac:dyDescent="0.15">
      <c r="B188" s="15">
        <v>185</v>
      </c>
      <c r="C188" s="15" t="s">
        <v>261</v>
      </c>
      <c r="D188" s="15">
        <v>125</v>
      </c>
      <c r="AX188" s="15"/>
      <c r="AY188" s="35">
        <f t="shared" si="82"/>
        <v>185</v>
      </c>
      <c r="AZ188" s="35" t="str">
        <f t="shared" si="83"/>
        <v>500+833</v>
      </c>
      <c r="BA188" s="35">
        <f t="shared" si="84"/>
        <v>125</v>
      </c>
      <c r="BB188" s="38">
        <f>COUNTIF($BA$4:$BA188,$BA188)</f>
        <v>1</v>
      </c>
      <c r="BC188" s="36" t="str">
        <f t="shared" si="85"/>
        <v/>
      </c>
      <c r="BD188" s="36" t="str">
        <f t="shared" si="86"/>
        <v>村</v>
      </c>
      <c r="BE188" s="36" t="str">
        <f t="shared" si="87"/>
        <v/>
      </c>
      <c r="BF188" s="36" t="str">
        <f t="shared" si="88"/>
        <v/>
      </c>
      <c r="BG188" s="36" t="str">
        <f t="shared" si="89"/>
        <v>村</v>
      </c>
      <c r="BH188" s="36" t="str">
        <f t="shared" si="90"/>
        <v>村</v>
      </c>
      <c r="BI188" s="36" t="str">
        <f t="shared" si="91"/>
        <v>村</v>
      </c>
      <c r="BJ188" s="29" t="str">
        <f t="shared" si="92"/>
        <v>村</v>
      </c>
    </row>
    <row r="189" spans="2:114" x14ac:dyDescent="0.15">
      <c r="B189" s="15">
        <v>186</v>
      </c>
      <c r="C189" s="15" t="s">
        <v>418</v>
      </c>
      <c r="D189" s="15">
        <v>125</v>
      </c>
      <c r="AX189" s="15"/>
      <c r="AY189" s="35">
        <f t="shared" si="82"/>
        <v>186</v>
      </c>
      <c r="AZ189" s="35" t="str">
        <f t="shared" si="83"/>
        <v>517+848</v>
      </c>
      <c r="BA189" s="35">
        <f t="shared" si="84"/>
        <v>125</v>
      </c>
      <c r="BB189" s="38">
        <f>COUNTIF($BA$4:$BA189,$BA189)</f>
        <v>2</v>
      </c>
      <c r="BC189" s="36" t="str">
        <f t="shared" si="85"/>
        <v/>
      </c>
      <c r="BD189" s="36" t="str">
        <f t="shared" si="86"/>
        <v>县</v>
      </c>
      <c r="BE189" s="36" t="str">
        <f t="shared" si="87"/>
        <v/>
      </c>
      <c r="BF189" s="36" t="str">
        <f t="shared" si="88"/>
        <v/>
      </c>
      <c r="BG189" s="36" t="str">
        <f t="shared" si="89"/>
        <v/>
      </c>
      <c r="BH189" s="36" t="str">
        <f t="shared" si="90"/>
        <v>县</v>
      </c>
      <c r="BI189" s="36" t="str">
        <f t="shared" si="91"/>
        <v/>
      </c>
      <c r="BJ189" s="29" t="str">
        <f t="shared" si="92"/>
        <v>县</v>
      </c>
    </row>
    <row r="190" spans="2:114" x14ac:dyDescent="0.15">
      <c r="B190" s="15">
        <v>187</v>
      </c>
      <c r="C190" s="15" t="s">
        <v>263</v>
      </c>
      <c r="D190" s="15">
        <v>126</v>
      </c>
      <c r="AX190" s="15"/>
      <c r="AY190" s="35">
        <f t="shared" si="82"/>
        <v>187</v>
      </c>
      <c r="AZ190" s="35" t="str">
        <f t="shared" si="83"/>
        <v>533+797</v>
      </c>
      <c r="BA190" s="35">
        <f t="shared" si="84"/>
        <v>126</v>
      </c>
      <c r="BB190" s="38">
        <f>COUNTIF($BA$4:$BA190,$BA190)</f>
        <v>1</v>
      </c>
      <c r="BC190" s="36" t="str">
        <f t="shared" si="85"/>
        <v/>
      </c>
      <c r="BD190" s="36" t="str">
        <f t="shared" si="86"/>
        <v>村</v>
      </c>
      <c r="BE190" s="36" t="str">
        <f t="shared" si="87"/>
        <v/>
      </c>
      <c r="BF190" s="36" t="str">
        <f t="shared" si="88"/>
        <v/>
      </c>
      <c r="BG190" s="36" t="str">
        <f t="shared" si="89"/>
        <v>村</v>
      </c>
      <c r="BH190" s="36" t="str">
        <f t="shared" si="90"/>
        <v>村</v>
      </c>
      <c r="BI190" s="36" t="str">
        <f t="shared" si="91"/>
        <v>村</v>
      </c>
      <c r="BJ190" s="29" t="str">
        <f t="shared" si="92"/>
        <v>村</v>
      </c>
    </row>
    <row r="191" spans="2:114" x14ac:dyDescent="0.15">
      <c r="B191" s="15">
        <v>188</v>
      </c>
      <c r="C191" s="15" t="s">
        <v>264</v>
      </c>
      <c r="D191" s="15">
        <v>126</v>
      </c>
      <c r="AX191" s="15"/>
      <c r="AY191" s="35">
        <f t="shared" si="82"/>
        <v>188</v>
      </c>
      <c r="AZ191" s="35" t="str">
        <f t="shared" si="83"/>
        <v>551+817</v>
      </c>
      <c r="BA191" s="35">
        <f t="shared" si="84"/>
        <v>126</v>
      </c>
      <c r="BB191" s="38">
        <f>COUNTIF($BA$4:$BA191,$BA191)</f>
        <v>2</v>
      </c>
      <c r="BC191" s="36" t="str">
        <f t="shared" si="85"/>
        <v/>
      </c>
      <c r="BD191" s="36" t="str">
        <f t="shared" si="86"/>
        <v>村</v>
      </c>
      <c r="BE191" s="36" t="str">
        <f t="shared" si="87"/>
        <v/>
      </c>
      <c r="BF191" s="36" t="str">
        <f t="shared" si="88"/>
        <v/>
      </c>
      <c r="BG191" s="36" t="str">
        <f t="shared" si="89"/>
        <v>村</v>
      </c>
      <c r="BH191" s="36" t="str">
        <f t="shared" si="90"/>
        <v>村</v>
      </c>
      <c r="BI191" s="36" t="str">
        <f t="shared" si="91"/>
        <v>村</v>
      </c>
      <c r="BJ191" s="29" t="str">
        <f t="shared" si="92"/>
        <v>村</v>
      </c>
    </row>
    <row r="192" spans="2:114" x14ac:dyDescent="0.15">
      <c r="B192" s="15">
        <v>189</v>
      </c>
      <c r="C192" s="15" t="s">
        <v>654</v>
      </c>
      <c r="D192" s="15">
        <v>126</v>
      </c>
      <c r="AX192" s="15"/>
      <c r="AY192" s="35">
        <f t="shared" si="82"/>
        <v>189</v>
      </c>
      <c r="AZ192" s="35" t="str">
        <f t="shared" si="83"/>
        <v>562+791</v>
      </c>
      <c r="BA192" s="35">
        <f t="shared" si="84"/>
        <v>126</v>
      </c>
      <c r="BB192" s="38">
        <f>COUNTIF($BA$4:$BA192,$BA192)</f>
        <v>3</v>
      </c>
      <c r="BC192" s="36" t="str">
        <f t="shared" si="85"/>
        <v/>
      </c>
      <c r="BD192" s="36" t="str">
        <f t="shared" si="86"/>
        <v>营</v>
      </c>
      <c r="BE192" s="36" t="str">
        <f t="shared" si="87"/>
        <v/>
      </c>
      <c r="BF192" s="36" t="str">
        <f t="shared" si="88"/>
        <v/>
      </c>
      <c r="BG192" s="36" t="str">
        <f t="shared" si="89"/>
        <v>营</v>
      </c>
      <c r="BH192" s="36" t="str">
        <f t="shared" si="90"/>
        <v>营</v>
      </c>
      <c r="BI192" s="36" t="str">
        <f t="shared" si="91"/>
        <v>营</v>
      </c>
      <c r="BJ192" s="29" t="str">
        <f t="shared" si="92"/>
        <v>营</v>
      </c>
    </row>
    <row r="193" spans="2:62" x14ac:dyDescent="0.15">
      <c r="B193" s="15">
        <v>190</v>
      </c>
      <c r="C193" s="15" t="s">
        <v>265</v>
      </c>
      <c r="D193" s="15">
        <v>127</v>
      </c>
      <c r="AX193" s="15"/>
      <c r="AY193" s="35">
        <f t="shared" si="82"/>
        <v>190</v>
      </c>
      <c r="AZ193" s="35" t="str">
        <f t="shared" si="83"/>
        <v>515+770</v>
      </c>
      <c r="BA193" s="35">
        <f t="shared" si="84"/>
        <v>127</v>
      </c>
      <c r="BB193" s="38">
        <f>COUNTIF($BA$4:$BA193,$BA193)</f>
        <v>1</v>
      </c>
      <c r="BC193" s="36" t="str">
        <f t="shared" si="85"/>
        <v/>
      </c>
      <c r="BD193" s="36" t="str">
        <f t="shared" si="86"/>
        <v>村</v>
      </c>
      <c r="BE193" s="36" t="str">
        <f t="shared" si="87"/>
        <v/>
      </c>
      <c r="BF193" s="36" t="str">
        <f t="shared" si="88"/>
        <v/>
      </c>
      <c r="BG193" s="36" t="str">
        <f t="shared" si="89"/>
        <v>村</v>
      </c>
      <c r="BH193" s="36" t="str">
        <f t="shared" si="90"/>
        <v>村</v>
      </c>
      <c r="BI193" s="36" t="str">
        <f t="shared" si="91"/>
        <v>村</v>
      </c>
      <c r="BJ193" s="29" t="str">
        <f t="shared" si="92"/>
        <v>村</v>
      </c>
    </row>
    <row r="194" spans="2:62" x14ac:dyDescent="0.15">
      <c r="B194" s="15">
        <v>191</v>
      </c>
      <c r="C194" s="15" t="s">
        <v>266</v>
      </c>
      <c r="D194" s="15">
        <v>127</v>
      </c>
      <c r="AX194" s="15"/>
      <c r="AY194" s="35">
        <f t="shared" si="82"/>
        <v>191</v>
      </c>
      <c r="AZ194" s="35" t="str">
        <f t="shared" si="83"/>
        <v>499+749</v>
      </c>
      <c r="BA194" s="35">
        <f t="shared" si="84"/>
        <v>127</v>
      </c>
      <c r="BB194" s="38">
        <f>COUNTIF($BA$4:$BA194,$BA194)</f>
        <v>2</v>
      </c>
      <c r="BC194" s="36" t="str">
        <f t="shared" si="85"/>
        <v/>
      </c>
      <c r="BD194" s="36" t="str">
        <f t="shared" si="86"/>
        <v>村</v>
      </c>
      <c r="BE194" s="36" t="str">
        <f t="shared" si="87"/>
        <v/>
      </c>
      <c r="BF194" s="36" t="str">
        <f t="shared" si="88"/>
        <v/>
      </c>
      <c r="BG194" s="36" t="str">
        <f t="shared" si="89"/>
        <v>村</v>
      </c>
      <c r="BH194" s="36" t="str">
        <f t="shared" si="90"/>
        <v>村</v>
      </c>
      <c r="BI194" s="36" t="str">
        <f t="shared" si="91"/>
        <v>村</v>
      </c>
      <c r="BJ194" s="29" t="str">
        <f t="shared" si="92"/>
        <v>村</v>
      </c>
    </row>
    <row r="195" spans="2:62" x14ac:dyDescent="0.15">
      <c r="B195" s="15">
        <v>192</v>
      </c>
      <c r="C195" s="15" t="s">
        <v>419</v>
      </c>
      <c r="D195" s="15">
        <v>127</v>
      </c>
      <c r="AX195" s="15"/>
      <c r="AY195" s="35">
        <f t="shared" si="82"/>
        <v>192</v>
      </c>
      <c r="AZ195" s="35" t="str">
        <f t="shared" si="83"/>
        <v>519+782</v>
      </c>
      <c r="BA195" s="35">
        <f t="shared" si="84"/>
        <v>127</v>
      </c>
      <c r="BB195" s="38">
        <f>COUNTIF($BA$4:$BA195,$BA195)</f>
        <v>3</v>
      </c>
      <c r="BC195" s="36" t="str">
        <f t="shared" si="85"/>
        <v/>
      </c>
      <c r="BD195" s="36" t="str">
        <f t="shared" si="86"/>
        <v>营</v>
      </c>
      <c r="BE195" s="36" t="str">
        <f t="shared" si="87"/>
        <v/>
      </c>
      <c r="BF195" s="36" t="str">
        <f t="shared" si="88"/>
        <v/>
      </c>
      <c r="BG195" s="36" t="str">
        <f t="shared" si="89"/>
        <v>营</v>
      </c>
      <c r="BH195" s="36" t="str">
        <f t="shared" si="90"/>
        <v/>
      </c>
      <c r="BI195" s="36" t="str">
        <f t="shared" si="91"/>
        <v>营</v>
      </c>
      <c r="BJ195" s="29" t="str">
        <f t="shared" si="92"/>
        <v>营</v>
      </c>
    </row>
    <row r="196" spans="2:62" x14ac:dyDescent="0.15">
      <c r="B196" s="15">
        <v>193</v>
      </c>
      <c r="C196" s="15" t="s">
        <v>268</v>
      </c>
      <c r="D196" s="15">
        <v>128</v>
      </c>
      <c r="AX196" s="15"/>
      <c r="AY196" s="35">
        <f t="shared" si="82"/>
        <v>193</v>
      </c>
      <c r="AZ196" s="35" t="str">
        <f t="shared" si="83"/>
        <v>467+797</v>
      </c>
      <c r="BA196" s="35">
        <f t="shared" si="84"/>
        <v>128</v>
      </c>
      <c r="BB196" s="38">
        <f>COUNTIF($BA$4:$BA196,$BA196)</f>
        <v>1</v>
      </c>
      <c r="BC196" s="36" t="str">
        <f t="shared" si="85"/>
        <v/>
      </c>
      <c r="BD196" s="36" t="str">
        <f t="shared" si="86"/>
        <v>村</v>
      </c>
      <c r="BE196" s="36" t="str">
        <f t="shared" si="87"/>
        <v/>
      </c>
      <c r="BF196" s="36" t="str">
        <f t="shared" si="88"/>
        <v/>
      </c>
      <c r="BG196" s="36" t="str">
        <f t="shared" si="89"/>
        <v>村</v>
      </c>
      <c r="BH196" s="36" t="str">
        <f t="shared" si="90"/>
        <v>村</v>
      </c>
      <c r="BI196" s="36" t="str">
        <f t="shared" si="91"/>
        <v>村</v>
      </c>
      <c r="BJ196" s="29" t="str">
        <f t="shared" si="92"/>
        <v>村</v>
      </c>
    </row>
    <row r="197" spans="2:62" x14ac:dyDescent="0.15">
      <c r="B197" s="15">
        <v>194</v>
      </c>
      <c r="C197" s="15" t="s">
        <v>435</v>
      </c>
      <c r="D197" s="15">
        <v>128</v>
      </c>
      <c r="AX197" s="15"/>
      <c r="AY197" s="35">
        <f t="shared" ref="AY197:AY260" si="107">B197</f>
        <v>194</v>
      </c>
      <c r="AZ197" s="35" t="str">
        <f t="shared" ref="AZ197:AZ260" si="108">C197</f>
        <v>467+764</v>
      </c>
      <c r="BA197" s="35">
        <f t="shared" ref="BA197:BA260" si="109">D197</f>
        <v>128</v>
      </c>
      <c r="BB197" s="38">
        <f>COUNTIF($BA$4:$BA197,$BA197)</f>
        <v>2</v>
      </c>
      <c r="BC197" s="36" t="str">
        <f t="shared" ref="BC197:BC260" si="110">IFERROR(IF(LEFT(INDEX($G$4:$G$173,MATCH($AZ197,$I$4:$I$173,0)),1)="精","营",LEFT(INDEX($G$4:$G$173,MATCH($AZ197,$I$4:$I$173,0)),1)),"")</f>
        <v/>
      </c>
      <c r="BD197" s="36" t="str">
        <f t="shared" ref="BD197:BD260" si="111">IFERROR(IF(LEFT(INDEX($M$4:$M$173,MATCH($AZ197,$O$4:$O$173,0)),1)="精","营",LEFT(INDEX($M$4:$M$173,MATCH($AZ197,$O$4:$O$173,0)),1)),"")</f>
        <v>营</v>
      </c>
      <c r="BE197" s="36" t="str">
        <f t="shared" ref="BE197:BE260" si="112">IFERROR(IF(LEFT(INDEX($S$4:$S$173,MATCH($AZ197,$U$4:$U$173,0)),1)="精","营",LEFT(INDEX($S$4:$S$173,MATCH($AZ197,$U$4:$U$173,0)),1)),"")</f>
        <v/>
      </c>
      <c r="BF197" s="36" t="str">
        <f t="shared" ref="BF197:BF260" si="113">IFERROR(IF(LEFT(INDEX($Y$4:$Y$173,MATCH($AZ197,$AA$4:$AA$173,0)),1)="精","营",LEFT(INDEX($Y$4:$Y$173,MATCH($AZ197,$AA$4:$AA$173,0)),1)),"")</f>
        <v/>
      </c>
      <c r="BG197" s="36" t="str">
        <f t="shared" ref="BG197:BG260" si="114">IFERROR(IF(LEFT(INDEX($AE$4:$AE$173,MATCH($AZ197,$AG$4:$AG$173,0)),1)="精","营",LEFT(INDEX($AE$4:$AE$173,MATCH($AZ197,$AG$4:$AG$173,0)),1)),"")</f>
        <v>营</v>
      </c>
      <c r="BH197" s="36" t="str">
        <f t="shared" ref="BH197:BH260" si="115">IFERROR(IF(LEFT(INDEX($AK$4:$AK$173,MATCH($AZ197,$AM$4:$AM$173,0)),1)="精","营",LEFT(INDEX($AK$4:$AK$173,MATCH($AZ197,$AM$4:$AM$173,0)),1)),"")</f>
        <v>营</v>
      </c>
      <c r="BI197" s="36" t="str">
        <f t="shared" ref="BI197:BI260" si="116">IFERROR(IF(LEFT(INDEX($AQ$4:$AQ$173,MATCH($AZ197,$AS$4:$AS$173,0)),1)="精","营",LEFT(INDEX($AQ$4:$AQ$173,MATCH($AZ197,$AS$4:$AS$173,0)),1)),"")</f>
        <v>营</v>
      </c>
      <c r="BJ197" s="29" t="str">
        <f t="shared" ref="BJ197:BJ260" si="117">IF(BC197&lt;&gt;"",BC197,IF(BD197&lt;&gt;"",BD197,IF(BE197&lt;&gt;"",BE197,IF(BF197&lt;&gt;"",BF197,IF(BG197&lt;&gt;"",BG197,IF(BH197&lt;&gt;"",BH197,IF(BI197&lt;&gt;"",BI197,"")))))))</f>
        <v>营</v>
      </c>
    </row>
    <row r="198" spans="2:62" x14ac:dyDescent="0.15">
      <c r="B198" s="15">
        <v>195</v>
      </c>
      <c r="C198" s="15" t="s">
        <v>655</v>
      </c>
      <c r="D198" s="15">
        <v>130</v>
      </c>
      <c r="AX198" s="15"/>
      <c r="AY198" s="35">
        <f t="shared" si="107"/>
        <v>195</v>
      </c>
      <c r="AZ198" s="35" t="str">
        <f t="shared" si="108"/>
        <v>365+774</v>
      </c>
      <c r="BA198" s="35">
        <f t="shared" si="109"/>
        <v>130</v>
      </c>
      <c r="BB198" s="38">
        <f>COUNTIF($BA$4:$BA198,$BA198)</f>
        <v>1</v>
      </c>
      <c r="BC198" s="36" t="str">
        <f t="shared" si="110"/>
        <v>村</v>
      </c>
      <c r="BD198" s="36" t="str">
        <f t="shared" si="111"/>
        <v/>
      </c>
      <c r="BE198" s="36" t="str">
        <f t="shared" si="112"/>
        <v/>
      </c>
      <c r="BF198" s="36" t="str">
        <f t="shared" si="113"/>
        <v/>
      </c>
      <c r="BG198" s="36" t="str">
        <f t="shared" si="114"/>
        <v/>
      </c>
      <c r="BH198" s="36" t="str">
        <f t="shared" si="115"/>
        <v>村</v>
      </c>
      <c r="BI198" s="36" t="str">
        <f t="shared" si="116"/>
        <v>村</v>
      </c>
      <c r="BJ198" s="29" t="str">
        <f t="shared" si="117"/>
        <v>村</v>
      </c>
    </row>
    <row r="199" spans="2:62" x14ac:dyDescent="0.15">
      <c r="B199" s="15">
        <v>196</v>
      </c>
      <c r="C199" s="15" t="s">
        <v>271</v>
      </c>
      <c r="D199" s="15">
        <v>130</v>
      </c>
      <c r="AX199" s="15"/>
      <c r="AY199" s="35">
        <f t="shared" si="107"/>
        <v>196</v>
      </c>
      <c r="AZ199" s="35" t="str">
        <f t="shared" si="108"/>
        <v>402+735</v>
      </c>
      <c r="BA199" s="35">
        <f t="shared" si="109"/>
        <v>130</v>
      </c>
      <c r="BB199" s="38">
        <f>COUNTIF($BA$4:$BA199,$BA199)</f>
        <v>2</v>
      </c>
      <c r="BC199" s="36" t="str">
        <f t="shared" si="110"/>
        <v>营</v>
      </c>
      <c r="BD199" s="36" t="str">
        <f t="shared" si="111"/>
        <v/>
      </c>
      <c r="BE199" s="36" t="str">
        <f t="shared" si="112"/>
        <v/>
      </c>
      <c r="BF199" s="36" t="str">
        <f t="shared" si="113"/>
        <v/>
      </c>
      <c r="BG199" s="36" t="str">
        <f t="shared" si="114"/>
        <v/>
      </c>
      <c r="BH199" s="36" t="str">
        <f t="shared" si="115"/>
        <v>营</v>
      </c>
      <c r="BI199" s="36" t="str">
        <f t="shared" si="116"/>
        <v>营</v>
      </c>
      <c r="BJ199" s="29" t="str">
        <f t="shared" si="117"/>
        <v>营</v>
      </c>
    </row>
    <row r="200" spans="2:62" x14ac:dyDescent="0.15">
      <c r="B200" s="15">
        <v>197</v>
      </c>
      <c r="C200" s="15" t="s">
        <v>272</v>
      </c>
      <c r="D200" s="15">
        <v>130</v>
      </c>
      <c r="AX200" s="15"/>
      <c r="AY200" s="35">
        <f t="shared" si="107"/>
        <v>197</v>
      </c>
      <c r="AZ200" s="35" t="str">
        <f t="shared" si="108"/>
        <v>392+783</v>
      </c>
      <c r="BA200" s="35">
        <f t="shared" si="109"/>
        <v>130</v>
      </c>
      <c r="BB200" s="38">
        <f>COUNTIF($BA$4:$BA200,$BA200)</f>
        <v>3</v>
      </c>
      <c r="BC200" s="36" t="str">
        <f t="shared" si="110"/>
        <v>营</v>
      </c>
      <c r="BD200" s="36" t="str">
        <f t="shared" si="111"/>
        <v/>
      </c>
      <c r="BE200" s="36" t="str">
        <f t="shared" si="112"/>
        <v/>
      </c>
      <c r="BF200" s="36" t="str">
        <f t="shared" si="113"/>
        <v/>
      </c>
      <c r="BG200" s="36" t="str">
        <f t="shared" si="114"/>
        <v/>
      </c>
      <c r="BH200" s="36" t="str">
        <f t="shared" si="115"/>
        <v>营</v>
      </c>
      <c r="BI200" s="36" t="str">
        <f t="shared" si="116"/>
        <v/>
      </c>
      <c r="BJ200" s="29" t="str">
        <f t="shared" si="117"/>
        <v>营</v>
      </c>
    </row>
    <row r="201" spans="2:62" x14ac:dyDescent="0.15">
      <c r="B201" s="15">
        <v>198</v>
      </c>
      <c r="C201" s="15" t="s">
        <v>276</v>
      </c>
      <c r="D201" s="15">
        <v>132</v>
      </c>
      <c r="AX201" s="15"/>
      <c r="AY201" s="35">
        <f t="shared" si="107"/>
        <v>198</v>
      </c>
      <c r="AZ201" s="35" t="str">
        <f t="shared" si="108"/>
        <v>352+714</v>
      </c>
      <c r="BA201" s="35">
        <f t="shared" si="109"/>
        <v>132</v>
      </c>
      <c r="BB201" s="38">
        <f>COUNTIF($BA$4:$BA201,$BA201)</f>
        <v>1</v>
      </c>
      <c r="BC201" s="36" t="str">
        <f t="shared" si="110"/>
        <v>村</v>
      </c>
      <c r="BD201" s="36" t="str">
        <f t="shared" si="111"/>
        <v/>
      </c>
      <c r="BE201" s="36" t="str">
        <f t="shared" si="112"/>
        <v/>
      </c>
      <c r="BF201" s="36" t="str">
        <f t="shared" si="113"/>
        <v>村</v>
      </c>
      <c r="BG201" s="36" t="str">
        <f t="shared" si="114"/>
        <v/>
      </c>
      <c r="BH201" s="36" t="str">
        <f t="shared" si="115"/>
        <v/>
      </c>
      <c r="BI201" s="36" t="str">
        <f t="shared" si="116"/>
        <v>村</v>
      </c>
      <c r="BJ201" s="29" t="str">
        <f t="shared" si="117"/>
        <v>村</v>
      </c>
    </row>
    <row r="202" spans="2:62" x14ac:dyDescent="0.15">
      <c r="B202" s="15">
        <v>199</v>
      </c>
      <c r="C202" s="15" t="s">
        <v>277</v>
      </c>
      <c r="D202" s="15">
        <v>132</v>
      </c>
      <c r="AX202" s="15"/>
      <c r="AY202" s="35">
        <f t="shared" si="107"/>
        <v>199</v>
      </c>
      <c r="AZ202" s="35" t="str">
        <f t="shared" si="108"/>
        <v>372+728</v>
      </c>
      <c r="BA202" s="35">
        <f t="shared" si="109"/>
        <v>132</v>
      </c>
      <c r="BB202" s="38">
        <f>COUNTIF($BA$4:$BA202,$BA202)</f>
        <v>2</v>
      </c>
      <c r="BC202" s="36" t="str">
        <f t="shared" si="110"/>
        <v>村</v>
      </c>
      <c r="BD202" s="36" t="str">
        <f t="shared" si="111"/>
        <v/>
      </c>
      <c r="BE202" s="36" t="str">
        <f t="shared" si="112"/>
        <v/>
      </c>
      <c r="BF202" s="36" t="str">
        <f t="shared" si="113"/>
        <v/>
      </c>
      <c r="BG202" s="36" t="str">
        <f t="shared" si="114"/>
        <v/>
      </c>
      <c r="BH202" s="36" t="str">
        <f t="shared" si="115"/>
        <v>村</v>
      </c>
      <c r="BI202" s="36" t="str">
        <f t="shared" si="116"/>
        <v>村</v>
      </c>
      <c r="BJ202" s="29" t="str">
        <f t="shared" si="117"/>
        <v>村</v>
      </c>
    </row>
    <row r="203" spans="2:62" x14ac:dyDescent="0.15">
      <c r="B203" s="15">
        <v>200</v>
      </c>
      <c r="C203" s="15" t="s">
        <v>656</v>
      </c>
      <c r="D203" s="15">
        <v>132</v>
      </c>
      <c r="AX203" s="15"/>
      <c r="AY203" s="35">
        <f t="shared" si="107"/>
        <v>200</v>
      </c>
      <c r="AZ203" s="35" t="str">
        <f t="shared" si="108"/>
        <v>336+730</v>
      </c>
      <c r="BA203" s="35">
        <f t="shared" si="109"/>
        <v>132</v>
      </c>
      <c r="BB203" s="38">
        <f>COUNTIF($BA$4:$BA203,$BA203)</f>
        <v>3</v>
      </c>
      <c r="BC203" s="36" t="str">
        <f t="shared" si="110"/>
        <v>营</v>
      </c>
      <c r="BD203" s="36" t="str">
        <f t="shared" si="111"/>
        <v/>
      </c>
      <c r="BE203" s="36" t="str">
        <f t="shared" si="112"/>
        <v/>
      </c>
      <c r="BF203" s="36" t="str">
        <f t="shared" si="113"/>
        <v/>
      </c>
      <c r="BG203" s="36" t="str">
        <f t="shared" si="114"/>
        <v/>
      </c>
      <c r="BH203" s="36" t="str">
        <f t="shared" si="115"/>
        <v/>
      </c>
      <c r="BI203" s="36" t="str">
        <f t="shared" si="116"/>
        <v>营</v>
      </c>
      <c r="BJ203" s="29" t="str">
        <f t="shared" si="117"/>
        <v>营</v>
      </c>
    </row>
    <row r="204" spans="2:62" x14ac:dyDescent="0.15">
      <c r="B204" s="15">
        <v>201</v>
      </c>
      <c r="C204" s="15" t="s">
        <v>278</v>
      </c>
      <c r="D204" s="15">
        <v>133</v>
      </c>
      <c r="AX204" s="15"/>
      <c r="AY204" s="35">
        <f t="shared" si="107"/>
        <v>201</v>
      </c>
      <c r="AZ204" s="35" t="str">
        <f t="shared" si="108"/>
        <v>435+716</v>
      </c>
      <c r="BA204" s="35">
        <f t="shared" si="109"/>
        <v>133</v>
      </c>
      <c r="BB204" s="38">
        <f>COUNTIF($BA$4:$BA204,$BA204)</f>
        <v>1</v>
      </c>
      <c r="BC204" s="36" t="str">
        <f t="shared" si="110"/>
        <v>村</v>
      </c>
      <c r="BD204" s="36" t="str">
        <f t="shared" si="111"/>
        <v>村</v>
      </c>
      <c r="BE204" s="36" t="str">
        <f t="shared" si="112"/>
        <v/>
      </c>
      <c r="BF204" s="36" t="str">
        <f t="shared" si="113"/>
        <v>村</v>
      </c>
      <c r="BG204" s="36" t="str">
        <f t="shared" si="114"/>
        <v>村</v>
      </c>
      <c r="BH204" s="36" t="str">
        <f t="shared" si="115"/>
        <v>村</v>
      </c>
      <c r="BI204" s="36" t="str">
        <f t="shared" si="116"/>
        <v/>
      </c>
      <c r="BJ204" s="29" t="str">
        <f t="shared" si="117"/>
        <v>村</v>
      </c>
    </row>
    <row r="205" spans="2:62" x14ac:dyDescent="0.15">
      <c r="B205" s="15">
        <v>202</v>
      </c>
      <c r="C205" s="15" t="s">
        <v>279</v>
      </c>
      <c r="D205" s="15">
        <v>133</v>
      </c>
      <c r="AX205" s="15"/>
      <c r="AY205" s="35">
        <f t="shared" si="107"/>
        <v>202</v>
      </c>
      <c r="AZ205" s="35" t="str">
        <f t="shared" si="108"/>
        <v>453+731</v>
      </c>
      <c r="BA205" s="35">
        <f t="shared" si="109"/>
        <v>133</v>
      </c>
      <c r="BB205" s="38">
        <f>COUNTIF($BA$4:$BA205,$BA205)</f>
        <v>2</v>
      </c>
      <c r="BC205" s="36" t="str">
        <f t="shared" si="110"/>
        <v>村</v>
      </c>
      <c r="BD205" s="36" t="str">
        <f t="shared" si="111"/>
        <v>村</v>
      </c>
      <c r="BE205" s="36" t="str">
        <f t="shared" si="112"/>
        <v/>
      </c>
      <c r="BF205" s="36" t="str">
        <f t="shared" si="113"/>
        <v>村</v>
      </c>
      <c r="BG205" s="36" t="str">
        <f t="shared" si="114"/>
        <v>村</v>
      </c>
      <c r="BH205" s="36" t="str">
        <f t="shared" si="115"/>
        <v>村</v>
      </c>
      <c r="BI205" s="36" t="str">
        <f t="shared" si="116"/>
        <v/>
      </c>
      <c r="BJ205" s="29" t="str">
        <f t="shared" si="117"/>
        <v>村</v>
      </c>
    </row>
    <row r="206" spans="2:62" x14ac:dyDescent="0.15">
      <c r="B206" s="15">
        <v>203</v>
      </c>
      <c r="C206" s="15" t="s">
        <v>718</v>
      </c>
      <c r="D206" s="15">
        <v>133</v>
      </c>
      <c r="AX206" s="15"/>
      <c r="AY206" s="35">
        <f t="shared" si="107"/>
        <v>203</v>
      </c>
      <c r="AZ206" s="35" t="str">
        <f t="shared" si="108"/>
        <v>419+714</v>
      </c>
      <c r="BA206" s="35">
        <f t="shared" si="109"/>
        <v>133</v>
      </c>
      <c r="BB206" s="38">
        <f>COUNTIF($BA$4:$BA206,$BA206)</f>
        <v>3</v>
      </c>
      <c r="BC206" s="36" t="str">
        <f t="shared" si="110"/>
        <v/>
      </c>
      <c r="BD206" s="36" t="str">
        <f t="shared" si="111"/>
        <v>县</v>
      </c>
      <c r="BE206" s="36" t="str">
        <f t="shared" si="112"/>
        <v/>
      </c>
      <c r="BF206" s="36" t="str">
        <f t="shared" si="113"/>
        <v/>
      </c>
      <c r="BG206" s="36" t="str">
        <f t="shared" si="114"/>
        <v>县</v>
      </c>
      <c r="BH206" s="36" t="str">
        <f t="shared" si="115"/>
        <v/>
      </c>
      <c r="BI206" s="36" t="str">
        <f t="shared" si="116"/>
        <v>县</v>
      </c>
      <c r="BJ206" s="29" t="str">
        <f t="shared" si="117"/>
        <v>县</v>
      </c>
    </row>
    <row r="207" spans="2:62" x14ac:dyDescent="0.15">
      <c r="B207" s="15">
        <v>204</v>
      </c>
      <c r="C207" s="15" t="s">
        <v>657</v>
      </c>
      <c r="D207" s="15">
        <v>133</v>
      </c>
      <c r="AX207" s="15"/>
      <c r="AY207" s="35">
        <f t="shared" si="107"/>
        <v>204</v>
      </c>
      <c r="AZ207" s="35" t="str">
        <f t="shared" si="108"/>
        <v>460+705</v>
      </c>
      <c r="BA207" s="35">
        <f t="shared" si="109"/>
        <v>133</v>
      </c>
      <c r="BB207" s="38">
        <f>COUNTIF($BA$4:$BA207,$BA207)</f>
        <v>4</v>
      </c>
      <c r="BC207" s="36" t="str">
        <f t="shared" si="110"/>
        <v>营</v>
      </c>
      <c r="BD207" s="36" t="str">
        <f t="shared" si="111"/>
        <v>营</v>
      </c>
      <c r="BE207" s="36" t="str">
        <f t="shared" si="112"/>
        <v/>
      </c>
      <c r="BF207" s="36" t="str">
        <f t="shared" si="113"/>
        <v>营</v>
      </c>
      <c r="BG207" s="36" t="str">
        <f t="shared" si="114"/>
        <v/>
      </c>
      <c r="BH207" s="36" t="str">
        <f t="shared" si="115"/>
        <v>营</v>
      </c>
      <c r="BI207" s="36" t="str">
        <f t="shared" si="116"/>
        <v/>
      </c>
      <c r="BJ207" s="29" t="str">
        <f t="shared" si="117"/>
        <v>营</v>
      </c>
    </row>
    <row r="208" spans="2:62" x14ac:dyDescent="0.15">
      <c r="B208" s="15">
        <v>205</v>
      </c>
      <c r="C208" s="15" t="s">
        <v>280</v>
      </c>
      <c r="D208" s="15">
        <v>134</v>
      </c>
      <c r="AX208" s="15"/>
      <c r="AY208" s="35">
        <f t="shared" si="107"/>
        <v>205</v>
      </c>
      <c r="AZ208" s="35" t="str">
        <f t="shared" si="108"/>
        <v>556+761</v>
      </c>
      <c r="BA208" s="35">
        <f t="shared" si="109"/>
        <v>134</v>
      </c>
      <c r="BB208" s="38">
        <f>COUNTIF($BA$4:$BA208,$BA208)</f>
        <v>1</v>
      </c>
      <c r="BC208" s="36" t="str">
        <f t="shared" si="110"/>
        <v/>
      </c>
      <c r="BD208" s="36" t="str">
        <f t="shared" si="111"/>
        <v>村</v>
      </c>
      <c r="BE208" s="36" t="str">
        <f t="shared" si="112"/>
        <v/>
      </c>
      <c r="BF208" s="36" t="str">
        <f t="shared" si="113"/>
        <v/>
      </c>
      <c r="BG208" s="36" t="str">
        <f t="shared" si="114"/>
        <v>村</v>
      </c>
      <c r="BH208" s="36" t="str">
        <f t="shared" si="115"/>
        <v>村</v>
      </c>
      <c r="BI208" s="36" t="str">
        <f t="shared" si="116"/>
        <v>村</v>
      </c>
      <c r="BJ208" s="29" t="str">
        <f t="shared" si="117"/>
        <v>村</v>
      </c>
    </row>
    <row r="209" spans="2:62" x14ac:dyDescent="0.15">
      <c r="B209" s="15">
        <v>206</v>
      </c>
      <c r="C209" s="15" t="s">
        <v>281</v>
      </c>
      <c r="D209" s="15">
        <v>134</v>
      </c>
      <c r="AX209" s="15"/>
      <c r="AY209" s="35">
        <f t="shared" si="107"/>
        <v>206</v>
      </c>
      <c r="AZ209" s="35" t="str">
        <f t="shared" si="108"/>
        <v>578+727</v>
      </c>
      <c r="BA209" s="35">
        <f t="shared" si="109"/>
        <v>134</v>
      </c>
      <c r="BB209" s="38">
        <f>COUNTIF($BA$4:$BA209,$BA209)</f>
        <v>2</v>
      </c>
      <c r="BC209" s="36" t="str">
        <f t="shared" si="110"/>
        <v/>
      </c>
      <c r="BD209" s="36" t="str">
        <f t="shared" si="111"/>
        <v>村</v>
      </c>
      <c r="BE209" s="36" t="str">
        <f t="shared" si="112"/>
        <v>村</v>
      </c>
      <c r="BF209" s="36" t="str">
        <f t="shared" si="113"/>
        <v/>
      </c>
      <c r="BG209" s="36" t="str">
        <f t="shared" si="114"/>
        <v/>
      </c>
      <c r="BH209" s="36" t="str">
        <f t="shared" si="115"/>
        <v>村</v>
      </c>
      <c r="BI209" s="36" t="str">
        <f t="shared" si="116"/>
        <v>村</v>
      </c>
      <c r="BJ209" s="29" t="str">
        <f t="shared" si="117"/>
        <v>村</v>
      </c>
    </row>
    <row r="210" spans="2:62" x14ac:dyDescent="0.15">
      <c r="B210" s="15">
        <v>207</v>
      </c>
      <c r="C210" s="15" t="s">
        <v>431</v>
      </c>
      <c r="D210" s="15">
        <v>134</v>
      </c>
      <c r="AX210" s="15"/>
      <c r="AY210" s="35">
        <f t="shared" si="107"/>
        <v>207</v>
      </c>
      <c r="AZ210" s="35" t="str">
        <f t="shared" si="108"/>
        <v>567+728</v>
      </c>
      <c r="BA210" s="35">
        <f t="shared" si="109"/>
        <v>134</v>
      </c>
      <c r="BB210" s="38">
        <f>COUNTIF($BA$4:$BA210,$BA210)</f>
        <v>3</v>
      </c>
      <c r="BC210" s="36" t="str">
        <f t="shared" si="110"/>
        <v/>
      </c>
      <c r="BD210" s="36" t="str">
        <f t="shared" si="111"/>
        <v>县</v>
      </c>
      <c r="BE210" s="36" t="str">
        <f t="shared" si="112"/>
        <v/>
      </c>
      <c r="BF210" s="36" t="str">
        <f t="shared" si="113"/>
        <v/>
      </c>
      <c r="BG210" s="36" t="str">
        <f t="shared" si="114"/>
        <v/>
      </c>
      <c r="BH210" s="36" t="str">
        <f t="shared" si="115"/>
        <v/>
      </c>
      <c r="BI210" s="36" t="str">
        <f t="shared" si="116"/>
        <v>县</v>
      </c>
      <c r="BJ210" s="29" t="str">
        <f t="shared" si="117"/>
        <v>县</v>
      </c>
    </row>
    <row r="211" spans="2:62" x14ac:dyDescent="0.15">
      <c r="B211" s="15">
        <v>208</v>
      </c>
      <c r="C211" s="15" t="s">
        <v>282</v>
      </c>
      <c r="D211" s="15">
        <v>135</v>
      </c>
      <c r="AX211" s="15"/>
      <c r="AY211" s="35">
        <f t="shared" si="107"/>
        <v>208</v>
      </c>
      <c r="AZ211" s="35" t="str">
        <f t="shared" si="108"/>
        <v>546+710</v>
      </c>
      <c r="BA211" s="35">
        <f t="shared" si="109"/>
        <v>135</v>
      </c>
      <c r="BB211" s="38">
        <f>COUNTIF($BA$4:$BA211,$BA211)</f>
        <v>1</v>
      </c>
      <c r="BC211" s="36" t="str">
        <f t="shared" si="110"/>
        <v/>
      </c>
      <c r="BD211" s="36" t="str">
        <f t="shared" si="111"/>
        <v>村</v>
      </c>
      <c r="BE211" s="36" t="str">
        <f t="shared" si="112"/>
        <v/>
      </c>
      <c r="BF211" s="36" t="str">
        <f t="shared" si="113"/>
        <v>村</v>
      </c>
      <c r="BG211" s="36" t="str">
        <f t="shared" si="114"/>
        <v>村</v>
      </c>
      <c r="BH211" s="36" t="str">
        <f t="shared" si="115"/>
        <v>村</v>
      </c>
      <c r="BI211" s="36" t="str">
        <f t="shared" si="116"/>
        <v>村</v>
      </c>
      <c r="BJ211" s="29" t="str">
        <f t="shared" si="117"/>
        <v>村</v>
      </c>
    </row>
    <row r="212" spans="2:62" x14ac:dyDescent="0.15">
      <c r="B212" s="15">
        <v>209</v>
      </c>
      <c r="C212" s="15" t="s">
        <v>283</v>
      </c>
      <c r="D212" s="15">
        <v>135</v>
      </c>
      <c r="AX212" s="15"/>
      <c r="AY212" s="35">
        <f t="shared" si="107"/>
        <v>209</v>
      </c>
      <c r="AZ212" s="35" t="str">
        <f t="shared" si="108"/>
        <v>530+696</v>
      </c>
      <c r="BA212" s="35">
        <f t="shared" si="109"/>
        <v>135</v>
      </c>
      <c r="BB212" s="38">
        <f>COUNTIF($BA$4:$BA212,$BA212)</f>
        <v>2</v>
      </c>
      <c r="BC212" s="36" t="str">
        <f t="shared" si="110"/>
        <v/>
      </c>
      <c r="BD212" s="36" t="str">
        <f t="shared" si="111"/>
        <v>村</v>
      </c>
      <c r="BE212" s="36" t="str">
        <f t="shared" si="112"/>
        <v/>
      </c>
      <c r="BF212" s="36" t="str">
        <f t="shared" si="113"/>
        <v>村</v>
      </c>
      <c r="BG212" s="36" t="str">
        <f t="shared" si="114"/>
        <v>村</v>
      </c>
      <c r="BH212" s="36" t="str">
        <f t="shared" si="115"/>
        <v>村</v>
      </c>
      <c r="BI212" s="36" t="str">
        <f t="shared" si="116"/>
        <v>村</v>
      </c>
      <c r="BJ212" s="29" t="str">
        <f t="shared" si="117"/>
        <v>村</v>
      </c>
    </row>
    <row r="213" spans="2:62" x14ac:dyDescent="0.15">
      <c r="B213" s="15">
        <v>210</v>
      </c>
      <c r="C213" s="15" t="s">
        <v>658</v>
      </c>
      <c r="D213" s="15">
        <v>135</v>
      </c>
      <c r="AX213" s="15"/>
      <c r="AY213" s="35">
        <f t="shared" si="107"/>
        <v>210</v>
      </c>
      <c r="AZ213" s="35" t="str">
        <f t="shared" si="108"/>
        <v>535+728</v>
      </c>
      <c r="BA213" s="35">
        <f t="shared" si="109"/>
        <v>135</v>
      </c>
      <c r="BB213" s="38">
        <f>COUNTIF($BA$4:$BA213,$BA213)</f>
        <v>3</v>
      </c>
      <c r="BC213" s="36" t="str">
        <f t="shared" si="110"/>
        <v/>
      </c>
      <c r="BD213" s="36" t="str">
        <f t="shared" si="111"/>
        <v>营</v>
      </c>
      <c r="BE213" s="36" t="str">
        <f t="shared" si="112"/>
        <v/>
      </c>
      <c r="BF213" s="36" t="str">
        <f t="shared" si="113"/>
        <v>营</v>
      </c>
      <c r="BG213" s="36" t="str">
        <f t="shared" si="114"/>
        <v>营</v>
      </c>
      <c r="BH213" s="36" t="str">
        <f t="shared" si="115"/>
        <v>营</v>
      </c>
      <c r="BI213" s="36" t="str">
        <f t="shared" si="116"/>
        <v>营</v>
      </c>
      <c r="BJ213" s="29" t="str">
        <f t="shared" si="117"/>
        <v>营</v>
      </c>
    </row>
    <row r="214" spans="2:62" x14ac:dyDescent="0.15">
      <c r="B214" s="15">
        <v>211</v>
      </c>
      <c r="C214" s="15" t="s">
        <v>284</v>
      </c>
      <c r="D214" s="15">
        <v>136</v>
      </c>
      <c r="AX214" s="15"/>
      <c r="AY214" s="35">
        <f t="shared" si="107"/>
        <v>211</v>
      </c>
      <c r="AZ214" s="35" t="str">
        <f t="shared" si="108"/>
        <v>473+703</v>
      </c>
      <c r="BA214" s="35">
        <f t="shared" si="109"/>
        <v>136</v>
      </c>
      <c r="BB214" s="38">
        <f>COUNTIF($BA$4:$BA214,$BA214)</f>
        <v>1</v>
      </c>
      <c r="BC214" s="36" t="str">
        <f t="shared" si="110"/>
        <v/>
      </c>
      <c r="BD214" s="36" t="str">
        <f t="shared" si="111"/>
        <v>营</v>
      </c>
      <c r="BE214" s="36" t="str">
        <f t="shared" si="112"/>
        <v/>
      </c>
      <c r="BF214" s="36" t="str">
        <f t="shared" si="113"/>
        <v>营</v>
      </c>
      <c r="BG214" s="36" t="str">
        <f t="shared" si="114"/>
        <v>营</v>
      </c>
      <c r="BH214" s="36" t="str">
        <f t="shared" si="115"/>
        <v>营</v>
      </c>
      <c r="BI214" s="36" t="str">
        <f t="shared" si="116"/>
        <v>营</v>
      </c>
      <c r="BJ214" s="29" t="str">
        <f t="shared" si="117"/>
        <v>营</v>
      </c>
    </row>
    <row r="215" spans="2:62" x14ac:dyDescent="0.15">
      <c r="B215" s="15">
        <v>212</v>
      </c>
      <c r="C215" s="15" t="s">
        <v>286</v>
      </c>
      <c r="D215" s="15">
        <v>137</v>
      </c>
      <c r="AX215" s="15"/>
      <c r="AY215" s="35">
        <f t="shared" si="107"/>
        <v>212</v>
      </c>
      <c r="AZ215" s="35" t="str">
        <f t="shared" si="108"/>
        <v>423+678</v>
      </c>
      <c r="BA215" s="35">
        <f t="shared" si="109"/>
        <v>137</v>
      </c>
      <c r="BB215" s="38">
        <f>COUNTIF($BA$4:$BA215,$BA215)</f>
        <v>1</v>
      </c>
      <c r="BC215" s="36" t="str">
        <f t="shared" si="110"/>
        <v>村</v>
      </c>
      <c r="BD215" s="36" t="str">
        <f t="shared" si="111"/>
        <v>村</v>
      </c>
      <c r="BE215" s="36" t="str">
        <f t="shared" si="112"/>
        <v/>
      </c>
      <c r="BF215" s="36" t="str">
        <f t="shared" si="113"/>
        <v>村</v>
      </c>
      <c r="BG215" s="36" t="str">
        <f t="shared" si="114"/>
        <v/>
      </c>
      <c r="BH215" s="36" t="str">
        <f t="shared" si="115"/>
        <v>村</v>
      </c>
      <c r="BI215" s="36" t="str">
        <f t="shared" si="116"/>
        <v>村</v>
      </c>
      <c r="BJ215" s="29" t="str">
        <f t="shared" si="117"/>
        <v>村</v>
      </c>
    </row>
    <row r="216" spans="2:62" x14ac:dyDescent="0.15">
      <c r="B216" s="15">
        <v>213</v>
      </c>
      <c r="C216" s="15" t="s">
        <v>287</v>
      </c>
      <c r="D216" s="15">
        <v>137</v>
      </c>
      <c r="AX216" s="15"/>
      <c r="AY216" s="35">
        <f t="shared" si="107"/>
        <v>213</v>
      </c>
      <c r="AZ216" s="35" t="str">
        <f t="shared" si="108"/>
        <v>463+672</v>
      </c>
      <c r="BA216" s="35">
        <f t="shared" si="109"/>
        <v>137</v>
      </c>
      <c r="BB216" s="38">
        <f>COUNTIF($BA$4:$BA216,$BA216)</f>
        <v>2</v>
      </c>
      <c r="BC216" s="36" t="str">
        <f t="shared" si="110"/>
        <v>村</v>
      </c>
      <c r="BD216" s="36" t="str">
        <f t="shared" si="111"/>
        <v>村</v>
      </c>
      <c r="BE216" s="36" t="str">
        <f t="shared" si="112"/>
        <v/>
      </c>
      <c r="BF216" s="36" t="str">
        <f t="shared" si="113"/>
        <v/>
      </c>
      <c r="BG216" s="36" t="str">
        <f t="shared" si="114"/>
        <v>村</v>
      </c>
      <c r="BH216" s="36" t="str">
        <f t="shared" si="115"/>
        <v/>
      </c>
      <c r="BI216" s="36" t="str">
        <f t="shared" si="116"/>
        <v>村</v>
      </c>
      <c r="BJ216" s="29" t="str">
        <f t="shared" si="117"/>
        <v>村</v>
      </c>
    </row>
    <row r="217" spans="2:62" x14ac:dyDescent="0.15">
      <c r="B217" s="15">
        <v>214</v>
      </c>
      <c r="C217" s="15" t="s">
        <v>659</v>
      </c>
      <c r="D217" s="15">
        <v>137</v>
      </c>
      <c r="AX217" s="15"/>
      <c r="AY217" s="35">
        <f t="shared" si="107"/>
        <v>214</v>
      </c>
      <c r="AZ217" s="35" t="str">
        <f t="shared" si="108"/>
        <v>450+683</v>
      </c>
      <c r="BA217" s="35">
        <f t="shared" si="109"/>
        <v>137</v>
      </c>
      <c r="BB217" s="38">
        <f>COUNTIF($BA$4:$BA217,$BA217)</f>
        <v>3</v>
      </c>
      <c r="BC217" s="36" t="str">
        <f t="shared" si="110"/>
        <v>营</v>
      </c>
      <c r="BD217" s="36" t="str">
        <f t="shared" si="111"/>
        <v/>
      </c>
      <c r="BE217" s="36" t="str">
        <f t="shared" si="112"/>
        <v/>
      </c>
      <c r="BF217" s="36" t="str">
        <f t="shared" si="113"/>
        <v>营</v>
      </c>
      <c r="BG217" s="36" t="str">
        <f t="shared" si="114"/>
        <v/>
      </c>
      <c r="BH217" s="36" t="str">
        <f t="shared" si="115"/>
        <v>营</v>
      </c>
      <c r="BI217" s="36" t="str">
        <f t="shared" si="116"/>
        <v/>
      </c>
      <c r="BJ217" s="29" t="str">
        <f t="shared" si="117"/>
        <v>营</v>
      </c>
    </row>
    <row r="218" spans="2:62" x14ac:dyDescent="0.15">
      <c r="B218" s="15">
        <v>215</v>
      </c>
      <c r="C218" s="15" t="s">
        <v>288</v>
      </c>
      <c r="D218" s="15">
        <v>138</v>
      </c>
      <c r="AX218" s="15"/>
      <c r="AY218" s="35">
        <f t="shared" si="107"/>
        <v>215</v>
      </c>
      <c r="AZ218" s="35" t="str">
        <f t="shared" si="108"/>
        <v>341+675</v>
      </c>
      <c r="BA218" s="35">
        <f t="shared" si="109"/>
        <v>138</v>
      </c>
      <c r="BB218" s="38">
        <f>COUNTIF($BA$4:$BA218,$BA218)</f>
        <v>1</v>
      </c>
      <c r="BC218" s="36" t="str">
        <f t="shared" si="110"/>
        <v/>
      </c>
      <c r="BD218" s="36" t="str">
        <f t="shared" si="111"/>
        <v/>
      </c>
      <c r="BE218" s="36" t="str">
        <f t="shared" si="112"/>
        <v/>
      </c>
      <c r="BF218" s="36" t="str">
        <f t="shared" si="113"/>
        <v>村</v>
      </c>
      <c r="BG218" s="36" t="str">
        <f t="shared" si="114"/>
        <v/>
      </c>
      <c r="BH218" s="36" t="str">
        <f t="shared" si="115"/>
        <v>村</v>
      </c>
      <c r="BI218" s="36" t="str">
        <f t="shared" si="116"/>
        <v>村</v>
      </c>
      <c r="BJ218" s="29" t="str">
        <f t="shared" si="117"/>
        <v>村</v>
      </c>
    </row>
    <row r="219" spans="2:62" x14ac:dyDescent="0.15">
      <c r="B219" s="15">
        <v>216</v>
      </c>
      <c r="C219" s="15" t="s">
        <v>289</v>
      </c>
      <c r="D219" s="15">
        <v>138</v>
      </c>
      <c r="AX219" s="15"/>
      <c r="AY219" s="35">
        <f t="shared" si="107"/>
        <v>216</v>
      </c>
      <c r="AZ219" s="35" t="str">
        <f t="shared" si="108"/>
        <v>378+669</v>
      </c>
      <c r="BA219" s="35">
        <f t="shared" si="109"/>
        <v>138</v>
      </c>
      <c r="BB219" s="38">
        <f>COUNTIF($BA$4:$BA219,$BA219)</f>
        <v>2</v>
      </c>
      <c r="BC219" s="36" t="str">
        <f t="shared" si="110"/>
        <v>村</v>
      </c>
      <c r="BD219" s="36" t="str">
        <f t="shared" si="111"/>
        <v/>
      </c>
      <c r="BE219" s="36" t="str">
        <f t="shared" si="112"/>
        <v/>
      </c>
      <c r="BF219" s="36" t="str">
        <f t="shared" si="113"/>
        <v>村</v>
      </c>
      <c r="BG219" s="36" t="str">
        <f t="shared" si="114"/>
        <v/>
      </c>
      <c r="BH219" s="36" t="str">
        <f t="shared" si="115"/>
        <v/>
      </c>
      <c r="BI219" s="36" t="str">
        <f t="shared" si="116"/>
        <v>村</v>
      </c>
      <c r="BJ219" s="29" t="str">
        <f t="shared" si="117"/>
        <v>村</v>
      </c>
    </row>
    <row r="220" spans="2:62" x14ac:dyDescent="0.15">
      <c r="B220" s="15">
        <v>217</v>
      </c>
      <c r="C220" s="15" t="s">
        <v>423</v>
      </c>
      <c r="D220" s="15">
        <v>138</v>
      </c>
      <c r="AX220" s="15"/>
      <c r="AY220" s="35">
        <f t="shared" si="107"/>
        <v>217</v>
      </c>
      <c r="AZ220" s="35" t="str">
        <f t="shared" si="108"/>
        <v>361+664</v>
      </c>
      <c r="BA220" s="35">
        <f t="shared" si="109"/>
        <v>138</v>
      </c>
      <c r="BB220" s="38">
        <f>COUNTIF($BA$4:$BA220,$BA220)</f>
        <v>3</v>
      </c>
      <c r="BC220" s="36" t="str">
        <f t="shared" si="110"/>
        <v>县</v>
      </c>
      <c r="BD220" s="36" t="str">
        <f t="shared" si="111"/>
        <v/>
      </c>
      <c r="BE220" s="36" t="str">
        <f t="shared" si="112"/>
        <v/>
      </c>
      <c r="BF220" s="36" t="str">
        <f t="shared" si="113"/>
        <v/>
      </c>
      <c r="BG220" s="36" t="str">
        <f t="shared" si="114"/>
        <v/>
      </c>
      <c r="BH220" s="36" t="str">
        <f t="shared" si="115"/>
        <v/>
      </c>
      <c r="BI220" s="36" t="str">
        <f t="shared" si="116"/>
        <v/>
      </c>
      <c r="BJ220" s="29" t="str">
        <f t="shared" si="117"/>
        <v>县</v>
      </c>
    </row>
    <row r="221" spans="2:62" x14ac:dyDescent="0.15">
      <c r="B221" s="15">
        <v>218</v>
      </c>
      <c r="C221" s="15" t="s">
        <v>660</v>
      </c>
      <c r="D221" s="15">
        <v>138</v>
      </c>
      <c r="AX221" s="15"/>
      <c r="AY221" s="35">
        <f t="shared" si="107"/>
        <v>218</v>
      </c>
      <c r="AZ221" s="35" t="str">
        <f t="shared" si="108"/>
        <v>362+682</v>
      </c>
      <c r="BA221" s="35">
        <f t="shared" si="109"/>
        <v>138</v>
      </c>
      <c r="BB221" s="38">
        <f>COUNTIF($BA$4:$BA221,$BA221)</f>
        <v>4</v>
      </c>
      <c r="BC221" s="36" t="str">
        <f t="shared" si="110"/>
        <v>营</v>
      </c>
      <c r="BD221" s="36" t="str">
        <f t="shared" si="111"/>
        <v/>
      </c>
      <c r="BE221" s="36" t="str">
        <f t="shared" si="112"/>
        <v/>
      </c>
      <c r="BF221" s="36" t="str">
        <f t="shared" si="113"/>
        <v>营</v>
      </c>
      <c r="BG221" s="36" t="str">
        <f t="shared" si="114"/>
        <v/>
      </c>
      <c r="BH221" s="36" t="str">
        <f t="shared" si="115"/>
        <v/>
      </c>
      <c r="BI221" s="36" t="str">
        <f t="shared" si="116"/>
        <v>营</v>
      </c>
      <c r="BJ221" s="29" t="str">
        <f t="shared" si="117"/>
        <v>营</v>
      </c>
    </row>
    <row r="222" spans="2:62" x14ac:dyDescent="0.15">
      <c r="B222" s="15">
        <v>219</v>
      </c>
      <c r="C222" s="15" t="s">
        <v>730</v>
      </c>
      <c r="D222" s="15">
        <v>138</v>
      </c>
      <c r="AX222" s="15"/>
      <c r="AY222" s="35">
        <f t="shared" si="107"/>
        <v>219</v>
      </c>
      <c r="AZ222" s="35" t="str">
        <f t="shared" si="108"/>
        <v>396+668</v>
      </c>
      <c r="BA222" s="35">
        <f t="shared" si="109"/>
        <v>138</v>
      </c>
      <c r="BB222" s="38">
        <f>COUNTIF($BA$4:$BA222,$BA222)</f>
        <v>5</v>
      </c>
      <c r="BC222" s="36" t="str">
        <f t="shared" si="110"/>
        <v>营</v>
      </c>
      <c r="BD222" s="36" t="str">
        <f t="shared" si="111"/>
        <v>营</v>
      </c>
      <c r="BE222" s="36" t="str">
        <f t="shared" si="112"/>
        <v/>
      </c>
      <c r="BF222" s="36" t="str">
        <f t="shared" si="113"/>
        <v>营</v>
      </c>
      <c r="BG222" s="36" t="str">
        <f t="shared" si="114"/>
        <v/>
      </c>
      <c r="BH222" s="36" t="str">
        <f t="shared" si="115"/>
        <v/>
      </c>
      <c r="BI222" s="36" t="str">
        <f t="shared" si="116"/>
        <v>营</v>
      </c>
      <c r="BJ222" s="29" t="str">
        <f t="shared" si="117"/>
        <v>营</v>
      </c>
    </row>
    <row r="223" spans="2:62" x14ac:dyDescent="0.15">
      <c r="B223" s="15">
        <v>220</v>
      </c>
      <c r="C223" s="15" t="s">
        <v>290</v>
      </c>
      <c r="D223" s="15">
        <v>139</v>
      </c>
      <c r="AX223" s="15"/>
      <c r="AY223" s="35">
        <f t="shared" si="107"/>
        <v>220</v>
      </c>
      <c r="AZ223" s="35" t="str">
        <f t="shared" si="108"/>
        <v>297+643</v>
      </c>
      <c r="BA223" s="35">
        <f t="shared" si="109"/>
        <v>139</v>
      </c>
      <c r="BB223" s="38">
        <f>COUNTIF($BA$4:$BA223,$BA223)</f>
        <v>1</v>
      </c>
      <c r="BC223" s="36" t="str">
        <f t="shared" si="110"/>
        <v>村</v>
      </c>
      <c r="BD223" s="36" t="str">
        <f t="shared" si="111"/>
        <v/>
      </c>
      <c r="BE223" s="36" t="str">
        <f t="shared" si="112"/>
        <v/>
      </c>
      <c r="BF223" s="36" t="str">
        <f t="shared" si="113"/>
        <v/>
      </c>
      <c r="BG223" s="36" t="str">
        <f t="shared" si="114"/>
        <v/>
      </c>
      <c r="BH223" s="36" t="str">
        <f t="shared" si="115"/>
        <v/>
      </c>
      <c r="BI223" s="36" t="str">
        <f t="shared" si="116"/>
        <v>村</v>
      </c>
      <c r="BJ223" s="29" t="str">
        <f t="shared" si="117"/>
        <v>村</v>
      </c>
    </row>
    <row r="224" spans="2:62" x14ac:dyDescent="0.15">
      <c r="B224" s="15">
        <v>221</v>
      </c>
      <c r="C224" s="15" t="s">
        <v>293</v>
      </c>
      <c r="D224" s="15">
        <v>140</v>
      </c>
      <c r="AX224" s="15"/>
      <c r="AY224" s="35">
        <f t="shared" si="107"/>
        <v>221</v>
      </c>
      <c r="AZ224" s="35" t="str">
        <f t="shared" si="108"/>
        <v>216+649</v>
      </c>
      <c r="BA224" s="35">
        <f t="shared" si="109"/>
        <v>140</v>
      </c>
      <c r="BB224" s="38">
        <f>COUNTIF($BA$4:$BA224,$BA224)</f>
        <v>1</v>
      </c>
      <c r="BC224" s="36" t="str">
        <f t="shared" si="110"/>
        <v>村</v>
      </c>
      <c r="BD224" s="36" t="str">
        <f t="shared" si="111"/>
        <v/>
      </c>
      <c r="BE224" s="36" t="str">
        <f t="shared" si="112"/>
        <v/>
      </c>
      <c r="BF224" s="36" t="str">
        <f t="shared" si="113"/>
        <v/>
      </c>
      <c r="BG224" s="36" t="str">
        <f t="shared" si="114"/>
        <v/>
      </c>
      <c r="BH224" s="36" t="str">
        <f t="shared" si="115"/>
        <v/>
      </c>
      <c r="BI224" s="36" t="str">
        <f t="shared" si="116"/>
        <v/>
      </c>
      <c r="BJ224" s="29" t="str">
        <f t="shared" si="117"/>
        <v>村</v>
      </c>
    </row>
    <row r="225" spans="2:62" x14ac:dyDescent="0.15">
      <c r="B225" s="15">
        <v>222</v>
      </c>
      <c r="C225" s="15" t="s">
        <v>294</v>
      </c>
      <c r="D225" s="15">
        <v>140</v>
      </c>
      <c r="AX225" s="15"/>
      <c r="AY225" s="35">
        <f t="shared" si="107"/>
        <v>222</v>
      </c>
      <c r="AZ225" s="35" t="str">
        <f t="shared" si="108"/>
        <v>186+675</v>
      </c>
      <c r="BA225" s="35">
        <f t="shared" si="109"/>
        <v>140</v>
      </c>
      <c r="BB225" s="38">
        <f>COUNTIF($BA$4:$BA225,$BA225)</f>
        <v>2</v>
      </c>
      <c r="BC225" s="36" t="str">
        <f t="shared" si="110"/>
        <v>村</v>
      </c>
      <c r="BD225" s="36" t="str">
        <f t="shared" si="111"/>
        <v/>
      </c>
      <c r="BE225" s="36" t="str">
        <f t="shared" si="112"/>
        <v/>
      </c>
      <c r="BF225" s="36" t="str">
        <f t="shared" si="113"/>
        <v/>
      </c>
      <c r="BG225" s="36" t="str">
        <f t="shared" si="114"/>
        <v/>
      </c>
      <c r="BH225" s="36" t="str">
        <f t="shared" si="115"/>
        <v/>
      </c>
      <c r="BI225" s="36" t="str">
        <f t="shared" si="116"/>
        <v/>
      </c>
      <c r="BJ225" s="29" t="str">
        <f t="shared" si="117"/>
        <v>村</v>
      </c>
    </row>
    <row r="226" spans="2:62" x14ac:dyDescent="0.15">
      <c r="B226" s="15">
        <v>223</v>
      </c>
      <c r="C226" s="15" t="s">
        <v>292</v>
      </c>
      <c r="D226" s="15">
        <v>140</v>
      </c>
      <c r="AX226" s="15"/>
      <c r="AY226" s="35">
        <f t="shared" si="107"/>
        <v>223</v>
      </c>
      <c r="AZ226" s="35" t="str">
        <f t="shared" si="108"/>
        <v>206+604</v>
      </c>
      <c r="BA226" s="35">
        <f t="shared" si="109"/>
        <v>140</v>
      </c>
      <c r="BB226" s="38">
        <f>COUNTIF($BA$4:$BA226,$BA226)</f>
        <v>3</v>
      </c>
      <c r="BC226" s="36" t="str">
        <f t="shared" si="110"/>
        <v>营</v>
      </c>
      <c r="BD226" s="36" t="str">
        <f t="shared" si="111"/>
        <v/>
      </c>
      <c r="BE226" s="36" t="str">
        <f t="shared" si="112"/>
        <v/>
      </c>
      <c r="BF226" s="36" t="str">
        <f t="shared" si="113"/>
        <v/>
      </c>
      <c r="BG226" s="36" t="str">
        <f t="shared" si="114"/>
        <v/>
      </c>
      <c r="BH226" s="36" t="str">
        <f t="shared" si="115"/>
        <v/>
      </c>
      <c r="BI226" s="36" t="str">
        <f t="shared" si="116"/>
        <v/>
      </c>
      <c r="BJ226" s="29" t="str">
        <f t="shared" si="117"/>
        <v>营</v>
      </c>
    </row>
    <row r="227" spans="2:62" x14ac:dyDescent="0.15">
      <c r="B227" s="15">
        <v>224</v>
      </c>
      <c r="C227" s="15" t="s">
        <v>295</v>
      </c>
      <c r="D227" s="15">
        <v>141</v>
      </c>
      <c r="AX227" s="15"/>
      <c r="AY227" s="35">
        <f t="shared" si="107"/>
        <v>224</v>
      </c>
      <c r="AZ227" s="35" t="str">
        <f t="shared" si="108"/>
        <v>151+613</v>
      </c>
      <c r="BA227" s="35">
        <f t="shared" si="109"/>
        <v>141</v>
      </c>
      <c r="BB227" s="38">
        <f>COUNTIF($BA$4:$BA227,$BA227)</f>
        <v>1</v>
      </c>
      <c r="BC227" s="36" t="str">
        <f t="shared" si="110"/>
        <v>村</v>
      </c>
      <c r="BD227" s="36" t="str">
        <f t="shared" si="111"/>
        <v/>
      </c>
      <c r="BE227" s="36" t="str">
        <f t="shared" si="112"/>
        <v/>
      </c>
      <c r="BF227" s="36" t="str">
        <f t="shared" si="113"/>
        <v/>
      </c>
      <c r="BG227" s="36" t="str">
        <f t="shared" si="114"/>
        <v/>
      </c>
      <c r="BH227" s="36" t="str">
        <f t="shared" si="115"/>
        <v/>
      </c>
      <c r="BI227" s="36" t="str">
        <f t="shared" si="116"/>
        <v/>
      </c>
      <c r="BJ227" s="29" t="str">
        <f t="shared" si="117"/>
        <v>村</v>
      </c>
    </row>
    <row r="228" spans="2:62" x14ac:dyDescent="0.15">
      <c r="B228" s="15">
        <v>225</v>
      </c>
      <c r="C228" s="15" t="s">
        <v>297</v>
      </c>
      <c r="D228" s="15">
        <v>141</v>
      </c>
      <c r="AX228" s="15"/>
      <c r="AY228" s="35">
        <f t="shared" si="107"/>
        <v>225</v>
      </c>
      <c r="AZ228" s="35" t="str">
        <f t="shared" si="108"/>
        <v>173+593</v>
      </c>
      <c r="BA228" s="35">
        <f t="shared" si="109"/>
        <v>141</v>
      </c>
      <c r="BB228" s="38">
        <f>COUNTIF($BA$4:$BA228,$BA228)</f>
        <v>2</v>
      </c>
      <c r="BC228" s="36" t="str">
        <f t="shared" si="110"/>
        <v>营</v>
      </c>
      <c r="BD228" s="36" t="str">
        <f t="shared" si="111"/>
        <v/>
      </c>
      <c r="BE228" s="36" t="str">
        <f t="shared" si="112"/>
        <v/>
      </c>
      <c r="BF228" s="36" t="str">
        <f t="shared" si="113"/>
        <v/>
      </c>
      <c r="BG228" s="36" t="str">
        <f t="shared" si="114"/>
        <v/>
      </c>
      <c r="BH228" s="36" t="str">
        <f t="shared" si="115"/>
        <v/>
      </c>
      <c r="BI228" s="36" t="str">
        <f t="shared" si="116"/>
        <v/>
      </c>
      <c r="BJ228" s="29" t="str">
        <f t="shared" si="117"/>
        <v>营</v>
      </c>
    </row>
    <row r="229" spans="2:62" x14ac:dyDescent="0.15">
      <c r="B229" s="15">
        <v>226</v>
      </c>
      <c r="C229" s="15" t="s">
        <v>298</v>
      </c>
      <c r="D229" s="15">
        <v>142</v>
      </c>
      <c r="AX229" s="15"/>
      <c r="AY229" s="35">
        <f t="shared" si="107"/>
        <v>226</v>
      </c>
      <c r="AZ229" s="35" t="str">
        <f t="shared" si="108"/>
        <v>265+593</v>
      </c>
      <c r="BA229" s="35">
        <f t="shared" si="109"/>
        <v>142</v>
      </c>
      <c r="BB229" s="38">
        <f>COUNTIF($BA$4:$BA229,$BA229)</f>
        <v>1</v>
      </c>
      <c r="BC229" s="36" t="str">
        <f t="shared" si="110"/>
        <v>村</v>
      </c>
      <c r="BD229" s="36" t="str">
        <f t="shared" si="111"/>
        <v/>
      </c>
      <c r="BE229" s="36" t="str">
        <f t="shared" si="112"/>
        <v/>
      </c>
      <c r="BF229" s="36" t="str">
        <f t="shared" si="113"/>
        <v/>
      </c>
      <c r="BG229" s="36" t="str">
        <f t="shared" si="114"/>
        <v/>
      </c>
      <c r="BH229" s="36" t="str">
        <f t="shared" si="115"/>
        <v/>
      </c>
      <c r="BI229" s="36" t="str">
        <f t="shared" si="116"/>
        <v/>
      </c>
      <c r="BJ229" s="29" t="str">
        <f t="shared" si="117"/>
        <v>村</v>
      </c>
    </row>
    <row r="230" spans="2:62" x14ac:dyDescent="0.15">
      <c r="B230" s="15">
        <v>227</v>
      </c>
      <c r="C230" s="15" t="s">
        <v>299</v>
      </c>
      <c r="D230" s="15">
        <v>142</v>
      </c>
      <c r="AX230" s="15"/>
      <c r="AY230" s="35">
        <f t="shared" si="107"/>
        <v>227</v>
      </c>
      <c r="AZ230" s="35" t="str">
        <f t="shared" si="108"/>
        <v>303+591</v>
      </c>
      <c r="BA230" s="35">
        <f t="shared" si="109"/>
        <v>142</v>
      </c>
      <c r="BB230" s="38">
        <f>COUNTIF($BA$4:$BA230,$BA230)</f>
        <v>2</v>
      </c>
      <c r="BC230" s="36" t="str">
        <f t="shared" si="110"/>
        <v>村</v>
      </c>
      <c r="BD230" s="36" t="str">
        <f t="shared" si="111"/>
        <v/>
      </c>
      <c r="BE230" s="36" t="str">
        <f t="shared" si="112"/>
        <v/>
      </c>
      <c r="BF230" s="36" t="str">
        <f t="shared" si="113"/>
        <v/>
      </c>
      <c r="BG230" s="36" t="str">
        <f t="shared" si="114"/>
        <v/>
      </c>
      <c r="BH230" s="36" t="str">
        <f t="shared" si="115"/>
        <v/>
      </c>
      <c r="BI230" s="36" t="str">
        <f t="shared" si="116"/>
        <v>村</v>
      </c>
      <c r="BJ230" s="29" t="str">
        <f t="shared" si="117"/>
        <v>村</v>
      </c>
    </row>
    <row r="231" spans="2:62" x14ac:dyDescent="0.15">
      <c r="B231" s="15">
        <v>228</v>
      </c>
      <c r="C231" s="15" t="s">
        <v>661</v>
      </c>
      <c r="D231" s="15">
        <v>142</v>
      </c>
      <c r="AX231" s="15"/>
      <c r="AY231" s="35">
        <f t="shared" si="107"/>
        <v>228</v>
      </c>
      <c r="AZ231" s="35" t="str">
        <f t="shared" si="108"/>
        <v>291+608</v>
      </c>
      <c r="BA231" s="35">
        <f t="shared" si="109"/>
        <v>142</v>
      </c>
      <c r="BB231" s="38">
        <f>COUNTIF($BA$4:$BA231,$BA231)</f>
        <v>3</v>
      </c>
      <c r="BC231" s="36" t="str">
        <f t="shared" si="110"/>
        <v>营</v>
      </c>
      <c r="BD231" s="36" t="str">
        <f t="shared" si="111"/>
        <v/>
      </c>
      <c r="BE231" s="36" t="str">
        <f t="shared" si="112"/>
        <v/>
      </c>
      <c r="BF231" s="36" t="str">
        <f t="shared" si="113"/>
        <v/>
      </c>
      <c r="BG231" s="36" t="str">
        <f t="shared" si="114"/>
        <v/>
      </c>
      <c r="BH231" s="36" t="str">
        <f t="shared" si="115"/>
        <v/>
      </c>
      <c r="BI231" s="36" t="str">
        <f t="shared" si="116"/>
        <v>营</v>
      </c>
      <c r="BJ231" s="29" t="str">
        <f t="shared" si="117"/>
        <v>营</v>
      </c>
    </row>
    <row r="232" spans="2:62" x14ac:dyDescent="0.15">
      <c r="B232" s="15">
        <v>229</v>
      </c>
      <c r="C232" s="15" t="s">
        <v>300</v>
      </c>
      <c r="D232" s="15">
        <v>143</v>
      </c>
      <c r="AX232" s="15"/>
      <c r="AY232" s="35">
        <f t="shared" si="107"/>
        <v>229</v>
      </c>
      <c r="AZ232" s="35" t="str">
        <f t="shared" si="108"/>
        <v>318+640</v>
      </c>
      <c r="BA232" s="35">
        <f t="shared" si="109"/>
        <v>143</v>
      </c>
      <c r="BB232" s="38">
        <f>COUNTIF($BA$4:$BA232,$BA232)</f>
        <v>1</v>
      </c>
      <c r="BC232" s="36" t="str">
        <f t="shared" si="110"/>
        <v>村</v>
      </c>
      <c r="BD232" s="36" t="str">
        <f t="shared" si="111"/>
        <v/>
      </c>
      <c r="BE232" s="36" t="str">
        <f t="shared" si="112"/>
        <v/>
      </c>
      <c r="BF232" s="36" t="str">
        <f t="shared" si="113"/>
        <v>村</v>
      </c>
      <c r="BG232" s="36" t="str">
        <f t="shared" si="114"/>
        <v/>
      </c>
      <c r="BH232" s="36" t="str">
        <f t="shared" si="115"/>
        <v>村</v>
      </c>
      <c r="BI232" s="36" t="str">
        <f t="shared" si="116"/>
        <v>村</v>
      </c>
      <c r="BJ232" s="29" t="str">
        <f t="shared" si="117"/>
        <v>村</v>
      </c>
    </row>
    <row r="233" spans="2:62" x14ac:dyDescent="0.15">
      <c r="B233" s="15">
        <v>230</v>
      </c>
      <c r="C233" s="15" t="s">
        <v>301</v>
      </c>
      <c r="D233" s="15">
        <v>143</v>
      </c>
      <c r="AX233" s="15"/>
      <c r="AY233" s="35">
        <f t="shared" si="107"/>
        <v>230</v>
      </c>
      <c r="AZ233" s="35" t="str">
        <f t="shared" si="108"/>
        <v>336+616</v>
      </c>
      <c r="BA233" s="35">
        <f t="shared" si="109"/>
        <v>143</v>
      </c>
      <c r="BB233" s="38">
        <f>COUNTIF($BA$4:$BA233,$BA233)</f>
        <v>2</v>
      </c>
      <c r="BC233" s="36" t="str">
        <f t="shared" si="110"/>
        <v>村</v>
      </c>
      <c r="BD233" s="36" t="str">
        <f t="shared" si="111"/>
        <v/>
      </c>
      <c r="BE233" s="36" t="str">
        <f t="shared" si="112"/>
        <v/>
      </c>
      <c r="BF233" s="36" t="str">
        <f t="shared" si="113"/>
        <v>村</v>
      </c>
      <c r="BG233" s="36" t="str">
        <f t="shared" si="114"/>
        <v/>
      </c>
      <c r="BH233" s="36" t="str">
        <f t="shared" si="115"/>
        <v/>
      </c>
      <c r="BI233" s="36" t="str">
        <f t="shared" si="116"/>
        <v>村</v>
      </c>
      <c r="BJ233" s="29" t="str">
        <f t="shared" si="117"/>
        <v>村</v>
      </c>
    </row>
    <row r="234" spans="2:62" x14ac:dyDescent="0.15">
      <c r="B234" s="15">
        <v>231</v>
      </c>
      <c r="C234" s="15" t="s">
        <v>662</v>
      </c>
      <c r="D234" s="15">
        <v>143</v>
      </c>
      <c r="AX234" s="15"/>
      <c r="AY234" s="35">
        <f t="shared" si="107"/>
        <v>231</v>
      </c>
      <c r="AZ234" s="35" t="str">
        <f t="shared" si="108"/>
        <v>320+602</v>
      </c>
      <c r="BA234" s="35">
        <f t="shared" si="109"/>
        <v>143</v>
      </c>
      <c r="BB234" s="38">
        <f>COUNTIF($BA$4:$BA234,$BA234)</f>
        <v>3</v>
      </c>
      <c r="BC234" s="36" t="str">
        <f t="shared" si="110"/>
        <v>营</v>
      </c>
      <c r="BD234" s="36" t="str">
        <f t="shared" si="111"/>
        <v/>
      </c>
      <c r="BE234" s="36" t="str">
        <f t="shared" si="112"/>
        <v/>
      </c>
      <c r="BF234" s="36" t="str">
        <f t="shared" si="113"/>
        <v>营</v>
      </c>
      <c r="BG234" s="36" t="str">
        <f t="shared" si="114"/>
        <v/>
      </c>
      <c r="BH234" s="36" t="str">
        <f t="shared" si="115"/>
        <v/>
      </c>
      <c r="BI234" s="36" t="str">
        <f t="shared" si="116"/>
        <v/>
      </c>
      <c r="BJ234" s="29" t="str">
        <f t="shared" si="117"/>
        <v>营</v>
      </c>
    </row>
    <row r="235" spans="2:62" x14ac:dyDescent="0.15">
      <c r="B235" s="15">
        <v>232</v>
      </c>
      <c r="C235" s="15" t="s">
        <v>302</v>
      </c>
      <c r="D235" s="15">
        <v>144</v>
      </c>
      <c r="AX235" s="15"/>
      <c r="AY235" s="35">
        <f t="shared" si="107"/>
        <v>232</v>
      </c>
      <c r="AZ235" s="35" t="str">
        <f t="shared" si="108"/>
        <v>362+608</v>
      </c>
      <c r="BA235" s="35">
        <f t="shared" si="109"/>
        <v>144</v>
      </c>
      <c r="BB235" s="38">
        <f>COUNTIF($BA$4:$BA235,$BA235)</f>
        <v>1</v>
      </c>
      <c r="BC235" s="36" t="str">
        <f t="shared" si="110"/>
        <v>村</v>
      </c>
      <c r="BD235" s="36" t="str">
        <f t="shared" si="111"/>
        <v>村</v>
      </c>
      <c r="BE235" s="36" t="str">
        <f t="shared" si="112"/>
        <v/>
      </c>
      <c r="BF235" s="36" t="str">
        <f t="shared" si="113"/>
        <v>村</v>
      </c>
      <c r="BG235" s="36" t="str">
        <f t="shared" si="114"/>
        <v/>
      </c>
      <c r="BH235" s="36" t="str">
        <f t="shared" si="115"/>
        <v>村</v>
      </c>
      <c r="BI235" s="36" t="str">
        <f t="shared" si="116"/>
        <v>村</v>
      </c>
      <c r="BJ235" s="29" t="str">
        <f t="shared" si="117"/>
        <v>村</v>
      </c>
    </row>
    <row r="236" spans="2:62" x14ac:dyDescent="0.15">
      <c r="B236" s="15">
        <v>233</v>
      </c>
      <c r="C236" s="15" t="s">
        <v>303</v>
      </c>
      <c r="D236" s="15">
        <v>144</v>
      </c>
      <c r="AX236" s="15"/>
      <c r="AY236" s="35">
        <f t="shared" si="107"/>
        <v>233</v>
      </c>
      <c r="AZ236" s="35" t="str">
        <f t="shared" si="108"/>
        <v>371+630</v>
      </c>
      <c r="BA236" s="35">
        <f t="shared" si="109"/>
        <v>144</v>
      </c>
      <c r="BB236" s="38">
        <f>COUNTIF($BA$4:$BA236,$BA236)</f>
        <v>2</v>
      </c>
      <c r="BC236" s="36" t="str">
        <f t="shared" si="110"/>
        <v>村</v>
      </c>
      <c r="BD236" s="36" t="str">
        <f t="shared" si="111"/>
        <v/>
      </c>
      <c r="BE236" s="36" t="str">
        <f t="shared" si="112"/>
        <v/>
      </c>
      <c r="BF236" s="36" t="str">
        <f t="shared" si="113"/>
        <v>村</v>
      </c>
      <c r="BG236" s="36" t="str">
        <f t="shared" si="114"/>
        <v/>
      </c>
      <c r="BH236" s="36" t="str">
        <f t="shared" si="115"/>
        <v>村</v>
      </c>
      <c r="BI236" s="36" t="str">
        <f t="shared" si="116"/>
        <v>村</v>
      </c>
      <c r="BJ236" s="29" t="str">
        <f t="shared" si="117"/>
        <v>村</v>
      </c>
    </row>
    <row r="237" spans="2:62" x14ac:dyDescent="0.15">
      <c r="B237" s="15">
        <v>234</v>
      </c>
      <c r="C237" s="15" t="s">
        <v>663</v>
      </c>
      <c r="D237" s="15">
        <v>144</v>
      </c>
      <c r="AX237" s="15"/>
      <c r="AY237" s="35">
        <f t="shared" si="107"/>
        <v>234</v>
      </c>
      <c r="AZ237" s="35" t="str">
        <f t="shared" si="108"/>
        <v>351+621</v>
      </c>
      <c r="BA237" s="35">
        <f t="shared" si="109"/>
        <v>144</v>
      </c>
      <c r="BB237" s="38">
        <f>COUNTIF($BA$4:$BA237,$BA237)</f>
        <v>3</v>
      </c>
      <c r="BC237" s="36" t="str">
        <f t="shared" si="110"/>
        <v>营</v>
      </c>
      <c r="BD237" s="36" t="str">
        <f t="shared" si="111"/>
        <v>营</v>
      </c>
      <c r="BE237" s="36" t="str">
        <f t="shared" si="112"/>
        <v/>
      </c>
      <c r="BF237" s="36" t="str">
        <f t="shared" si="113"/>
        <v>营</v>
      </c>
      <c r="BG237" s="36" t="str">
        <f t="shared" si="114"/>
        <v/>
      </c>
      <c r="BH237" s="36" t="str">
        <f t="shared" si="115"/>
        <v>营</v>
      </c>
      <c r="BI237" s="36" t="str">
        <f t="shared" si="116"/>
        <v>营</v>
      </c>
      <c r="BJ237" s="29" t="str">
        <f t="shared" si="117"/>
        <v>营</v>
      </c>
    </row>
    <row r="238" spans="2:62" x14ac:dyDescent="0.15">
      <c r="B238" s="15">
        <v>235</v>
      </c>
      <c r="C238" s="15" t="s">
        <v>304</v>
      </c>
      <c r="D238" s="15">
        <v>145</v>
      </c>
      <c r="AX238" s="15"/>
      <c r="AY238" s="35">
        <f t="shared" si="107"/>
        <v>235</v>
      </c>
      <c r="AZ238" s="35" t="str">
        <f t="shared" si="108"/>
        <v>450+641</v>
      </c>
      <c r="BA238" s="35">
        <f t="shared" si="109"/>
        <v>145</v>
      </c>
      <c r="BB238" s="38">
        <f>COUNTIF($BA$4:$BA238,$BA238)</f>
        <v>1</v>
      </c>
      <c r="BC238" s="36" t="str">
        <f t="shared" si="110"/>
        <v/>
      </c>
      <c r="BD238" s="36" t="str">
        <f t="shared" si="111"/>
        <v>村</v>
      </c>
      <c r="BE238" s="36" t="str">
        <f t="shared" si="112"/>
        <v/>
      </c>
      <c r="BF238" s="36" t="str">
        <f t="shared" si="113"/>
        <v>村</v>
      </c>
      <c r="BG238" s="36" t="str">
        <f t="shared" si="114"/>
        <v/>
      </c>
      <c r="BH238" s="36" t="str">
        <f t="shared" si="115"/>
        <v>村</v>
      </c>
      <c r="BI238" s="36" t="str">
        <f t="shared" si="116"/>
        <v>村</v>
      </c>
      <c r="BJ238" s="29" t="str">
        <f t="shared" si="117"/>
        <v>村</v>
      </c>
    </row>
    <row r="239" spans="2:62" x14ac:dyDescent="0.15">
      <c r="B239" s="15">
        <v>236</v>
      </c>
      <c r="C239" s="15" t="s">
        <v>305</v>
      </c>
      <c r="D239" s="15">
        <v>145</v>
      </c>
      <c r="AX239" s="15"/>
      <c r="AY239" s="35">
        <f t="shared" si="107"/>
        <v>236</v>
      </c>
      <c r="AZ239" s="35" t="str">
        <f t="shared" si="108"/>
        <v>424+636</v>
      </c>
      <c r="BA239" s="35">
        <f t="shared" si="109"/>
        <v>145</v>
      </c>
      <c r="BB239" s="38">
        <f>COUNTIF($BA$4:$BA239,$BA239)</f>
        <v>2</v>
      </c>
      <c r="BC239" s="36" t="str">
        <f t="shared" si="110"/>
        <v>村</v>
      </c>
      <c r="BD239" s="36" t="str">
        <f t="shared" si="111"/>
        <v>村</v>
      </c>
      <c r="BE239" s="36" t="str">
        <f t="shared" si="112"/>
        <v/>
      </c>
      <c r="BF239" s="36" t="str">
        <f t="shared" si="113"/>
        <v>村</v>
      </c>
      <c r="BG239" s="36" t="str">
        <f t="shared" si="114"/>
        <v/>
      </c>
      <c r="BH239" s="36" t="str">
        <f t="shared" si="115"/>
        <v>村</v>
      </c>
      <c r="BI239" s="36" t="str">
        <f t="shared" si="116"/>
        <v>村</v>
      </c>
      <c r="BJ239" s="29" t="str">
        <f t="shared" si="117"/>
        <v>村</v>
      </c>
    </row>
    <row r="240" spans="2:62" x14ac:dyDescent="0.15">
      <c r="B240" s="15">
        <v>237</v>
      </c>
      <c r="C240" s="15" t="s">
        <v>664</v>
      </c>
      <c r="D240" s="15">
        <v>145</v>
      </c>
      <c r="AX240" s="15"/>
      <c r="AY240" s="35">
        <f t="shared" si="107"/>
        <v>237</v>
      </c>
      <c r="AZ240" s="35" t="str">
        <f t="shared" si="108"/>
        <v>405+624</v>
      </c>
      <c r="BA240" s="35">
        <f t="shared" si="109"/>
        <v>145</v>
      </c>
      <c r="BB240" s="38">
        <f>COUNTIF($BA$4:$BA240,$BA240)</f>
        <v>3</v>
      </c>
      <c r="BC240" s="36" t="str">
        <f t="shared" si="110"/>
        <v>营</v>
      </c>
      <c r="BD240" s="36" t="str">
        <f t="shared" si="111"/>
        <v>营</v>
      </c>
      <c r="BE240" s="36" t="str">
        <f t="shared" si="112"/>
        <v/>
      </c>
      <c r="BF240" s="36" t="str">
        <f t="shared" si="113"/>
        <v>营</v>
      </c>
      <c r="BG240" s="36" t="str">
        <f t="shared" si="114"/>
        <v/>
      </c>
      <c r="BH240" s="36" t="str">
        <f t="shared" si="115"/>
        <v>营</v>
      </c>
      <c r="BI240" s="36" t="str">
        <f t="shared" si="116"/>
        <v>营</v>
      </c>
      <c r="BJ240" s="29" t="str">
        <f t="shared" si="117"/>
        <v>营</v>
      </c>
    </row>
    <row r="241" spans="2:62" x14ac:dyDescent="0.15">
      <c r="B241" s="15">
        <v>238</v>
      </c>
      <c r="C241" s="15" t="s">
        <v>306</v>
      </c>
      <c r="D241" s="15">
        <v>146</v>
      </c>
      <c r="AX241" s="15"/>
      <c r="AY241" s="35">
        <f t="shared" si="107"/>
        <v>238</v>
      </c>
      <c r="AZ241" s="35" t="str">
        <f t="shared" si="108"/>
        <v>466+619</v>
      </c>
      <c r="BA241" s="35">
        <f t="shared" si="109"/>
        <v>146</v>
      </c>
      <c r="BB241" s="38">
        <f>COUNTIF($BA$4:$BA241,$BA241)</f>
        <v>1</v>
      </c>
      <c r="BC241" s="36" t="str">
        <f t="shared" si="110"/>
        <v>村</v>
      </c>
      <c r="BD241" s="36" t="str">
        <f t="shared" si="111"/>
        <v/>
      </c>
      <c r="BE241" s="36" t="str">
        <f t="shared" si="112"/>
        <v/>
      </c>
      <c r="BF241" s="36" t="str">
        <f t="shared" si="113"/>
        <v>村</v>
      </c>
      <c r="BG241" s="36" t="str">
        <f t="shared" si="114"/>
        <v/>
      </c>
      <c r="BH241" s="36" t="str">
        <f t="shared" si="115"/>
        <v/>
      </c>
      <c r="BI241" s="36" t="str">
        <f t="shared" si="116"/>
        <v>村</v>
      </c>
      <c r="BJ241" s="29" t="str">
        <f t="shared" si="117"/>
        <v>村</v>
      </c>
    </row>
    <row r="242" spans="2:62" x14ac:dyDescent="0.15">
      <c r="B242" s="15">
        <v>239</v>
      </c>
      <c r="C242" s="15" t="s">
        <v>307</v>
      </c>
      <c r="D242" s="15">
        <v>146</v>
      </c>
      <c r="AX242" s="15"/>
      <c r="AY242" s="35">
        <f t="shared" si="107"/>
        <v>239</v>
      </c>
      <c r="AZ242" s="35" t="str">
        <f t="shared" si="108"/>
        <v>478+646</v>
      </c>
      <c r="BA242" s="35">
        <f t="shared" si="109"/>
        <v>146</v>
      </c>
      <c r="BB242" s="38">
        <f>COUNTIF($BA$4:$BA242,$BA242)</f>
        <v>2</v>
      </c>
      <c r="BC242" s="36" t="str">
        <f t="shared" si="110"/>
        <v>村</v>
      </c>
      <c r="BD242" s="36" t="str">
        <f t="shared" si="111"/>
        <v>村</v>
      </c>
      <c r="BE242" s="36" t="str">
        <f t="shared" si="112"/>
        <v/>
      </c>
      <c r="BF242" s="36" t="str">
        <f t="shared" si="113"/>
        <v>村</v>
      </c>
      <c r="BG242" s="36" t="str">
        <f t="shared" si="114"/>
        <v>村</v>
      </c>
      <c r="BH242" s="36" t="str">
        <f t="shared" si="115"/>
        <v>村</v>
      </c>
      <c r="BI242" s="36" t="str">
        <f t="shared" si="116"/>
        <v/>
      </c>
      <c r="BJ242" s="29" t="str">
        <f t="shared" si="117"/>
        <v>村</v>
      </c>
    </row>
    <row r="243" spans="2:62" x14ac:dyDescent="0.15">
      <c r="B243" s="15">
        <v>240</v>
      </c>
      <c r="C243" s="15" t="s">
        <v>308</v>
      </c>
      <c r="D243" s="15">
        <v>147</v>
      </c>
      <c r="AX243" s="15"/>
      <c r="AY243" s="35">
        <f t="shared" si="107"/>
        <v>240</v>
      </c>
      <c r="AZ243" s="35" t="str">
        <f t="shared" si="108"/>
        <v>499+650</v>
      </c>
      <c r="BA243" s="35">
        <f t="shared" si="109"/>
        <v>147</v>
      </c>
      <c r="BB243" s="38">
        <f>COUNTIF($BA$4:$BA243,$BA243)</f>
        <v>1</v>
      </c>
      <c r="BC243" s="36" t="str">
        <f t="shared" si="110"/>
        <v>营</v>
      </c>
      <c r="BD243" s="36" t="str">
        <f t="shared" si="111"/>
        <v>营</v>
      </c>
      <c r="BE243" s="36" t="str">
        <f t="shared" si="112"/>
        <v>营</v>
      </c>
      <c r="BF243" s="36" t="str">
        <f t="shared" si="113"/>
        <v>营</v>
      </c>
      <c r="BG243" s="36" t="str">
        <f t="shared" si="114"/>
        <v>营</v>
      </c>
      <c r="BH243" s="36" t="str">
        <f t="shared" si="115"/>
        <v>营</v>
      </c>
      <c r="BI243" s="36" t="str">
        <f t="shared" si="116"/>
        <v>营</v>
      </c>
      <c r="BJ243" s="29" t="str">
        <f t="shared" si="117"/>
        <v>营</v>
      </c>
    </row>
    <row r="244" spans="2:62" x14ac:dyDescent="0.15">
      <c r="B244" s="15">
        <v>241</v>
      </c>
      <c r="C244" s="15" t="s">
        <v>310</v>
      </c>
      <c r="D244" s="15">
        <v>148</v>
      </c>
      <c r="AX244" s="15"/>
      <c r="AY244" s="35">
        <f t="shared" si="107"/>
        <v>241</v>
      </c>
      <c r="AZ244" s="35" t="str">
        <f t="shared" si="108"/>
        <v>525+639</v>
      </c>
      <c r="BA244" s="35">
        <f t="shared" si="109"/>
        <v>148</v>
      </c>
      <c r="BB244" s="38">
        <f>COUNTIF($BA$4:$BA244,$BA244)</f>
        <v>1</v>
      </c>
      <c r="BC244" s="36" t="str">
        <f t="shared" si="110"/>
        <v/>
      </c>
      <c r="BD244" s="36" t="str">
        <f t="shared" si="111"/>
        <v>村</v>
      </c>
      <c r="BE244" s="36" t="str">
        <f t="shared" si="112"/>
        <v>村</v>
      </c>
      <c r="BF244" s="36" t="str">
        <f t="shared" si="113"/>
        <v>村</v>
      </c>
      <c r="BG244" s="36" t="str">
        <f t="shared" si="114"/>
        <v>村</v>
      </c>
      <c r="BH244" s="36" t="str">
        <f t="shared" si="115"/>
        <v>村</v>
      </c>
      <c r="BI244" s="36" t="str">
        <f t="shared" si="116"/>
        <v>村</v>
      </c>
      <c r="BJ244" s="29" t="str">
        <f t="shared" si="117"/>
        <v>村</v>
      </c>
    </row>
    <row r="245" spans="2:62" x14ac:dyDescent="0.15">
      <c r="B245" s="15">
        <v>242</v>
      </c>
      <c r="C245" s="15" t="s">
        <v>311</v>
      </c>
      <c r="D245" s="15">
        <v>148</v>
      </c>
      <c r="AX245" s="15"/>
      <c r="AY245" s="35">
        <f t="shared" si="107"/>
        <v>242</v>
      </c>
      <c r="AZ245" s="35" t="str">
        <f t="shared" si="108"/>
        <v>514+674</v>
      </c>
      <c r="BA245" s="35">
        <f t="shared" si="109"/>
        <v>148</v>
      </c>
      <c r="BB245" s="38">
        <f>COUNTIF($BA$4:$BA245,$BA245)</f>
        <v>2</v>
      </c>
      <c r="BC245" s="36" t="str">
        <f t="shared" si="110"/>
        <v/>
      </c>
      <c r="BD245" s="36" t="str">
        <f t="shared" si="111"/>
        <v>村</v>
      </c>
      <c r="BE245" s="36" t="str">
        <f t="shared" si="112"/>
        <v>村</v>
      </c>
      <c r="BF245" s="36" t="str">
        <f t="shared" si="113"/>
        <v>村</v>
      </c>
      <c r="BG245" s="36" t="str">
        <f t="shared" si="114"/>
        <v>村</v>
      </c>
      <c r="BH245" s="36" t="str">
        <f t="shared" si="115"/>
        <v>村</v>
      </c>
      <c r="BI245" s="36" t="str">
        <f t="shared" si="116"/>
        <v>村</v>
      </c>
      <c r="BJ245" s="29" t="str">
        <f t="shared" si="117"/>
        <v>村</v>
      </c>
    </row>
    <row r="246" spans="2:62" x14ac:dyDescent="0.15">
      <c r="B246" s="15">
        <v>243</v>
      </c>
      <c r="C246" s="15" t="s">
        <v>665</v>
      </c>
      <c r="D246" s="15">
        <v>148</v>
      </c>
      <c r="AX246" s="15"/>
      <c r="AY246" s="35">
        <f t="shared" si="107"/>
        <v>243</v>
      </c>
      <c r="AZ246" s="35" t="str">
        <f t="shared" si="108"/>
        <v>543+640</v>
      </c>
      <c r="BA246" s="35">
        <f t="shared" si="109"/>
        <v>148</v>
      </c>
      <c r="BB246" s="38">
        <f>COUNTIF($BA$4:$BA246,$BA246)</f>
        <v>3</v>
      </c>
      <c r="BC246" s="36" t="str">
        <f t="shared" si="110"/>
        <v/>
      </c>
      <c r="BD246" s="36" t="str">
        <f t="shared" si="111"/>
        <v>营</v>
      </c>
      <c r="BE246" s="36" t="str">
        <f t="shared" si="112"/>
        <v/>
      </c>
      <c r="BF246" s="36" t="str">
        <f t="shared" si="113"/>
        <v/>
      </c>
      <c r="BG246" s="36" t="str">
        <f t="shared" si="114"/>
        <v>营</v>
      </c>
      <c r="BH246" s="36" t="str">
        <f t="shared" si="115"/>
        <v/>
      </c>
      <c r="BI246" s="36" t="str">
        <f t="shared" si="116"/>
        <v>营</v>
      </c>
      <c r="BJ246" s="29" t="str">
        <f t="shared" si="117"/>
        <v>营</v>
      </c>
    </row>
    <row r="247" spans="2:62" x14ac:dyDescent="0.15">
      <c r="B247" s="15">
        <v>244</v>
      </c>
      <c r="C247" s="15" t="s">
        <v>721</v>
      </c>
      <c r="D247" s="15">
        <v>148</v>
      </c>
      <c r="AX247" s="15"/>
      <c r="AY247" s="35">
        <f t="shared" si="107"/>
        <v>244</v>
      </c>
      <c r="AZ247" s="35" t="str">
        <f t="shared" si="108"/>
        <v>541+632</v>
      </c>
      <c r="BA247" s="35">
        <f t="shared" si="109"/>
        <v>148</v>
      </c>
      <c r="BB247" s="38">
        <f>COUNTIF($BA$4:$BA247,$BA247)</f>
        <v>4</v>
      </c>
      <c r="BC247" s="36" t="str">
        <f t="shared" si="110"/>
        <v/>
      </c>
      <c r="BD247" s="36" t="str">
        <f t="shared" si="111"/>
        <v/>
      </c>
      <c r="BE247" s="36" t="str">
        <f t="shared" si="112"/>
        <v>营</v>
      </c>
      <c r="BF247" s="36" t="str">
        <f t="shared" si="113"/>
        <v>营</v>
      </c>
      <c r="BG247" s="36" t="str">
        <f t="shared" si="114"/>
        <v/>
      </c>
      <c r="BH247" s="36" t="str">
        <f t="shared" si="115"/>
        <v/>
      </c>
      <c r="BI247" s="36" t="str">
        <f t="shared" si="116"/>
        <v>营</v>
      </c>
      <c r="BJ247" s="29" t="str">
        <f t="shared" si="117"/>
        <v>营</v>
      </c>
    </row>
    <row r="248" spans="2:62" x14ac:dyDescent="0.15">
      <c r="B248" s="15">
        <v>245</v>
      </c>
      <c r="C248" s="15" t="s">
        <v>666</v>
      </c>
      <c r="D248" s="15">
        <v>149</v>
      </c>
      <c r="AX248" s="15"/>
      <c r="AY248" s="35">
        <f t="shared" si="107"/>
        <v>245</v>
      </c>
      <c r="AZ248" s="35" t="str">
        <f t="shared" si="108"/>
        <v>557+675</v>
      </c>
      <c r="BA248" s="35">
        <f t="shared" si="109"/>
        <v>149</v>
      </c>
      <c r="BB248" s="38">
        <f>COUNTIF($BA$4:$BA248,$BA248)</f>
        <v>1</v>
      </c>
      <c r="BC248" s="36" t="str">
        <f t="shared" si="110"/>
        <v/>
      </c>
      <c r="BD248" s="36" t="str">
        <f t="shared" si="111"/>
        <v>营</v>
      </c>
      <c r="BE248" s="36" t="str">
        <f t="shared" si="112"/>
        <v>营</v>
      </c>
      <c r="BF248" s="36" t="str">
        <f t="shared" si="113"/>
        <v/>
      </c>
      <c r="BG248" s="36" t="str">
        <f t="shared" si="114"/>
        <v>营</v>
      </c>
      <c r="BH248" s="36" t="str">
        <f t="shared" si="115"/>
        <v>营</v>
      </c>
      <c r="BI248" s="36" t="str">
        <f t="shared" si="116"/>
        <v/>
      </c>
      <c r="BJ248" s="29" t="str">
        <f t="shared" si="117"/>
        <v>营</v>
      </c>
    </row>
    <row r="249" spans="2:62" x14ac:dyDescent="0.15">
      <c r="B249" s="15">
        <v>246</v>
      </c>
      <c r="C249" s="15" t="s">
        <v>314</v>
      </c>
      <c r="D249" s="15">
        <v>150</v>
      </c>
      <c r="AX249" s="15"/>
      <c r="AY249" s="35">
        <f t="shared" si="107"/>
        <v>246</v>
      </c>
      <c r="AZ249" s="35" t="str">
        <f t="shared" si="108"/>
        <v>549+615</v>
      </c>
      <c r="BA249" s="35">
        <f t="shared" si="109"/>
        <v>150</v>
      </c>
      <c r="BB249" s="38">
        <f>COUNTIF($BA$4:$BA249,$BA249)</f>
        <v>1</v>
      </c>
      <c r="BC249" s="36" t="str">
        <f t="shared" si="110"/>
        <v/>
      </c>
      <c r="BD249" s="36" t="str">
        <f t="shared" si="111"/>
        <v>村</v>
      </c>
      <c r="BE249" s="36" t="str">
        <f t="shared" si="112"/>
        <v>村</v>
      </c>
      <c r="BF249" s="36" t="str">
        <f t="shared" si="113"/>
        <v>村</v>
      </c>
      <c r="BG249" s="36" t="str">
        <f t="shared" si="114"/>
        <v>村</v>
      </c>
      <c r="BH249" s="36" t="str">
        <f t="shared" si="115"/>
        <v/>
      </c>
      <c r="BI249" s="36" t="str">
        <f t="shared" si="116"/>
        <v>村</v>
      </c>
      <c r="BJ249" s="29" t="str">
        <f t="shared" si="117"/>
        <v>村</v>
      </c>
    </row>
    <row r="250" spans="2:62" x14ac:dyDescent="0.15">
      <c r="B250" s="15">
        <v>247</v>
      </c>
      <c r="C250" s="15" t="s">
        <v>315</v>
      </c>
      <c r="D250" s="15">
        <v>150</v>
      </c>
      <c r="AX250" s="15"/>
      <c r="AY250" s="35">
        <f t="shared" si="107"/>
        <v>247</v>
      </c>
      <c r="AZ250" s="35" t="str">
        <f t="shared" si="108"/>
        <v>525+602</v>
      </c>
      <c r="BA250" s="35">
        <f t="shared" si="109"/>
        <v>150</v>
      </c>
      <c r="BB250" s="38">
        <f>COUNTIF($BA$4:$BA250,$BA250)</f>
        <v>2</v>
      </c>
      <c r="BC250" s="36" t="str">
        <f t="shared" si="110"/>
        <v/>
      </c>
      <c r="BD250" s="36" t="str">
        <f t="shared" si="111"/>
        <v>村</v>
      </c>
      <c r="BE250" s="36" t="str">
        <f t="shared" si="112"/>
        <v/>
      </c>
      <c r="BF250" s="36" t="str">
        <f t="shared" si="113"/>
        <v>村</v>
      </c>
      <c r="BG250" s="36" t="str">
        <f t="shared" si="114"/>
        <v/>
      </c>
      <c r="BH250" s="36" t="str">
        <f t="shared" si="115"/>
        <v/>
      </c>
      <c r="BI250" s="36" t="str">
        <f t="shared" si="116"/>
        <v>村</v>
      </c>
      <c r="BJ250" s="29" t="str">
        <f t="shared" si="117"/>
        <v>村</v>
      </c>
    </row>
    <row r="251" spans="2:62" x14ac:dyDescent="0.15">
      <c r="B251" s="15">
        <v>248</v>
      </c>
      <c r="C251" s="15" t="s">
        <v>723</v>
      </c>
      <c r="D251" s="15">
        <v>150</v>
      </c>
      <c r="AX251" s="15"/>
      <c r="AY251" s="35">
        <f t="shared" si="107"/>
        <v>248</v>
      </c>
      <c r="AZ251" s="35" t="str">
        <f t="shared" si="108"/>
        <v>536+622</v>
      </c>
      <c r="BA251" s="35">
        <f t="shared" si="109"/>
        <v>150</v>
      </c>
      <c r="BB251" s="38">
        <f>COUNTIF($BA$4:$BA251,$BA251)</f>
        <v>3</v>
      </c>
      <c r="BC251" s="36" t="str">
        <f t="shared" si="110"/>
        <v/>
      </c>
      <c r="BD251" s="36" t="str">
        <f t="shared" si="111"/>
        <v/>
      </c>
      <c r="BE251" s="36" t="str">
        <f t="shared" si="112"/>
        <v/>
      </c>
      <c r="BF251" s="36" t="str">
        <f t="shared" si="113"/>
        <v>县</v>
      </c>
      <c r="BG251" s="36" t="str">
        <f t="shared" si="114"/>
        <v/>
      </c>
      <c r="BH251" s="36" t="str">
        <f t="shared" si="115"/>
        <v>县</v>
      </c>
      <c r="BI251" s="36" t="str">
        <f t="shared" si="116"/>
        <v>县</v>
      </c>
      <c r="BJ251" s="29" t="str">
        <f t="shared" si="117"/>
        <v>县</v>
      </c>
    </row>
    <row r="252" spans="2:62" x14ac:dyDescent="0.15">
      <c r="B252" s="15">
        <v>249</v>
      </c>
      <c r="C252" s="15" t="s">
        <v>667</v>
      </c>
      <c r="D252" s="15">
        <v>150</v>
      </c>
      <c r="AX252" s="15"/>
      <c r="AY252" s="35">
        <f t="shared" si="107"/>
        <v>249</v>
      </c>
      <c r="AZ252" s="35" t="str">
        <f t="shared" si="108"/>
        <v>543+597</v>
      </c>
      <c r="BA252" s="35">
        <f t="shared" si="109"/>
        <v>150</v>
      </c>
      <c r="BB252" s="38">
        <f>COUNTIF($BA$4:$BA252,$BA252)</f>
        <v>4</v>
      </c>
      <c r="BC252" s="36" t="str">
        <f t="shared" si="110"/>
        <v>营</v>
      </c>
      <c r="BD252" s="36" t="str">
        <f t="shared" si="111"/>
        <v>营</v>
      </c>
      <c r="BE252" s="36" t="str">
        <f t="shared" si="112"/>
        <v>营</v>
      </c>
      <c r="BF252" s="36" t="str">
        <f t="shared" si="113"/>
        <v>营</v>
      </c>
      <c r="BG252" s="36" t="str">
        <f t="shared" si="114"/>
        <v>营</v>
      </c>
      <c r="BH252" s="36" t="str">
        <f t="shared" si="115"/>
        <v/>
      </c>
      <c r="BI252" s="36" t="str">
        <f t="shared" si="116"/>
        <v>营</v>
      </c>
      <c r="BJ252" s="29" t="str">
        <f t="shared" si="117"/>
        <v>营</v>
      </c>
    </row>
    <row r="253" spans="2:62" x14ac:dyDescent="0.15">
      <c r="B253" s="15">
        <v>250</v>
      </c>
      <c r="C253" s="15" t="s">
        <v>316</v>
      </c>
      <c r="D253" s="15">
        <v>151</v>
      </c>
      <c r="AX253" s="15"/>
      <c r="AY253" s="35">
        <f t="shared" si="107"/>
        <v>250</v>
      </c>
      <c r="AZ253" s="35" t="str">
        <f t="shared" si="108"/>
        <v>482+593</v>
      </c>
      <c r="BA253" s="35">
        <f t="shared" si="109"/>
        <v>151</v>
      </c>
      <c r="BB253" s="38">
        <f>COUNTIF($BA$4:$BA253,$BA253)</f>
        <v>1</v>
      </c>
      <c r="BC253" s="36" t="str">
        <f t="shared" si="110"/>
        <v/>
      </c>
      <c r="BD253" s="36" t="str">
        <f t="shared" si="111"/>
        <v>村</v>
      </c>
      <c r="BE253" s="36" t="str">
        <f t="shared" si="112"/>
        <v>村</v>
      </c>
      <c r="BF253" s="36" t="str">
        <f t="shared" si="113"/>
        <v/>
      </c>
      <c r="BG253" s="36" t="str">
        <f t="shared" si="114"/>
        <v/>
      </c>
      <c r="BH253" s="36" t="str">
        <f t="shared" si="115"/>
        <v/>
      </c>
      <c r="BI253" s="36" t="str">
        <f t="shared" si="116"/>
        <v>村</v>
      </c>
      <c r="BJ253" s="29" t="str">
        <f t="shared" si="117"/>
        <v>村</v>
      </c>
    </row>
    <row r="254" spans="2:62" x14ac:dyDescent="0.15">
      <c r="B254" s="15">
        <v>251</v>
      </c>
      <c r="C254" s="15" t="s">
        <v>317</v>
      </c>
      <c r="D254" s="15">
        <v>151</v>
      </c>
      <c r="AX254" s="15"/>
      <c r="AY254" s="35">
        <f t="shared" si="107"/>
        <v>251</v>
      </c>
      <c r="AZ254" s="35" t="str">
        <f t="shared" si="108"/>
        <v>505+583</v>
      </c>
      <c r="BA254" s="35">
        <f t="shared" si="109"/>
        <v>151</v>
      </c>
      <c r="BB254" s="38">
        <f>COUNTIF($BA$4:$BA254,$BA254)</f>
        <v>2</v>
      </c>
      <c r="BC254" s="36" t="str">
        <f t="shared" si="110"/>
        <v>村</v>
      </c>
      <c r="BD254" s="36" t="str">
        <f t="shared" si="111"/>
        <v/>
      </c>
      <c r="BE254" s="36" t="str">
        <f t="shared" si="112"/>
        <v>村</v>
      </c>
      <c r="BF254" s="36" t="str">
        <f t="shared" si="113"/>
        <v>村</v>
      </c>
      <c r="BG254" s="36" t="str">
        <f t="shared" si="114"/>
        <v/>
      </c>
      <c r="BH254" s="36" t="str">
        <f t="shared" si="115"/>
        <v/>
      </c>
      <c r="BI254" s="36" t="str">
        <f t="shared" si="116"/>
        <v>村</v>
      </c>
      <c r="BJ254" s="29" t="str">
        <f t="shared" si="117"/>
        <v>村</v>
      </c>
    </row>
    <row r="255" spans="2:62" x14ac:dyDescent="0.15">
      <c r="B255" s="15">
        <v>252</v>
      </c>
      <c r="C255" s="15" t="s">
        <v>732</v>
      </c>
      <c r="D255" s="15">
        <v>152</v>
      </c>
      <c r="AX255" s="15"/>
      <c r="AY255" s="35">
        <f t="shared" si="107"/>
        <v>252</v>
      </c>
      <c r="AZ255" s="35" t="str">
        <f t="shared" si="108"/>
        <v>447+599</v>
      </c>
      <c r="BA255" s="35">
        <f t="shared" si="109"/>
        <v>152</v>
      </c>
      <c r="BB255" s="38">
        <f>COUNTIF($BA$4:$BA255,$BA255)</f>
        <v>1</v>
      </c>
      <c r="BC255" s="36" t="str">
        <f t="shared" si="110"/>
        <v>营</v>
      </c>
      <c r="BD255" s="36" t="str">
        <f t="shared" si="111"/>
        <v/>
      </c>
      <c r="BE255" s="36" t="str">
        <f t="shared" si="112"/>
        <v>营</v>
      </c>
      <c r="BF255" s="36" t="str">
        <f t="shared" si="113"/>
        <v>营</v>
      </c>
      <c r="BG255" s="36" t="str">
        <f t="shared" si="114"/>
        <v/>
      </c>
      <c r="BH255" s="36" t="str">
        <f t="shared" si="115"/>
        <v/>
      </c>
      <c r="BI255" s="36" t="str">
        <f t="shared" si="116"/>
        <v/>
      </c>
      <c r="BJ255" s="29" t="str">
        <f t="shared" si="117"/>
        <v>营</v>
      </c>
    </row>
    <row r="256" spans="2:62" x14ac:dyDescent="0.15">
      <c r="B256" s="15">
        <v>253</v>
      </c>
      <c r="C256" s="15" t="s">
        <v>319</v>
      </c>
      <c r="D256" s="15">
        <v>153</v>
      </c>
      <c r="AX256" s="15"/>
      <c r="AY256" s="35">
        <f t="shared" si="107"/>
        <v>253</v>
      </c>
      <c r="AZ256" s="35" t="str">
        <f t="shared" si="108"/>
        <v>412+608</v>
      </c>
      <c r="BA256" s="35">
        <f t="shared" si="109"/>
        <v>153</v>
      </c>
      <c r="BB256" s="38">
        <f>COUNTIF($BA$4:$BA256,$BA256)</f>
        <v>1</v>
      </c>
      <c r="BC256" s="36" t="str">
        <f t="shared" si="110"/>
        <v>村</v>
      </c>
      <c r="BD256" s="36" t="str">
        <f t="shared" si="111"/>
        <v>村</v>
      </c>
      <c r="BE256" s="36" t="str">
        <f t="shared" si="112"/>
        <v>村</v>
      </c>
      <c r="BF256" s="36" t="str">
        <f t="shared" si="113"/>
        <v>村</v>
      </c>
      <c r="BG256" s="36" t="str">
        <f t="shared" si="114"/>
        <v/>
      </c>
      <c r="BH256" s="36" t="str">
        <f t="shared" si="115"/>
        <v/>
      </c>
      <c r="BI256" s="36" t="str">
        <f t="shared" si="116"/>
        <v>村</v>
      </c>
      <c r="BJ256" s="29" t="str">
        <f t="shared" si="117"/>
        <v>村</v>
      </c>
    </row>
    <row r="257" spans="2:62" x14ac:dyDescent="0.15">
      <c r="B257" s="15">
        <v>254</v>
      </c>
      <c r="C257" s="15" t="s">
        <v>320</v>
      </c>
      <c r="D257" s="15">
        <v>153</v>
      </c>
      <c r="AX257" s="15"/>
      <c r="AY257" s="35">
        <f t="shared" si="107"/>
        <v>254</v>
      </c>
      <c r="AZ257" s="35" t="str">
        <f t="shared" si="108"/>
        <v>429+596</v>
      </c>
      <c r="BA257" s="35">
        <f t="shared" si="109"/>
        <v>153</v>
      </c>
      <c r="BB257" s="38">
        <f>COUNTIF($BA$4:$BA257,$BA257)</f>
        <v>2</v>
      </c>
      <c r="BC257" s="36" t="str">
        <f t="shared" si="110"/>
        <v>村</v>
      </c>
      <c r="BD257" s="36" t="str">
        <f t="shared" si="111"/>
        <v>村</v>
      </c>
      <c r="BE257" s="36" t="str">
        <f t="shared" si="112"/>
        <v>村</v>
      </c>
      <c r="BF257" s="36" t="str">
        <f t="shared" si="113"/>
        <v>村</v>
      </c>
      <c r="BG257" s="36" t="str">
        <f t="shared" si="114"/>
        <v/>
      </c>
      <c r="BH257" s="36" t="str">
        <f t="shared" si="115"/>
        <v/>
      </c>
      <c r="BI257" s="36" t="str">
        <f t="shared" si="116"/>
        <v>村</v>
      </c>
      <c r="BJ257" s="29" t="str">
        <f t="shared" si="117"/>
        <v>村</v>
      </c>
    </row>
    <row r="258" spans="2:62" x14ac:dyDescent="0.15">
      <c r="B258" s="15">
        <v>255</v>
      </c>
      <c r="C258" s="15" t="s">
        <v>668</v>
      </c>
      <c r="D258" s="15">
        <v>153</v>
      </c>
      <c r="AX258" s="15"/>
      <c r="AY258" s="35">
        <f t="shared" si="107"/>
        <v>255</v>
      </c>
      <c r="AZ258" s="35" t="str">
        <f t="shared" si="108"/>
        <v>444+611</v>
      </c>
      <c r="BA258" s="35">
        <f t="shared" si="109"/>
        <v>153</v>
      </c>
      <c r="BB258" s="38">
        <f>COUNTIF($BA$4:$BA258,$BA258)</f>
        <v>3</v>
      </c>
      <c r="BC258" s="36" t="str">
        <f t="shared" si="110"/>
        <v/>
      </c>
      <c r="BD258" s="36" t="str">
        <f t="shared" si="111"/>
        <v>营</v>
      </c>
      <c r="BE258" s="36" t="str">
        <f t="shared" si="112"/>
        <v>营</v>
      </c>
      <c r="BF258" s="36" t="str">
        <f t="shared" si="113"/>
        <v>营</v>
      </c>
      <c r="BG258" s="36" t="str">
        <f t="shared" si="114"/>
        <v/>
      </c>
      <c r="BH258" s="36" t="str">
        <f t="shared" si="115"/>
        <v/>
      </c>
      <c r="BI258" s="36" t="str">
        <f t="shared" si="116"/>
        <v>营</v>
      </c>
      <c r="BJ258" s="29" t="str">
        <f t="shared" si="117"/>
        <v>营</v>
      </c>
    </row>
    <row r="259" spans="2:62" x14ac:dyDescent="0.15">
      <c r="B259" s="15">
        <v>256</v>
      </c>
      <c r="C259" s="15" t="s">
        <v>321</v>
      </c>
      <c r="D259" s="15">
        <v>154</v>
      </c>
      <c r="AX259" s="15"/>
      <c r="AY259" s="35">
        <f t="shared" si="107"/>
        <v>256</v>
      </c>
      <c r="AZ259" s="35" t="str">
        <f t="shared" si="108"/>
        <v>399+585</v>
      </c>
      <c r="BA259" s="35">
        <f t="shared" si="109"/>
        <v>154</v>
      </c>
      <c r="BB259" s="38">
        <f>COUNTIF($BA$4:$BA259,$BA259)</f>
        <v>1</v>
      </c>
      <c r="BC259" s="36" t="str">
        <f t="shared" si="110"/>
        <v/>
      </c>
      <c r="BD259" s="36" t="str">
        <f t="shared" si="111"/>
        <v>村</v>
      </c>
      <c r="BE259" s="36" t="str">
        <f t="shared" si="112"/>
        <v/>
      </c>
      <c r="BF259" s="36" t="str">
        <f t="shared" si="113"/>
        <v>村</v>
      </c>
      <c r="BG259" s="36" t="str">
        <f t="shared" si="114"/>
        <v/>
      </c>
      <c r="BH259" s="36" t="str">
        <f t="shared" si="115"/>
        <v/>
      </c>
      <c r="BI259" s="36" t="str">
        <f t="shared" si="116"/>
        <v>村</v>
      </c>
      <c r="BJ259" s="29" t="str">
        <f t="shared" si="117"/>
        <v>村</v>
      </c>
    </row>
    <row r="260" spans="2:62" x14ac:dyDescent="0.15">
      <c r="B260" s="15">
        <v>257</v>
      </c>
      <c r="C260" s="15" t="s">
        <v>322</v>
      </c>
      <c r="D260" s="15">
        <v>154</v>
      </c>
      <c r="AX260" s="15"/>
      <c r="AY260" s="35">
        <f t="shared" si="107"/>
        <v>257</v>
      </c>
      <c r="AZ260" s="35" t="str">
        <f t="shared" si="108"/>
        <v>383+590</v>
      </c>
      <c r="BA260" s="35">
        <f t="shared" si="109"/>
        <v>154</v>
      </c>
      <c r="BB260" s="38">
        <f>COUNTIF($BA$4:$BA260,$BA260)</f>
        <v>2</v>
      </c>
      <c r="BC260" s="36" t="str">
        <f t="shared" si="110"/>
        <v>村</v>
      </c>
      <c r="BD260" s="36" t="str">
        <f t="shared" si="111"/>
        <v>村</v>
      </c>
      <c r="BE260" s="36" t="str">
        <f t="shared" si="112"/>
        <v/>
      </c>
      <c r="BF260" s="36" t="str">
        <f t="shared" si="113"/>
        <v>村</v>
      </c>
      <c r="BG260" s="36" t="str">
        <f t="shared" si="114"/>
        <v/>
      </c>
      <c r="BH260" s="36" t="str">
        <f t="shared" si="115"/>
        <v/>
      </c>
      <c r="BI260" s="36" t="str">
        <f t="shared" si="116"/>
        <v>村</v>
      </c>
      <c r="BJ260" s="29" t="str">
        <f t="shared" si="117"/>
        <v>村</v>
      </c>
    </row>
    <row r="261" spans="2:62" x14ac:dyDescent="0.15">
      <c r="B261" s="15">
        <v>258</v>
      </c>
      <c r="C261" s="15" t="s">
        <v>669</v>
      </c>
      <c r="D261" s="15">
        <v>154</v>
      </c>
      <c r="AX261" s="15"/>
      <c r="AY261" s="35">
        <f t="shared" ref="AY261:AY324" si="118">B261</f>
        <v>258</v>
      </c>
      <c r="AZ261" s="35" t="str">
        <f t="shared" ref="AZ261:AZ324" si="119">C261</f>
        <v>419+583</v>
      </c>
      <c r="BA261" s="35">
        <f t="shared" ref="BA261:BA324" si="120">D261</f>
        <v>154</v>
      </c>
      <c r="BB261" s="38">
        <f>COUNTIF($BA$4:$BA261,$BA261)</f>
        <v>3</v>
      </c>
      <c r="BC261" s="36" t="str">
        <f t="shared" ref="BC261:BC324" si="121">IFERROR(IF(LEFT(INDEX($G$4:$G$173,MATCH($AZ261,$I$4:$I$173,0)),1)="精","营",LEFT(INDEX($G$4:$G$173,MATCH($AZ261,$I$4:$I$173,0)),1)),"")</f>
        <v/>
      </c>
      <c r="BD261" s="36" t="str">
        <f t="shared" ref="BD261:BD324" si="122">IFERROR(IF(LEFT(INDEX($M$4:$M$173,MATCH($AZ261,$O$4:$O$173,0)),1)="精","营",LEFT(INDEX($M$4:$M$173,MATCH($AZ261,$O$4:$O$173,0)),1)),"")</f>
        <v/>
      </c>
      <c r="BE261" s="36" t="str">
        <f t="shared" ref="BE261:BE324" si="123">IFERROR(IF(LEFT(INDEX($S$4:$S$173,MATCH($AZ261,$U$4:$U$173,0)),1)="精","营",LEFT(INDEX($S$4:$S$173,MATCH($AZ261,$U$4:$U$173,0)),1)),"")</f>
        <v>县</v>
      </c>
      <c r="BF261" s="36" t="str">
        <f t="shared" ref="BF261:BF324" si="124">IFERROR(IF(LEFT(INDEX($Y$4:$Y$173,MATCH($AZ261,$AA$4:$AA$173,0)),1)="精","营",LEFT(INDEX($Y$4:$Y$173,MATCH($AZ261,$AA$4:$AA$173,0)),1)),"")</f>
        <v>县</v>
      </c>
      <c r="BG261" s="36" t="str">
        <f t="shared" ref="BG261:BG324" si="125">IFERROR(IF(LEFT(INDEX($AE$4:$AE$173,MATCH($AZ261,$AG$4:$AG$173,0)),1)="精","营",LEFT(INDEX($AE$4:$AE$173,MATCH($AZ261,$AG$4:$AG$173,0)),1)),"")</f>
        <v/>
      </c>
      <c r="BH261" s="36" t="str">
        <f t="shared" ref="BH261:BH324" si="126">IFERROR(IF(LEFT(INDEX($AK$4:$AK$173,MATCH($AZ261,$AM$4:$AM$173,0)),1)="精","营",LEFT(INDEX($AK$4:$AK$173,MATCH($AZ261,$AM$4:$AM$173,0)),1)),"")</f>
        <v/>
      </c>
      <c r="BI261" s="36" t="str">
        <f t="shared" ref="BI261:BI324" si="127">IFERROR(IF(LEFT(INDEX($AQ$4:$AQ$173,MATCH($AZ261,$AS$4:$AS$173,0)),1)="精","营",LEFT(INDEX($AQ$4:$AQ$173,MATCH($AZ261,$AS$4:$AS$173,0)),1)),"")</f>
        <v/>
      </c>
      <c r="BJ261" s="29" t="str">
        <f t="shared" ref="BJ261:BJ324" si="128">IF(BC261&lt;&gt;"",BC261,IF(BD261&lt;&gt;"",BD261,IF(BE261&lt;&gt;"",BE261,IF(BF261&lt;&gt;"",BF261,IF(BG261&lt;&gt;"",BG261,IF(BH261&lt;&gt;"",BH261,IF(BI261&lt;&gt;"",BI261,"")))))))</f>
        <v>县</v>
      </c>
    </row>
    <row r="262" spans="2:62" x14ac:dyDescent="0.15">
      <c r="B262" s="15">
        <v>259</v>
      </c>
      <c r="C262" s="15" t="s">
        <v>724</v>
      </c>
      <c r="D262" s="15">
        <v>154</v>
      </c>
      <c r="AX262" s="15"/>
      <c r="AY262" s="35">
        <f t="shared" si="118"/>
        <v>259</v>
      </c>
      <c r="AZ262" s="35" t="str">
        <f t="shared" si="119"/>
        <v>424+583</v>
      </c>
      <c r="BA262" s="35">
        <f t="shared" si="120"/>
        <v>154</v>
      </c>
      <c r="BB262" s="38">
        <f>COUNTIF($BA$4:$BA262,$BA262)</f>
        <v>4</v>
      </c>
      <c r="BC262" s="36" t="str">
        <f t="shared" si="121"/>
        <v>营</v>
      </c>
      <c r="BD262" s="36" t="str">
        <f t="shared" si="122"/>
        <v>营</v>
      </c>
      <c r="BE262" s="36" t="str">
        <f t="shared" si="123"/>
        <v/>
      </c>
      <c r="BF262" s="36" t="str">
        <f t="shared" si="124"/>
        <v/>
      </c>
      <c r="BG262" s="36" t="str">
        <f t="shared" si="125"/>
        <v/>
      </c>
      <c r="BH262" s="36" t="str">
        <f t="shared" si="126"/>
        <v/>
      </c>
      <c r="BI262" s="36" t="str">
        <f t="shared" si="127"/>
        <v>营</v>
      </c>
      <c r="BJ262" s="29" t="str">
        <f t="shared" si="128"/>
        <v>营</v>
      </c>
    </row>
    <row r="263" spans="2:62" x14ac:dyDescent="0.15">
      <c r="B263" s="15">
        <v>260</v>
      </c>
      <c r="C263" s="15" t="s">
        <v>323</v>
      </c>
      <c r="D263" s="15">
        <v>155</v>
      </c>
      <c r="AX263" s="15"/>
      <c r="AY263" s="35">
        <f t="shared" si="118"/>
        <v>260</v>
      </c>
      <c r="AZ263" s="35" t="str">
        <f t="shared" si="119"/>
        <v>572+551</v>
      </c>
      <c r="BA263" s="35">
        <f t="shared" si="120"/>
        <v>155</v>
      </c>
      <c r="BB263" s="38">
        <f>COUNTIF($BA$4:$BA263,$BA263)</f>
        <v>1</v>
      </c>
      <c r="BC263" s="36" t="str">
        <f t="shared" si="121"/>
        <v>村</v>
      </c>
      <c r="BD263" s="36" t="str">
        <f t="shared" si="122"/>
        <v>村</v>
      </c>
      <c r="BE263" s="36" t="str">
        <f t="shared" si="123"/>
        <v/>
      </c>
      <c r="BF263" s="36" t="str">
        <f t="shared" si="124"/>
        <v>村</v>
      </c>
      <c r="BG263" s="36" t="str">
        <f t="shared" si="125"/>
        <v/>
      </c>
      <c r="BH263" s="36" t="str">
        <f t="shared" si="126"/>
        <v/>
      </c>
      <c r="BI263" s="36" t="str">
        <f t="shared" si="127"/>
        <v>村</v>
      </c>
      <c r="BJ263" s="29" t="str">
        <f t="shared" si="128"/>
        <v>村</v>
      </c>
    </row>
    <row r="264" spans="2:62" x14ac:dyDescent="0.15">
      <c r="B264" s="15">
        <v>261</v>
      </c>
      <c r="C264" s="15" t="s">
        <v>324</v>
      </c>
      <c r="D264" s="15">
        <v>155</v>
      </c>
      <c r="AX264" s="15"/>
      <c r="AY264" s="35">
        <f t="shared" si="118"/>
        <v>261</v>
      </c>
      <c r="AZ264" s="35" t="str">
        <f t="shared" si="119"/>
        <v>549+574</v>
      </c>
      <c r="BA264" s="35">
        <f t="shared" si="120"/>
        <v>155</v>
      </c>
      <c r="BB264" s="38">
        <f>COUNTIF($BA$4:$BA264,$BA264)</f>
        <v>2</v>
      </c>
      <c r="BC264" s="36" t="str">
        <f t="shared" si="121"/>
        <v>村</v>
      </c>
      <c r="BD264" s="36" t="str">
        <f t="shared" si="122"/>
        <v>村</v>
      </c>
      <c r="BE264" s="36" t="str">
        <f t="shared" si="123"/>
        <v>村</v>
      </c>
      <c r="BF264" s="36" t="str">
        <f t="shared" si="124"/>
        <v/>
      </c>
      <c r="BG264" s="36" t="str">
        <f t="shared" si="125"/>
        <v>村</v>
      </c>
      <c r="BH264" s="36" t="str">
        <f t="shared" si="126"/>
        <v/>
      </c>
      <c r="BI264" s="36" t="str">
        <f t="shared" si="127"/>
        <v>村</v>
      </c>
      <c r="BJ264" s="29" t="str">
        <f t="shared" si="128"/>
        <v>村</v>
      </c>
    </row>
    <row r="265" spans="2:62" x14ac:dyDescent="0.15">
      <c r="B265" s="15">
        <v>262</v>
      </c>
      <c r="C265" s="15" t="s">
        <v>670</v>
      </c>
      <c r="D265" s="15">
        <v>155</v>
      </c>
      <c r="AX265" s="15"/>
      <c r="AY265" s="35">
        <f t="shared" si="118"/>
        <v>262</v>
      </c>
      <c r="AZ265" s="35" t="str">
        <f t="shared" si="119"/>
        <v>564+569</v>
      </c>
      <c r="BA265" s="35">
        <f t="shared" si="120"/>
        <v>155</v>
      </c>
      <c r="BB265" s="38">
        <f>COUNTIF($BA$4:$BA265,$BA265)</f>
        <v>3</v>
      </c>
      <c r="BC265" s="36" t="str">
        <f t="shared" si="121"/>
        <v>营</v>
      </c>
      <c r="BD265" s="36" t="str">
        <f t="shared" si="122"/>
        <v>营</v>
      </c>
      <c r="BE265" s="36" t="str">
        <f t="shared" si="123"/>
        <v>营</v>
      </c>
      <c r="BF265" s="36" t="str">
        <f t="shared" si="124"/>
        <v>营</v>
      </c>
      <c r="BG265" s="36" t="str">
        <f t="shared" si="125"/>
        <v/>
      </c>
      <c r="BH265" s="36" t="str">
        <f t="shared" si="126"/>
        <v/>
      </c>
      <c r="BI265" s="36" t="str">
        <f t="shared" si="127"/>
        <v>营</v>
      </c>
      <c r="BJ265" s="29" t="str">
        <f t="shared" si="128"/>
        <v>营</v>
      </c>
    </row>
    <row r="266" spans="2:62" x14ac:dyDescent="0.15">
      <c r="B266" s="15">
        <v>263</v>
      </c>
      <c r="C266" s="15" t="s">
        <v>325</v>
      </c>
      <c r="D266" s="15">
        <v>156</v>
      </c>
      <c r="AX266" s="15"/>
      <c r="AY266" s="35">
        <f t="shared" si="118"/>
        <v>263</v>
      </c>
      <c r="AZ266" s="35" t="str">
        <f t="shared" si="119"/>
        <v>542+535</v>
      </c>
      <c r="BA266" s="35">
        <f t="shared" si="120"/>
        <v>156</v>
      </c>
      <c r="BB266" s="38">
        <f>COUNTIF($BA$4:$BA266,$BA266)</f>
        <v>1</v>
      </c>
      <c r="BC266" s="36" t="str">
        <f t="shared" si="121"/>
        <v>村</v>
      </c>
      <c r="BD266" s="36" t="str">
        <f t="shared" si="122"/>
        <v>村</v>
      </c>
      <c r="BE266" s="36" t="str">
        <f t="shared" si="123"/>
        <v>村</v>
      </c>
      <c r="BF266" s="36" t="str">
        <f t="shared" si="124"/>
        <v>村</v>
      </c>
      <c r="BG266" s="36" t="str">
        <f t="shared" si="125"/>
        <v/>
      </c>
      <c r="BH266" s="36" t="str">
        <f t="shared" si="126"/>
        <v/>
      </c>
      <c r="BI266" s="36" t="str">
        <f t="shared" si="127"/>
        <v>村</v>
      </c>
      <c r="BJ266" s="29" t="str">
        <f t="shared" si="128"/>
        <v>村</v>
      </c>
    </row>
    <row r="267" spans="2:62" x14ac:dyDescent="0.15">
      <c r="B267" s="15">
        <v>264</v>
      </c>
      <c r="C267" s="15" t="s">
        <v>725</v>
      </c>
      <c r="D267" s="15">
        <v>156</v>
      </c>
      <c r="AX267" s="15"/>
      <c r="AY267" s="35">
        <f t="shared" si="118"/>
        <v>264</v>
      </c>
      <c r="AZ267" s="35" t="str">
        <f t="shared" si="119"/>
        <v>558+518</v>
      </c>
      <c r="BA267" s="35">
        <f t="shared" si="120"/>
        <v>156</v>
      </c>
      <c r="BB267" s="38">
        <f>COUNTIF($BA$4:$BA267,$BA267)</f>
        <v>2</v>
      </c>
      <c r="BC267" s="36" t="str">
        <f t="shared" si="121"/>
        <v>村</v>
      </c>
      <c r="BD267" s="36" t="str">
        <f t="shared" si="122"/>
        <v/>
      </c>
      <c r="BE267" s="36" t="str">
        <f t="shared" si="123"/>
        <v/>
      </c>
      <c r="BF267" s="36" t="str">
        <f t="shared" si="124"/>
        <v>村</v>
      </c>
      <c r="BG267" s="36" t="str">
        <f t="shared" si="125"/>
        <v/>
      </c>
      <c r="BH267" s="36" t="str">
        <f t="shared" si="126"/>
        <v/>
      </c>
      <c r="BI267" s="36" t="str">
        <f t="shared" si="127"/>
        <v/>
      </c>
      <c r="BJ267" s="29" t="str">
        <f t="shared" si="128"/>
        <v>村</v>
      </c>
    </row>
    <row r="268" spans="2:62" x14ac:dyDescent="0.15">
      <c r="B268" s="15">
        <v>265</v>
      </c>
      <c r="C268" s="15" t="s">
        <v>326</v>
      </c>
      <c r="D268" s="15">
        <v>156</v>
      </c>
      <c r="AX268" s="15"/>
      <c r="AY268" s="35">
        <f t="shared" si="118"/>
        <v>265</v>
      </c>
      <c r="AZ268" s="35" t="str">
        <f t="shared" si="119"/>
        <v>525+557</v>
      </c>
      <c r="BA268" s="35">
        <f t="shared" si="120"/>
        <v>156</v>
      </c>
      <c r="BB268" s="38">
        <f>COUNTIF($BA$4:$BA268,$BA268)</f>
        <v>3</v>
      </c>
      <c r="BC268" s="36" t="str">
        <f t="shared" si="121"/>
        <v>营</v>
      </c>
      <c r="BD268" s="36" t="str">
        <f t="shared" si="122"/>
        <v>营</v>
      </c>
      <c r="BE268" s="36" t="str">
        <f t="shared" si="123"/>
        <v>营</v>
      </c>
      <c r="BF268" s="36" t="str">
        <f t="shared" si="124"/>
        <v>营</v>
      </c>
      <c r="BG268" s="36" t="str">
        <f t="shared" si="125"/>
        <v/>
      </c>
      <c r="BH268" s="36" t="str">
        <f t="shared" si="126"/>
        <v/>
      </c>
      <c r="BI268" s="36" t="str">
        <f t="shared" si="127"/>
        <v>营</v>
      </c>
      <c r="BJ268" s="29" t="str">
        <f t="shared" si="128"/>
        <v>营</v>
      </c>
    </row>
    <row r="269" spans="2:62" x14ac:dyDescent="0.15">
      <c r="B269" s="15">
        <v>266</v>
      </c>
      <c r="C269" s="15" t="s">
        <v>327</v>
      </c>
      <c r="D269" s="15">
        <v>157</v>
      </c>
      <c r="AX269" s="15"/>
      <c r="AY269" s="35">
        <f t="shared" si="118"/>
        <v>266</v>
      </c>
      <c r="AZ269" s="35" t="str">
        <f t="shared" si="119"/>
        <v>495+551</v>
      </c>
      <c r="BA269" s="35">
        <f t="shared" si="120"/>
        <v>157</v>
      </c>
      <c r="BB269" s="38">
        <f>COUNTIF($BA$4:$BA269,$BA269)</f>
        <v>1</v>
      </c>
      <c r="BC269" s="36" t="str">
        <f t="shared" si="121"/>
        <v>村</v>
      </c>
      <c r="BD269" s="36" t="str">
        <f t="shared" si="122"/>
        <v>村</v>
      </c>
      <c r="BE269" s="36" t="str">
        <f t="shared" si="123"/>
        <v/>
      </c>
      <c r="BF269" s="36" t="str">
        <f t="shared" si="124"/>
        <v>村</v>
      </c>
      <c r="BG269" s="36" t="str">
        <f t="shared" si="125"/>
        <v/>
      </c>
      <c r="BH269" s="36" t="str">
        <f t="shared" si="126"/>
        <v/>
      </c>
      <c r="BI269" s="36" t="str">
        <f t="shared" si="127"/>
        <v>村</v>
      </c>
      <c r="BJ269" s="29" t="str">
        <f t="shared" si="128"/>
        <v>村</v>
      </c>
    </row>
    <row r="270" spans="2:62" x14ac:dyDescent="0.15">
      <c r="B270" s="15">
        <v>267</v>
      </c>
      <c r="C270" s="15" t="s">
        <v>328</v>
      </c>
      <c r="D270" s="15">
        <v>157</v>
      </c>
      <c r="AX270" s="15"/>
      <c r="AY270" s="35">
        <f t="shared" si="118"/>
        <v>267</v>
      </c>
      <c r="AZ270" s="35" t="str">
        <f t="shared" si="119"/>
        <v>510+516</v>
      </c>
      <c r="BA270" s="35">
        <f t="shared" si="120"/>
        <v>157</v>
      </c>
      <c r="BB270" s="38">
        <f>COUNTIF($BA$4:$BA270,$BA270)</f>
        <v>2</v>
      </c>
      <c r="BC270" s="36" t="str">
        <f t="shared" si="121"/>
        <v/>
      </c>
      <c r="BD270" s="36" t="str">
        <f t="shared" si="122"/>
        <v/>
      </c>
      <c r="BE270" s="36" t="str">
        <f t="shared" si="123"/>
        <v>村</v>
      </c>
      <c r="BF270" s="36" t="str">
        <f t="shared" si="124"/>
        <v>村</v>
      </c>
      <c r="BG270" s="36" t="str">
        <f t="shared" si="125"/>
        <v/>
      </c>
      <c r="BH270" s="36" t="str">
        <f t="shared" si="126"/>
        <v/>
      </c>
      <c r="BI270" s="36" t="str">
        <f t="shared" si="127"/>
        <v/>
      </c>
      <c r="BJ270" s="29" t="str">
        <f t="shared" si="128"/>
        <v>村</v>
      </c>
    </row>
    <row r="271" spans="2:62" x14ac:dyDescent="0.15">
      <c r="B271" s="15">
        <v>268</v>
      </c>
      <c r="C271" s="15" t="s">
        <v>672</v>
      </c>
      <c r="D271" s="15">
        <v>157</v>
      </c>
      <c r="AX271" s="15"/>
      <c r="AY271" s="35">
        <f t="shared" si="118"/>
        <v>268</v>
      </c>
      <c r="AZ271" s="35" t="str">
        <f t="shared" si="119"/>
        <v>515+546</v>
      </c>
      <c r="BA271" s="35">
        <f t="shared" si="120"/>
        <v>157</v>
      </c>
      <c r="BB271" s="38">
        <f>COUNTIF($BA$4:$BA271,$BA271)</f>
        <v>3</v>
      </c>
      <c r="BC271" s="36" t="str">
        <f t="shared" si="121"/>
        <v/>
      </c>
      <c r="BD271" s="36" t="str">
        <f t="shared" si="122"/>
        <v/>
      </c>
      <c r="BE271" s="36" t="str">
        <f t="shared" si="123"/>
        <v/>
      </c>
      <c r="BF271" s="36" t="str">
        <f t="shared" si="124"/>
        <v>营</v>
      </c>
      <c r="BG271" s="36" t="str">
        <f t="shared" si="125"/>
        <v/>
      </c>
      <c r="BH271" s="36" t="str">
        <f t="shared" si="126"/>
        <v/>
      </c>
      <c r="BI271" s="36" t="str">
        <f t="shared" si="127"/>
        <v/>
      </c>
      <c r="BJ271" s="29" t="str">
        <f t="shared" si="128"/>
        <v>营</v>
      </c>
    </row>
    <row r="272" spans="2:62" x14ac:dyDescent="0.15">
      <c r="B272" s="15">
        <v>269</v>
      </c>
      <c r="C272" s="15" t="s">
        <v>329</v>
      </c>
      <c r="D272" s="15">
        <v>158</v>
      </c>
      <c r="AX272" s="15"/>
      <c r="AY272" s="35">
        <f t="shared" si="118"/>
        <v>269</v>
      </c>
      <c r="AZ272" s="35" t="str">
        <f t="shared" si="119"/>
        <v>444+551</v>
      </c>
      <c r="BA272" s="35">
        <f t="shared" si="120"/>
        <v>158</v>
      </c>
      <c r="BB272" s="38">
        <f>COUNTIF($BA$4:$BA272,$BA272)</f>
        <v>1</v>
      </c>
      <c r="BC272" s="36" t="str">
        <f t="shared" si="121"/>
        <v>村</v>
      </c>
      <c r="BD272" s="36" t="str">
        <f t="shared" si="122"/>
        <v>村</v>
      </c>
      <c r="BE272" s="36" t="str">
        <f t="shared" si="123"/>
        <v>村</v>
      </c>
      <c r="BF272" s="36" t="str">
        <f t="shared" si="124"/>
        <v>村</v>
      </c>
      <c r="BG272" s="36" t="str">
        <f t="shared" si="125"/>
        <v/>
      </c>
      <c r="BH272" s="36" t="str">
        <f t="shared" si="126"/>
        <v/>
      </c>
      <c r="BI272" s="36" t="str">
        <f t="shared" si="127"/>
        <v>村</v>
      </c>
      <c r="BJ272" s="29" t="str">
        <f t="shared" si="128"/>
        <v>村</v>
      </c>
    </row>
    <row r="273" spans="2:62" x14ac:dyDescent="0.15">
      <c r="B273" s="15">
        <v>270</v>
      </c>
      <c r="C273" s="15" t="s">
        <v>330</v>
      </c>
      <c r="D273" s="15">
        <v>158</v>
      </c>
      <c r="AX273" s="15"/>
      <c r="AY273" s="35">
        <f t="shared" si="118"/>
        <v>270</v>
      </c>
      <c r="AZ273" s="35" t="str">
        <f t="shared" si="119"/>
        <v>468+532</v>
      </c>
      <c r="BA273" s="35">
        <f t="shared" si="120"/>
        <v>158</v>
      </c>
      <c r="BB273" s="38">
        <f>COUNTIF($BA$4:$BA273,$BA273)</f>
        <v>2</v>
      </c>
      <c r="BC273" s="36" t="str">
        <f t="shared" si="121"/>
        <v>村</v>
      </c>
      <c r="BD273" s="36" t="str">
        <f t="shared" si="122"/>
        <v>村</v>
      </c>
      <c r="BE273" s="36" t="str">
        <f t="shared" si="123"/>
        <v>村</v>
      </c>
      <c r="BF273" s="36" t="str">
        <f t="shared" si="124"/>
        <v>村</v>
      </c>
      <c r="BG273" s="36" t="str">
        <f t="shared" si="125"/>
        <v/>
      </c>
      <c r="BH273" s="36" t="str">
        <f t="shared" si="126"/>
        <v/>
      </c>
      <c r="BI273" s="36" t="str">
        <f t="shared" si="127"/>
        <v/>
      </c>
      <c r="BJ273" s="29" t="str">
        <f t="shared" si="128"/>
        <v>村</v>
      </c>
    </row>
    <row r="274" spans="2:62" x14ac:dyDescent="0.15">
      <c r="B274" s="15">
        <v>271</v>
      </c>
      <c r="C274" s="15" t="s">
        <v>331</v>
      </c>
      <c r="D274" s="15">
        <v>159</v>
      </c>
      <c r="AX274" s="15"/>
      <c r="AY274" s="35">
        <f t="shared" si="118"/>
        <v>271</v>
      </c>
      <c r="AZ274" s="35" t="str">
        <f t="shared" si="119"/>
        <v>434+523</v>
      </c>
      <c r="BA274" s="35">
        <f t="shared" si="120"/>
        <v>159</v>
      </c>
      <c r="BB274" s="38">
        <f>COUNTIF($BA$4:$BA274,$BA274)</f>
        <v>1</v>
      </c>
      <c r="BC274" s="36" t="str">
        <f t="shared" si="121"/>
        <v>村</v>
      </c>
      <c r="BD274" s="36" t="str">
        <f t="shared" si="122"/>
        <v/>
      </c>
      <c r="BE274" s="36" t="str">
        <f t="shared" si="123"/>
        <v>村</v>
      </c>
      <c r="BF274" s="36" t="str">
        <f t="shared" si="124"/>
        <v>村</v>
      </c>
      <c r="BG274" s="36" t="str">
        <f t="shared" si="125"/>
        <v/>
      </c>
      <c r="BH274" s="36" t="str">
        <f t="shared" si="126"/>
        <v/>
      </c>
      <c r="BI274" s="36" t="str">
        <f t="shared" si="127"/>
        <v>村</v>
      </c>
      <c r="BJ274" s="29" t="str">
        <f t="shared" si="128"/>
        <v>村</v>
      </c>
    </row>
    <row r="275" spans="2:62" x14ac:dyDescent="0.15">
      <c r="B275" s="15">
        <v>272</v>
      </c>
      <c r="C275" s="15" t="s">
        <v>332</v>
      </c>
      <c r="D275" s="15">
        <v>159</v>
      </c>
      <c r="AX275" s="15"/>
      <c r="AY275" s="35">
        <f t="shared" si="118"/>
        <v>272</v>
      </c>
      <c r="AZ275" s="35" t="str">
        <f t="shared" si="119"/>
        <v>418+554</v>
      </c>
      <c r="BA275" s="35">
        <f t="shared" si="120"/>
        <v>159</v>
      </c>
      <c r="BB275" s="38">
        <f>COUNTIF($BA$4:$BA275,$BA275)</f>
        <v>2</v>
      </c>
      <c r="BC275" s="36" t="str">
        <f t="shared" si="121"/>
        <v>村</v>
      </c>
      <c r="BD275" s="36" t="str">
        <f t="shared" si="122"/>
        <v>村</v>
      </c>
      <c r="BE275" s="36" t="str">
        <f t="shared" si="123"/>
        <v/>
      </c>
      <c r="BF275" s="36" t="str">
        <f t="shared" si="124"/>
        <v/>
      </c>
      <c r="BG275" s="36" t="str">
        <f t="shared" si="125"/>
        <v/>
      </c>
      <c r="BH275" s="36" t="str">
        <f t="shared" si="126"/>
        <v/>
      </c>
      <c r="BI275" s="36" t="str">
        <f t="shared" si="127"/>
        <v>村</v>
      </c>
      <c r="BJ275" s="29" t="str">
        <f t="shared" si="128"/>
        <v>村</v>
      </c>
    </row>
    <row r="276" spans="2:62" x14ac:dyDescent="0.15">
      <c r="B276" s="15">
        <v>273</v>
      </c>
      <c r="C276" s="15" t="s">
        <v>673</v>
      </c>
      <c r="D276" s="15">
        <v>159</v>
      </c>
      <c r="AX276" s="15"/>
      <c r="AY276" s="35">
        <f t="shared" si="118"/>
        <v>273</v>
      </c>
      <c r="AZ276" s="35" t="str">
        <f t="shared" si="119"/>
        <v>423+520</v>
      </c>
      <c r="BA276" s="35">
        <f t="shared" si="120"/>
        <v>159</v>
      </c>
      <c r="BB276" s="38">
        <f>COUNTIF($BA$4:$BA276,$BA276)</f>
        <v>3</v>
      </c>
      <c r="BC276" s="36" t="str">
        <f t="shared" si="121"/>
        <v>营</v>
      </c>
      <c r="BD276" s="36" t="str">
        <f t="shared" si="122"/>
        <v>营</v>
      </c>
      <c r="BE276" s="36" t="str">
        <f t="shared" si="123"/>
        <v>营</v>
      </c>
      <c r="BF276" s="36" t="str">
        <f t="shared" si="124"/>
        <v>营</v>
      </c>
      <c r="BG276" s="36" t="str">
        <f t="shared" si="125"/>
        <v/>
      </c>
      <c r="BH276" s="36" t="str">
        <f t="shared" si="126"/>
        <v/>
      </c>
      <c r="BI276" s="36" t="str">
        <f t="shared" si="127"/>
        <v>营</v>
      </c>
      <c r="BJ276" s="29" t="str">
        <f t="shared" si="128"/>
        <v>营</v>
      </c>
    </row>
    <row r="277" spans="2:62" x14ac:dyDescent="0.15">
      <c r="B277" s="15">
        <v>274</v>
      </c>
      <c r="C277" s="15" t="s">
        <v>333</v>
      </c>
      <c r="D277" s="15">
        <v>160</v>
      </c>
      <c r="AX277" s="15"/>
      <c r="AY277" s="35">
        <f t="shared" si="118"/>
        <v>274</v>
      </c>
      <c r="AZ277" s="35" t="str">
        <f t="shared" si="119"/>
        <v>370+552</v>
      </c>
      <c r="BA277" s="35">
        <f t="shared" si="120"/>
        <v>160</v>
      </c>
      <c r="BB277" s="38">
        <f>COUNTIF($BA$4:$BA277,$BA277)</f>
        <v>1</v>
      </c>
      <c r="BC277" s="36" t="str">
        <f t="shared" si="121"/>
        <v>村</v>
      </c>
      <c r="BD277" s="36" t="str">
        <f t="shared" si="122"/>
        <v/>
      </c>
      <c r="BE277" s="36" t="str">
        <f t="shared" si="123"/>
        <v/>
      </c>
      <c r="BF277" s="36" t="str">
        <f t="shared" si="124"/>
        <v>村</v>
      </c>
      <c r="BG277" s="36" t="str">
        <f t="shared" si="125"/>
        <v/>
      </c>
      <c r="BH277" s="36" t="str">
        <f t="shared" si="126"/>
        <v/>
      </c>
      <c r="BI277" s="36" t="str">
        <f t="shared" si="127"/>
        <v>村</v>
      </c>
      <c r="BJ277" s="29" t="str">
        <f t="shared" si="128"/>
        <v>村</v>
      </c>
    </row>
    <row r="278" spans="2:62" x14ac:dyDescent="0.15">
      <c r="B278" s="15">
        <v>275</v>
      </c>
      <c r="C278" s="15" t="s">
        <v>334</v>
      </c>
      <c r="D278" s="15">
        <v>160</v>
      </c>
      <c r="AX278" s="15"/>
      <c r="AY278" s="35">
        <f t="shared" si="118"/>
        <v>275</v>
      </c>
      <c r="AZ278" s="35" t="str">
        <f t="shared" si="119"/>
        <v>394+537</v>
      </c>
      <c r="BA278" s="35">
        <f t="shared" si="120"/>
        <v>160</v>
      </c>
      <c r="BB278" s="38">
        <f>COUNTIF($BA$4:$BA278,$BA278)</f>
        <v>2</v>
      </c>
      <c r="BC278" s="36" t="str">
        <f t="shared" si="121"/>
        <v>县</v>
      </c>
      <c r="BD278" s="36" t="str">
        <f t="shared" si="122"/>
        <v/>
      </c>
      <c r="BE278" s="36" t="str">
        <f t="shared" si="123"/>
        <v/>
      </c>
      <c r="BF278" s="36" t="str">
        <f t="shared" si="124"/>
        <v/>
      </c>
      <c r="BG278" s="36" t="str">
        <f t="shared" si="125"/>
        <v/>
      </c>
      <c r="BH278" s="36" t="str">
        <f t="shared" si="126"/>
        <v/>
      </c>
      <c r="BI278" s="36" t="str">
        <f t="shared" si="127"/>
        <v/>
      </c>
      <c r="BJ278" s="29" t="str">
        <f t="shared" si="128"/>
        <v>县</v>
      </c>
    </row>
    <row r="279" spans="2:62" x14ac:dyDescent="0.15">
      <c r="B279" s="15">
        <v>276</v>
      </c>
      <c r="C279" s="15" t="s">
        <v>674</v>
      </c>
      <c r="D279" s="15">
        <v>160</v>
      </c>
      <c r="AX279" s="15"/>
      <c r="AY279" s="35">
        <f t="shared" si="118"/>
        <v>276</v>
      </c>
      <c r="AZ279" s="35" t="str">
        <f t="shared" si="119"/>
        <v>386+557</v>
      </c>
      <c r="BA279" s="35">
        <f t="shared" si="120"/>
        <v>160</v>
      </c>
      <c r="BB279" s="38">
        <f>COUNTIF($BA$4:$BA279,$BA279)</f>
        <v>3</v>
      </c>
      <c r="BC279" s="36" t="str">
        <f t="shared" si="121"/>
        <v>营</v>
      </c>
      <c r="BD279" s="36" t="str">
        <f t="shared" si="122"/>
        <v>营</v>
      </c>
      <c r="BE279" s="36" t="str">
        <f t="shared" si="123"/>
        <v/>
      </c>
      <c r="BF279" s="36" t="str">
        <f t="shared" si="124"/>
        <v>营</v>
      </c>
      <c r="BG279" s="36" t="str">
        <f t="shared" si="125"/>
        <v/>
      </c>
      <c r="BH279" s="36" t="str">
        <f t="shared" si="126"/>
        <v/>
      </c>
      <c r="BI279" s="36" t="str">
        <f t="shared" si="127"/>
        <v>营</v>
      </c>
      <c r="BJ279" s="29" t="str">
        <f t="shared" si="128"/>
        <v>营</v>
      </c>
    </row>
    <row r="280" spans="2:62" x14ac:dyDescent="0.15">
      <c r="B280" s="15">
        <v>277</v>
      </c>
      <c r="C280" s="15" t="s">
        <v>335</v>
      </c>
      <c r="D280" s="15">
        <v>161</v>
      </c>
      <c r="AX280" s="15"/>
      <c r="AY280" s="35">
        <f t="shared" si="118"/>
        <v>277</v>
      </c>
      <c r="AZ280" s="35" t="str">
        <f t="shared" si="119"/>
        <v>356+546</v>
      </c>
      <c r="BA280" s="35">
        <f t="shared" si="120"/>
        <v>161</v>
      </c>
      <c r="BB280" s="38">
        <f>COUNTIF($BA$4:$BA280,$BA280)</f>
        <v>1</v>
      </c>
      <c r="BC280" s="36" t="str">
        <f t="shared" si="121"/>
        <v/>
      </c>
      <c r="BD280" s="36" t="str">
        <f t="shared" si="122"/>
        <v/>
      </c>
      <c r="BE280" s="36" t="str">
        <f t="shared" si="123"/>
        <v/>
      </c>
      <c r="BF280" s="36" t="str">
        <f t="shared" si="124"/>
        <v>村</v>
      </c>
      <c r="BG280" s="36" t="str">
        <f t="shared" si="125"/>
        <v/>
      </c>
      <c r="BH280" s="36" t="str">
        <f t="shared" si="126"/>
        <v/>
      </c>
      <c r="BI280" s="36" t="str">
        <f t="shared" si="127"/>
        <v>村</v>
      </c>
      <c r="BJ280" s="29" t="str">
        <f t="shared" si="128"/>
        <v>村</v>
      </c>
    </row>
    <row r="281" spans="2:62" x14ac:dyDescent="0.15">
      <c r="B281" s="15">
        <v>278</v>
      </c>
      <c r="C281" s="15" t="s">
        <v>336</v>
      </c>
      <c r="D281" s="15">
        <v>161</v>
      </c>
      <c r="AX281" s="15"/>
      <c r="AY281" s="35">
        <f t="shared" si="118"/>
        <v>278</v>
      </c>
      <c r="AZ281" s="35" t="str">
        <f t="shared" si="119"/>
        <v>334+566</v>
      </c>
      <c r="BA281" s="35">
        <f t="shared" si="120"/>
        <v>161</v>
      </c>
      <c r="BB281" s="38">
        <f>COUNTIF($BA$4:$BA281,$BA281)</f>
        <v>2</v>
      </c>
      <c r="BC281" s="36" t="str">
        <f t="shared" si="121"/>
        <v>村</v>
      </c>
      <c r="BD281" s="36" t="str">
        <f t="shared" si="122"/>
        <v/>
      </c>
      <c r="BE281" s="36" t="str">
        <f t="shared" si="123"/>
        <v/>
      </c>
      <c r="BF281" s="36" t="str">
        <f t="shared" si="124"/>
        <v>村</v>
      </c>
      <c r="BG281" s="36" t="str">
        <f t="shared" si="125"/>
        <v/>
      </c>
      <c r="BH281" s="36" t="str">
        <f t="shared" si="126"/>
        <v/>
      </c>
      <c r="BI281" s="36" t="str">
        <f t="shared" si="127"/>
        <v>村</v>
      </c>
      <c r="BJ281" s="29" t="str">
        <f t="shared" si="128"/>
        <v>村</v>
      </c>
    </row>
    <row r="282" spans="2:62" x14ac:dyDescent="0.15">
      <c r="B282" s="15">
        <v>279</v>
      </c>
      <c r="C282" s="15" t="s">
        <v>337</v>
      </c>
      <c r="D282" s="15">
        <v>162</v>
      </c>
      <c r="AX282" s="15"/>
      <c r="AY282" s="35">
        <f t="shared" si="118"/>
        <v>279</v>
      </c>
      <c r="AZ282" s="35" t="str">
        <f t="shared" si="119"/>
        <v>367+496</v>
      </c>
      <c r="BA282" s="35">
        <f t="shared" si="120"/>
        <v>162</v>
      </c>
      <c r="BB282" s="38">
        <f>COUNTIF($BA$4:$BA282,$BA282)</f>
        <v>1</v>
      </c>
      <c r="BC282" s="36" t="str">
        <f t="shared" si="121"/>
        <v>营</v>
      </c>
      <c r="BD282" s="36" t="str">
        <f t="shared" si="122"/>
        <v/>
      </c>
      <c r="BE282" s="36" t="str">
        <f t="shared" si="123"/>
        <v/>
      </c>
      <c r="BF282" s="36" t="str">
        <f t="shared" si="124"/>
        <v>营</v>
      </c>
      <c r="BG282" s="36" t="str">
        <f t="shared" si="125"/>
        <v/>
      </c>
      <c r="BH282" s="36" t="str">
        <f t="shared" si="126"/>
        <v/>
      </c>
      <c r="BI282" s="36" t="str">
        <f t="shared" si="127"/>
        <v/>
      </c>
      <c r="BJ282" s="29" t="str">
        <f t="shared" si="128"/>
        <v>营</v>
      </c>
    </row>
    <row r="283" spans="2:62" x14ac:dyDescent="0.15">
      <c r="B283" s="15">
        <v>280</v>
      </c>
      <c r="C283" s="15" t="s">
        <v>339</v>
      </c>
      <c r="D283" s="15">
        <v>163</v>
      </c>
      <c r="AX283" s="15"/>
      <c r="AY283" s="35">
        <f t="shared" si="118"/>
        <v>280</v>
      </c>
      <c r="AZ283" s="35" t="str">
        <f t="shared" si="119"/>
        <v>325+524</v>
      </c>
      <c r="BA283" s="35">
        <f t="shared" si="120"/>
        <v>163</v>
      </c>
      <c r="BB283" s="38">
        <f>COUNTIF($BA$4:$BA283,$BA283)</f>
        <v>1</v>
      </c>
      <c r="BC283" s="36" t="str">
        <f t="shared" si="121"/>
        <v>村</v>
      </c>
      <c r="BD283" s="36" t="str">
        <f t="shared" si="122"/>
        <v/>
      </c>
      <c r="BE283" s="36" t="str">
        <f t="shared" si="123"/>
        <v/>
      </c>
      <c r="BF283" s="36" t="str">
        <f t="shared" si="124"/>
        <v>村</v>
      </c>
      <c r="BG283" s="36" t="str">
        <f t="shared" si="125"/>
        <v/>
      </c>
      <c r="BH283" s="36" t="str">
        <f t="shared" si="126"/>
        <v/>
      </c>
      <c r="BI283" s="36" t="str">
        <f t="shared" si="127"/>
        <v/>
      </c>
      <c r="BJ283" s="29" t="str">
        <f t="shared" si="128"/>
        <v>村</v>
      </c>
    </row>
    <row r="284" spans="2:62" x14ac:dyDescent="0.15">
      <c r="B284" s="15">
        <v>281</v>
      </c>
      <c r="C284" s="15" t="s">
        <v>726</v>
      </c>
      <c r="D284" s="15">
        <v>163</v>
      </c>
      <c r="AX284" s="15"/>
      <c r="AY284" s="35">
        <f t="shared" si="118"/>
        <v>281</v>
      </c>
      <c r="AZ284" s="35" t="str">
        <f t="shared" si="119"/>
        <v>293+552</v>
      </c>
      <c r="BA284" s="35">
        <f t="shared" si="120"/>
        <v>163</v>
      </c>
      <c r="BB284" s="38">
        <f>COUNTIF($BA$4:$BA284,$BA284)</f>
        <v>2</v>
      </c>
      <c r="BC284" s="36" t="str">
        <f t="shared" si="121"/>
        <v/>
      </c>
      <c r="BD284" s="36" t="str">
        <f t="shared" si="122"/>
        <v/>
      </c>
      <c r="BE284" s="36" t="str">
        <f t="shared" si="123"/>
        <v/>
      </c>
      <c r="BF284" s="36" t="str">
        <f t="shared" si="124"/>
        <v>村</v>
      </c>
      <c r="BG284" s="36" t="str">
        <f t="shared" si="125"/>
        <v/>
      </c>
      <c r="BH284" s="36" t="str">
        <f t="shared" si="126"/>
        <v/>
      </c>
      <c r="BI284" s="36" t="str">
        <f t="shared" si="127"/>
        <v/>
      </c>
      <c r="BJ284" s="29" t="str">
        <f t="shared" si="128"/>
        <v>村</v>
      </c>
    </row>
    <row r="285" spans="2:62" x14ac:dyDescent="0.15">
      <c r="B285" s="15">
        <v>282</v>
      </c>
      <c r="C285" s="15" t="s">
        <v>340</v>
      </c>
      <c r="D285" s="15">
        <v>163</v>
      </c>
      <c r="AX285" s="15"/>
      <c r="AY285" s="35">
        <f t="shared" si="118"/>
        <v>282</v>
      </c>
      <c r="AZ285" s="35" t="str">
        <f t="shared" si="119"/>
        <v>316+554</v>
      </c>
      <c r="BA285" s="35">
        <f t="shared" si="120"/>
        <v>163</v>
      </c>
      <c r="BB285" s="38">
        <f>COUNTIF($BA$4:$BA285,$BA285)</f>
        <v>3</v>
      </c>
      <c r="BC285" s="36" t="str">
        <f t="shared" si="121"/>
        <v>营</v>
      </c>
      <c r="BD285" s="36" t="str">
        <f t="shared" si="122"/>
        <v/>
      </c>
      <c r="BE285" s="36" t="str">
        <f t="shared" si="123"/>
        <v/>
      </c>
      <c r="BF285" s="36" t="str">
        <f t="shared" si="124"/>
        <v>营</v>
      </c>
      <c r="BG285" s="36" t="str">
        <f t="shared" si="125"/>
        <v/>
      </c>
      <c r="BH285" s="36" t="str">
        <f t="shared" si="126"/>
        <v/>
      </c>
      <c r="BI285" s="36" t="str">
        <f t="shared" si="127"/>
        <v>营</v>
      </c>
      <c r="BJ285" s="29" t="str">
        <f t="shared" si="128"/>
        <v>营</v>
      </c>
    </row>
    <row r="286" spans="2:62" x14ac:dyDescent="0.15">
      <c r="B286" s="15">
        <v>283</v>
      </c>
      <c r="C286" s="15" t="s">
        <v>341</v>
      </c>
      <c r="D286" s="15">
        <v>164</v>
      </c>
      <c r="AX286" s="15"/>
      <c r="AY286" s="35">
        <f t="shared" si="118"/>
        <v>283</v>
      </c>
      <c r="AZ286" s="35" t="str">
        <f t="shared" si="119"/>
        <v>318+463</v>
      </c>
      <c r="BA286" s="35">
        <f t="shared" si="120"/>
        <v>164</v>
      </c>
      <c r="BB286" s="38">
        <f>COUNTIF($BA$4:$BA286,$BA286)</f>
        <v>1</v>
      </c>
      <c r="BC286" s="36" t="str">
        <f t="shared" si="121"/>
        <v>村</v>
      </c>
      <c r="BD286" s="36" t="str">
        <f t="shared" si="122"/>
        <v/>
      </c>
      <c r="BE286" s="36" t="str">
        <f t="shared" si="123"/>
        <v/>
      </c>
      <c r="BF286" s="36" t="str">
        <f t="shared" si="124"/>
        <v/>
      </c>
      <c r="BG286" s="36" t="str">
        <f t="shared" si="125"/>
        <v/>
      </c>
      <c r="BH286" s="36" t="str">
        <f t="shared" si="126"/>
        <v/>
      </c>
      <c r="BI286" s="36" t="str">
        <f t="shared" si="127"/>
        <v/>
      </c>
      <c r="BJ286" s="29" t="str">
        <f t="shared" si="128"/>
        <v>村</v>
      </c>
    </row>
    <row r="287" spans="2:62" x14ac:dyDescent="0.15">
      <c r="B287" s="15">
        <v>284</v>
      </c>
      <c r="C287" s="15" t="s">
        <v>342</v>
      </c>
      <c r="D287" s="15">
        <v>164</v>
      </c>
      <c r="AX287" s="15"/>
      <c r="AY287" s="35">
        <f t="shared" si="118"/>
        <v>284</v>
      </c>
      <c r="AZ287" s="35" t="str">
        <f t="shared" si="119"/>
        <v>302+421</v>
      </c>
      <c r="BA287" s="35">
        <f t="shared" si="120"/>
        <v>164</v>
      </c>
      <c r="BB287" s="38">
        <f>COUNTIF($BA$4:$BA287,$BA287)</f>
        <v>2</v>
      </c>
      <c r="BC287" s="36" t="str">
        <f t="shared" si="121"/>
        <v>村</v>
      </c>
      <c r="BD287" s="36" t="str">
        <f t="shared" si="122"/>
        <v/>
      </c>
      <c r="BE287" s="36" t="str">
        <f t="shared" si="123"/>
        <v/>
      </c>
      <c r="BF287" s="36" t="str">
        <f t="shared" si="124"/>
        <v/>
      </c>
      <c r="BG287" s="36" t="str">
        <f t="shared" si="125"/>
        <v/>
      </c>
      <c r="BH287" s="36" t="str">
        <f t="shared" si="126"/>
        <v/>
      </c>
      <c r="BI287" s="36" t="str">
        <f t="shared" si="127"/>
        <v/>
      </c>
      <c r="BJ287" s="29" t="str">
        <f t="shared" si="128"/>
        <v>村</v>
      </c>
    </row>
    <row r="288" spans="2:62" x14ac:dyDescent="0.15">
      <c r="B288" s="15">
        <v>285</v>
      </c>
      <c r="C288" s="15" t="s">
        <v>676</v>
      </c>
      <c r="D288" s="15">
        <v>164</v>
      </c>
      <c r="AX288" s="15"/>
      <c r="AY288" s="35">
        <f t="shared" si="118"/>
        <v>285</v>
      </c>
      <c r="AZ288" s="35" t="str">
        <f t="shared" si="119"/>
        <v>335+470</v>
      </c>
      <c r="BA288" s="35">
        <f t="shared" si="120"/>
        <v>164</v>
      </c>
      <c r="BB288" s="38">
        <f>COUNTIF($BA$4:$BA288,$BA288)</f>
        <v>3</v>
      </c>
      <c r="BC288" s="36" t="str">
        <f t="shared" si="121"/>
        <v>营</v>
      </c>
      <c r="BD288" s="36" t="str">
        <f t="shared" si="122"/>
        <v/>
      </c>
      <c r="BE288" s="36" t="str">
        <f t="shared" si="123"/>
        <v/>
      </c>
      <c r="BF288" s="36" t="str">
        <f t="shared" si="124"/>
        <v>营</v>
      </c>
      <c r="BG288" s="36" t="str">
        <f t="shared" si="125"/>
        <v/>
      </c>
      <c r="BH288" s="36" t="str">
        <f t="shared" si="126"/>
        <v/>
      </c>
      <c r="BI288" s="36" t="str">
        <f t="shared" si="127"/>
        <v/>
      </c>
      <c r="BJ288" s="29" t="str">
        <f t="shared" si="128"/>
        <v>营</v>
      </c>
    </row>
    <row r="289" spans="2:62" x14ac:dyDescent="0.15">
      <c r="B289" s="15">
        <v>286</v>
      </c>
      <c r="C289" s="15" t="s">
        <v>343</v>
      </c>
      <c r="D289" s="15">
        <v>165</v>
      </c>
      <c r="AX289" s="15"/>
      <c r="AY289" s="35">
        <f t="shared" si="118"/>
        <v>286</v>
      </c>
      <c r="AZ289" s="35" t="str">
        <f t="shared" si="119"/>
        <v>282+424</v>
      </c>
      <c r="BA289" s="35">
        <f t="shared" si="120"/>
        <v>165</v>
      </c>
      <c r="BB289" s="38">
        <f>COUNTIF($BA$4:$BA289,$BA289)</f>
        <v>1</v>
      </c>
      <c r="BC289" s="36" t="str">
        <f t="shared" si="121"/>
        <v>村</v>
      </c>
      <c r="BD289" s="36" t="str">
        <f t="shared" si="122"/>
        <v/>
      </c>
      <c r="BE289" s="36" t="str">
        <f t="shared" si="123"/>
        <v/>
      </c>
      <c r="BF289" s="36" t="str">
        <f t="shared" si="124"/>
        <v/>
      </c>
      <c r="BG289" s="36" t="str">
        <f t="shared" si="125"/>
        <v/>
      </c>
      <c r="BH289" s="36" t="str">
        <f t="shared" si="126"/>
        <v/>
      </c>
      <c r="BI289" s="36" t="str">
        <f t="shared" si="127"/>
        <v/>
      </c>
      <c r="BJ289" s="29" t="str">
        <f t="shared" si="128"/>
        <v>村</v>
      </c>
    </row>
    <row r="290" spans="2:62" x14ac:dyDescent="0.15">
      <c r="B290" s="15">
        <v>287</v>
      </c>
      <c r="C290" s="15" t="s">
        <v>344</v>
      </c>
      <c r="D290" s="15">
        <v>165</v>
      </c>
      <c r="AX290" s="15"/>
      <c r="AY290" s="35">
        <f t="shared" si="118"/>
        <v>287</v>
      </c>
      <c r="AZ290" s="35" t="str">
        <f t="shared" si="119"/>
        <v>288+465</v>
      </c>
      <c r="BA290" s="35">
        <f t="shared" si="120"/>
        <v>165</v>
      </c>
      <c r="BB290" s="38">
        <f>COUNTIF($BA$4:$BA290,$BA290)</f>
        <v>2</v>
      </c>
      <c r="BC290" s="36" t="str">
        <f t="shared" si="121"/>
        <v>村</v>
      </c>
      <c r="BD290" s="36" t="str">
        <f t="shared" si="122"/>
        <v/>
      </c>
      <c r="BE290" s="36" t="str">
        <f t="shared" si="123"/>
        <v/>
      </c>
      <c r="BF290" s="36" t="str">
        <f t="shared" si="124"/>
        <v>村</v>
      </c>
      <c r="BG290" s="36" t="str">
        <f t="shared" si="125"/>
        <v/>
      </c>
      <c r="BH290" s="36" t="str">
        <f t="shared" si="126"/>
        <v/>
      </c>
      <c r="BI290" s="36" t="str">
        <f t="shared" si="127"/>
        <v/>
      </c>
      <c r="BJ290" s="29" t="str">
        <f t="shared" si="128"/>
        <v>村</v>
      </c>
    </row>
    <row r="291" spans="2:62" x14ac:dyDescent="0.15">
      <c r="B291" s="15">
        <v>288</v>
      </c>
      <c r="C291" s="15" t="s">
        <v>727</v>
      </c>
      <c r="D291" s="15">
        <v>165</v>
      </c>
      <c r="AX291" s="15"/>
      <c r="AY291" s="35">
        <f t="shared" si="118"/>
        <v>288</v>
      </c>
      <c r="AZ291" s="35" t="str">
        <f t="shared" si="119"/>
        <v>260+502</v>
      </c>
      <c r="BA291" s="35">
        <f t="shared" si="120"/>
        <v>165</v>
      </c>
      <c r="BB291" s="38">
        <f>COUNTIF($BA$4:$BA291,$BA291)</f>
        <v>3</v>
      </c>
      <c r="BC291" s="36" t="str">
        <f t="shared" si="121"/>
        <v/>
      </c>
      <c r="BD291" s="36" t="str">
        <f t="shared" si="122"/>
        <v/>
      </c>
      <c r="BE291" s="36" t="str">
        <f t="shared" si="123"/>
        <v/>
      </c>
      <c r="BF291" s="36" t="str">
        <f t="shared" si="124"/>
        <v>营</v>
      </c>
      <c r="BG291" s="36" t="str">
        <f t="shared" si="125"/>
        <v/>
      </c>
      <c r="BH291" s="36" t="str">
        <f t="shared" si="126"/>
        <v/>
      </c>
      <c r="BI291" s="36" t="str">
        <f t="shared" si="127"/>
        <v/>
      </c>
      <c r="BJ291" s="29" t="str">
        <f t="shared" si="128"/>
        <v>营</v>
      </c>
    </row>
    <row r="292" spans="2:62" x14ac:dyDescent="0.15">
      <c r="B292" s="15">
        <v>289</v>
      </c>
      <c r="C292" s="15" t="s">
        <v>346</v>
      </c>
      <c r="D292" s="15">
        <v>166</v>
      </c>
      <c r="AX292" s="15"/>
      <c r="AY292" s="35">
        <f t="shared" si="118"/>
        <v>289</v>
      </c>
      <c r="AZ292" s="35" t="str">
        <f t="shared" si="119"/>
        <v>268+537</v>
      </c>
      <c r="BA292" s="35">
        <f t="shared" si="120"/>
        <v>166</v>
      </c>
      <c r="BB292" s="38">
        <f>COUNTIF($BA$4:$BA292,$BA292)</f>
        <v>1</v>
      </c>
      <c r="BC292" s="36" t="str">
        <f t="shared" si="121"/>
        <v>村</v>
      </c>
      <c r="BD292" s="36" t="str">
        <f t="shared" si="122"/>
        <v/>
      </c>
      <c r="BE292" s="36" t="str">
        <f t="shared" si="123"/>
        <v/>
      </c>
      <c r="BF292" s="36" t="str">
        <f t="shared" si="124"/>
        <v>村</v>
      </c>
      <c r="BG292" s="36" t="str">
        <f t="shared" si="125"/>
        <v/>
      </c>
      <c r="BH292" s="36" t="str">
        <f t="shared" si="126"/>
        <v/>
      </c>
      <c r="BI292" s="36" t="str">
        <f t="shared" si="127"/>
        <v/>
      </c>
      <c r="BJ292" s="29" t="str">
        <f t="shared" si="128"/>
        <v>村</v>
      </c>
    </row>
    <row r="293" spans="2:62" x14ac:dyDescent="0.15">
      <c r="B293" s="15">
        <v>290</v>
      </c>
      <c r="C293" s="15" t="s">
        <v>678</v>
      </c>
      <c r="D293" s="15">
        <v>166</v>
      </c>
      <c r="AX293" s="15"/>
      <c r="AY293" s="35">
        <f t="shared" si="118"/>
        <v>290</v>
      </c>
      <c r="AZ293" s="35" t="str">
        <f t="shared" si="119"/>
        <v>286+534</v>
      </c>
      <c r="BA293" s="35">
        <f t="shared" si="120"/>
        <v>166</v>
      </c>
      <c r="BB293" s="38">
        <f>COUNTIF($BA$4:$BA293,$BA293)</f>
        <v>2</v>
      </c>
      <c r="BC293" s="36" t="str">
        <f t="shared" si="121"/>
        <v/>
      </c>
      <c r="BD293" s="36" t="str">
        <f t="shared" si="122"/>
        <v/>
      </c>
      <c r="BE293" s="36" t="str">
        <f t="shared" si="123"/>
        <v/>
      </c>
      <c r="BF293" s="36" t="str">
        <f t="shared" si="124"/>
        <v>县</v>
      </c>
      <c r="BG293" s="36" t="str">
        <f t="shared" si="125"/>
        <v/>
      </c>
      <c r="BH293" s="36" t="str">
        <f t="shared" si="126"/>
        <v/>
      </c>
      <c r="BI293" s="36" t="str">
        <f t="shared" si="127"/>
        <v>县</v>
      </c>
      <c r="BJ293" s="29" t="str">
        <f t="shared" si="128"/>
        <v>县</v>
      </c>
    </row>
    <row r="294" spans="2:62" x14ac:dyDescent="0.15">
      <c r="B294" s="15">
        <v>291</v>
      </c>
      <c r="C294" s="15" t="s">
        <v>680</v>
      </c>
      <c r="D294" s="15">
        <v>166</v>
      </c>
      <c r="AX294" s="15"/>
      <c r="AY294" s="35">
        <f t="shared" si="118"/>
        <v>291</v>
      </c>
      <c r="AZ294" s="35" t="str">
        <f t="shared" si="119"/>
        <v>258+523</v>
      </c>
      <c r="BA294" s="35">
        <f t="shared" si="120"/>
        <v>166</v>
      </c>
      <c r="BB294" s="38">
        <f>COUNTIF($BA$4:$BA294,$BA294)</f>
        <v>3</v>
      </c>
      <c r="BC294" s="36" t="str">
        <f t="shared" si="121"/>
        <v>营</v>
      </c>
      <c r="BD294" s="36" t="str">
        <f t="shared" si="122"/>
        <v/>
      </c>
      <c r="BE294" s="36" t="str">
        <f t="shared" si="123"/>
        <v/>
      </c>
      <c r="BF294" s="36" t="str">
        <f t="shared" si="124"/>
        <v/>
      </c>
      <c r="BG294" s="36" t="str">
        <f t="shared" si="125"/>
        <v/>
      </c>
      <c r="BH294" s="36" t="str">
        <f t="shared" si="126"/>
        <v/>
      </c>
      <c r="BI294" s="36" t="str">
        <f t="shared" si="127"/>
        <v/>
      </c>
      <c r="BJ294" s="29" t="str">
        <f t="shared" si="128"/>
        <v>营</v>
      </c>
    </row>
    <row r="295" spans="2:62" x14ac:dyDescent="0.15">
      <c r="B295" s="15">
        <v>292</v>
      </c>
      <c r="C295" s="15" t="s">
        <v>347</v>
      </c>
      <c r="D295" s="15">
        <v>167</v>
      </c>
      <c r="AX295" s="15"/>
      <c r="AY295" s="35">
        <f t="shared" si="118"/>
        <v>292</v>
      </c>
      <c r="AZ295" s="35" t="str">
        <f t="shared" si="119"/>
        <v>256+451</v>
      </c>
      <c r="BA295" s="35">
        <f t="shared" si="120"/>
        <v>167</v>
      </c>
      <c r="BB295" s="38">
        <f>COUNTIF($BA$4:$BA295,$BA295)</f>
        <v>1</v>
      </c>
      <c r="BC295" s="36" t="str">
        <f t="shared" si="121"/>
        <v>村</v>
      </c>
      <c r="BD295" s="36" t="str">
        <f t="shared" si="122"/>
        <v/>
      </c>
      <c r="BE295" s="36" t="str">
        <f t="shared" si="123"/>
        <v/>
      </c>
      <c r="BF295" s="36" t="str">
        <f t="shared" si="124"/>
        <v>村</v>
      </c>
      <c r="BG295" s="36" t="str">
        <f t="shared" si="125"/>
        <v/>
      </c>
      <c r="BH295" s="36" t="str">
        <f t="shared" si="126"/>
        <v/>
      </c>
      <c r="BI295" s="36" t="str">
        <f t="shared" si="127"/>
        <v/>
      </c>
      <c r="BJ295" s="29" t="str">
        <f t="shared" si="128"/>
        <v>村</v>
      </c>
    </row>
    <row r="296" spans="2:62" x14ac:dyDescent="0.15">
      <c r="B296" s="15">
        <v>293</v>
      </c>
      <c r="C296" s="15" t="s">
        <v>348</v>
      </c>
      <c r="D296" s="15">
        <v>167</v>
      </c>
      <c r="AX296" s="15"/>
      <c r="AY296" s="35">
        <f t="shared" si="118"/>
        <v>293</v>
      </c>
      <c r="AZ296" s="35" t="str">
        <f t="shared" si="119"/>
        <v>237+471</v>
      </c>
      <c r="BA296" s="35">
        <f t="shared" si="120"/>
        <v>167</v>
      </c>
      <c r="BB296" s="38">
        <f>COUNTIF($BA$4:$BA296,$BA296)</f>
        <v>2</v>
      </c>
      <c r="BC296" s="36" t="str">
        <f t="shared" si="121"/>
        <v>村</v>
      </c>
      <c r="BD296" s="36" t="str">
        <f t="shared" si="122"/>
        <v/>
      </c>
      <c r="BE296" s="36" t="str">
        <f t="shared" si="123"/>
        <v/>
      </c>
      <c r="BF296" s="36" t="str">
        <f t="shared" si="124"/>
        <v>村</v>
      </c>
      <c r="BG296" s="36" t="str">
        <f t="shared" si="125"/>
        <v/>
      </c>
      <c r="BH296" s="36" t="str">
        <f t="shared" si="126"/>
        <v/>
      </c>
      <c r="BI296" s="36" t="str">
        <f t="shared" si="127"/>
        <v/>
      </c>
      <c r="BJ296" s="29" t="str">
        <f t="shared" si="128"/>
        <v>村</v>
      </c>
    </row>
    <row r="297" spans="2:62" x14ac:dyDescent="0.15">
      <c r="B297" s="15">
        <v>294</v>
      </c>
      <c r="C297" s="15" t="s">
        <v>681</v>
      </c>
      <c r="D297" s="15">
        <v>167</v>
      </c>
      <c r="AX297" s="15"/>
      <c r="AY297" s="35">
        <f t="shared" si="118"/>
        <v>294</v>
      </c>
      <c r="AZ297" s="35" t="str">
        <f t="shared" si="119"/>
        <v>237+431</v>
      </c>
      <c r="BA297" s="35">
        <f t="shared" si="120"/>
        <v>167</v>
      </c>
      <c r="BB297" s="38">
        <f>COUNTIF($BA$4:$BA297,$BA297)</f>
        <v>3</v>
      </c>
      <c r="BC297" s="36" t="str">
        <f t="shared" si="121"/>
        <v>营</v>
      </c>
      <c r="BD297" s="36" t="str">
        <f t="shared" si="122"/>
        <v/>
      </c>
      <c r="BE297" s="36" t="str">
        <f t="shared" si="123"/>
        <v/>
      </c>
      <c r="BF297" s="36" t="str">
        <f t="shared" si="124"/>
        <v>营</v>
      </c>
      <c r="BG297" s="36" t="str">
        <f t="shared" si="125"/>
        <v/>
      </c>
      <c r="BH297" s="36" t="str">
        <f t="shared" si="126"/>
        <v/>
      </c>
      <c r="BI297" s="36" t="str">
        <f t="shared" si="127"/>
        <v/>
      </c>
      <c r="BJ297" s="29" t="str">
        <f t="shared" si="128"/>
        <v>营</v>
      </c>
    </row>
    <row r="298" spans="2:62" x14ac:dyDescent="0.15">
      <c r="B298" s="15">
        <v>295</v>
      </c>
      <c r="C298" s="15" t="s">
        <v>350</v>
      </c>
      <c r="D298" s="15">
        <v>168</v>
      </c>
      <c r="AX298" s="15"/>
      <c r="AY298" s="35">
        <f t="shared" si="118"/>
        <v>295</v>
      </c>
      <c r="AZ298" s="35" t="str">
        <f t="shared" si="119"/>
        <v>242+524</v>
      </c>
      <c r="BA298" s="35">
        <f t="shared" si="120"/>
        <v>168</v>
      </c>
      <c r="BB298" s="38">
        <f>COUNTIF($BA$4:$BA298,$BA298)</f>
        <v>1</v>
      </c>
      <c r="BC298" s="36" t="str">
        <f t="shared" si="121"/>
        <v>村</v>
      </c>
      <c r="BD298" s="36" t="str">
        <f t="shared" si="122"/>
        <v/>
      </c>
      <c r="BE298" s="36" t="str">
        <f t="shared" si="123"/>
        <v/>
      </c>
      <c r="BF298" s="36" t="str">
        <f t="shared" si="124"/>
        <v/>
      </c>
      <c r="BG298" s="36" t="str">
        <f t="shared" si="125"/>
        <v/>
      </c>
      <c r="BH298" s="36" t="str">
        <f t="shared" si="126"/>
        <v/>
      </c>
      <c r="BI298" s="36" t="str">
        <f t="shared" si="127"/>
        <v/>
      </c>
      <c r="BJ298" s="29" t="str">
        <f t="shared" si="128"/>
        <v>村</v>
      </c>
    </row>
    <row r="299" spans="2:62" x14ac:dyDescent="0.15">
      <c r="B299" s="15">
        <v>296</v>
      </c>
      <c r="C299" s="15" t="s">
        <v>351</v>
      </c>
      <c r="D299" s="15">
        <v>169</v>
      </c>
      <c r="AX299" s="15"/>
      <c r="AY299" s="35">
        <f t="shared" si="118"/>
        <v>296</v>
      </c>
      <c r="AZ299" s="35" t="str">
        <f t="shared" si="119"/>
        <v>201+488</v>
      </c>
      <c r="BA299" s="35">
        <f t="shared" si="120"/>
        <v>169</v>
      </c>
      <c r="BB299" s="38">
        <f>COUNTIF($BA$4:$BA299,$BA299)</f>
        <v>1</v>
      </c>
      <c r="BC299" s="36" t="str">
        <f t="shared" si="121"/>
        <v>村</v>
      </c>
      <c r="BD299" s="36" t="str">
        <f t="shared" si="122"/>
        <v/>
      </c>
      <c r="BE299" s="36" t="str">
        <f t="shared" si="123"/>
        <v/>
      </c>
      <c r="BF299" s="36" t="str">
        <f t="shared" si="124"/>
        <v/>
      </c>
      <c r="BG299" s="36" t="str">
        <f t="shared" si="125"/>
        <v/>
      </c>
      <c r="BH299" s="36" t="str">
        <f t="shared" si="126"/>
        <v/>
      </c>
      <c r="BI299" s="36" t="str">
        <f t="shared" si="127"/>
        <v/>
      </c>
      <c r="BJ299" s="29" t="str">
        <f t="shared" si="128"/>
        <v>村</v>
      </c>
    </row>
    <row r="300" spans="2:62" x14ac:dyDescent="0.15">
      <c r="B300" s="15">
        <v>297</v>
      </c>
      <c r="C300" s="15" t="s">
        <v>352</v>
      </c>
      <c r="D300" s="15">
        <v>169</v>
      </c>
      <c r="AX300" s="15"/>
      <c r="AY300" s="35">
        <f t="shared" si="118"/>
        <v>297</v>
      </c>
      <c r="AZ300" s="35" t="str">
        <f t="shared" si="119"/>
        <v>173+537</v>
      </c>
      <c r="BA300" s="35">
        <f t="shared" si="120"/>
        <v>169</v>
      </c>
      <c r="BB300" s="38">
        <f>COUNTIF($BA$4:$BA300,$BA300)</f>
        <v>2</v>
      </c>
      <c r="BC300" s="36" t="str">
        <f t="shared" si="121"/>
        <v>村</v>
      </c>
      <c r="BD300" s="36" t="str">
        <f t="shared" si="122"/>
        <v/>
      </c>
      <c r="BE300" s="36" t="str">
        <f t="shared" si="123"/>
        <v/>
      </c>
      <c r="BF300" s="36" t="str">
        <f t="shared" si="124"/>
        <v/>
      </c>
      <c r="BG300" s="36" t="str">
        <f t="shared" si="125"/>
        <v/>
      </c>
      <c r="BH300" s="36" t="str">
        <f t="shared" si="126"/>
        <v/>
      </c>
      <c r="BI300" s="36" t="str">
        <f t="shared" si="127"/>
        <v/>
      </c>
      <c r="BJ300" s="29" t="str">
        <f t="shared" si="128"/>
        <v>村</v>
      </c>
    </row>
    <row r="301" spans="2:62" x14ac:dyDescent="0.15">
      <c r="B301" s="15">
        <v>298</v>
      </c>
      <c r="C301" s="15" t="s">
        <v>728</v>
      </c>
      <c r="D301" s="15">
        <v>169</v>
      </c>
      <c r="AX301" s="15"/>
      <c r="AY301" s="35">
        <f t="shared" si="118"/>
        <v>298</v>
      </c>
      <c r="AZ301" s="35" t="str">
        <f t="shared" si="119"/>
        <v>132+563</v>
      </c>
      <c r="BA301" s="35">
        <f t="shared" si="120"/>
        <v>169</v>
      </c>
      <c r="BB301" s="38">
        <f>COUNTIF($BA$4:$BA301,$BA301)</f>
        <v>3</v>
      </c>
      <c r="BC301" s="36" t="str">
        <f t="shared" si="121"/>
        <v>县</v>
      </c>
      <c r="BD301" s="36" t="str">
        <f t="shared" si="122"/>
        <v/>
      </c>
      <c r="BE301" s="36" t="str">
        <f t="shared" si="123"/>
        <v/>
      </c>
      <c r="BF301" s="36" t="str">
        <f t="shared" si="124"/>
        <v/>
      </c>
      <c r="BG301" s="36" t="str">
        <f t="shared" si="125"/>
        <v/>
      </c>
      <c r="BH301" s="36" t="str">
        <f t="shared" si="126"/>
        <v/>
      </c>
      <c r="BI301" s="36" t="str">
        <f t="shared" si="127"/>
        <v/>
      </c>
      <c r="BJ301" s="29" t="str">
        <f t="shared" si="128"/>
        <v>县</v>
      </c>
    </row>
    <row r="302" spans="2:62" x14ac:dyDescent="0.15">
      <c r="B302" s="15">
        <v>299</v>
      </c>
      <c r="C302" s="15" t="s">
        <v>355</v>
      </c>
      <c r="D302" s="15">
        <v>171</v>
      </c>
      <c r="AX302" s="15"/>
      <c r="AY302" s="35">
        <f t="shared" si="118"/>
        <v>299</v>
      </c>
      <c r="AZ302" s="35" t="str">
        <f t="shared" si="119"/>
        <v>221+222</v>
      </c>
      <c r="BA302" s="35">
        <f t="shared" si="120"/>
        <v>171</v>
      </c>
      <c r="BB302" s="38">
        <f>COUNTIF($BA$4:$BA302,$BA302)</f>
        <v>1</v>
      </c>
      <c r="BC302" s="36" t="str">
        <f t="shared" si="121"/>
        <v>村</v>
      </c>
      <c r="BD302" s="36" t="str">
        <f t="shared" si="122"/>
        <v/>
      </c>
      <c r="BE302" s="36" t="str">
        <f t="shared" si="123"/>
        <v/>
      </c>
      <c r="BF302" s="36" t="str">
        <f t="shared" si="124"/>
        <v/>
      </c>
      <c r="BG302" s="36" t="str">
        <f t="shared" si="125"/>
        <v/>
      </c>
      <c r="BH302" s="36" t="str">
        <f t="shared" si="126"/>
        <v/>
      </c>
      <c r="BI302" s="36" t="str">
        <f t="shared" si="127"/>
        <v/>
      </c>
      <c r="BJ302" s="29" t="str">
        <f t="shared" si="128"/>
        <v>村</v>
      </c>
    </row>
    <row r="303" spans="2:62" x14ac:dyDescent="0.15">
      <c r="B303" s="15">
        <v>300</v>
      </c>
      <c r="C303" s="15" t="s">
        <v>356</v>
      </c>
      <c r="D303" s="15">
        <v>171</v>
      </c>
      <c r="AX303" s="15"/>
      <c r="AY303" s="35">
        <f t="shared" si="118"/>
        <v>300</v>
      </c>
      <c r="AZ303" s="35" t="str">
        <f t="shared" si="119"/>
        <v>202+251</v>
      </c>
      <c r="BA303" s="35">
        <f t="shared" si="120"/>
        <v>171</v>
      </c>
      <c r="BB303" s="38">
        <f>COUNTIF($BA$4:$BA303,$BA303)</f>
        <v>2</v>
      </c>
      <c r="BC303" s="36" t="str">
        <f t="shared" si="121"/>
        <v>村</v>
      </c>
      <c r="BD303" s="36" t="str">
        <f t="shared" si="122"/>
        <v/>
      </c>
      <c r="BE303" s="36" t="str">
        <f t="shared" si="123"/>
        <v/>
      </c>
      <c r="BF303" s="36" t="str">
        <f t="shared" si="124"/>
        <v/>
      </c>
      <c r="BG303" s="36" t="str">
        <f t="shared" si="125"/>
        <v/>
      </c>
      <c r="BH303" s="36" t="str">
        <f t="shared" si="126"/>
        <v/>
      </c>
      <c r="BI303" s="36" t="str">
        <f t="shared" si="127"/>
        <v/>
      </c>
      <c r="BJ303" s="29" t="str">
        <f t="shared" si="128"/>
        <v>村</v>
      </c>
    </row>
    <row r="304" spans="2:62" x14ac:dyDescent="0.15">
      <c r="B304" s="15">
        <v>301</v>
      </c>
      <c r="C304" s="15" t="s">
        <v>684</v>
      </c>
      <c r="D304" s="15">
        <v>171</v>
      </c>
      <c r="AX304" s="15"/>
      <c r="AY304" s="35">
        <f t="shared" si="118"/>
        <v>301</v>
      </c>
      <c r="AZ304" s="35" t="str">
        <f t="shared" si="119"/>
        <v>195+211</v>
      </c>
      <c r="BA304" s="35">
        <f t="shared" si="120"/>
        <v>171</v>
      </c>
      <c r="BB304" s="38">
        <f>COUNTIF($BA$4:$BA304,$BA304)</f>
        <v>3</v>
      </c>
      <c r="BC304" s="36" t="str">
        <f t="shared" si="121"/>
        <v>营</v>
      </c>
      <c r="BD304" s="36" t="str">
        <f t="shared" si="122"/>
        <v/>
      </c>
      <c r="BE304" s="36" t="str">
        <f t="shared" si="123"/>
        <v/>
      </c>
      <c r="BF304" s="36" t="str">
        <f t="shared" si="124"/>
        <v/>
      </c>
      <c r="BG304" s="36" t="str">
        <f t="shared" si="125"/>
        <v/>
      </c>
      <c r="BH304" s="36" t="str">
        <f t="shared" si="126"/>
        <v/>
      </c>
      <c r="BI304" s="36" t="str">
        <f t="shared" si="127"/>
        <v/>
      </c>
      <c r="BJ304" s="29" t="str">
        <f t="shared" si="128"/>
        <v>营</v>
      </c>
    </row>
    <row r="305" spans="2:62" x14ac:dyDescent="0.15">
      <c r="B305" s="15">
        <v>302</v>
      </c>
      <c r="C305" s="15" t="s">
        <v>357</v>
      </c>
      <c r="D305" s="15">
        <v>172</v>
      </c>
      <c r="AX305" s="15"/>
      <c r="AY305" s="35">
        <f t="shared" si="118"/>
        <v>302</v>
      </c>
      <c r="AZ305" s="35" t="str">
        <f t="shared" si="119"/>
        <v>173+259</v>
      </c>
      <c r="BA305" s="35">
        <f t="shared" si="120"/>
        <v>172</v>
      </c>
      <c r="BB305" s="38">
        <f>COUNTIF($BA$4:$BA305,$BA305)</f>
        <v>1</v>
      </c>
      <c r="BC305" s="36" t="str">
        <f t="shared" si="121"/>
        <v>村</v>
      </c>
      <c r="BD305" s="36" t="str">
        <f t="shared" si="122"/>
        <v/>
      </c>
      <c r="BE305" s="36" t="str">
        <f t="shared" si="123"/>
        <v/>
      </c>
      <c r="BF305" s="36" t="str">
        <f t="shared" si="124"/>
        <v/>
      </c>
      <c r="BG305" s="36" t="str">
        <f t="shared" si="125"/>
        <v/>
      </c>
      <c r="BH305" s="36" t="str">
        <f t="shared" si="126"/>
        <v/>
      </c>
      <c r="BI305" s="36" t="str">
        <f t="shared" si="127"/>
        <v/>
      </c>
      <c r="BJ305" s="29" t="str">
        <f t="shared" si="128"/>
        <v>村</v>
      </c>
    </row>
    <row r="306" spans="2:62" x14ac:dyDescent="0.15">
      <c r="B306" s="15">
        <v>303</v>
      </c>
      <c r="C306" s="15" t="s">
        <v>359</v>
      </c>
      <c r="D306" s="15">
        <v>172</v>
      </c>
      <c r="AX306" s="15"/>
      <c r="AY306" s="35">
        <f t="shared" si="118"/>
        <v>303</v>
      </c>
      <c r="AZ306" s="35" t="str">
        <f t="shared" si="119"/>
        <v>142+301</v>
      </c>
      <c r="BA306" s="35">
        <f t="shared" si="120"/>
        <v>172</v>
      </c>
      <c r="BB306" s="38">
        <f>COUNTIF($BA$4:$BA306,$BA306)</f>
        <v>2</v>
      </c>
      <c r="BC306" s="36" t="str">
        <f t="shared" si="121"/>
        <v>营</v>
      </c>
      <c r="BD306" s="36" t="str">
        <f t="shared" si="122"/>
        <v/>
      </c>
      <c r="BE306" s="36" t="str">
        <f t="shared" si="123"/>
        <v/>
      </c>
      <c r="BF306" s="36" t="str">
        <f t="shared" si="124"/>
        <v/>
      </c>
      <c r="BG306" s="36" t="str">
        <f t="shared" si="125"/>
        <v/>
      </c>
      <c r="BH306" s="36" t="str">
        <f t="shared" si="126"/>
        <v/>
      </c>
      <c r="BI306" s="36" t="str">
        <f t="shared" si="127"/>
        <v/>
      </c>
      <c r="BJ306" s="29" t="str">
        <f t="shared" si="128"/>
        <v>营</v>
      </c>
    </row>
    <row r="307" spans="2:62" x14ac:dyDescent="0.15">
      <c r="B307" s="15">
        <v>304</v>
      </c>
      <c r="C307" s="15" t="s">
        <v>367</v>
      </c>
      <c r="D307" s="15">
        <v>175</v>
      </c>
      <c r="AX307" s="15"/>
      <c r="AY307" s="35">
        <f t="shared" si="118"/>
        <v>304</v>
      </c>
      <c r="AZ307" s="35" t="str">
        <f t="shared" si="119"/>
        <v>228+130</v>
      </c>
      <c r="BA307" s="35">
        <f t="shared" si="120"/>
        <v>175</v>
      </c>
      <c r="BB307" s="38">
        <f>COUNTIF($BA$4:$BA307,$BA307)</f>
        <v>1</v>
      </c>
      <c r="BC307" s="36" t="str">
        <f t="shared" si="121"/>
        <v>村</v>
      </c>
      <c r="BD307" s="36" t="str">
        <f t="shared" si="122"/>
        <v/>
      </c>
      <c r="BE307" s="36" t="str">
        <f t="shared" si="123"/>
        <v/>
      </c>
      <c r="BF307" s="36" t="str">
        <f t="shared" si="124"/>
        <v/>
      </c>
      <c r="BG307" s="36" t="str">
        <f t="shared" si="125"/>
        <v/>
      </c>
      <c r="BH307" s="36" t="str">
        <f t="shared" si="126"/>
        <v/>
      </c>
      <c r="BI307" s="36" t="str">
        <f t="shared" si="127"/>
        <v/>
      </c>
      <c r="BJ307" s="29" t="str">
        <f t="shared" si="128"/>
        <v>村</v>
      </c>
    </row>
    <row r="308" spans="2:62" x14ac:dyDescent="0.15">
      <c r="B308" s="15">
        <v>305</v>
      </c>
      <c r="C308" s="15" t="s">
        <v>368</v>
      </c>
      <c r="D308" s="15">
        <v>175</v>
      </c>
      <c r="AX308" s="15"/>
      <c r="AY308" s="35">
        <f t="shared" si="118"/>
        <v>305</v>
      </c>
      <c r="AZ308" s="35" t="str">
        <f t="shared" si="119"/>
        <v>269+131</v>
      </c>
      <c r="BA308" s="35">
        <f t="shared" si="120"/>
        <v>175</v>
      </c>
      <c r="BB308" s="38">
        <f>COUNTIF($BA$4:$BA308,$BA308)</f>
        <v>2</v>
      </c>
      <c r="BC308" s="36" t="str">
        <f t="shared" si="121"/>
        <v>县</v>
      </c>
      <c r="BD308" s="36" t="str">
        <f t="shared" si="122"/>
        <v/>
      </c>
      <c r="BE308" s="36" t="str">
        <f t="shared" si="123"/>
        <v/>
      </c>
      <c r="BF308" s="36" t="str">
        <f t="shared" si="124"/>
        <v/>
      </c>
      <c r="BG308" s="36" t="str">
        <f t="shared" si="125"/>
        <v/>
      </c>
      <c r="BH308" s="36" t="str">
        <f t="shared" si="126"/>
        <v/>
      </c>
      <c r="BI308" s="36" t="str">
        <f t="shared" si="127"/>
        <v/>
      </c>
      <c r="BJ308" s="29" t="str">
        <f t="shared" si="128"/>
        <v>县</v>
      </c>
    </row>
    <row r="309" spans="2:62" x14ac:dyDescent="0.15">
      <c r="B309" s="15">
        <v>306</v>
      </c>
      <c r="C309" s="15" t="s">
        <v>371</v>
      </c>
      <c r="D309" s="15">
        <v>176</v>
      </c>
      <c r="AX309" s="15"/>
      <c r="AY309" s="35">
        <f t="shared" si="118"/>
        <v>306</v>
      </c>
      <c r="AZ309" s="35" t="str">
        <f t="shared" si="119"/>
        <v>378+128</v>
      </c>
      <c r="BA309" s="35">
        <f t="shared" si="120"/>
        <v>176</v>
      </c>
      <c r="BB309" s="38">
        <f>COUNTIF($BA$4:$BA309,$BA309)</f>
        <v>1</v>
      </c>
      <c r="BC309" s="36" t="str">
        <f t="shared" si="121"/>
        <v>营</v>
      </c>
      <c r="BD309" s="36" t="str">
        <f t="shared" si="122"/>
        <v/>
      </c>
      <c r="BE309" s="36" t="str">
        <f t="shared" si="123"/>
        <v/>
      </c>
      <c r="BF309" s="36" t="str">
        <f t="shared" si="124"/>
        <v/>
      </c>
      <c r="BG309" s="36" t="str">
        <f t="shared" si="125"/>
        <v/>
      </c>
      <c r="BH309" s="36" t="str">
        <f t="shared" si="126"/>
        <v/>
      </c>
      <c r="BI309" s="36" t="str">
        <f t="shared" si="127"/>
        <v/>
      </c>
      <c r="BJ309" s="29" t="str">
        <f t="shared" si="128"/>
        <v>营</v>
      </c>
    </row>
    <row r="310" spans="2:62" x14ac:dyDescent="0.15">
      <c r="B310" s="15">
        <v>307</v>
      </c>
      <c r="C310" s="15" t="s">
        <v>372</v>
      </c>
      <c r="D310" s="15">
        <v>177</v>
      </c>
      <c r="AX310" s="15"/>
      <c r="AY310" s="35">
        <f t="shared" si="118"/>
        <v>307</v>
      </c>
      <c r="AZ310" s="35" t="str">
        <f t="shared" si="119"/>
        <v>348+163</v>
      </c>
      <c r="BA310" s="35">
        <f t="shared" si="120"/>
        <v>177</v>
      </c>
      <c r="BB310" s="38">
        <f>COUNTIF($BA$4:$BA310,$BA310)</f>
        <v>1</v>
      </c>
      <c r="BC310" s="36" t="str">
        <f t="shared" si="121"/>
        <v>村</v>
      </c>
      <c r="BD310" s="36" t="str">
        <f t="shared" si="122"/>
        <v/>
      </c>
      <c r="BE310" s="36" t="str">
        <f t="shared" si="123"/>
        <v/>
      </c>
      <c r="BF310" s="36" t="str">
        <f t="shared" si="124"/>
        <v/>
      </c>
      <c r="BG310" s="36" t="str">
        <f t="shared" si="125"/>
        <v/>
      </c>
      <c r="BH310" s="36" t="str">
        <f t="shared" si="126"/>
        <v/>
      </c>
      <c r="BI310" s="36" t="str">
        <f t="shared" si="127"/>
        <v/>
      </c>
      <c r="BJ310" s="29" t="str">
        <f t="shared" si="128"/>
        <v>村</v>
      </c>
    </row>
    <row r="311" spans="2:62" x14ac:dyDescent="0.15">
      <c r="B311" s="15">
        <v>308</v>
      </c>
      <c r="C311" s="15" t="s">
        <v>376</v>
      </c>
      <c r="D311" s="15">
        <v>178</v>
      </c>
      <c r="AX311" s="15"/>
      <c r="AY311" s="35">
        <f t="shared" si="118"/>
        <v>308</v>
      </c>
      <c r="AZ311" s="35" t="str">
        <f t="shared" si="119"/>
        <v>295+250</v>
      </c>
      <c r="BA311" s="35">
        <f t="shared" si="120"/>
        <v>178</v>
      </c>
      <c r="BB311" s="38">
        <f>COUNTIF($BA$4:$BA311,$BA311)</f>
        <v>1</v>
      </c>
      <c r="BC311" s="36" t="str">
        <f t="shared" si="121"/>
        <v>村</v>
      </c>
      <c r="BD311" s="36" t="str">
        <f t="shared" si="122"/>
        <v/>
      </c>
      <c r="BE311" s="36" t="str">
        <f t="shared" si="123"/>
        <v/>
      </c>
      <c r="BF311" s="36" t="str">
        <f t="shared" si="124"/>
        <v/>
      </c>
      <c r="BG311" s="36" t="str">
        <f t="shared" si="125"/>
        <v/>
      </c>
      <c r="BH311" s="36" t="str">
        <f t="shared" si="126"/>
        <v/>
      </c>
      <c r="BI311" s="36" t="str">
        <f t="shared" si="127"/>
        <v/>
      </c>
      <c r="BJ311" s="29" t="str">
        <f t="shared" si="128"/>
        <v>村</v>
      </c>
    </row>
    <row r="312" spans="2:62" x14ac:dyDescent="0.15">
      <c r="B312" s="15">
        <v>309</v>
      </c>
      <c r="C312" s="15" t="s">
        <v>378</v>
      </c>
      <c r="D312" s="15">
        <v>179</v>
      </c>
      <c r="AX312" s="15"/>
      <c r="AY312" s="35">
        <f t="shared" si="118"/>
        <v>309</v>
      </c>
      <c r="AZ312" s="35" t="str">
        <f t="shared" si="119"/>
        <v>227+311</v>
      </c>
      <c r="BA312" s="35">
        <f t="shared" si="120"/>
        <v>179</v>
      </c>
      <c r="BB312" s="38">
        <f>COUNTIF($BA$4:$BA312,$BA312)</f>
        <v>1</v>
      </c>
      <c r="BC312" s="36" t="str">
        <f t="shared" si="121"/>
        <v>村</v>
      </c>
      <c r="BD312" s="36" t="str">
        <f t="shared" si="122"/>
        <v/>
      </c>
      <c r="BE312" s="36" t="str">
        <f t="shared" si="123"/>
        <v/>
      </c>
      <c r="BF312" s="36" t="str">
        <f t="shared" si="124"/>
        <v/>
      </c>
      <c r="BG312" s="36" t="str">
        <f t="shared" si="125"/>
        <v/>
      </c>
      <c r="BH312" s="36" t="str">
        <f t="shared" si="126"/>
        <v/>
      </c>
      <c r="BI312" s="36" t="str">
        <f t="shared" si="127"/>
        <v/>
      </c>
      <c r="BJ312" s="29" t="str">
        <f t="shared" si="128"/>
        <v>村</v>
      </c>
    </row>
    <row r="313" spans="2:62" x14ac:dyDescent="0.15">
      <c r="B313" s="15">
        <v>310</v>
      </c>
      <c r="C313" s="15" t="s">
        <v>379</v>
      </c>
      <c r="D313" s="15">
        <v>179</v>
      </c>
      <c r="AX313" s="15"/>
      <c r="AY313" s="35">
        <f t="shared" si="118"/>
        <v>310</v>
      </c>
      <c r="AZ313" s="35" t="str">
        <f t="shared" si="119"/>
        <v>255+333</v>
      </c>
      <c r="BA313" s="35">
        <f t="shared" si="120"/>
        <v>179</v>
      </c>
      <c r="BB313" s="38">
        <f>COUNTIF($BA$4:$BA313,$BA313)</f>
        <v>2</v>
      </c>
      <c r="BC313" s="36" t="str">
        <f t="shared" si="121"/>
        <v>村</v>
      </c>
      <c r="BD313" s="36" t="str">
        <f t="shared" si="122"/>
        <v/>
      </c>
      <c r="BE313" s="36" t="str">
        <f t="shared" si="123"/>
        <v/>
      </c>
      <c r="BF313" s="36" t="str">
        <f t="shared" si="124"/>
        <v/>
      </c>
      <c r="BG313" s="36" t="str">
        <f t="shared" si="125"/>
        <v/>
      </c>
      <c r="BH313" s="36" t="str">
        <f t="shared" si="126"/>
        <v/>
      </c>
      <c r="BI313" s="36" t="str">
        <f t="shared" si="127"/>
        <v/>
      </c>
      <c r="BJ313" s="29" t="str">
        <f t="shared" si="128"/>
        <v>村</v>
      </c>
    </row>
    <row r="314" spans="2:62" x14ac:dyDescent="0.15">
      <c r="B314" s="15">
        <v>311</v>
      </c>
      <c r="C314" s="15" t="s">
        <v>380</v>
      </c>
      <c r="D314" s="15">
        <v>179</v>
      </c>
      <c r="AX314" s="15"/>
      <c r="AY314" s="35">
        <f t="shared" si="118"/>
        <v>311</v>
      </c>
      <c r="AZ314" s="35" t="str">
        <f t="shared" si="119"/>
        <v>238+263</v>
      </c>
      <c r="BA314" s="35">
        <f t="shared" si="120"/>
        <v>179</v>
      </c>
      <c r="BB314" s="38">
        <f>COUNTIF($BA$4:$BA314,$BA314)</f>
        <v>3</v>
      </c>
      <c r="BC314" s="36" t="str">
        <f t="shared" si="121"/>
        <v>营</v>
      </c>
      <c r="BD314" s="36" t="str">
        <f t="shared" si="122"/>
        <v/>
      </c>
      <c r="BE314" s="36" t="str">
        <f t="shared" si="123"/>
        <v/>
      </c>
      <c r="BF314" s="36" t="str">
        <f t="shared" si="124"/>
        <v/>
      </c>
      <c r="BG314" s="36" t="str">
        <f t="shared" si="125"/>
        <v/>
      </c>
      <c r="BH314" s="36" t="str">
        <f t="shared" si="126"/>
        <v/>
      </c>
      <c r="BI314" s="36" t="str">
        <f t="shared" si="127"/>
        <v/>
      </c>
      <c r="BJ314" s="29" t="str">
        <f t="shared" si="128"/>
        <v>营</v>
      </c>
    </row>
    <row r="315" spans="2:62" x14ac:dyDescent="0.15">
      <c r="B315" s="15">
        <v>312</v>
      </c>
      <c r="C315" s="15" t="s">
        <v>825</v>
      </c>
      <c r="D315" s="15">
        <v>115</v>
      </c>
      <c r="AX315" s="15"/>
      <c r="AY315" s="35">
        <f t="shared" si="118"/>
        <v>312</v>
      </c>
      <c r="AZ315" s="35" t="str">
        <f t="shared" si="119"/>
        <v>936+661</v>
      </c>
      <c r="BA315" s="35">
        <f t="shared" si="120"/>
        <v>115</v>
      </c>
      <c r="BB315" s="38">
        <f>COUNTIF($BA$4:$BA315,$BA315)</f>
        <v>1</v>
      </c>
      <c r="BC315" s="36" t="str">
        <f t="shared" si="121"/>
        <v/>
      </c>
      <c r="BD315" s="36" t="str">
        <f t="shared" si="122"/>
        <v/>
      </c>
      <c r="BE315" s="36" t="str">
        <f t="shared" si="123"/>
        <v>村</v>
      </c>
      <c r="BF315" s="36" t="str">
        <f t="shared" si="124"/>
        <v/>
      </c>
      <c r="BG315" s="36" t="str">
        <f t="shared" si="125"/>
        <v/>
      </c>
      <c r="BH315" s="36" t="str">
        <f t="shared" si="126"/>
        <v/>
      </c>
      <c r="BI315" s="36" t="str">
        <f t="shared" si="127"/>
        <v/>
      </c>
      <c r="BJ315" s="29" t="str">
        <f t="shared" si="128"/>
        <v>村</v>
      </c>
    </row>
    <row r="316" spans="2:62" x14ac:dyDescent="0.15">
      <c r="B316" s="15">
        <v>313</v>
      </c>
      <c r="C316" s="15" t="s">
        <v>826</v>
      </c>
      <c r="D316" s="15">
        <v>115</v>
      </c>
      <c r="AX316" s="15"/>
      <c r="AY316" s="35">
        <f t="shared" si="118"/>
        <v>313</v>
      </c>
      <c r="AZ316" s="35" t="str">
        <f t="shared" si="119"/>
        <v>909+643</v>
      </c>
      <c r="BA316" s="35">
        <f t="shared" si="120"/>
        <v>115</v>
      </c>
      <c r="BB316" s="38">
        <f>COUNTIF($BA$4:$BA316,$BA316)</f>
        <v>2</v>
      </c>
      <c r="BC316" s="36" t="str">
        <f t="shared" si="121"/>
        <v/>
      </c>
      <c r="BD316" s="36" t="str">
        <f t="shared" si="122"/>
        <v/>
      </c>
      <c r="BE316" s="36" t="str">
        <f t="shared" si="123"/>
        <v>村</v>
      </c>
      <c r="BF316" s="36" t="str">
        <f t="shared" si="124"/>
        <v/>
      </c>
      <c r="BG316" s="36" t="str">
        <f t="shared" si="125"/>
        <v/>
      </c>
      <c r="BH316" s="36" t="str">
        <f t="shared" si="126"/>
        <v/>
      </c>
      <c r="BI316" s="36" t="str">
        <f t="shared" si="127"/>
        <v/>
      </c>
      <c r="BJ316" s="29" t="str">
        <f t="shared" si="128"/>
        <v>村</v>
      </c>
    </row>
    <row r="317" spans="2:62" x14ac:dyDescent="0.15">
      <c r="B317" s="15">
        <v>314</v>
      </c>
      <c r="C317" s="15" t="s">
        <v>827</v>
      </c>
      <c r="D317" s="15">
        <v>114</v>
      </c>
      <c r="AX317" s="15"/>
      <c r="AY317" s="35">
        <f t="shared" si="118"/>
        <v>314</v>
      </c>
      <c r="AZ317" s="35" t="str">
        <f t="shared" si="119"/>
        <v>863+649</v>
      </c>
      <c r="BA317" s="35">
        <f t="shared" si="120"/>
        <v>114</v>
      </c>
      <c r="BB317" s="38">
        <f>COUNTIF($BA$4:$BA317,$BA317)</f>
        <v>1</v>
      </c>
      <c r="BC317" s="36" t="str">
        <f t="shared" si="121"/>
        <v/>
      </c>
      <c r="BD317" s="36" t="str">
        <f t="shared" si="122"/>
        <v/>
      </c>
      <c r="BE317" s="36" t="str">
        <f t="shared" si="123"/>
        <v>村</v>
      </c>
      <c r="BF317" s="36" t="str">
        <f t="shared" si="124"/>
        <v/>
      </c>
      <c r="BG317" s="36" t="str">
        <f t="shared" si="125"/>
        <v/>
      </c>
      <c r="BH317" s="36" t="str">
        <f t="shared" si="126"/>
        <v/>
      </c>
      <c r="BI317" s="36" t="str">
        <f t="shared" si="127"/>
        <v/>
      </c>
      <c r="BJ317" s="29" t="str">
        <f t="shared" si="128"/>
        <v>村</v>
      </c>
    </row>
    <row r="318" spans="2:62" x14ac:dyDescent="0.15">
      <c r="B318" s="15">
        <v>315</v>
      </c>
      <c r="C318" s="15" t="s">
        <v>828</v>
      </c>
      <c r="D318" s="15">
        <v>114</v>
      </c>
      <c r="AX318" s="15"/>
      <c r="AY318" s="35">
        <f t="shared" si="118"/>
        <v>315</v>
      </c>
      <c r="AZ318" s="35" t="str">
        <f t="shared" si="119"/>
        <v>851+643</v>
      </c>
      <c r="BA318" s="35">
        <f t="shared" si="120"/>
        <v>114</v>
      </c>
      <c r="BB318" s="38">
        <f>COUNTIF($BA$4:$BA318,$BA318)</f>
        <v>2</v>
      </c>
      <c r="BC318" s="36" t="str">
        <f t="shared" si="121"/>
        <v/>
      </c>
      <c r="BD318" s="36" t="str">
        <f t="shared" si="122"/>
        <v/>
      </c>
      <c r="BE318" s="36" t="str">
        <f t="shared" si="123"/>
        <v>村</v>
      </c>
      <c r="BF318" s="36" t="str">
        <f t="shared" si="124"/>
        <v/>
      </c>
      <c r="BG318" s="36" t="str">
        <f t="shared" si="125"/>
        <v/>
      </c>
      <c r="BH318" s="36" t="str">
        <f t="shared" si="126"/>
        <v/>
      </c>
      <c r="BI318" s="36" t="str">
        <f t="shared" si="127"/>
        <v/>
      </c>
      <c r="BJ318" s="29" t="str">
        <f t="shared" si="128"/>
        <v>村</v>
      </c>
    </row>
    <row r="319" spans="2:62" x14ac:dyDescent="0.15">
      <c r="B319" s="15">
        <v>316</v>
      </c>
      <c r="C319" s="15" t="s">
        <v>829</v>
      </c>
      <c r="D319" s="15">
        <v>113</v>
      </c>
      <c r="AX319" s="15"/>
      <c r="AY319" s="35">
        <f t="shared" si="118"/>
        <v>316</v>
      </c>
      <c r="AZ319" s="35" t="str">
        <f t="shared" si="119"/>
        <v>863+611</v>
      </c>
      <c r="BA319" s="35">
        <f t="shared" si="120"/>
        <v>113</v>
      </c>
      <c r="BB319" s="38">
        <f>COUNTIF($BA$4:$BA319,$BA319)</f>
        <v>2</v>
      </c>
      <c r="BC319" s="36" t="str">
        <f t="shared" si="121"/>
        <v/>
      </c>
      <c r="BD319" s="36" t="str">
        <f t="shared" si="122"/>
        <v/>
      </c>
      <c r="BE319" s="36" t="str">
        <f t="shared" si="123"/>
        <v>营</v>
      </c>
      <c r="BF319" s="36" t="str">
        <f t="shared" si="124"/>
        <v/>
      </c>
      <c r="BG319" s="36" t="str">
        <f t="shared" si="125"/>
        <v/>
      </c>
      <c r="BH319" s="36" t="str">
        <f t="shared" si="126"/>
        <v/>
      </c>
      <c r="BI319" s="36" t="str">
        <f t="shared" si="127"/>
        <v/>
      </c>
      <c r="BJ319" s="29" t="str">
        <f t="shared" si="128"/>
        <v>营</v>
      </c>
    </row>
    <row r="320" spans="2:62" x14ac:dyDescent="0.15">
      <c r="B320" s="15">
        <v>317</v>
      </c>
      <c r="C320" s="15" t="s">
        <v>830</v>
      </c>
      <c r="D320" s="15">
        <v>113</v>
      </c>
      <c r="AX320" s="15"/>
      <c r="AY320" s="35">
        <f t="shared" si="118"/>
        <v>317</v>
      </c>
      <c r="AZ320" s="35" t="str">
        <f t="shared" si="119"/>
        <v>844+610</v>
      </c>
      <c r="BA320" s="35">
        <f t="shared" si="120"/>
        <v>113</v>
      </c>
      <c r="BB320" s="38">
        <f>COUNTIF($BA$4:$BA320,$BA320)</f>
        <v>3</v>
      </c>
      <c r="BC320" s="36" t="str">
        <f t="shared" si="121"/>
        <v/>
      </c>
      <c r="BD320" s="36" t="str">
        <f t="shared" si="122"/>
        <v/>
      </c>
      <c r="BE320" s="36" t="str">
        <f t="shared" si="123"/>
        <v>村</v>
      </c>
      <c r="BF320" s="36" t="str">
        <f t="shared" si="124"/>
        <v/>
      </c>
      <c r="BG320" s="36" t="str">
        <f t="shared" si="125"/>
        <v/>
      </c>
      <c r="BH320" s="36" t="str">
        <f t="shared" si="126"/>
        <v/>
      </c>
      <c r="BI320" s="36" t="str">
        <f t="shared" si="127"/>
        <v/>
      </c>
      <c r="BJ320" s="29" t="str">
        <f t="shared" si="128"/>
        <v>村</v>
      </c>
    </row>
    <row r="321" spans="2:62" x14ac:dyDescent="0.15">
      <c r="B321" s="15">
        <v>318</v>
      </c>
      <c r="C321" s="15" t="s">
        <v>831</v>
      </c>
      <c r="D321" s="15">
        <v>107</v>
      </c>
      <c r="AX321" s="15"/>
      <c r="AY321" s="35">
        <f t="shared" si="118"/>
        <v>318</v>
      </c>
      <c r="AZ321" s="35" t="str">
        <f t="shared" si="119"/>
        <v>808+672</v>
      </c>
      <c r="BA321" s="35">
        <f t="shared" si="120"/>
        <v>107</v>
      </c>
      <c r="BB321" s="38">
        <f>COUNTIF($BA$4:$BA321,$BA321)</f>
        <v>1</v>
      </c>
      <c r="BC321" s="36" t="str">
        <f t="shared" si="121"/>
        <v/>
      </c>
      <c r="BD321" s="36" t="str">
        <f t="shared" si="122"/>
        <v/>
      </c>
      <c r="BE321" s="36" t="str">
        <f t="shared" si="123"/>
        <v>营</v>
      </c>
      <c r="BF321" s="36" t="str">
        <f t="shared" si="124"/>
        <v/>
      </c>
      <c r="BG321" s="36" t="str">
        <f t="shared" si="125"/>
        <v/>
      </c>
      <c r="BH321" s="36" t="str">
        <f t="shared" si="126"/>
        <v/>
      </c>
      <c r="BI321" s="36" t="str">
        <f t="shared" si="127"/>
        <v/>
      </c>
      <c r="BJ321" s="29" t="str">
        <f t="shared" si="128"/>
        <v>营</v>
      </c>
    </row>
    <row r="322" spans="2:62" x14ac:dyDescent="0.15">
      <c r="B322" s="15">
        <v>319</v>
      </c>
      <c r="C322" s="15" t="s">
        <v>832</v>
      </c>
      <c r="D322" s="15">
        <v>109</v>
      </c>
      <c r="AX322" s="15"/>
      <c r="AY322" s="35">
        <f t="shared" si="118"/>
        <v>319</v>
      </c>
      <c r="AZ322" s="35" t="str">
        <f t="shared" si="119"/>
        <v>751+721</v>
      </c>
      <c r="BA322" s="35">
        <f t="shared" si="120"/>
        <v>109</v>
      </c>
      <c r="BB322" s="38">
        <f>COUNTIF($BA$4:$BA322,$BA322)</f>
        <v>1</v>
      </c>
      <c r="BC322" s="36" t="str">
        <f t="shared" si="121"/>
        <v/>
      </c>
      <c r="BD322" s="36" t="str">
        <f t="shared" si="122"/>
        <v/>
      </c>
      <c r="BE322" s="36" t="str">
        <f t="shared" si="123"/>
        <v>村</v>
      </c>
      <c r="BF322" s="36" t="str">
        <f t="shared" si="124"/>
        <v/>
      </c>
      <c r="BG322" s="36" t="str">
        <f t="shared" si="125"/>
        <v>村</v>
      </c>
      <c r="BH322" s="36" t="str">
        <f t="shared" si="126"/>
        <v/>
      </c>
      <c r="BI322" s="36" t="str">
        <f t="shared" si="127"/>
        <v/>
      </c>
      <c r="BJ322" s="29" t="str">
        <f t="shared" si="128"/>
        <v>村</v>
      </c>
    </row>
    <row r="323" spans="2:62" x14ac:dyDescent="0.15">
      <c r="B323" s="15">
        <v>320</v>
      </c>
      <c r="C323" s="15" t="s">
        <v>833</v>
      </c>
      <c r="D323" s="15">
        <v>109</v>
      </c>
      <c r="AX323" s="15"/>
      <c r="AY323" s="35">
        <f t="shared" si="118"/>
        <v>320</v>
      </c>
      <c r="AZ323" s="35" t="str">
        <f t="shared" si="119"/>
        <v>780+730</v>
      </c>
      <c r="BA323" s="35">
        <f t="shared" si="120"/>
        <v>109</v>
      </c>
      <c r="BB323" s="38">
        <f>COUNTIF($BA$4:$BA323,$BA323)</f>
        <v>2</v>
      </c>
      <c r="BC323" s="36" t="str">
        <f t="shared" si="121"/>
        <v/>
      </c>
      <c r="BD323" s="36" t="str">
        <f t="shared" si="122"/>
        <v/>
      </c>
      <c r="BE323" s="36" t="str">
        <f t="shared" si="123"/>
        <v>县</v>
      </c>
      <c r="BF323" s="36" t="str">
        <f t="shared" si="124"/>
        <v/>
      </c>
      <c r="BG323" s="36" t="str">
        <f t="shared" si="125"/>
        <v/>
      </c>
      <c r="BH323" s="36" t="str">
        <f t="shared" si="126"/>
        <v>县</v>
      </c>
      <c r="BI323" s="36" t="str">
        <f t="shared" si="127"/>
        <v/>
      </c>
      <c r="BJ323" s="29" t="str">
        <f t="shared" si="128"/>
        <v>县</v>
      </c>
    </row>
    <row r="324" spans="2:62" x14ac:dyDescent="0.15">
      <c r="B324" s="15">
        <v>321</v>
      </c>
      <c r="C324" s="15" t="s">
        <v>834</v>
      </c>
      <c r="D324" s="15">
        <v>110</v>
      </c>
      <c r="AX324" s="15"/>
      <c r="AY324" s="35">
        <f t="shared" si="118"/>
        <v>321</v>
      </c>
      <c r="AZ324" s="35" t="str">
        <f t="shared" si="119"/>
        <v>739+735</v>
      </c>
      <c r="BA324" s="35">
        <f t="shared" si="120"/>
        <v>110</v>
      </c>
      <c r="BB324" s="38">
        <f>COUNTIF($BA$4:$BA324,$BA324)</f>
        <v>1</v>
      </c>
      <c r="BC324" s="36" t="str">
        <f t="shared" si="121"/>
        <v/>
      </c>
      <c r="BD324" s="36" t="str">
        <f t="shared" si="122"/>
        <v/>
      </c>
      <c r="BE324" s="36" t="str">
        <f t="shared" si="123"/>
        <v>村</v>
      </c>
      <c r="BF324" s="36" t="str">
        <f t="shared" si="124"/>
        <v/>
      </c>
      <c r="BG324" s="36" t="str">
        <f t="shared" si="125"/>
        <v>村</v>
      </c>
      <c r="BH324" s="36" t="str">
        <f t="shared" si="126"/>
        <v>村</v>
      </c>
      <c r="BI324" s="36" t="str">
        <f t="shared" si="127"/>
        <v/>
      </c>
      <c r="BJ324" s="29" t="str">
        <f t="shared" si="128"/>
        <v>村</v>
      </c>
    </row>
    <row r="325" spans="2:62" x14ac:dyDescent="0.15">
      <c r="B325" s="15">
        <v>322</v>
      </c>
      <c r="C325" s="15" t="s">
        <v>835</v>
      </c>
      <c r="D325" s="15">
        <v>110</v>
      </c>
      <c r="AX325" s="15"/>
      <c r="AY325" s="35">
        <f t="shared" ref="AY325:AY388" si="129">B325</f>
        <v>322</v>
      </c>
      <c r="AZ325" s="35" t="str">
        <f t="shared" ref="AZ325:AZ388" si="130">C325</f>
        <v>722+758</v>
      </c>
      <c r="BA325" s="35">
        <f t="shared" ref="BA325:BA388" si="131">D325</f>
        <v>110</v>
      </c>
      <c r="BB325" s="38">
        <f>COUNTIF($BA$4:$BA325,$BA325)</f>
        <v>2</v>
      </c>
      <c r="BC325" s="36" t="str">
        <f t="shared" ref="BC325:BC388" si="132">IFERROR(IF(LEFT(INDEX($G$4:$G$173,MATCH($AZ325,$I$4:$I$173,0)),1)="精","营",LEFT(INDEX($G$4:$G$173,MATCH($AZ325,$I$4:$I$173,0)),1)),"")</f>
        <v/>
      </c>
      <c r="BD325" s="36" t="str">
        <f t="shared" ref="BD325:BD388" si="133">IFERROR(IF(LEFT(INDEX($M$4:$M$173,MATCH($AZ325,$O$4:$O$173,0)),1)="精","营",LEFT(INDEX($M$4:$M$173,MATCH($AZ325,$O$4:$O$173,0)),1)),"")</f>
        <v/>
      </c>
      <c r="BE325" s="36" t="str">
        <f t="shared" ref="BE325:BE388" si="134">IFERROR(IF(LEFT(INDEX($S$4:$S$173,MATCH($AZ325,$U$4:$U$173,0)),1)="精","营",LEFT(INDEX($S$4:$S$173,MATCH($AZ325,$U$4:$U$173,0)),1)),"")</f>
        <v>营</v>
      </c>
      <c r="BF325" s="36" t="str">
        <f t="shared" ref="BF325:BF388" si="135">IFERROR(IF(LEFT(INDEX($Y$4:$Y$173,MATCH($AZ325,$AA$4:$AA$173,0)),1)="精","营",LEFT(INDEX($Y$4:$Y$173,MATCH($AZ325,$AA$4:$AA$173,0)),1)),"")</f>
        <v/>
      </c>
      <c r="BG325" s="36" t="str">
        <f t="shared" ref="BG325:BG388" si="136">IFERROR(IF(LEFT(INDEX($AE$4:$AE$173,MATCH($AZ325,$AG$4:$AG$173,0)),1)="精","营",LEFT(INDEX($AE$4:$AE$173,MATCH($AZ325,$AG$4:$AG$173,0)),1)),"")</f>
        <v/>
      </c>
      <c r="BH325" s="36" t="str">
        <f t="shared" ref="BH325:BH388" si="137">IFERROR(IF(LEFT(INDEX($AK$4:$AK$173,MATCH($AZ325,$AM$4:$AM$173,0)),1)="精","营",LEFT(INDEX($AK$4:$AK$173,MATCH($AZ325,$AM$4:$AM$173,0)),1)),"")</f>
        <v>营</v>
      </c>
      <c r="BI325" s="36" t="str">
        <f t="shared" ref="BI325:BI388" si="138">IFERROR(IF(LEFT(INDEX($AQ$4:$AQ$173,MATCH($AZ325,$AS$4:$AS$173,0)),1)="精","营",LEFT(INDEX($AQ$4:$AQ$173,MATCH($AZ325,$AS$4:$AS$173,0)),1)),"")</f>
        <v/>
      </c>
      <c r="BJ325" s="29" t="str">
        <f t="shared" ref="BJ325:BJ388" si="139">IF(BC325&lt;&gt;"",BC325,IF(BD325&lt;&gt;"",BD325,IF(BE325&lt;&gt;"",BE325,IF(BF325&lt;&gt;"",BF325,IF(BG325&lt;&gt;"",BG325,IF(BH325&lt;&gt;"",BH325,IF(BI325&lt;&gt;"",BI325,"")))))))</f>
        <v>营</v>
      </c>
    </row>
    <row r="326" spans="2:62" x14ac:dyDescent="0.15">
      <c r="B326" s="15">
        <v>323</v>
      </c>
      <c r="C326" s="15" t="s">
        <v>836</v>
      </c>
      <c r="D326" s="15">
        <v>112</v>
      </c>
      <c r="AX326" s="15"/>
      <c r="AY326" s="35">
        <f t="shared" si="129"/>
        <v>323</v>
      </c>
      <c r="AZ326" s="35" t="str">
        <f t="shared" si="130"/>
        <v>729+772</v>
      </c>
      <c r="BA326" s="35">
        <f t="shared" si="131"/>
        <v>112</v>
      </c>
      <c r="BB326" s="38">
        <f>COUNTIF($BA$4:$BA326,$BA326)</f>
        <v>1</v>
      </c>
      <c r="BC326" s="36" t="str">
        <f t="shared" si="132"/>
        <v/>
      </c>
      <c r="BD326" s="36" t="str">
        <f t="shared" si="133"/>
        <v/>
      </c>
      <c r="BE326" s="36" t="str">
        <f t="shared" si="134"/>
        <v>村</v>
      </c>
      <c r="BF326" s="36" t="str">
        <f t="shared" si="135"/>
        <v/>
      </c>
      <c r="BG326" s="36" t="str">
        <f t="shared" si="136"/>
        <v/>
      </c>
      <c r="BH326" s="36" t="str">
        <f t="shared" si="137"/>
        <v>村</v>
      </c>
      <c r="BI326" s="36" t="str">
        <f t="shared" si="138"/>
        <v/>
      </c>
      <c r="BJ326" s="29" t="str">
        <f t="shared" si="139"/>
        <v>村</v>
      </c>
    </row>
    <row r="327" spans="2:62" x14ac:dyDescent="0.15">
      <c r="B327" s="15">
        <v>324</v>
      </c>
      <c r="C327" s="15" t="s">
        <v>837</v>
      </c>
      <c r="D327" s="15">
        <v>112</v>
      </c>
      <c r="AX327" s="15"/>
      <c r="AY327" s="35">
        <f t="shared" si="129"/>
        <v>324</v>
      </c>
      <c r="AZ327" s="35" t="str">
        <f t="shared" si="130"/>
        <v>727+799</v>
      </c>
      <c r="BA327" s="35">
        <f t="shared" si="131"/>
        <v>112</v>
      </c>
      <c r="BB327" s="38">
        <f>COUNTIF($BA$4:$BA327,$BA327)</f>
        <v>2</v>
      </c>
      <c r="BC327" s="36" t="str">
        <f t="shared" si="132"/>
        <v/>
      </c>
      <c r="BD327" s="36" t="str">
        <f t="shared" si="133"/>
        <v/>
      </c>
      <c r="BE327" s="36" t="str">
        <f t="shared" si="134"/>
        <v>村</v>
      </c>
      <c r="BF327" s="36" t="str">
        <f t="shared" si="135"/>
        <v/>
      </c>
      <c r="BG327" s="36" t="str">
        <f t="shared" si="136"/>
        <v>村</v>
      </c>
      <c r="BH327" s="36" t="str">
        <f t="shared" si="137"/>
        <v>村</v>
      </c>
      <c r="BI327" s="36" t="str">
        <f t="shared" si="138"/>
        <v/>
      </c>
      <c r="BJ327" s="29" t="str">
        <f t="shared" si="139"/>
        <v>村</v>
      </c>
    </row>
    <row r="328" spans="2:62" x14ac:dyDescent="0.15">
      <c r="B328" s="15">
        <v>325</v>
      </c>
      <c r="C328" s="15" t="s">
        <v>838</v>
      </c>
      <c r="D328" s="15">
        <v>71</v>
      </c>
      <c r="AX328" s="15"/>
      <c r="AY328" s="35">
        <f t="shared" si="129"/>
        <v>325</v>
      </c>
      <c r="AZ328" s="35" t="str">
        <f t="shared" si="130"/>
        <v>740+822</v>
      </c>
      <c r="BA328" s="35">
        <f t="shared" si="131"/>
        <v>71</v>
      </c>
      <c r="BB328" s="38">
        <f>COUNTIF($BA$4:$BA328,$BA328)</f>
        <v>1</v>
      </c>
      <c r="BC328" s="36" t="str">
        <f t="shared" si="132"/>
        <v/>
      </c>
      <c r="BD328" s="36" t="str">
        <f t="shared" si="133"/>
        <v/>
      </c>
      <c r="BE328" s="36" t="str">
        <f t="shared" si="134"/>
        <v>营</v>
      </c>
      <c r="BF328" s="36" t="str">
        <f t="shared" si="135"/>
        <v/>
      </c>
      <c r="BG328" s="36" t="str">
        <f t="shared" si="136"/>
        <v>营</v>
      </c>
      <c r="BH328" s="36" t="str">
        <f t="shared" si="137"/>
        <v>营</v>
      </c>
      <c r="BI328" s="36" t="str">
        <f t="shared" si="138"/>
        <v/>
      </c>
      <c r="BJ328" s="29" t="str">
        <f t="shared" si="139"/>
        <v>营</v>
      </c>
    </row>
    <row r="329" spans="2:62" x14ac:dyDescent="0.15">
      <c r="B329" s="15">
        <v>326</v>
      </c>
      <c r="C329" s="15" t="s">
        <v>839</v>
      </c>
      <c r="D329" s="15">
        <v>71</v>
      </c>
      <c r="AX329" s="15"/>
      <c r="AY329" s="35">
        <f t="shared" si="129"/>
        <v>326</v>
      </c>
      <c r="AZ329" s="35" t="str">
        <f t="shared" si="130"/>
        <v>720+819</v>
      </c>
      <c r="BA329" s="35">
        <f t="shared" si="131"/>
        <v>71</v>
      </c>
      <c r="BB329" s="38">
        <f>COUNTIF($BA$4:$BA329,$BA329)</f>
        <v>2</v>
      </c>
      <c r="BC329" s="36" t="str">
        <f t="shared" si="132"/>
        <v/>
      </c>
      <c r="BD329" s="36" t="str">
        <f t="shared" si="133"/>
        <v/>
      </c>
      <c r="BE329" s="36" t="str">
        <f t="shared" si="134"/>
        <v>村</v>
      </c>
      <c r="BF329" s="36" t="str">
        <f t="shared" si="135"/>
        <v/>
      </c>
      <c r="BG329" s="36" t="str">
        <f t="shared" si="136"/>
        <v>村</v>
      </c>
      <c r="BH329" s="36" t="str">
        <f t="shared" si="137"/>
        <v>村</v>
      </c>
      <c r="BI329" s="36" t="str">
        <f t="shared" si="138"/>
        <v/>
      </c>
      <c r="BJ329" s="29" t="str">
        <f t="shared" si="139"/>
        <v>村</v>
      </c>
    </row>
    <row r="330" spans="2:62" x14ac:dyDescent="0.15">
      <c r="B330" s="15">
        <v>327</v>
      </c>
      <c r="C330" s="15" t="s">
        <v>840</v>
      </c>
      <c r="D330" s="15">
        <v>72</v>
      </c>
      <c r="AX330" s="15"/>
      <c r="AY330" s="35">
        <f t="shared" si="129"/>
        <v>327</v>
      </c>
      <c r="AZ330" s="35" t="str">
        <f t="shared" si="130"/>
        <v>706+842</v>
      </c>
      <c r="BA330" s="35">
        <f t="shared" si="131"/>
        <v>72</v>
      </c>
      <c r="BB330" s="38">
        <f>COUNTIF($BA$4:$BA330,$BA330)</f>
        <v>1</v>
      </c>
      <c r="BC330" s="36" t="str">
        <f t="shared" si="132"/>
        <v/>
      </c>
      <c r="BD330" s="36" t="str">
        <f t="shared" si="133"/>
        <v/>
      </c>
      <c r="BE330" s="36" t="str">
        <f t="shared" si="134"/>
        <v>营</v>
      </c>
      <c r="BF330" s="36" t="str">
        <f t="shared" si="135"/>
        <v/>
      </c>
      <c r="BG330" s="36" t="str">
        <f t="shared" si="136"/>
        <v>营</v>
      </c>
      <c r="BH330" s="36" t="str">
        <f t="shared" si="137"/>
        <v>营</v>
      </c>
      <c r="BI330" s="36" t="str">
        <f t="shared" si="138"/>
        <v/>
      </c>
      <c r="BJ330" s="29" t="str">
        <f t="shared" si="139"/>
        <v>营</v>
      </c>
    </row>
    <row r="331" spans="2:62" x14ac:dyDescent="0.15">
      <c r="B331" s="15">
        <v>328</v>
      </c>
      <c r="C331" s="15" t="s">
        <v>841</v>
      </c>
      <c r="D331" s="15">
        <v>72</v>
      </c>
      <c r="AX331" s="15"/>
      <c r="AY331" s="35">
        <f t="shared" si="129"/>
        <v>328</v>
      </c>
      <c r="AZ331" s="35" t="str">
        <f t="shared" si="130"/>
        <v>692+851</v>
      </c>
      <c r="BA331" s="35">
        <f t="shared" si="131"/>
        <v>72</v>
      </c>
      <c r="BB331" s="38">
        <f>COUNTIF($BA$4:$BA331,$BA331)</f>
        <v>2</v>
      </c>
      <c r="BC331" s="36" t="str">
        <f t="shared" si="132"/>
        <v/>
      </c>
      <c r="BD331" s="36" t="str">
        <f t="shared" si="133"/>
        <v/>
      </c>
      <c r="BE331" s="36" t="str">
        <f t="shared" si="134"/>
        <v>村</v>
      </c>
      <c r="BF331" s="36" t="str">
        <f t="shared" si="135"/>
        <v/>
      </c>
      <c r="BG331" s="36" t="str">
        <f t="shared" si="136"/>
        <v/>
      </c>
      <c r="BH331" s="36" t="str">
        <f t="shared" si="137"/>
        <v>村</v>
      </c>
      <c r="BI331" s="36" t="str">
        <f t="shared" si="138"/>
        <v/>
      </c>
      <c r="BJ331" s="29" t="str">
        <f t="shared" si="139"/>
        <v>村</v>
      </c>
    </row>
    <row r="332" spans="2:62" x14ac:dyDescent="0.15">
      <c r="B332" s="15">
        <v>329</v>
      </c>
      <c r="C332" s="15" t="s">
        <v>842</v>
      </c>
      <c r="D332" s="15">
        <v>73</v>
      </c>
      <c r="AX332" s="15"/>
      <c r="AY332" s="35">
        <f t="shared" si="129"/>
        <v>329</v>
      </c>
      <c r="AZ332" s="35" t="str">
        <f t="shared" si="130"/>
        <v>700+890</v>
      </c>
      <c r="BA332" s="35">
        <f t="shared" si="131"/>
        <v>73</v>
      </c>
      <c r="BB332" s="38">
        <f>COUNTIF($BA$4:$BA332,$BA332)</f>
        <v>1</v>
      </c>
      <c r="BC332" s="36" t="str">
        <f t="shared" si="132"/>
        <v/>
      </c>
      <c r="BD332" s="36" t="str">
        <f t="shared" si="133"/>
        <v/>
      </c>
      <c r="BE332" s="36" t="str">
        <f t="shared" si="134"/>
        <v>村</v>
      </c>
      <c r="BF332" s="36" t="str">
        <f t="shared" si="135"/>
        <v/>
      </c>
      <c r="BG332" s="36" t="str">
        <f t="shared" si="136"/>
        <v>村</v>
      </c>
      <c r="BH332" s="36" t="str">
        <f t="shared" si="137"/>
        <v>村</v>
      </c>
      <c r="BI332" s="36" t="str">
        <f t="shared" si="138"/>
        <v/>
      </c>
      <c r="BJ332" s="29" t="str">
        <f t="shared" si="139"/>
        <v>村</v>
      </c>
    </row>
    <row r="333" spans="2:62" x14ac:dyDescent="0.15">
      <c r="B333" s="15">
        <v>330</v>
      </c>
      <c r="C333" s="15" t="s">
        <v>843</v>
      </c>
      <c r="D333" s="15">
        <v>73</v>
      </c>
      <c r="AX333" s="15"/>
      <c r="AY333" s="35">
        <f t="shared" si="129"/>
        <v>330</v>
      </c>
      <c r="AZ333" s="35" t="str">
        <f t="shared" si="130"/>
        <v>726+897</v>
      </c>
      <c r="BA333" s="35">
        <f t="shared" si="131"/>
        <v>73</v>
      </c>
      <c r="BB333" s="38">
        <f>COUNTIF($BA$4:$BA333,$BA333)</f>
        <v>2</v>
      </c>
      <c r="BC333" s="36" t="str">
        <f t="shared" si="132"/>
        <v/>
      </c>
      <c r="BD333" s="36" t="str">
        <f t="shared" si="133"/>
        <v/>
      </c>
      <c r="BE333" s="36" t="str">
        <f t="shared" si="134"/>
        <v>县</v>
      </c>
      <c r="BF333" s="36" t="str">
        <f t="shared" si="135"/>
        <v/>
      </c>
      <c r="BG333" s="36" t="str">
        <f t="shared" si="136"/>
        <v>县</v>
      </c>
      <c r="BH333" s="36" t="str">
        <f t="shared" si="137"/>
        <v/>
      </c>
      <c r="BI333" s="36" t="str">
        <f t="shared" si="138"/>
        <v/>
      </c>
      <c r="BJ333" s="29" t="str">
        <f t="shared" si="139"/>
        <v>县</v>
      </c>
    </row>
    <row r="334" spans="2:62" x14ac:dyDescent="0.15">
      <c r="B334" s="15">
        <v>331</v>
      </c>
      <c r="C334" s="15" t="s">
        <v>844</v>
      </c>
      <c r="D334" s="15">
        <v>72</v>
      </c>
      <c r="AX334" s="15"/>
      <c r="AY334" s="35">
        <f t="shared" si="129"/>
        <v>331</v>
      </c>
      <c r="AZ334" s="35" t="str">
        <f t="shared" si="130"/>
        <v>681+836</v>
      </c>
      <c r="BA334" s="35">
        <f t="shared" si="131"/>
        <v>72</v>
      </c>
      <c r="BB334" s="38">
        <f>COUNTIF($BA$4:$BA334,$BA334)</f>
        <v>3</v>
      </c>
      <c r="BC334" s="36" t="str">
        <f t="shared" si="132"/>
        <v/>
      </c>
      <c r="BD334" s="36" t="str">
        <f t="shared" si="133"/>
        <v/>
      </c>
      <c r="BE334" s="36" t="str">
        <f t="shared" si="134"/>
        <v>村</v>
      </c>
      <c r="BF334" s="36" t="str">
        <f t="shared" si="135"/>
        <v/>
      </c>
      <c r="BG334" s="36" t="str">
        <f t="shared" si="136"/>
        <v>村</v>
      </c>
      <c r="BH334" s="36" t="str">
        <f t="shared" si="137"/>
        <v>村</v>
      </c>
      <c r="BI334" s="36" t="str">
        <f t="shared" si="138"/>
        <v/>
      </c>
      <c r="BJ334" s="29" t="str">
        <f t="shared" si="139"/>
        <v>村</v>
      </c>
    </row>
    <row r="335" spans="2:62" x14ac:dyDescent="0.15">
      <c r="B335" s="15">
        <v>332</v>
      </c>
      <c r="C335" s="15" t="s">
        <v>845</v>
      </c>
      <c r="D335" s="15">
        <v>79</v>
      </c>
      <c r="AX335" s="15"/>
      <c r="AY335" s="35">
        <f t="shared" si="129"/>
        <v>332</v>
      </c>
      <c r="AZ335" s="35" t="str">
        <f t="shared" si="130"/>
        <v>650+792</v>
      </c>
      <c r="BA335" s="35">
        <f t="shared" si="131"/>
        <v>79</v>
      </c>
      <c r="BB335" s="38">
        <f>COUNTIF($BA$4:$BA335,$BA335)</f>
        <v>3</v>
      </c>
      <c r="BC335" s="36" t="str">
        <f t="shared" si="132"/>
        <v/>
      </c>
      <c r="BD335" s="36" t="str">
        <f t="shared" si="133"/>
        <v/>
      </c>
      <c r="BE335" s="36" t="str">
        <f t="shared" si="134"/>
        <v>村</v>
      </c>
      <c r="BF335" s="36" t="str">
        <f t="shared" si="135"/>
        <v/>
      </c>
      <c r="BG335" s="36" t="str">
        <f t="shared" si="136"/>
        <v>村</v>
      </c>
      <c r="BH335" s="36" t="str">
        <f t="shared" si="137"/>
        <v>村</v>
      </c>
      <c r="BI335" s="36" t="str">
        <f t="shared" si="138"/>
        <v/>
      </c>
      <c r="BJ335" s="29" t="str">
        <f t="shared" si="139"/>
        <v>村</v>
      </c>
    </row>
    <row r="336" spans="2:62" x14ac:dyDescent="0.15">
      <c r="B336" s="15">
        <v>333</v>
      </c>
      <c r="C336" s="15" t="s">
        <v>846</v>
      </c>
      <c r="D336" s="15">
        <v>108</v>
      </c>
      <c r="AX336" s="15"/>
      <c r="AY336" s="35">
        <f t="shared" si="129"/>
        <v>333</v>
      </c>
      <c r="AZ336" s="35" t="str">
        <f t="shared" si="130"/>
        <v>730+688</v>
      </c>
      <c r="BA336" s="35">
        <f t="shared" si="131"/>
        <v>108</v>
      </c>
      <c r="BB336" s="38">
        <f>COUNTIF($BA$4:$BA336,$BA336)</f>
        <v>2</v>
      </c>
      <c r="BC336" s="36" t="str">
        <f t="shared" si="132"/>
        <v/>
      </c>
      <c r="BD336" s="36" t="str">
        <f t="shared" si="133"/>
        <v/>
      </c>
      <c r="BE336" s="36" t="str">
        <f t="shared" si="134"/>
        <v>县</v>
      </c>
      <c r="BF336" s="36" t="str">
        <f t="shared" si="135"/>
        <v/>
      </c>
      <c r="BG336" s="36" t="str">
        <f t="shared" si="136"/>
        <v/>
      </c>
      <c r="BH336" s="36" t="str">
        <f t="shared" si="137"/>
        <v/>
      </c>
      <c r="BI336" s="36" t="str">
        <f t="shared" si="138"/>
        <v>县</v>
      </c>
      <c r="BJ336" s="29" t="str">
        <f t="shared" si="139"/>
        <v>县</v>
      </c>
    </row>
    <row r="337" spans="2:62" x14ac:dyDescent="0.15">
      <c r="B337" s="15">
        <v>334</v>
      </c>
      <c r="C337" s="15" t="s">
        <v>847</v>
      </c>
      <c r="D337" s="15">
        <v>99</v>
      </c>
      <c r="AX337" s="15"/>
      <c r="AY337" s="35">
        <f t="shared" si="129"/>
        <v>334</v>
      </c>
      <c r="AZ337" s="35" t="str">
        <f t="shared" si="130"/>
        <v>771+579</v>
      </c>
      <c r="BA337" s="35">
        <f t="shared" si="131"/>
        <v>99</v>
      </c>
      <c r="BB337" s="38">
        <f>COUNTIF($BA$4:$BA337,$BA337)</f>
        <v>2</v>
      </c>
      <c r="BC337" s="36" t="str">
        <f t="shared" si="132"/>
        <v/>
      </c>
      <c r="BD337" s="36" t="str">
        <f t="shared" si="133"/>
        <v/>
      </c>
      <c r="BE337" s="36" t="str">
        <f t="shared" si="134"/>
        <v>营</v>
      </c>
      <c r="BF337" s="36" t="str">
        <f t="shared" si="135"/>
        <v/>
      </c>
      <c r="BG337" s="36" t="str">
        <f t="shared" si="136"/>
        <v/>
      </c>
      <c r="BH337" s="36" t="str">
        <f t="shared" si="137"/>
        <v/>
      </c>
      <c r="BI337" s="36" t="str">
        <f t="shared" si="138"/>
        <v/>
      </c>
      <c r="BJ337" s="29" t="str">
        <f t="shared" si="139"/>
        <v>营</v>
      </c>
    </row>
    <row r="338" spans="2:62" x14ac:dyDescent="0.15">
      <c r="B338" s="15">
        <v>335</v>
      </c>
      <c r="C338" s="15" t="s">
        <v>848</v>
      </c>
      <c r="D338" s="15">
        <v>99</v>
      </c>
      <c r="AX338" s="15"/>
      <c r="AY338" s="35">
        <f t="shared" si="129"/>
        <v>335</v>
      </c>
      <c r="AZ338" s="35" t="str">
        <f t="shared" si="130"/>
        <v>749+568</v>
      </c>
      <c r="BA338" s="35">
        <f t="shared" si="131"/>
        <v>99</v>
      </c>
      <c r="BB338" s="38">
        <f>COUNTIF($BA$4:$BA338,$BA338)</f>
        <v>3</v>
      </c>
      <c r="BC338" s="36" t="str">
        <f t="shared" si="132"/>
        <v/>
      </c>
      <c r="BD338" s="36" t="str">
        <f t="shared" si="133"/>
        <v/>
      </c>
      <c r="BE338" s="36" t="str">
        <f t="shared" si="134"/>
        <v>村</v>
      </c>
      <c r="BF338" s="36" t="str">
        <f t="shared" si="135"/>
        <v/>
      </c>
      <c r="BG338" s="36" t="str">
        <f t="shared" si="136"/>
        <v/>
      </c>
      <c r="BH338" s="36" t="str">
        <f t="shared" si="137"/>
        <v/>
      </c>
      <c r="BI338" s="36" t="str">
        <f t="shared" si="138"/>
        <v/>
      </c>
      <c r="BJ338" s="29" t="str">
        <f t="shared" si="139"/>
        <v>村</v>
      </c>
    </row>
    <row r="339" spans="2:62" x14ac:dyDescent="0.15">
      <c r="B339" s="15">
        <v>336</v>
      </c>
      <c r="C339" s="15" t="s">
        <v>849</v>
      </c>
      <c r="D339" s="15">
        <v>2</v>
      </c>
      <c r="AX339" s="15"/>
      <c r="AY339" s="35">
        <f t="shared" si="129"/>
        <v>336</v>
      </c>
      <c r="AZ339" s="35" t="str">
        <f t="shared" si="130"/>
        <v>832+509</v>
      </c>
      <c r="BA339" s="35">
        <f t="shared" si="131"/>
        <v>2</v>
      </c>
      <c r="BB339" s="38">
        <f>COUNTIF($BA$4:$BA339,$BA339)</f>
        <v>1</v>
      </c>
      <c r="BC339" s="36" t="str">
        <f t="shared" si="132"/>
        <v/>
      </c>
      <c r="BD339" s="36" t="str">
        <f t="shared" si="133"/>
        <v/>
      </c>
      <c r="BE339" s="36" t="str">
        <f t="shared" si="134"/>
        <v>村</v>
      </c>
      <c r="BF339" s="36" t="str">
        <f t="shared" si="135"/>
        <v/>
      </c>
      <c r="BG339" s="36" t="str">
        <f t="shared" si="136"/>
        <v/>
      </c>
      <c r="BH339" s="36" t="str">
        <f t="shared" si="137"/>
        <v/>
      </c>
      <c r="BI339" s="36" t="str">
        <f t="shared" si="138"/>
        <v/>
      </c>
      <c r="BJ339" s="29" t="str">
        <f t="shared" si="139"/>
        <v>村</v>
      </c>
    </row>
    <row r="340" spans="2:62" x14ac:dyDescent="0.15">
      <c r="B340" s="15">
        <v>337</v>
      </c>
      <c r="C340" s="15" t="s">
        <v>850</v>
      </c>
      <c r="D340" s="15">
        <v>2</v>
      </c>
      <c r="AX340" s="15"/>
      <c r="AY340" s="35">
        <f t="shared" si="129"/>
        <v>337</v>
      </c>
      <c r="AZ340" s="35" t="str">
        <f t="shared" si="130"/>
        <v>846+467</v>
      </c>
      <c r="BA340" s="35">
        <f t="shared" si="131"/>
        <v>2</v>
      </c>
      <c r="BB340" s="38">
        <f>COUNTIF($BA$4:$BA340,$BA340)</f>
        <v>2</v>
      </c>
      <c r="BC340" s="36" t="str">
        <f t="shared" si="132"/>
        <v/>
      </c>
      <c r="BD340" s="36" t="str">
        <f t="shared" si="133"/>
        <v/>
      </c>
      <c r="BE340" s="36" t="str">
        <f t="shared" si="134"/>
        <v>营</v>
      </c>
      <c r="BF340" s="36" t="str">
        <f t="shared" si="135"/>
        <v/>
      </c>
      <c r="BG340" s="36" t="str">
        <f t="shared" si="136"/>
        <v/>
      </c>
      <c r="BH340" s="36" t="str">
        <f t="shared" si="137"/>
        <v/>
      </c>
      <c r="BI340" s="36" t="str">
        <f t="shared" si="138"/>
        <v/>
      </c>
      <c r="BJ340" s="29" t="str">
        <f t="shared" si="139"/>
        <v>营</v>
      </c>
    </row>
    <row r="341" spans="2:62" x14ac:dyDescent="0.15">
      <c r="B341" s="15">
        <v>338</v>
      </c>
      <c r="C341" s="15" t="s">
        <v>851</v>
      </c>
      <c r="D341" s="15">
        <v>12</v>
      </c>
      <c r="AX341" s="15"/>
      <c r="AY341" s="35">
        <f t="shared" si="129"/>
        <v>338</v>
      </c>
      <c r="AZ341" s="35" t="str">
        <f t="shared" si="130"/>
        <v>836+401</v>
      </c>
      <c r="BA341" s="35">
        <f t="shared" si="131"/>
        <v>12</v>
      </c>
      <c r="BB341" s="38">
        <f>COUNTIF($BA$4:$BA341,$BA341)</f>
        <v>1</v>
      </c>
      <c r="BC341" s="36" t="str">
        <f t="shared" si="132"/>
        <v/>
      </c>
      <c r="BD341" s="36" t="str">
        <f t="shared" si="133"/>
        <v/>
      </c>
      <c r="BE341" s="36" t="str">
        <f t="shared" si="134"/>
        <v>村</v>
      </c>
      <c r="BF341" s="36" t="str">
        <f t="shared" si="135"/>
        <v/>
      </c>
      <c r="BG341" s="36" t="str">
        <f t="shared" si="136"/>
        <v/>
      </c>
      <c r="BH341" s="36" t="str">
        <f t="shared" si="137"/>
        <v/>
      </c>
      <c r="BI341" s="36" t="str">
        <f t="shared" si="138"/>
        <v/>
      </c>
      <c r="BJ341" s="29" t="str">
        <f t="shared" si="139"/>
        <v>村</v>
      </c>
    </row>
    <row r="342" spans="2:62" x14ac:dyDescent="0.15">
      <c r="B342" s="15">
        <v>339</v>
      </c>
      <c r="C342" s="15" t="s">
        <v>852</v>
      </c>
      <c r="D342" s="15">
        <v>12</v>
      </c>
      <c r="AX342" s="15"/>
      <c r="AY342" s="35">
        <f t="shared" si="129"/>
        <v>339</v>
      </c>
      <c r="AZ342" s="35" t="str">
        <f t="shared" si="130"/>
        <v>802+395</v>
      </c>
      <c r="BA342" s="35">
        <f t="shared" si="131"/>
        <v>12</v>
      </c>
      <c r="BB342" s="38">
        <f>COUNTIF($BA$4:$BA342,$BA342)</f>
        <v>2</v>
      </c>
      <c r="BC342" s="36" t="str">
        <f t="shared" si="132"/>
        <v/>
      </c>
      <c r="BD342" s="36" t="str">
        <f t="shared" si="133"/>
        <v/>
      </c>
      <c r="BE342" s="36" t="str">
        <f t="shared" si="134"/>
        <v>村</v>
      </c>
      <c r="BF342" s="36" t="str">
        <f t="shared" si="135"/>
        <v/>
      </c>
      <c r="BG342" s="36" t="str">
        <f t="shared" si="136"/>
        <v/>
      </c>
      <c r="BH342" s="36" t="str">
        <f t="shared" si="137"/>
        <v/>
      </c>
      <c r="BI342" s="36" t="str">
        <f t="shared" si="138"/>
        <v/>
      </c>
      <c r="BJ342" s="29" t="str">
        <f t="shared" si="139"/>
        <v>村</v>
      </c>
    </row>
    <row r="343" spans="2:62" x14ac:dyDescent="0.15">
      <c r="B343" s="15">
        <v>340</v>
      </c>
      <c r="C343" s="15" t="s">
        <v>853</v>
      </c>
      <c r="D343" s="15">
        <v>1</v>
      </c>
      <c r="AX343" s="15"/>
      <c r="AY343" s="35">
        <f t="shared" si="129"/>
        <v>340</v>
      </c>
      <c r="AZ343" s="35" t="str">
        <f t="shared" si="130"/>
        <v>877+390</v>
      </c>
      <c r="BA343" s="35">
        <f t="shared" si="131"/>
        <v>1</v>
      </c>
      <c r="BB343" s="38">
        <f>COUNTIF($BA$4:$BA343,$BA343)</f>
        <v>1</v>
      </c>
      <c r="BC343" s="36" t="str">
        <f t="shared" si="132"/>
        <v/>
      </c>
      <c r="BD343" s="36" t="str">
        <f t="shared" si="133"/>
        <v/>
      </c>
      <c r="BE343" s="36" t="str">
        <f t="shared" si="134"/>
        <v>村</v>
      </c>
      <c r="BF343" s="36" t="str">
        <f t="shared" si="135"/>
        <v/>
      </c>
      <c r="BG343" s="36" t="str">
        <f t="shared" si="136"/>
        <v/>
      </c>
      <c r="BH343" s="36" t="str">
        <f t="shared" si="137"/>
        <v/>
      </c>
      <c r="BI343" s="36" t="str">
        <f t="shared" si="138"/>
        <v/>
      </c>
      <c r="BJ343" s="29" t="str">
        <f t="shared" si="139"/>
        <v>村</v>
      </c>
    </row>
    <row r="344" spans="2:62" x14ac:dyDescent="0.15">
      <c r="B344" s="15">
        <v>341</v>
      </c>
      <c r="C344" s="15" t="s">
        <v>854</v>
      </c>
      <c r="D344" s="15">
        <v>1</v>
      </c>
      <c r="AX344" s="15"/>
      <c r="AY344" s="35">
        <f t="shared" si="129"/>
        <v>341</v>
      </c>
      <c r="AZ344" s="35" t="str">
        <f t="shared" si="130"/>
        <v>853+375</v>
      </c>
      <c r="BA344" s="35">
        <f t="shared" si="131"/>
        <v>1</v>
      </c>
      <c r="BB344" s="38">
        <f>COUNTIF($BA$4:$BA344,$BA344)</f>
        <v>2</v>
      </c>
      <c r="BC344" s="36" t="str">
        <f t="shared" si="132"/>
        <v/>
      </c>
      <c r="BD344" s="36" t="str">
        <f t="shared" si="133"/>
        <v/>
      </c>
      <c r="BE344" s="36" t="str">
        <f t="shared" si="134"/>
        <v>村</v>
      </c>
      <c r="BF344" s="36" t="str">
        <f t="shared" si="135"/>
        <v/>
      </c>
      <c r="BG344" s="36" t="str">
        <f t="shared" si="136"/>
        <v/>
      </c>
      <c r="BH344" s="36" t="str">
        <f t="shared" si="137"/>
        <v/>
      </c>
      <c r="BI344" s="36" t="str">
        <f t="shared" si="138"/>
        <v/>
      </c>
      <c r="BJ344" s="29" t="str">
        <f t="shared" si="139"/>
        <v>村</v>
      </c>
    </row>
    <row r="345" spans="2:62" x14ac:dyDescent="0.15">
      <c r="B345" s="15">
        <v>342</v>
      </c>
      <c r="C345" s="15" t="s">
        <v>855</v>
      </c>
      <c r="D345" s="15">
        <v>98</v>
      </c>
      <c r="AX345" s="15"/>
      <c r="AY345" s="35">
        <f t="shared" si="129"/>
        <v>342</v>
      </c>
      <c r="AZ345" s="35" t="str">
        <f t="shared" si="130"/>
        <v>714+574</v>
      </c>
      <c r="BA345" s="35">
        <f t="shared" si="131"/>
        <v>98</v>
      </c>
      <c r="BB345" s="38">
        <f>COUNTIF($BA$4:$BA345,$BA345)</f>
        <v>3</v>
      </c>
      <c r="BC345" s="36" t="str">
        <f t="shared" si="132"/>
        <v/>
      </c>
      <c r="BD345" s="36" t="str">
        <f t="shared" si="133"/>
        <v/>
      </c>
      <c r="BE345" s="36" t="str">
        <f t="shared" si="134"/>
        <v>村</v>
      </c>
      <c r="BF345" s="36" t="str">
        <f t="shared" si="135"/>
        <v/>
      </c>
      <c r="BG345" s="36" t="str">
        <f t="shared" si="136"/>
        <v/>
      </c>
      <c r="BH345" s="36" t="str">
        <f t="shared" si="137"/>
        <v/>
      </c>
      <c r="BI345" s="36" t="str">
        <f t="shared" si="138"/>
        <v/>
      </c>
      <c r="BJ345" s="29" t="str">
        <f t="shared" si="139"/>
        <v>村</v>
      </c>
    </row>
    <row r="346" spans="2:62" x14ac:dyDescent="0.15">
      <c r="B346" s="15">
        <v>343</v>
      </c>
      <c r="C346" s="15" t="s">
        <v>856</v>
      </c>
      <c r="D346" s="15">
        <v>26</v>
      </c>
      <c r="AX346" s="15"/>
      <c r="AY346" s="35">
        <f t="shared" si="129"/>
        <v>343</v>
      </c>
      <c r="AZ346" s="35" t="str">
        <f t="shared" si="130"/>
        <v>586+493</v>
      </c>
      <c r="BA346" s="35">
        <f t="shared" si="131"/>
        <v>26</v>
      </c>
      <c r="BB346" s="38">
        <f>COUNTIF($BA$4:$BA346,$BA346)</f>
        <v>2</v>
      </c>
      <c r="BC346" s="36" t="str">
        <f t="shared" si="132"/>
        <v/>
      </c>
      <c r="BD346" s="36" t="str">
        <f t="shared" si="133"/>
        <v/>
      </c>
      <c r="BE346" s="36" t="str">
        <f t="shared" si="134"/>
        <v>村</v>
      </c>
      <c r="BF346" s="36" t="str">
        <f t="shared" si="135"/>
        <v/>
      </c>
      <c r="BG346" s="36" t="str">
        <f t="shared" si="136"/>
        <v/>
      </c>
      <c r="BH346" s="36" t="str">
        <f t="shared" si="137"/>
        <v/>
      </c>
      <c r="BI346" s="36" t="str">
        <f t="shared" si="138"/>
        <v/>
      </c>
      <c r="BJ346" s="29" t="str">
        <f t="shared" si="139"/>
        <v>村</v>
      </c>
    </row>
    <row r="347" spans="2:62" x14ac:dyDescent="0.15">
      <c r="B347" s="15">
        <v>344</v>
      </c>
      <c r="C347" s="15" t="s">
        <v>857</v>
      </c>
      <c r="D347" s="15">
        <v>27</v>
      </c>
      <c r="AX347" s="15"/>
      <c r="AY347" s="35">
        <f t="shared" si="129"/>
        <v>344</v>
      </c>
      <c r="AZ347" s="35" t="str">
        <f t="shared" si="130"/>
        <v>568+484</v>
      </c>
      <c r="BA347" s="35">
        <f t="shared" si="131"/>
        <v>27</v>
      </c>
      <c r="BB347" s="38">
        <f>COUNTIF($BA$4:$BA347,$BA347)</f>
        <v>2</v>
      </c>
      <c r="BC347" s="36" t="str">
        <f t="shared" si="132"/>
        <v/>
      </c>
      <c r="BD347" s="36" t="str">
        <f t="shared" si="133"/>
        <v/>
      </c>
      <c r="BE347" s="36" t="str">
        <f t="shared" si="134"/>
        <v>村</v>
      </c>
      <c r="BF347" s="36" t="str">
        <f t="shared" si="135"/>
        <v/>
      </c>
      <c r="BG347" s="36" t="str">
        <f t="shared" si="136"/>
        <v/>
      </c>
      <c r="BH347" s="36" t="str">
        <f t="shared" si="137"/>
        <v/>
      </c>
      <c r="BI347" s="36" t="str">
        <f t="shared" si="138"/>
        <v/>
      </c>
      <c r="BJ347" s="29" t="str">
        <f t="shared" si="139"/>
        <v>村</v>
      </c>
    </row>
    <row r="348" spans="2:62" x14ac:dyDescent="0.15">
      <c r="B348" s="15">
        <v>345</v>
      </c>
      <c r="C348" s="15" t="s">
        <v>858</v>
      </c>
      <c r="D348" s="15">
        <v>29</v>
      </c>
      <c r="AX348" s="15"/>
      <c r="AY348" s="35">
        <f t="shared" si="129"/>
        <v>345</v>
      </c>
      <c r="AZ348" s="35" t="str">
        <f t="shared" si="130"/>
        <v>634+513</v>
      </c>
      <c r="BA348" s="35">
        <f t="shared" si="131"/>
        <v>29</v>
      </c>
      <c r="BB348" s="38">
        <f>COUNTIF($BA$4:$BA348,$BA348)</f>
        <v>1</v>
      </c>
      <c r="BC348" s="36" t="str">
        <f t="shared" si="132"/>
        <v/>
      </c>
      <c r="BD348" s="36" t="str">
        <f t="shared" si="133"/>
        <v/>
      </c>
      <c r="BE348" s="36" t="str">
        <f t="shared" si="134"/>
        <v>村</v>
      </c>
      <c r="BF348" s="36" t="str">
        <f t="shared" si="135"/>
        <v/>
      </c>
      <c r="BG348" s="36" t="str">
        <f t="shared" si="136"/>
        <v/>
      </c>
      <c r="BH348" s="36" t="str">
        <f t="shared" si="137"/>
        <v/>
      </c>
      <c r="BI348" s="36" t="str">
        <f t="shared" si="138"/>
        <v/>
      </c>
      <c r="BJ348" s="29" t="str">
        <f t="shared" si="139"/>
        <v>村</v>
      </c>
    </row>
    <row r="349" spans="2:62" x14ac:dyDescent="0.15">
      <c r="B349" s="15">
        <v>346</v>
      </c>
      <c r="C349" s="15" t="s">
        <v>859</v>
      </c>
      <c r="D349" s="15">
        <v>29</v>
      </c>
      <c r="AX349" s="15"/>
      <c r="AY349" s="35">
        <f t="shared" si="129"/>
        <v>346</v>
      </c>
      <c r="AZ349" s="35" t="str">
        <f t="shared" si="130"/>
        <v>624+541</v>
      </c>
      <c r="BA349" s="35">
        <f t="shared" si="131"/>
        <v>29</v>
      </c>
      <c r="BB349" s="38">
        <f>COUNTIF($BA$4:$BA349,$BA349)</f>
        <v>2</v>
      </c>
      <c r="BC349" s="36" t="str">
        <f t="shared" si="132"/>
        <v/>
      </c>
      <c r="BD349" s="36" t="str">
        <f t="shared" si="133"/>
        <v/>
      </c>
      <c r="BE349" s="36" t="str">
        <f t="shared" si="134"/>
        <v>村</v>
      </c>
      <c r="BF349" s="36" t="str">
        <f t="shared" si="135"/>
        <v/>
      </c>
      <c r="BG349" s="36" t="str">
        <f t="shared" si="136"/>
        <v/>
      </c>
      <c r="BH349" s="36" t="str">
        <f t="shared" si="137"/>
        <v/>
      </c>
      <c r="BI349" s="36" t="str">
        <f t="shared" si="138"/>
        <v/>
      </c>
      <c r="BJ349" s="29" t="str">
        <f t="shared" si="139"/>
        <v>村</v>
      </c>
    </row>
    <row r="350" spans="2:62" x14ac:dyDescent="0.15">
      <c r="B350" s="15">
        <v>347</v>
      </c>
      <c r="C350" s="15" t="s">
        <v>860</v>
      </c>
      <c r="D350" s="15">
        <v>37</v>
      </c>
      <c r="AX350" s="15"/>
      <c r="AY350" s="35">
        <f t="shared" si="129"/>
        <v>347</v>
      </c>
      <c r="AZ350" s="35" t="str">
        <f t="shared" si="130"/>
        <v>536+499</v>
      </c>
      <c r="BA350" s="35">
        <f t="shared" si="131"/>
        <v>37</v>
      </c>
      <c r="BB350" s="38">
        <f>COUNTIF($BA$4:$BA350,$BA350)</f>
        <v>1</v>
      </c>
      <c r="BC350" s="36" t="str">
        <f t="shared" si="132"/>
        <v/>
      </c>
      <c r="BD350" s="36" t="str">
        <f t="shared" si="133"/>
        <v/>
      </c>
      <c r="BE350" s="36" t="str">
        <f t="shared" si="134"/>
        <v>营</v>
      </c>
      <c r="BF350" s="36" t="str">
        <f t="shared" si="135"/>
        <v/>
      </c>
      <c r="BG350" s="36" t="str">
        <f t="shared" si="136"/>
        <v/>
      </c>
      <c r="BH350" s="36" t="str">
        <f t="shared" si="137"/>
        <v/>
      </c>
      <c r="BI350" s="36" t="str">
        <f t="shared" si="138"/>
        <v/>
      </c>
      <c r="BJ350" s="29" t="str">
        <f t="shared" si="139"/>
        <v>营</v>
      </c>
    </row>
    <row r="351" spans="2:62" x14ac:dyDescent="0.15">
      <c r="B351" s="15">
        <v>348</v>
      </c>
      <c r="C351" s="15" t="s">
        <v>861</v>
      </c>
      <c r="D351" s="15">
        <v>37</v>
      </c>
      <c r="AX351" s="15"/>
      <c r="AY351" s="35">
        <f t="shared" si="129"/>
        <v>348</v>
      </c>
      <c r="AZ351" s="35" t="str">
        <f t="shared" si="130"/>
        <v>528+492</v>
      </c>
      <c r="BA351" s="35">
        <f t="shared" si="131"/>
        <v>37</v>
      </c>
      <c r="BB351" s="38">
        <f>COUNTIF($BA$4:$BA351,$BA351)</f>
        <v>2</v>
      </c>
      <c r="BC351" s="36" t="str">
        <f t="shared" si="132"/>
        <v/>
      </c>
      <c r="BD351" s="36" t="str">
        <f t="shared" si="133"/>
        <v/>
      </c>
      <c r="BE351" s="36" t="str">
        <f t="shared" si="134"/>
        <v>村</v>
      </c>
      <c r="BF351" s="36" t="str">
        <f t="shared" si="135"/>
        <v/>
      </c>
      <c r="BG351" s="36" t="str">
        <f t="shared" si="136"/>
        <v/>
      </c>
      <c r="BH351" s="36" t="str">
        <f t="shared" si="137"/>
        <v/>
      </c>
      <c r="BI351" s="36" t="str">
        <f t="shared" si="138"/>
        <v/>
      </c>
      <c r="BJ351" s="29" t="str">
        <f t="shared" si="139"/>
        <v>村</v>
      </c>
    </row>
    <row r="352" spans="2:62" x14ac:dyDescent="0.15">
      <c r="B352" s="15">
        <v>349</v>
      </c>
      <c r="C352" s="15" t="s">
        <v>862</v>
      </c>
      <c r="D352" s="15">
        <v>76</v>
      </c>
      <c r="AX352" s="15"/>
      <c r="AY352" s="35">
        <f t="shared" si="129"/>
        <v>349</v>
      </c>
      <c r="AZ352" s="35" t="str">
        <f t="shared" si="130"/>
        <v>750+923</v>
      </c>
      <c r="BA352" s="35">
        <f t="shared" si="131"/>
        <v>76</v>
      </c>
      <c r="BB352" s="38">
        <f>COUNTIF($BA$4:$BA352,$BA352)</f>
        <v>1</v>
      </c>
      <c r="BC352" s="36" t="str">
        <f t="shared" si="132"/>
        <v/>
      </c>
      <c r="BD352" s="36" t="str">
        <f t="shared" si="133"/>
        <v/>
      </c>
      <c r="BE352" s="36" t="str">
        <f t="shared" si="134"/>
        <v/>
      </c>
      <c r="BF352" s="36" t="str">
        <f t="shared" si="135"/>
        <v/>
      </c>
      <c r="BG352" s="36" t="str">
        <f t="shared" si="136"/>
        <v>村</v>
      </c>
      <c r="BH352" s="36" t="str">
        <f t="shared" si="137"/>
        <v>村</v>
      </c>
      <c r="BI352" s="36" t="str">
        <f t="shared" si="138"/>
        <v/>
      </c>
      <c r="BJ352" s="29" t="str">
        <f t="shared" si="139"/>
        <v>村</v>
      </c>
    </row>
    <row r="353" spans="2:62" x14ac:dyDescent="0.15">
      <c r="B353" s="15">
        <v>350</v>
      </c>
      <c r="C353" s="15" t="s">
        <v>863</v>
      </c>
      <c r="D353" s="15">
        <v>76</v>
      </c>
      <c r="AX353" s="15"/>
      <c r="AY353" s="35">
        <f t="shared" si="129"/>
        <v>350</v>
      </c>
      <c r="AZ353" s="35" t="str">
        <f t="shared" si="130"/>
        <v>736+939</v>
      </c>
      <c r="BA353" s="35">
        <f t="shared" si="131"/>
        <v>76</v>
      </c>
      <c r="BB353" s="38">
        <f>COUNTIF($BA$4:$BA353,$BA353)</f>
        <v>2</v>
      </c>
      <c r="BC353" s="36" t="str">
        <f t="shared" si="132"/>
        <v/>
      </c>
      <c r="BD353" s="36" t="str">
        <f t="shared" si="133"/>
        <v/>
      </c>
      <c r="BE353" s="36" t="str">
        <f t="shared" si="134"/>
        <v/>
      </c>
      <c r="BF353" s="36" t="str">
        <f t="shared" si="135"/>
        <v/>
      </c>
      <c r="BG353" s="36" t="str">
        <f t="shared" si="136"/>
        <v>村</v>
      </c>
      <c r="BH353" s="36" t="str">
        <f t="shared" si="137"/>
        <v>村</v>
      </c>
      <c r="BI353" s="36" t="str">
        <f t="shared" si="138"/>
        <v/>
      </c>
      <c r="BJ353" s="29" t="str">
        <f t="shared" si="139"/>
        <v>村</v>
      </c>
    </row>
    <row r="354" spans="2:62" x14ac:dyDescent="0.15">
      <c r="B354" s="15">
        <v>351</v>
      </c>
      <c r="C354" s="15" t="s">
        <v>864</v>
      </c>
      <c r="D354" s="15">
        <v>74</v>
      </c>
      <c r="AX354" s="15"/>
      <c r="AY354" s="35">
        <f t="shared" si="129"/>
        <v>351</v>
      </c>
      <c r="AZ354" s="35" t="str">
        <f t="shared" si="130"/>
        <v>711+926</v>
      </c>
      <c r="BA354" s="35">
        <f t="shared" si="131"/>
        <v>74</v>
      </c>
      <c r="BB354" s="38">
        <f>COUNTIF($BA$4:$BA354,$BA354)</f>
        <v>1</v>
      </c>
      <c r="BC354" s="36" t="str">
        <f t="shared" si="132"/>
        <v/>
      </c>
      <c r="BD354" s="36" t="str">
        <f t="shared" si="133"/>
        <v/>
      </c>
      <c r="BE354" s="36" t="str">
        <f t="shared" si="134"/>
        <v/>
      </c>
      <c r="BF354" s="36" t="str">
        <f t="shared" si="135"/>
        <v/>
      </c>
      <c r="BG354" s="36" t="str">
        <f t="shared" si="136"/>
        <v>村</v>
      </c>
      <c r="BH354" s="36" t="str">
        <f t="shared" si="137"/>
        <v>村</v>
      </c>
      <c r="BI354" s="36" t="str">
        <f t="shared" si="138"/>
        <v/>
      </c>
      <c r="BJ354" s="29" t="str">
        <f t="shared" si="139"/>
        <v>村</v>
      </c>
    </row>
    <row r="355" spans="2:62" x14ac:dyDescent="0.15">
      <c r="B355" s="15">
        <v>352</v>
      </c>
      <c r="C355" s="15" t="s">
        <v>865</v>
      </c>
      <c r="D355" s="15">
        <v>75</v>
      </c>
      <c r="AX355" s="15"/>
      <c r="AY355" s="35">
        <f t="shared" si="129"/>
        <v>352</v>
      </c>
      <c r="AZ355" s="35" t="str">
        <f t="shared" si="130"/>
        <v>775+889</v>
      </c>
      <c r="BA355" s="35">
        <f t="shared" si="131"/>
        <v>75</v>
      </c>
      <c r="BB355" s="38">
        <f>COUNTIF($BA$4:$BA355,$BA355)</f>
        <v>1</v>
      </c>
      <c r="BC355" s="36" t="str">
        <f t="shared" si="132"/>
        <v/>
      </c>
      <c r="BD355" s="36" t="str">
        <f t="shared" si="133"/>
        <v/>
      </c>
      <c r="BE355" s="36" t="str">
        <f t="shared" si="134"/>
        <v/>
      </c>
      <c r="BF355" s="36" t="str">
        <f t="shared" si="135"/>
        <v/>
      </c>
      <c r="BG355" s="36" t="str">
        <f t="shared" si="136"/>
        <v>营</v>
      </c>
      <c r="BH355" s="36" t="str">
        <f t="shared" si="137"/>
        <v>营</v>
      </c>
      <c r="BI355" s="36" t="str">
        <f t="shared" si="138"/>
        <v/>
      </c>
      <c r="BJ355" s="29" t="str">
        <f t="shared" si="139"/>
        <v>营</v>
      </c>
    </row>
    <row r="356" spans="2:62" x14ac:dyDescent="0.15">
      <c r="B356" s="15">
        <v>353</v>
      </c>
      <c r="C356" s="15" t="s">
        <v>866</v>
      </c>
      <c r="D356" s="15">
        <v>75</v>
      </c>
      <c r="AX356" s="15"/>
      <c r="AY356" s="35">
        <f t="shared" si="129"/>
        <v>353</v>
      </c>
      <c r="AZ356" s="35" t="str">
        <f t="shared" si="130"/>
        <v>750+878</v>
      </c>
      <c r="BA356" s="35">
        <f t="shared" si="131"/>
        <v>75</v>
      </c>
      <c r="BB356" s="38">
        <f>COUNTIF($BA$4:$BA356,$BA356)</f>
        <v>2</v>
      </c>
      <c r="BC356" s="36" t="str">
        <f t="shared" si="132"/>
        <v/>
      </c>
      <c r="BD356" s="36" t="str">
        <f t="shared" si="133"/>
        <v/>
      </c>
      <c r="BE356" s="36" t="str">
        <f t="shared" si="134"/>
        <v/>
      </c>
      <c r="BF356" s="36" t="str">
        <f t="shared" si="135"/>
        <v/>
      </c>
      <c r="BG356" s="36" t="str">
        <f t="shared" si="136"/>
        <v>村</v>
      </c>
      <c r="BH356" s="36" t="str">
        <f t="shared" si="137"/>
        <v>村</v>
      </c>
      <c r="BI356" s="36" t="str">
        <f t="shared" si="138"/>
        <v/>
      </c>
      <c r="BJ356" s="29" t="str">
        <f t="shared" si="139"/>
        <v>村</v>
      </c>
    </row>
    <row r="357" spans="2:62" x14ac:dyDescent="0.15">
      <c r="B357" s="15">
        <v>354</v>
      </c>
      <c r="C357" s="15" t="s">
        <v>867</v>
      </c>
      <c r="D357" s="15">
        <v>78</v>
      </c>
      <c r="AX357" s="15"/>
      <c r="AY357" s="35">
        <f t="shared" si="129"/>
        <v>354</v>
      </c>
      <c r="AZ357" s="35" t="str">
        <f t="shared" si="130"/>
        <v>671+875</v>
      </c>
      <c r="BA357" s="35">
        <f t="shared" si="131"/>
        <v>78</v>
      </c>
      <c r="BB357" s="38">
        <f>COUNTIF($BA$4:$BA357,$BA357)</f>
        <v>1</v>
      </c>
      <c r="BC357" s="36" t="str">
        <f t="shared" si="132"/>
        <v/>
      </c>
      <c r="BD357" s="36" t="str">
        <f t="shared" si="133"/>
        <v/>
      </c>
      <c r="BE357" s="36" t="str">
        <f t="shared" si="134"/>
        <v/>
      </c>
      <c r="BF357" s="36" t="str">
        <f t="shared" si="135"/>
        <v/>
      </c>
      <c r="BG357" s="36" t="str">
        <f t="shared" si="136"/>
        <v>村</v>
      </c>
      <c r="BH357" s="36" t="str">
        <f t="shared" si="137"/>
        <v/>
      </c>
      <c r="BI357" s="36" t="str">
        <f t="shared" si="138"/>
        <v/>
      </c>
      <c r="BJ357" s="29" t="str">
        <f t="shared" si="139"/>
        <v>村</v>
      </c>
    </row>
    <row r="358" spans="2:62" x14ac:dyDescent="0.15">
      <c r="B358" s="15">
        <v>355</v>
      </c>
      <c r="C358" s="15" t="s">
        <v>868</v>
      </c>
      <c r="D358" s="15">
        <v>73</v>
      </c>
      <c r="AX358" s="15"/>
      <c r="AY358" s="35">
        <f t="shared" si="129"/>
        <v>355</v>
      </c>
      <c r="AZ358" s="35" t="str">
        <f t="shared" si="130"/>
        <v>690+875</v>
      </c>
      <c r="BA358" s="35">
        <f t="shared" si="131"/>
        <v>73</v>
      </c>
      <c r="BB358" s="38">
        <f>COUNTIF($BA$4:$BA358,$BA358)</f>
        <v>3</v>
      </c>
      <c r="BC358" s="36" t="str">
        <f t="shared" si="132"/>
        <v/>
      </c>
      <c r="BD358" s="36" t="str">
        <f t="shared" si="133"/>
        <v/>
      </c>
      <c r="BE358" s="36" t="str">
        <f t="shared" si="134"/>
        <v/>
      </c>
      <c r="BF358" s="36" t="str">
        <f t="shared" si="135"/>
        <v/>
      </c>
      <c r="BG358" s="36" t="str">
        <f t="shared" si="136"/>
        <v>营</v>
      </c>
      <c r="BH358" s="36" t="str">
        <f t="shared" si="137"/>
        <v>营</v>
      </c>
      <c r="BI358" s="36" t="str">
        <f t="shared" si="138"/>
        <v/>
      </c>
      <c r="BJ358" s="29" t="str">
        <f t="shared" si="139"/>
        <v>营</v>
      </c>
    </row>
    <row r="359" spans="2:62" x14ac:dyDescent="0.15">
      <c r="B359" s="15">
        <v>356</v>
      </c>
      <c r="C359" s="15" t="s">
        <v>869</v>
      </c>
      <c r="D359" s="15">
        <v>78</v>
      </c>
      <c r="AX359" s="15"/>
      <c r="AY359" s="35">
        <f t="shared" si="129"/>
        <v>356</v>
      </c>
      <c r="AZ359" s="35" t="str">
        <f t="shared" si="130"/>
        <v>649+899</v>
      </c>
      <c r="BA359" s="35">
        <f t="shared" si="131"/>
        <v>78</v>
      </c>
      <c r="BB359" s="38">
        <f>COUNTIF($BA$4:$BA359,$BA359)</f>
        <v>2</v>
      </c>
      <c r="BC359" s="36" t="str">
        <f t="shared" si="132"/>
        <v/>
      </c>
      <c r="BD359" s="36" t="str">
        <f t="shared" si="133"/>
        <v/>
      </c>
      <c r="BE359" s="36" t="str">
        <f t="shared" si="134"/>
        <v/>
      </c>
      <c r="BF359" s="36" t="str">
        <f t="shared" si="135"/>
        <v/>
      </c>
      <c r="BG359" s="36" t="str">
        <f t="shared" si="136"/>
        <v>村</v>
      </c>
      <c r="BH359" s="36" t="str">
        <f t="shared" si="137"/>
        <v/>
      </c>
      <c r="BI359" s="36" t="str">
        <f t="shared" si="138"/>
        <v/>
      </c>
      <c r="BJ359" s="29" t="str">
        <f t="shared" si="139"/>
        <v>村</v>
      </c>
    </row>
    <row r="360" spans="2:62" x14ac:dyDescent="0.15">
      <c r="B360" s="15">
        <v>357</v>
      </c>
      <c r="C360" s="15" t="s">
        <v>870</v>
      </c>
      <c r="D360" s="15">
        <v>77</v>
      </c>
      <c r="AX360" s="15"/>
      <c r="AY360" s="35">
        <f t="shared" si="129"/>
        <v>357</v>
      </c>
      <c r="AZ360" s="35" t="str">
        <f t="shared" si="130"/>
        <v>640+952</v>
      </c>
      <c r="BA360" s="35">
        <f t="shared" si="131"/>
        <v>77</v>
      </c>
      <c r="BB360" s="38">
        <f>COUNTIF($BA$4:$BA360,$BA360)</f>
        <v>1</v>
      </c>
      <c r="BC360" s="36" t="str">
        <f t="shared" si="132"/>
        <v/>
      </c>
      <c r="BD360" s="36" t="str">
        <f t="shared" si="133"/>
        <v/>
      </c>
      <c r="BE360" s="36" t="str">
        <f t="shared" si="134"/>
        <v/>
      </c>
      <c r="BF360" s="36" t="str">
        <f t="shared" si="135"/>
        <v/>
      </c>
      <c r="BG360" s="36" t="str">
        <f t="shared" si="136"/>
        <v>营</v>
      </c>
      <c r="BH360" s="36" t="str">
        <f t="shared" si="137"/>
        <v>营</v>
      </c>
      <c r="BI360" s="36" t="str">
        <f t="shared" si="138"/>
        <v/>
      </c>
      <c r="BJ360" s="29" t="str">
        <f t="shared" si="139"/>
        <v>营</v>
      </c>
    </row>
    <row r="361" spans="2:62" x14ac:dyDescent="0.15">
      <c r="B361" s="15">
        <v>358</v>
      </c>
      <c r="C361" s="15" t="s">
        <v>871</v>
      </c>
      <c r="D361" s="15">
        <v>123</v>
      </c>
      <c r="AX361" s="15"/>
      <c r="AY361" s="35">
        <f t="shared" si="129"/>
        <v>358</v>
      </c>
      <c r="AZ361" s="35" t="str">
        <f t="shared" si="130"/>
        <v>615+964</v>
      </c>
      <c r="BA361" s="35">
        <f t="shared" si="131"/>
        <v>123</v>
      </c>
      <c r="BB361" s="38">
        <f>COUNTIF($BA$4:$BA361,$BA361)</f>
        <v>1</v>
      </c>
      <c r="BC361" s="36" t="str">
        <f t="shared" si="132"/>
        <v/>
      </c>
      <c r="BD361" s="36" t="str">
        <f t="shared" si="133"/>
        <v/>
      </c>
      <c r="BE361" s="36" t="str">
        <f t="shared" si="134"/>
        <v/>
      </c>
      <c r="BF361" s="36" t="str">
        <f t="shared" si="135"/>
        <v/>
      </c>
      <c r="BG361" s="36" t="str">
        <f t="shared" si="136"/>
        <v>村</v>
      </c>
      <c r="BH361" s="36" t="str">
        <f t="shared" si="137"/>
        <v>村</v>
      </c>
      <c r="BI361" s="36" t="str">
        <f t="shared" si="138"/>
        <v/>
      </c>
      <c r="BJ361" s="29" t="str">
        <f t="shared" si="139"/>
        <v>村</v>
      </c>
    </row>
    <row r="362" spans="2:62" x14ac:dyDescent="0.15">
      <c r="B362" s="15">
        <v>359</v>
      </c>
      <c r="C362" s="15" t="s">
        <v>872</v>
      </c>
      <c r="D362" s="15">
        <v>81</v>
      </c>
      <c r="AX362" s="15"/>
      <c r="AY362" s="35">
        <f t="shared" si="129"/>
        <v>359</v>
      </c>
      <c r="AZ362" s="35" t="str">
        <f t="shared" si="130"/>
        <v>595+932</v>
      </c>
      <c r="BA362" s="35">
        <f t="shared" si="131"/>
        <v>81</v>
      </c>
      <c r="BB362" s="38">
        <f>COUNTIF($BA$4:$BA362,$BA362)</f>
        <v>1</v>
      </c>
      <c r="BC362" s="36" t="str">
        <f t="shared" si="132"/>
        <v/>
      </c>
      <c r="BD362" s="36" t="str">
        <f t="shared" si="133"/>
        <v/>
      </c>
      <c r="BE362" s="36" t="str">
        <f t="shared" si="134"/>
        <v/>
      </c>
      <c r="BF362" s="36" t="str">
        <f t="shared" si="135"/>
        <v/>
      </c>
      <c r="BG362" s="36" t="str">
        <f t="shared" si="136"/>
        <v>村</v>
      </c>
      <c r="BH362" s="36" t="str">
        <f t="shared" si="137"/>
        <v>村</v>
      </c>
      <c r="BI362" s="36" t="str">
        <f t="shared" si="138"/>
        <v/>
      </c>
      <c r="BJ362" s="29" t="str">
        <f t="shared" si="139"/>
        <v>村</v>
      </c>
    </row>
    <row r="363" spans="2:62" x14ac:dyDescent="0.15">
      <c r="B363" s="15">
        <v>360</v>
      </c>
      <c r="C363" s="15" t="s">
        <v>873</v>
      </c>
      <c r="D363" s="15">
        <v>123</v>
      </c>
      <c r="AX363" s="15"/>
      <c r="AY363" s="35">
        <f t="shared" si="129"/>
        <v>360</v>
      </c>
      <c r="AZ363" s="35" t="str">
        <f t="shared" si="130"/>
        <v>592+961</v>
      </c>
      <c r="BA363" s="35">
        <f t="shared" si="131"/>
        <v>123</v>
      </c>
      <c r="BB363" s="38">
        <f>COUNTIF($BA$4:$BA363,$BA363)</f>
        <v>2</v>
      </c>
      <c r="BC363" s="36" t="str">
        <f t="shared" si="132"/>
        <v/>
      </c>
      <c r="BD363" s="36" t="str">
        <f t="shared" si="133"/>
        <v/>
      </c>
      <c r="BE363" s="36" t="str">
        <f t="shared" si="134"/>
        <v/>
      </c>
      <c r="BF363" s="36" t="str">
        <f t="shared" si="135"/>
        <v/>
      </c>
      <c r="BG363" s="36" t="str">
        <f t="shared" si="136"/>
        <v>县</v>
      </c>
      <c r="BH363" s="36" t="str">
        <f t="shared" si="137"/>
        <v/>
      </c>
      <c r="BI363" s="36" t="str">
        <f t="shared" si="138"/>
        <v/>
      </c>
      <c r="BJ363" s="29" t="str">
        <f t="shared" si="139"/>
        <v>县</v>
      </c>
    </row>
    <row r="364" spans="2:62" x14ac:dyDescent="0.15">
      <c r="B364" s="15">
        <v>361</v>
      </c>
      <c r="C364" s="15" t="s">
        <v>874</v>
      </c>
      <c r="D364" s="15">
        <v>81</v>
      </c>
      <c r="AX364" s="15"/>
      <c r="AY364" s="35">
        <f t="shared" si="129"/>
        <v>361</v>
      </c>
      <c r="AZ364" s="35" t="str">
        <f t="shared" si="130"/>
        <v>623+909</v>
      </c>
      <c r="BA364" s="35">
        <f t="shared" si="131"/>
        <v>81</v>
      </c>
      <c r="BB364" s="38">
        <f>COUNTIF($BA$4:$BA364,$BA364)</f>
        <v>2</v>
      </c>
      <c r="BC364" s="36" t="str">
        <f t="shared" si="132"/>
        <v/>
      </c>
      <c r="BD364" s="36" t="str">
        <f t="shared" si="133"/>
        <v/>
      </c>
      <c r="BE364" s="36" t="str">
        <f t="shared" si="134"/>
        <v/>
      </c>
      <c r="BF364" s="36" t="str">
        <f t="shared" si="135"/>
        <v/>
      </c>
      <c r="BG364" s="36" t="str">
        <f t="shared" si="136"/>
        <v>村</v>
      </c>
      <c r="BH364" s="36" t="str">
        <f t="shared" si="137"/>
        <v>村</v>
      </c>
      <c r="BI364" s="36" t="str">
        <f t="shared" si="138"/>
        <v/>
      </c>
      <c r="BJ364" s="29" t="str">
        <f t="shared" si="139"/>
        <v>村</v>
      </c>
    </row>
    <row r="365" spans="2:62" x14ac:dyDescent="0.15">
      <c r="B365" s="15">
        <v>362</v>
      </c>
      <c r="C365" s="15" t="s">
        <v>875</v>
      </c>
      <c r="D365" s="15">
        <v>81</v>
      </c>
      <c r="AX365" s="15"/>
      <c r="AY365" s="35">
        <f t="shared" si="129"/>
        <v>362</v>
      </c>
      <c r="AZ365" s="35" t="str">
        <f t="shared" si="130"/>
        <v>613+892</v>
      </c>
      <c r="BA365" s="35">
        <f t="shared" si="131"/>
        <v>81</v>
      </c>
      <c r="BB365" s="38">
        <f>COUNTIF($BA$4:$BA365,$BA365)</f>
        <v>3</v>
      </c>
      <c r="BC365" s="36" t="str">
        <f t="shared" si="132"/>
        <v/>
      </c>
      <c r="BD365" s="36" t="str">
        <f t="shared" si="133"/>
        <v/>
      </c>
      <c r="BE365" s="36" t="str">
        <f t="shared" si="134"/>
        <v/>
      </c>
      <c r="BF365" s="36" t="str">
        <f t="shared" si="135"/>
        <v/>
      </c>
      <c r="BG365" s="36" t="str">
        <f t="shared" si="136"/>
        <v>营</v>
      </c>
      <c r="BH365" s="36" t="str">
        <f t="shared" si="137"/>
        <v/>
      </c>
      <c r="BI365" s="36" t="str">
        <f t="shared" si="138"/>
        <v/>
      </c>
      <c r="BJ365" s="29" t="str">
        <f t="shared" si="139"/>
        <v>营</v>
      </c>
    </row>
    <row r="366" spans="2:62" x14ac:dyDescent="0.15">
      <c r="B366" s="15">
        <v>363</v>
      </c>
      <c r="C366" s="15" t="s">
        <v>876</v>
      </c>
      <c r="D366" s="15">
        <v>82</v>
      </c>
      <c r="AX366" s="15"/>
      <c r="AY366" s="35">
        <f t="shared" si="129"/>
        <v>363</v>
      </c>
      <c r="AZ366" s="35" t="str">
        <f t="shared" si="130"/>
        <v>608+867</v>
      </c>
      <c r="BA366" s="35">
        <f t="shared" si="131"/>
        <v>82</v>
      </c>
      <c r="BB366" s="38">
        <f>COUNTIF($BA$4:$BA366,$BA366)</f>
        <v>1</v>
      </c>
      <c r="BC366" s="36" t="str">
        <f t="shared" si="132"/>
        <v/>
      </c>
      <c r="BD366" s="36" t="str">
        <f t="shared" si="133"/>
        <v/>
      </c>
      <c r="BE366" s="36" t="str">
        <f t="shared" si="134"/>
        <v/>
      </c>
      <c r="BF366" s="36" t="str">
        <f t="shared" si="135"/>
        <v/>
      </c>
      <c r="BG366" s="36" t="str">
        <f t="shared" si="136"/>
        <v>村</v>
      </c>
      <c r="BH366" s="36" t="str">
        <f t="shared" si="137"/>
        <v>村</v>
      </c>
      <c r="BI366" s="36" t="str">
        <f t="shared" si="138"/>
        <v/>
      </c>
      <c r="BJ366" s="29" t="str">
        <f t="shared" si="139"/>
        <v>村</v>
      </c>
    </row>
    <row r="367" spans="2:62" x14ac:dyDescent="0.15">
      <c r="B367" s="15">
        <v>364</v>
      </c>
      <c r="C367" s="15" t="s">
        <v>877</v>
      </c>
      <c r="D367" s="15">
        <v>79</v>
      </c>
      <c r="AX367" s="15"/>
      <c r="AY367" s="35">
        <f t="shared" si="129"/>
        <v>364</v>
      </c>
      <c r="AZ367" s="35" t="str">
        <f t="shared" si="130"/>
        <v>677+812</v>
      </c>
      <c r="BA367" s="35">
        <f t="shared" si="131"/>
        <v>79</v>
      </c>
      <c r="BB367" s="38">
        <f>COUNTIF($BA$4:$BA367,$BA367)</f>
        <v>4</v>
      </c>
      <c r="BC367" s="36" t="str">
        <f t="shared" si="132"/>
        <v/>
      </c>
      <c r="BD367" s="36" t="str">
        <f t="shared" si="133"/>
        <v/>
      </c>
      <c r="BE367" s="36" t="str">
        <f t="shared" si="134"/>
        <v/>
      </c>
      <c r="BF367" s="36" t="str">
        <f t="shared" si="135"/>
        <v/>
      </c>
      <c r="BG367" s="36" t="str">
        <f t="shared" si="136"/>
        <v>营</v>
      </c>
      <c r="BH367" s="36" t="str">
        <f t="shared" si="137"/>
        <v>营</v>
      </c>
      <c r="BI367" s="36" t="str">
        <f t="shared" si="138"/>
        <v/>
      </c>
      <c r="BJ367" s="29" t="str">
        <f t="shared" si="139"/>
        <v>营</v>
      </c>
    </row>
    <row r="368" spans="2:62" x14ac:dyDescent="0.15">
      <c r="B368" s="15">
        <v>365</v>
      </c>
      <c r="C368" s="15" t="s">
        <v>878</v>
      </c>
      <c r="D368" s="15">
        <v>71</v>
      </c>
      <c r="AX368" s="15"/>
      <c r="AY368" s="35">
        <f t="shared" si="129"/>
        <v>365</v>
      </c>
      <c r="AZ368" s="35" t="str">
        <f t="shared" si="130"/>
        <v>736+839</v>
      </c>
      <c r="BA368" s="35">
        <f t="shared" si="131"/>
        <v>71</v>
      </c>
      <c r="BB368" s="38">
        <f>COUNTIF($BA$4:$BA368,$BA368)</f>
        <v>3</v>
      </c>
      <c r="BC368" s="36" t="str">
        <f t="shared" si="132"/>
        <v/>
      </c>
      <c r="BD368" s="36" t="str">
        <f t="shared" si="133"/>
        <v/>
      </c>
      <c r="BE368" s="36" t="str">
        <f t="shared" si="134"/>
        <v/>
      </c>
      <c r="BF368" s="36" t="str">
        <f t="shared" si="135"/>
        <v/>
      </c>
      <c r="BG368" s="36" t="str">
        <f t="shared" si="136"/>
        <v>村</v>
      </c>
      <c r="BH368" s="36" t="str">
        <f t="shared" si="137"/>
        <v>村</v>
      </c>
      <c r="BI368" s="36" t="str">
        <f t="shared" si="138"/>
        <v/>
      </c>
      <c r="BJ368" s="29" t="str">
        <f t="shared" si="139"/>
        <v>村</v>
      </c>
    </row>
    <row r="369" spans="2:62" x14ac:dyDescent="0.15">
      <c r="B369" s="15">
        <v>366</v>
      </c>
      <c r="C369" s="15" t="s">
        <v>879</v>
      </c>
      <c r="D369" s="15">
        <v>75</v>
      </c>
      <c r="AX369" s="15"/>
      <c r="AY369" s="35">
        <f t="shared" si="129"/>
        <v>366</v>
      </c>
      <c r="AZ369" s="35" t="str">
        <f t="shared" si="130"/>
        <v>741+862</v>
      </c>
      <c r="BA369" s="35">
        <f t="shared" si="131"/>
        <v>75</v>
      </c>
      <c r="BB369" s="38">
        <f>COUNTIF($BA$4:$BA369,$BA369)</f>
        <v>3</v>
      </c>
      <c r="BC369" s="36" t="str">
        <f t="shared" si="132"/>
        <v/>
      </c>
      <c r="BD369" s="36" t="str">
        <f t="shared" si="133"/>
        <v/>
      </c>
      <c r="BE369" s="36" t="str">
        <f t="shared" si="134"/>
        <v/>
      </c>
      <c r="BF369" s="36" t="str">
        <f t="shared" si="135"/>
        <v/>
      </c>
      <c r="BG369" s="36" t="str">
        <f t="shared" si="136"/>
        <v>县</v>
      </c>
      <c r="BH369" s="36" t="str">
        <f t="shared" si="137"/>
        <v/>
      </c>
      <c r="BI369" s="36" t="str">
        <f t="shared" si="138"/>
        <v/>
      </c>
      <c r="BJ369" s="29" t="str">
        <f t="shared" si="139"/>
        <v>县</v>
      </c>
    </row>
    <row r="370" spans="2:62" x14ac:dyDescent="0.15">
      <c r="B370" s="15">
        <v>367</v>
      </c>
      <c r="C370" s="15" t="s">
        <v>880</v>
      </c>
      <c r="D370" s="15">
        <v>71</v>
      </c>
      <c r="AX370" s="15"/>
      <c r="AY370" s="35">
        <f t="shared" si="129"/>
        <v>367</v>
      </c>
      <c r="AZ370" s="35" t="str">
        <f t="shared" si="130"/>
        <v>700+805</v>
      </c>
      <c r="BA370" s="35">
        <f t="shared" si="131"/>
        <v>71</v>
      </c>
      <c r="BB370" s="38">
        <f>COUNTIF($BA$4:$BA370,$BA370)</f>
        <v>4</v>
      </c>
      <c r="BC370" s="36" t="str">
        <f t="shared" si="132"/>
        <v/>
      </c>
      <c r="BD370" s="36" t="str">
        <f t="shared" si="133"/>
        <v/>
      </c>
      <c r="BE370" s="36" t="str">
        <f t="shared" si="134"/>
        <v/>
      </c>
      <c r="BF370" s="36" t="str">
        <f t="shared" si="135"/>
        <v/>
      </c>
      <c r="BG370" s="36" t="str">
        <f t="shared" si="136"/>
        <v>村</v>
      </c>
      <c r="BH370" s="36" t="str">
        <f t="shared" si="137"/>
        <v>村</v>
      </c>
      <c r="BI370" s="36" t="str">
        <f t="shared" si="138"/>
        <v/>
      </c>
      <c r="BJ370" s="29" t="str">
        <f t="shared" si="139"/>
        <v>村</v>
      </c>
    </row>
    <row r="371" spans="2:62" x14ac:dyDescent="0.15">
      <c r="B371" s="15">
        <v>368</v>
      </c>
      <c r="C371" s="15" t="s">
        <v>881</v>
      </c>
      <c r="D371" s="15">
        <v>69</v>
      </c>
      <c r="AX371" s="15"/>
      <c r="AY371" s="35">
        <f t="shared" si="129"/>
        <v>368</v>
      </c>
      <c r="AZ371" s="35" t="str">
        <f t="shared" si="130"/>
        <v>764+845</v>
      </c>
      <c r="BA371" s="35">
        <f t="shared" si="131"/>
        <v>69</v>
      </c>
      <c r="BB371" s="38">
        <f>COUNTIF($BA$4:$BA371,$BA371)</f>
        <v>1</v>
      </c>
      <c r="BC371" s="36" t="str">
        <f t="shared" si="132"/>
        <v/>
      </c>
      <c r="BD371" s="36" t="str">
        <f t="shared" si="133"/>
        <v/>
      </c>
      <c r="BE371" s="36" t="str">
        <f t="shared" si="134"/>
        <v/>
      </c>
      <c r="BF371" s="36" t="str">
        <f t="shared" si="135"/>
        <v/>
      </c>
      <c r="BG371" s="36" t="str">
        <f t="shared" si="136"/>
        <v>村</v>
      </c>
      <c r="BH371" s="36" t="str">
        <f t="shared" si="137"/>
        <v>村</v>
      </c>
      <c r="BI371" s="36" t="str">
        <f t="shared" si="138"/>
        <v/>
      </c>
      <c r="BJ371" s="29" t="str">
        <f t="shared" si="139"/>
        <v>村</v>
      </c>
    </row>
    <row r="372" spans="2:62" x14ac:dyDescent="0.15">
      <c r="B372" s="15">
        <v>369</v>
      </c>
      <c r="C372" s="15" t="s">
        <v>882</v>
      </c>
      <c r="D372" s="15">
        <v>69</v>
      </c>
      <c r="AX372" s="15"/>
      <c r="AY372" s="35">
        <f t="shared" si="129"/>
        <v>369</v>
      </c>
      <c r="AZ372" s="35" t="str">
        <f t="shared" si="130"/>
        <v>778+866</v>
      </c>
      <c r="BA372" s="35">
        <f t="shared" si="131"/>
        <v>69</v>
      </c>
      <c r="BB372" s="38">
        <f>COUNTIF($BA$4:$BA372,$BA372)</f>
        <v>2</v>
      </c>
      <c r="BC372" s="36" t="str">
        <f t="shared" si="132"/>
        <v/>
      </c>
      <c r="BD372" s="36" t="str">
        <f t="shared" si="133"/>
        <v/>
      </c>
      <c r="BE372" s="36" t="str">
        <f t="shared" si="134"/>
        <v/>
      </c>
      <c r="BF372" s="36" t="str">
        <f t="shared" si="135"/>
        <v/>
      </c>
      <c r="BG372" s="36" t="str">
        <f t="shared" si="136"/>
        <v>营</v>
      </c>
      <c r="BH372" s="36" t="str">
        <f t="shared" si="137"/>
        <v/>
      </c>
      <c r="BI372" s="36" t="str">
        <f t="shared" si="138"/>
        <v/>
      </c>
      <c r="BJ372" s="29" t="str">
        <f t="shared" si="139"/>
        <v>营</v>
      </c>
    </row>
    <row r="373" spans="2:62" x14ac:dyDescent="0.15">
      <c r="B373" s="15">
        <v>370</v>
      </c>
      <c r="C373" s="15" t="s">
        <v>883</v>
      </c>
      <c r="D373" s="15">
        <v>69</v>
      </c>
      <c r="AX373" s="15"/>
      <c r="AY373" s="35">
        <f t="shared" si="129"/>
        <v>370</v>
      </c>
      <c r="AZ373" s="35" t="str">
        <f t="shared" si="130"/>
        <v>786+844</v>
      </c>
      <c r="BA373" s="35">
        <f t="shared" si="131"/>
        <v>69</v>
      </c>
      <c r="BB373" s="38">
        <f>COUNTIF($BA$4:$BA373,$BA373)</f>
        <v>3</v>
      </c>
      <c r="BC373" s="36" t="str">
        <f t="shared" si="132"/>
        <v/>
      </c>
      <c r="BD373" s="36" t="str">
        <f t="shared" si="133"/>
        <v/>
      </c>
      <c r="BE373" s="36" t="str">
        <f t="shared" si="134"/>
        <v/>
      </c>
      <c r="BF373" s="36" t="str">
        <f t="shared" si="135"/>
        <v/>
      </c>
      <c r="BG373" s="36" t="str">
        <f t="shared" si="136"/>
        <v>村</v>
      </c>
      <c r="BH373" s="36" t="str">
        <f t="shared" si="137"/>
        <v>村</v>
      </c>
      <c r="BI373" s="36" t="str">
        <f t="shared" si="138"/>
        <v/>
      </c>
      <c r="BJ373" s="29" t="str">
        <f t="shared" si="139"/>
        <v>村</v>
      </c>
    </row>
    <row r="374" spans="2:62" x14ac:dyDescent="0.15">
      <c r="B374" s="15">
        <v>371</v>
      </c>
      <c r="C374" s="15" t="s">
        <v>884</v>
      </c>
      <c r="D374" s="15">
        <v>69</v>
      </c>
      <c r="AX374" s="15"/>
      <c r="AY374" s="35">
        <f t="shared" si="129"/>
        <v>371</v>
      </c>
      <c r="AZ374" s="35" t="str">
        <f t="shared" si="130"/>
        <v>800+859</v>
      </c>
      <c r="BA374" s="35">
        <f t="shared" si="131"/>
        <v>69</v>
      </c>
      <c r="BB374" s="38">
        <f>COUNTIF($BA$4:$BA374,$BA374)</f>
        <v>4</v>
      </c>
      <c r="BC374" s="36" t="str">
        <f t="shared" si="132"/>
        <v/>
      </c>
      <c r="BD374" s="36" t="str">
        <f t="shared" si="133"/>
        <v/>
      </c>
      <c r="BE374" s="36" t="str">
        <f t="shared" si="134"/>
        <v/>
      </c>
      <c r="BF374" s="36" t="str">
        <f t="shared" si="135"/>
        <v/>
      </c>
      <c r="BG374" s="36" t="str">
        <f t="shared" si="136"/>
        <v>营</v>
      </c>
      <c r="BH374" s="36" t="str">
        <f t="shared" si="137"/>
        <v>营</v>
      </c>
      <c r="BI374" s="36" t="str">
        <f t="shared" si="138"/>
        <v/>
      </c>
      <c r="BJ374" s="29" t="str">
        <f t="shared" si="139"/>
        <v>营</v>
      </c>
    </row>
    <row r="375" spans="2:62" x14ac:dyDescent="0.15">
      <c r="B375" s="15">
        <v>372</v>
      </c>
      <c r="C375" s="15" t="s">
        <v>885</v>
      </c>
      <c r="D375" s="15">
        <v>68</v>
      </c>
      <c r="AX375" s="15"/>
      <c r="AY375" s="35">
        <f t="shared" si="129"/>
        <v>372</v>
      </c>
      <c r="AZ375" s="35" t="str">
        <f t="shared" si="130"/>
        <v>794+890</v>
      </c>
      <c r="BA375" s="35">
        <f t="shared" si="131"/>
        <v>68</v>
      </c>
      <c r="BB375" s="38">
        <f>COUNTIF($BA$4:$BA375,$BA375)</f>
        <v>1</v>
      </c>
      <c r="BC375" s="36" t="str">
        <f t="shared" si="132"/>
        <v/>
      </c>
      <c r="BD375" s="36" t="str">
        <f t="shared" si="133"/>
        <v/>
      </c>
      <c r="BE375" s="36" t="str">
        <f t="shared" si="134"/>
        <v/>
      </c>
      <c r="BF375" s="36" t="str">
        <f t="shared" si="135"/>
        <v/>
      </c>
      <c r="BG375" s="36" t="str">
        <f t="shared" si="136"/>
        <v>村</v>
      </c>
      <c r="BH375" s="36" t="str">
        <f t="shared" si="137"/>
        <v>村</v>
      </c>
      <c r="BI375" s="36" t="str">
        <f t="shared" si="138"/>
        <v/>
      </c>
      <c r="BJ375" s="29" t="str">
        <f t="shared" si="139"/>
        <v>村</v>
      </c>
    </row>
    <row r="376" spans="2:62" x14ac:dyDescent="0.15">
      <c r="B376" s="15">
        <v>373</v>
      </c>
      <c r="C376" s="15" t="s">
        <v>886</v>
      </c>
      <c r="D376" s="15">
        <v>68</v>
      </c>
      <c r="AX376" s="15"/>
      <c r="AY376" s="35">
        <f t="shared" si="129"/>
        <v>373</v>
      </c>
      <c r="AZ376" s="35" t="str">
        <f t="shared" si="130"/>
        <v>814+897</v>
      </c>
      <c r="BA376" s="35">
        <f t="shared" si="131"/>
        <v>68</v>
      </c>
      <c r="BB376" s="38">
        <f>COUNTIF($BA$4:$BA376,$BA376)</f>
        <v>2</v>
      </c>
      <c r="BC376" s="36" t="str">
        <f t="shared" si="132"/>
        <v/>
      </c>
      <c r="BD376" s="36" t="str">
        <f t="shared" si="133"/>
        <v/>
      </c>
      <c r="BE376" s="36" t="str">
        <f t="shared" si="134"/>
        <v/>
      </c>
      <c r="BF376" s="36" t="str">
        <f t="shared" si="135"/>
        <v/>
      </c>
      <c r="BG376" s="36" t="str">
        <f t="shared" si="136"/>
        <v>村</v>
      </c>
      <c r="BH376" s="36" t="str">
        <f t="shared" si="137"/>
        <v/>
      </c>
      <c r="BI376" s="36" t="str">
        <f t="shared" si="138"/>
        <v/>
      </c>
      <c r="BJ376" s="29" t="str">
        <f t="shared" si="139"/>
        <v>村</v>
      </c>
    </row>
    <row r="377" spans="2:62" x14ac:dyDescent="0.15">
      <c r="B377" s="15">
        <v>374</v>
      </c>
      <c r="C377" s="15" t="s">
        <v>887</v>
      </c>
      <c r="D377" s="15">
        <v>67</v>
      </c>
      <c r="AX377" s="15"/>
      <c r="AY377" s="35">
        <f t="shared" si="129"/>
        <v>374</v>
      </c>
      <c r="AZ377" s="35" t="str">
        <f t="shared" si="130"/>
        <v>797+926</v>
      </c>
      <c r="BA377" s="35">
        <f t="shared" si="131"/>
        <v>67</v>
      </c>
      <c r="BB377" s="38">
        <f>COUNTIF($BA$4:$BA377,$BA377)</f>
        <v>1</v>
      </c>
      <c r="BC377" s="36" t="str">
        <f t="shared" si="132"/>
        <v/>
      </c>
      <c r="BD377" s="36" t="str">
        <f t="shared" si="133"/>
        <v/>
      </c>
      <c r="BE377" s="36" t="str">
        <f t="shared" si="134"/>
        <v/>
      </c>
      <c r="BF377" s="36" t="str">
        <f t="shared" si="135"/>
        <v/>
      </c>
      <c r="BG377" s="36" t="str">
        <f t="shared" si="136"/>
        <v>营</v>
      </c>
      <c r="BH377" s="36" t="str">
        <f t="shared" si="137"/>
        <v>营</v>
      </c>
      <c r="BI377" s="36" t="str">
        <f t="shared" si="138"/>
        <v/>
      </c>
      <c r="BJ377" s="29" t="str">
        <f t="shared" si="139"/>
        <v>营</v>
      </c>
    </row>
    <row r="378" spans="2:62" x14ac:dyDescent="0.15">
      <c r="B378" s="15">
        <v>375</v>
      </c>
      <c r="C378" s="15" t="s">
        <v>888</v>
      </c>
      <c r="D378" s="15">
        <v>65</v>
      </c>
      <c r="AX378" s="15"/>
      <c r="AY378" s="35">
        <f t="shared" si="129"/>
        <v>375</v>
      </c>
      <c r="AZ378" s="35" t="str">
        <f t="shared" si="130"/>
        <v>846+936</v>
      </c>
      <c r="BA378" s="35">
        <f t="shared" si="131"/>
        <v>65</v>
      </c>
      <c r="BB378" s="38">
        <f>COUNTIF($BA$4:$BA378,$BA378)</f>
        <v>1</v>
      </c>
      <c r="BC378" s="36" t="str">
        <f t="shared" si="132"/>
        <v/>
      </c>
      <c r="BD378" s="36" t="str">
        <f t="shared" si="133"/>
        <v/>
      </c>
      <c r="BE378" s="36" t="str">
        <f t="shared" si="134"/>
        <v/>
      </c>
      <c r="BF378" s="36" t="str">
        <f t="shared" si="135"/>
        <v/>
      </c>
      <c r="BG378" s="36" t="str">
        <f t="shared" si="136"/>
        <v>村</v>
      </c>
      <c r="BH378" s="36" t="str">
        <f t="shared" si="137"/>
        <v>村</v>
      </c>
      <c r="BI378" s="36" t="str">
        <f t="shared" si="138"/>
        <v/>
      </c>
      <c r="BJ378" s="29" t="str">
        <f t="shared" si="139"/>
        <v>村</v>
      </c>
    </row>
    <row r="379" spans="2:62" x14ac:dyDescent="0.15">
      <c r="B379" s="15">
        <v>376</v>
      </c>
      <c r="C379" s="15" t="s">
        <v>889</v>
      </c>
      <c r="D379" s="15">
        <v>65</v>
      </c>
      <c r="AX379" s="15"/>
      <c r="AY379" s="35">
        <f t="shared" si="129"/>
        <v>376</v>
      </c>
      <c r="AZ379" s="35" t="str">
        <f t="shared" si="130"/>
        <v>876+942</v>
      </c>
      <c r="BA379" s="35">
        <f t="shared" si="131"/>
        <v>65</v>
      </c>
      <c r="BB379" s="38">
        <f>COUNTIF($BA$4:$BA379,$BA379)</f>
        <v>2</v>
      </c>
      <c r="BC379" s="36" t="str">
        <f t="shared" si="132"/>
        <v/>
      </c>
      <c r="BD379" s="36" t="str">
        <f t="shared" si="133"/>
        <v/>
      </c>
      <c r="BE379" s="36" t="str">
        <f t="shared" si="134"/>
        <v/>
      </c>
      <c r="BF379" s="36" t="str">
        <f t="shared" si="135"/>
        <v/>
      </c>
      <c r="BG379" s="36" t="str">
        <f t="shared" si="136"/>
        <v>村</v>
      </c>
      <c r="BH379" s="36" t="str">
        <f t="shared" si="137"/>
        <v/>
      </c>
      <c r="BI379" s="36" t="str">
        <f t="shared" si="138"/>
        <v/>
      </c>
      <c r="BJ379" s="29" t="str">
        <f t="shared" si="139"/>
        <v>村</v>
      </c>
    </row>
    <row r="380" spans="2:62" x14ac:dyDescent="0.15">
      <c r="B380" s="15">
        <v>377</v>
      </c>
      <c r="C380" s="15" t="s">
        <v>890</v>
      </c>
      <c r="D380" s="15">
        <v>64</v>
      </c>
      <c r="AX380" s="15"/>
      <c r="AY380" s="35">
        <f t="shared" si="129"/>
        <v>377</v>
      </c>
      <c r="AZ380" s="35" t="str">
        <f t="shared" si="130"/>
        <v>911+964</v>
      </c>
      <c r="BA380" s="35">
        <f t="shared" si="131"/>
        <v>64</v>
      </c>
      <c r="BB380" s="38">
        <f>COUNTIF($BA$4:$BA380,$BA380)</f>
        <v>1</v>
      </c>
      <c r="BC380" s="36" t="str">
        <f t="shared" si="132"/>
        <v/>
      </c>
      <c r="BD380" s="36" t="str">
        <f t="shared" si="133"/>
        <v/>
      </c>
      <c r="BE380" s="36" t="str">
        <f t="shared" si="134"/>
        <v/>
      </c>
      <c r="BF380" s="36" t="str">
        <f t="shared" si="135"/>
        <v/>
      </c>
      <c r="BG380" s="36" t="str">
        <f t="shared" si="136"/>
        <v>营</v>
      </c>
      <c r="BH380" s="36" t="str">
        <f t="shared" si="137"/>
        <v/>
      </c>
      <c r="BI380" s="36" t="str">
        <f t="shared" si="138"/>
        <v/>
      </c>
      <c r="BJ380" s="29" t="str">
        <f t="shared" si="139"/>
        <v>营</v>
      </c>
    </row>
    <row r="381" spans="2:62" x14ac:dyDescent="0.15">
      <c r="B381" s="15">
        <v>378</v>
      </c>
      <c r="C381" s="15" t="s">
        <v>891</v>
      </c>
      <c r="D381" s="15">
        <v>64</v>
      </c>
      <c r="AX381" s="15"/>
      <c r="AY381" s="35">
        <f t="shared" si="129"/>
        <v>378</v>
      </c>
      <c r="AZ381" s="35" t="str">
        <f t="shared" si="130"/>
        <v>928+931</v>
      </c>
      <c r="BA381" s="35">
        <f t="shared" si="131"/>
        <v>64</v>
      </c>
      <c r="BB381" s="38">
        <f>COUNTIF($BA$4:$BA381,$BA381)</f>
        <v>2</v>
      </c>
      <c r="BC381" s="36" t="str">
        <f t="shared" si="132"/>
        <v/>
      </c>
      <c r="BD381" s="36" t="str">
        <f t="shared" si="133"/>
        <v/>
      </c>
      <c r="BE381" s="36" t="str">
        <f t="shared" si="134"/>
        <v/>
      </c>
      <c r="BF381" s="36" t="str">
        <f t="shared" si="135"/>
        <v/>
      </c>
      <c r="BG381" s="36" t="str">
        <f t="shared" si="136"/>
        <v>村</v>
      </c>
      <c r="BH381" s="36" t="str">
        <f t="shared" si="137"/>
        <v/>
      </c>
      <c r="BI381" s="36" t="str">
        <f t="shared" si="138"/>
        <v/>
      </c>
      <c r="BJ381" s="29" t="str">
        <f t="shared" si="139"/>
        <v>村</v>
      </c>
    </row>
    <row r="382" spans="2:62" x14ac:dyDescent="0.15">
      <c r="B382" s="15">
        <v>379</v>
      </c>
      <c r="C382" s="15" t="s">
        <v>892</v>
      </c>
      <c r="D382" s="15">
        <v>65</v>
      </c>
      <c r="AX382" s="15"/>
      <c r="AY382" s="35">
        <f t="shared" si="129"/>
        <v>379</v>
      </c>
      <c r="AZ382" s="35" t="str">
        <f t="shared" si="130"/>
        <v>904+903</v>
      </c>
      <c r="BA382" s="35">
        <f t="shared" si="131"/>
        <v>65</v>
      </c>
      <c r="BB382" s="38">
        <f>COUNTIF($BA$4:$BA382,$BA382)</f>
        <v>3</v>
      </c>
      <c r="BC382" s="36" t="str">
        <f t="shared" si="132"/>
        <v/>
      </c>
      <c r="BD382" s="36" t="str">
        <f t="shared" si="133"/>
        <v/>
      </c>
      <c r="BE382" s="36" t="str">
        <f t="shared" si="134"/>
        <v/>
      </c>
      <c r="BF382" s="36" t="str">
        <f t="shared" si="135"/>
        <v/>
      </c>
      <c r="BG382" s="36" t="str">
        <f t="shared" si="136"/>
        <v>村</v>
      </c>
      <c r="BH382" s="36" t="str">
        <f t="shared" si="137"/>
        <v/>
      </c>
      <c r="BI382" s="36" t="str">
        <f t="shared" si="138"/>
        <v/>
      </c>
      <c r="BJ382" s="29" t="str">
        <f t="shared" si="139"/>
        <v>村</v>
      </c>
    </row>
    <row r="383" spans="2:62" x14ac:dyDescent="0.15">
      <c r="B383" s="15">
        <v>380</v>
      </c>
      <c r="C383" s="15" t="s">
        <v>893</v>
      </c>
      <c r="D383" s="15">
        <v>65</v>
      </c>
      <c r="AX383" s="15"/>
      <c r="AY383" s="35">
        <f t="shared" si="129"/>
        <v>380</v>
      </c>
      <c r="AZ383" s="35" t="str">
        <f t="shared" si="130"/>
        <v>871+914</v>
      </c>
      <c r="BA383" s="35">
        <f t="shared" si="131"/>
        <v>65</v>
      </c>
      <c r="BB383" s="38">
        <f>COUNTIF($BA$4:$BA383,$BA383)</f>
        <v>4</v>
      </c>
      <c r="BC383" s="36" t="str">
        <f t="shared" si="132"/>
        <v/>
      </c>
      <c r="BD383" s="36" t="str">
        <f t="shared" si="133"/>
        <v/>
      </c>
      <c r="BE383" s="36" t="str">
        <f t="shared" si="134"/>
        <v/>
      </c>
      <c r="BF383" s="36" t="str">
        <f t="shared" si="135"/>
        <v/>
      </c>
      <c r="BG383" s="36" t="str">
        <f t="shared" si="136"/>
        <v>营</v>
      </c>
      <c r="BH383" s="36" t="str">
        <f t="shared" si="137"/>
        <v>营</v>
      </c>
      <c r="BI383" s="36" t="str">
        <f t="shared" si="138"/>
        <v/>
      </c>
      <c r="BJ383" s="29" t="str">
        <f t="shared" si="139"/>
        <v>营</v>
      </c>
    </row>
    <row r="384" spans="2:62" x14ac:dyDescent="0.15">
      <c r="B384" s="15">
        <v>381</v>
      </c>
      <c r="C384" s="15" t="s">
        <v>894</v>
      </c>
      <c r="D384" s="15">
        <v>66</v>
      </c>
      <c r="AX384" s="15"/>
      <c r="AY384" s="35">
        <f t="shared" si="129"/>
        <v>381</v>
      </c>
      <c r="AZ384" s="35" t="str">
        <f t="shared" si="130"/>
        <v>847+883</v>
      </c>
      <c r="BA384" s="35">
        <f t="shared" si="131"/>
        <v>66</v>
      </c>
      <c r="BB384" s="38">
        <f>COUNTIF($BA$4:$BA384,$BA384)</f>
        <v>1</v>
      </c>
      <c r="BC384" s="36" t="str">
        <f t="shared" si="132"/>
        <v/>
      </c>
      <c r="BD384" s="36" t="str">
        <f t="shared" si="133"/>
        <v/>
      </c>
      <c r="BE384" s="36" t="str">
        <f t="shared" si="134"/>
        <v/>
      </c>
      <c r="BF384" s="36" t="str">
        <f t="shared" si="135"/>
        <v/>
      </c>
      <c r="BG384" s="36" t="str">
        <f t="shared" si="136"/>
        <v>村</v>
      </c>
      <c r="BH384" s="36" t="str">
        <f t="shared" si="137"/>
        <v>村</v>
      </c>
      <c r="BI384" s="36" t="str">
        <f t="shared" si="138"/>
        <v/>
      </c>
      <c r="BJ384" s="29" t="str">
        <f t="shared" si="139"/>
        <v>村</v>
      </c>
    </row>
    <row r="385" spans="2:62" x14ac:dyDescent="0.15">
      <c r="B385" s="15">
        <v>382</v>
      </c>
      <c r="C385" s="15" t="s">
        <v>895</v>
      </c>
      <c r="D385" s="15">
        <v>66</v>
      </c>
      <c r="AX385" s="15"/>
      <c r="AY385" s="35">
        <f t="shared" si="129"/>
        <v>382</v>
      </c>
      <c r="AZ385" s="35" t="str">
        <f t="shared" si="130"/>
        <v>839+850</v>
      </c>
      <c r="BA385" s="35">
        <f t="shared" si="131"/>
        <v>66</v>
      </c>
      <c r="BB385" s="38">
        <f>COUNTIF($BA$4:$BA385,$BA385)</f>
        <v>2</v>
      </c>
      <c r="BC385" s="36" t="str">
        <f t="shared" si="132"/>
        <v/>
      </c>
      <c r="BD385" s="36" t="str">
        <f t="shared" si="133"/>
        <v/>
      </c>
      <c r="BE385" s="36" t="str">
        <f t="shared" si="134"/>
        <v/>
      </c>
      <c r="BF385" s="36" t="str">
        <f t="shared" si="135"/>
        <v/>
      </c>
      <c r="BG385" s="36" t="str">
        <f t="shared" si="136"/>
        <v>村</v>
      </c>
      <c r="BH385" s="36" t="str">
        <f t="shared" si="137"/>
        <v>村</v>
      </c>
      <c r="BI385" s="36" t="str">
        <f t="shared" si="138"/>
        <v/>
      </c>
      <c r="BJ385" s="29" t="str">
        <f t="shared" si="139"/>
        <v>村</v>
      </c>
    </row>
    <row r="386" spans="2:62" x14ac:dyDescent="0.15">
      <c r="B386" s="15">
        <v>383</v>
      </c>
      <c r="C386" s="15" t="s">
        <v>896</v>
      </c>
      <c r="D386" s="15">
        <v>70</v>
      </c>
      <c r="AX386" s="15"/>
      <c r="AY386" s="35">
        <f t="shared" si="129"/>
        <v>383</v>
      </c>
      <c r="AZ386" s="35" t="str">
        <f t="shared" si="130"/>
        <v>821+820</v>
      </c>
      <c r="BA386" s="35">
        <f t="shared" si="131"/>
        <v>70</v>
      </c>
      <c r="BB386" s="38">
        <f>COUNTIF($BA$4:$BA386,$BA386)</f>
        <v>1</v>
      </c>
      <c r="BC386" s="36" t="str">
        <f t="shared" si="132"/>
        <v/>
      </c>
      <c r="BD386" s="36" t="str">
        <f t="shared" si="133"/>
        <v/>
      </c>
      <c r="BE386" s="36" t="str">
        <f t="shared" si="134"/>
        <v/>
      </c>
      <c r="BF386" s="36" t="str">
        <f t="shared" si="135"/>
        <v/>
      </c>
      <c r="BG386" s="36" t="str">
        <f t="shared" si="136"/>
        <v>营</v>
      </c>
      <c r="BH386" s="36" t="str">
        <f t="shared" si="137"/>
        <v>营</v>
      </c>
      <c r="BI386" s="36" t="str">
        <f t="shared" si="138"/>
        <v/>
      </c>
      <c r="BJ386" s="29" t="str">
        <f t="shared" si="139"/>
        <v>营</v>
      </c>
    </row>
    <row r="387" spans="2:62" x14ac:dyDescent="0.15">
      <c r="B387" s="15">
        <v>384</v>
      </c>
      <c r="C387" s="15" t="s">
        <v>897</v>
      </c>
      <c r="D387" s="15">
        <v>70</v>
      </c>
      <c r="AX387" s="15"/>
      <c r="AY387" s="35">
        <f t="shared" si="129"/>
        <v>384</v>
      </c>
      <c r="AZ387" s="35" t="str">
        <f t="shared" si="130"/>
        <v>798+825</v>
      </c>
      <c r="BA387" s="35">
        <f t="shared" si="131"/>
        <v>70</v>
      </c>
      <c r="BB387" s="38">
        <f>COUNTIF($BA$4:$BA387,$BA387)</f>
        <v>2</v>
      </c>
      <c r="BC387" s="36" t="str">
        <f t="shared" si="132"/>
        <v/>
      </c>
      <c r="BD387" s="36" t="str">
        <f t="shared" si="133"/>
        <v/>
      </c>
      <c r="BE387" s="36" t="str">
        <f t="shared" si="134"/>
        <v/>
      </c>
      <c r="BF387" s="36" t="str">
        <f t="shared" si="135"/>
        <v/>
      </c>
      <c r="BG387" s="36" t="str">
        <f t="shared" si="136"/>
        <v>村</v>
      </c>
      <c r="BH387" s="36" t="str">
        <f t="shared" si="137"/>
        <v>村</v>
      </c>
      <c r="BI387" s="36" t="str">
        <f t="shared" si="138"/>
        <v/>
      </c>
      <c r="BJ387" s="29" t="str">
        <f t="shared" si="139"/>
        <v>村</v>
      </c>
    </row>
    <row r="388" spans="2:62" x14ac:dyDescent="0.15">
      <c r="B388" s="15">
        <v>385</v>
      </c>
      <c r="C388" s="15" t="s">
        <v>898</v>
      </c>
      <c r="D388" s="15">
        <v>70</v>
      </c>
      <c r="AX388" s="15"/>
      <c r="AY388" s="35">
        <f t="shared" si="129"/>
        <v>385</v>
      </c>
      <c r="AZ388" s="35" t="str">
        <f t="shared" si="130"/>
        <v>771+817</v>
      </c>
      <c r="BA388" s="35">
        <f t="shared" si="131"/>
        <v>70</v>
      </c>
      <c r="BB388" s="38">
        <f>COUNTIF($BA$4:$BA388,$BA388)</f>
        <v>3</v>
      </c>
      <c r="BC388" s="36" t="str">
        <f t="shared" si="132"/>
        <v/>
      </c>
      <c r="BD388" s="36" t="str">
        <f t="shared" si="133"/>
        <v/>
      </c>
      <c r="BE388" s="36" t="str">
        <f t="shared" si="134"/>
        <v/>
      </c>
      <c r="BF388" s="36" t="str">
        <f t="shared" si="135"/>
        <v/>
      </c>
      <c r="BG388" s="36" t="str">
        <f t="shared" si="136"/>
        <v>村</v>
      </c>
      <c r="BH388" s="36" t="str">
        <f t="shared" si="137"/>
        <v>村</v>
      </c>
      <c r="BI388" s="36" t="str">
        <f t="shared" si="138"/>
        <v/>
      </c>
      <c r="BJ388" s="29" t="str">
        <f t="shared" si="139"/>
        <v>村</v>
      </c>
    </row>
    <row r="389" spans="2:62" x14ac:dyDescent="0.15">
      <c r="B389" s="15">
        <v>386</v>
      </c>
      <c r="C389" s="15" t="s">
        <v>899</v>
      </c>
      <c r="D389" s="15">
        <v>112</v>
      </c>
      <c r="AX389" s="15"/>
      <c r="AY389" s="35">
        <f t="shared" ref="AY389:AY452" si="140">B389</f>
        <v>386</v>
      </c>
      <c r="AZ389" s="35" t="str">
        <f t="shared" ref="AZ389:AZ452" si="141">C389</f>
        <v>749+792</v>
      </c>
      <c r="BA389" s="35">
        <f t="shared" ref="BA389:BA452" si="142">D389</f>
        <v>112</v>
      </c>
      <c r="BB389" s="38">
        <f>COUNTIF($BA$4:$BA389,$BA389)</f>
        <v>3</v>
      </c>
      <c r="BC389" s="36" t="str">
        <f t="shared" ref="BC389:BC452" si="143">IFERROR(IF(LEFT(INDEX($G$4:$G$173,MATCH($AZ389,$I$4:$I$173,0)),1)="精","营",LEFT(INDEX($G$4:$G$173,MATCH($AZ389,$I$4:$I$173,0)),1)),"")</f>
        <v/>
      </c>
      <c r="BD389" s="36" t="str">
        <f t="shared" ref="BD389:BD452" si="144">IFERROR(IF(LEFT(INDEX($M$4:$M$173,MATCH($AZ389,$O$4:$O$173,0)),1)="精","营",LEFT(INDEX($M$4:$M$173,MATCH($AZ389,$O$4:$O$173,0)),1)),"")</f>
        <v/>
      </c>
      <c r="BE389" s="36" t="str">
        <f t="shared" ref="BE389:BE452" si="145">IFERROR(IF(LEFT(INDEX($S$4:$S$173,MATCH($AZ389,$U$4:$U$173,0)),1)="精","营",LEFT(INDEX($S$4:$S$173,MATCH($AZ389,$U$4:$U$173,0)),1)),"")</f>
        <v/>
      </c>
      <c r="BF389" s="36" t="str">
        <f t="shared" ref="BF389:BF452" si="146">IFERROR(IF(LEFT(INDEX($Y$4:$Y$173,MATCH($AZ389,$AA$4:$AA$173,0)),1)="精","营",LEFT(INDEX($Y$4:$Y$173,MATCH($AZ389,$AA$4:$AA$173,0)),1)),"")</f>
        <v/>
      </c>
      <c r="BG389" s="36" t="str">
        <f t="shared" ref="BG389:BG452" si="147">IFERROR(IF(LEFT(INDEX($AE$4:$AE$173,MATCH($AZ389,$AG$4:$AG$173,0)),1)="精","营",LEFT(INDEX($AE$4:$AE$173,MATCH($AZ389,$AG$4:$AG$173,0)),1)),"")</f>
        <v>村</v>
      </c>
      <c r="BH389" s="36" t="str">
        <f t="shared" ref="BH389:BH452" si="148">IFERROR(IF(LEFT(INDEX($AK$4:$AK$173,MATCH($AZ389,$AM$4:$AM$173,0)),1)="精","营",LEFT(INDEX($AK$4:$AK$173,MATCH($AZ389,$AM$4:$AM$173,0)),1)),"")</f>
        <v>村</v>
      </c>
      <c r="BI389" s="36" t="str">
        <f t="shared" ref="BI389:BI452" si="149">IFERROR(IF(LEFT(INDEX($AQ$4:$AQ$173,MATCH($AZ389,$AS$4:$AS$173,0)),1)="精","营",LEFT(INDEX($AQ$4:$AQ$173,MATCH($AZ389,$AS$4:$AS$173,0)),1)),"")</f>
        <v/>
      </c>
      <c r="BJ389" s="29" t="str">
        <f t="shared" ref="BJ389:BJ452" si="150">IF(BC389&lt;&gt;"",BC389,IF(BD389&lt;&gt;"",BD389,IF(BE389&lt;&gt;"",BE389,IF(BF389&lt;&gt;"",BF389,IF(BG389&lt;&gt;"",BG389,IF(BH389&lt;&gt;"",BH389,IF(BI389&lt;&gt;"",BI389,"")))))))</f>
        <v>村</v>
      </c>
    </row>
    <row r="390" spans="2:62" x14ac:dyDescent="0.15">
      <c r="B390" s="15">
        <v>387</v>
      </c>
      <c r="C390" s="15" t="s">
        <v>900</v>
      </c>
      <c r="D390" s="15">
        <v>112</v>
      </c>
      <c r="AX390" s="15"/>
      <c r="AY390" s="35">
        <f t="shared" si="140"/>
        <v>387</v>
      </c>
      <c r="AZ390" s="35" t="str">
        <f t="shared" si="141"/>
        <v>717+784</v>
      </c>
      <c r="BA390" s="35">
        <f t="shared" si="142"/>
        <v>112</v>
      </c>
      <c r="BB390" s="38">
        <f>COUNTIF($BA$4:$BA390,$BA390)</f>
        <v>4</v>
      </c>
      <c r="BC390" s="36" t="str">
        <f t="shared" si="143"/>
        <v/>
      </c>
      <c r="BD390" s="36" t="str">
        <f t="shared" si="144"/>
        <v/>
      </c>
      <c r="BE390" s="36" t="str">
        <f t="shared" si="145"/>
        <v/>
      </c>
      <c r="BF390" s="36" t="str">
        <f t="shared" si="146"/>
        <v/>
      </c>
      <c r="BG390" s="36" t="str">
        <f t="shared" si="147"/>
        <v>营</v>
      </c>
      <c r="BH390" s="36" t="str">
        <f t="shared" si="148"/>
        <v>营</v>
      </c>
      <c r="BI390" s="36" t="str">
        <f t="shared" si="149"/>
        <v/>
      </c>
      <c r="BJ390" s="29" t="str">
        <f t="shared" si="150"/>
        <v>营</v>
      </c>
    </row>
    <row r="391" spans="2:62" x14ac:dyDescent="0.15">
      <c r="B391" s="15">
        <v>388</v>
      </c>
      <c r="C391" s="15" t="s">
        <v>901</v>
      </c>
      <c r="D391" s="15">
        <v>111</v>
      </c>
      <c r="AX391" s="15"/>
      <c r="AY391" s="35">
        <f t="shared" si="140"/>
        <v>388</v>
      </c>
      <c r="AZ391" s="35" t="str">
        <f t="shared" si="141"/>
        <v>692+777</v>
      </c>
      <c r="BA391" s="35">
        <f t="shared" si="142"/>
        <v>111</v>
      </c>
      <c r="BB391" s="38">
        <f>COUNTIF($BA$4:$BA391,$BA391)</f>
        <v>2</v>
      </c>
      <c r="BC391" s="36" t="str">
        <f t="shared" si="143"/>
        <v/>
      </c>
      <c r="BD391" s="36" t="str">
        <f t="shared" si="144"/>
        <v/>
      </c>
      <c r="BE391" s="36" t="str">
        <f t="shared" si="145"/>
        <v/>
      </c>
      <c r="BF391" s="36" t="str">
        <f t="shared" si="146"/>
        <v/>
      </c>
      <c r="BG391" s="36" t="str">
        <f t="shared" si="147"/>
        <v>村</v>
      </c>
      <c r="BH391" s="36" t="str">
        <f t="shared" si="148"/>
        <v>村</v>
      </c>
      <c r="BI391" s="36" t="str">
        <f t="shared" si="149"/>
        <v/>
      </c>
      <c r="BJ391" s="29" t="str">
        <f t="shared" si="150"/>
        <v>村</v>
      </c>
    </row>
    <row r="392" spans="2:62" x14ac:dyDescent="0.15">
      <c r="B392" s="15">
        <v>389</v>
      </c>
      <c r="C392" s="15" t="s">
        <v>902</v>
      </c>
      <c r="D392" s="15">
        <v>111</v>
      </c>
      <c r="AX392" s="15"/>
      <c r="AY392" s="35">
        <f t="shared" si="140"/>
        <v>389</v>
      </c>
      <c r="AZ392" s="35" t="str">
        <f t="shared" si="141"/>
        <v>677+781</v>
      </c>
      <c r="BA392" s="35">
        <f t="shared" si="142"/>
        <v>111</v>
      </c>
      <c r="BB392" s="38">
        <f>COUNTIF($BA$4:$BA392,$BA392)</f>
        <v>3</v>
      </c>
      <c r="BC392" s="36" t="str">
        <f t="shared" si="143"/>
        <v/>
      </c>
      <c r="BD392" s="36" t="str">
        <f t="shared" si="144"/>
        <v/>
      </c>
      <c r="BE392" s="36" t="str">
        <f t="shared" si="145"/>
        <v/>
      </c>
      <c r="BF392" s="36" t="str">
        <f t="shared" si="146"/>
        <v/>
      </c>
      <c r="BG392" s="36" t="str">
        <f t="shared" si="147"/>
        <v>营</v>
      </c>
      <c r="BH392" s="36" t="str">
        <f t="shared" si="148"/>
        <v>营</v>
      </c>
      <c r="BI392" s="36" t="str">
        <f t="shared" si="149"/>
        <v/>
      </c>
      <c r="BJ392" s="29" t="str">
        <f t="shared" si="150"/>
        <v>营</v>
      </c>
    </row>
    <row r="393" spans="2:62" x14ac:dyDescent="0.15">
      <c r="B393" s="15">
        <v>390</v>
      </c>
      <c r="C393" s="15" t="s">
        <v>903</v>
      </c>
      <c r="D393" s="15">
        <v>111</v>
      </c>
      <c r="AX393" s="15"/>
      <c r="AY393" s="35">
        <f t="shared" si="140"/>
        <v>390</v>
      </c>
      <c r="AZ393" s="35" t="str">
        <f t="shared" si="141"/>
        <v>656+770</v>
      </c>
      <c r="BA393" s="35">
        <f t="shared" si="142"/>
        <v>111</v>
      </c>
      <c r="BB393" s="38">
        <f>COUNTIF($BA$4:$BA393,$BA393)</f>
        <v>4</v>
      </c>
      <c r="BC393" s="36" t="str">
        <f t="shared" si="143"/>
        <v/>
      </c>
      <c r="BD393" s="36" t="str">
        <f t="shared" si="144"/>
        <v/>
      </c>
      <c r="BE393" s="36" t="str">
        <f t="shared" si="145"/>
        <v/>
      </c>
      <c r="BF393" s="36" t="str">
        <f t="shared" si="146"/>
        <v/>
      </c>
      <c r="BG393" s="36" t="str">
        <f t="shared" si="147"/>
        <v>村</v>
      </c>
      <c r="BH393" s="36" t="str">
        <f t="shared" si="148"/>
        <v>村</v>
      </c>
      <c r="BI393" s="36" t="str">
        <f t="shared" si="149"/>
        <v>村</v>
      </c>
      <c r="BJ393" s="29" t="str">
        <f t="shared" si="150"/>
        <v>村</v>
      </c>
    </row>
    <row r="394" spans="2:62" x14ac:dyDescent="0.15">
      <c r="B394" s="15">
        <v>391</v>
      </c>
      <c r="C394" s="15" t="s">
        <v>904</v>
      </c>
      <c r="D394" s="15">
        <v>84</v>
      </c>
      <c r="AX394" s="15"/>
      <c r="AY394" s="35">
        <f t="shared" si="140"/>
        <v>391</v>
      </c>
      <c r="AZ394" s="35" t="str">
        <f t="shared" si="141"/>
        <v>633+792</v>
      </c>
      <c r="BA394" s="35">
        <f t="shared" si="142"/>
        <v>84</v>
      </c>
      <c r="BB394" s="38">
        <f>COUNTIF($BA$4:$BA394,$BA394)</f>
        <v>2</v>
      </c>
      <c r="BC394" s="36" t="str">
        <f t="shared" si="143"/>
        <v/>
      </c>
      <c r="BD394" s="36" t="str">
        <f t="shared" si="144"/>
        <v/>
      </c>
      <c r="BE394" s="36" t="str">
        <f t="shared" si="145"/>
        <v/>
      </c>
      <c r="BF394" s="36" t="str">
        <f t="shared" si="146"/>
        <v/>
      </c>
      <c r="BG394" s="36" t="str">
        <f t="shared" si="147"/>
        <v>营</v>
      </c>
      <c r="BH394" s="36" t="str">
        <f t="shared" si="148"/>
        <v>营</v>
      </c>
      <c r="BI394" s="36" t="str">
        <f t="shared" si="149"/>
        <v/>
      </c>
      <c r="BJ394" s="29" t="str">
        <f t="shared" si="150"/>
        <v>营</v>
      </c>
    </row>
    <row r="395" spans="2:62" x14ac:dyDescent="0.15">
      <c r="B395" s="15">
        <v>392</v>
      </c>
      <c r="C395" s="15" t="s">
        <v>905</v>
      </c>
      <c r="D395" s="15">
        <v>83</v>
      </c>
      <c r="AX395" s="15"/>
      <c r="AY395" s="35">
        <f t="shared" si="140"/>
        <v>392</v>
      </c>
      <c r="AZ395" s="35" t="str">
        <f t="shared" si="141"/>
        <v>615+836</v>
      </c>
      <c r="BA395" s="35">
        <f t="shared" si="142"/>
        <v>83</v>
      </c>
      <c r="BB395" s="38">
        <f>COUNTIF($BA$4:$BA395,$BA395)</f>
        <v>2</v>
      </c>
      <c r="BC395" s="36" t="str">
        <f t="shared" si="143"/>
        <v/>
      </c>
      <c r="BD395" s="36" t="str">
        <f t="shared" si="144"/>
        <v/>
      </c>
      <c r="BE395" s="36" t="str">
        <f t="shared" si="145"/>
        <v/>
      </c>
      <c r="BF395" s="36" t="str">
        <f t="shared" si="146"/>
        <v/>
      </c>
      <c r="BG395" s="36" t="str">
        <f t="shared" si="147"/>
        <v>县</v>
      </c>
      <c r="BH395" s="36" t="str">
        <f t="shared" si="148"/>
        <v>县</v>
      </c>
      <c r="BI395" s="36" t="str">
        <f t="shared" si="149"/>
        <v/>
      </c>
      <c r="BJ395" s="29" t="str">
        <f t="shared" si="150"/>
        <v>县</v>
      </c>
    </row>
    <row r="396" spans="2:62" x14ac:dyDescent="0.15">
      <c r="B396" s="15">
        <v>393</v>
      </c>
      <c r="C396" s="15" t="s">
        <v>906</v>
      </c>
      <c r="D396" s="15">
        <v>84</v>
      </c>
      <c r="AX396" s="15"/>
      <c r="AY396" s="35">
        <f t="shared" si="140"/>
        <v>393</v>
      </c>
      <c r="AZ396" s="35" t="str">
        <f t="shared" si="141"/>
        <v>612+781</v>
      </c>
      <c r="BA396" s="35">
        <f t="shared" si="142"/>
        <v>84</v>
      </c>
      <c r="BB396" s="38">
        <f>COUNTIF($BA$4:$BA396,$BA396)</f>
        <v>3</v>
      </c>
      <c r="BC396" s="36" t="str">
        <f t="shared" si="143"/>
        <v/>
      </c>
      <c r="BD396" s="36" t="str">
        <f t="shared" si="144"/>
        <v/>
      </c>
      <c r="BE396" s="36" t="str">
        <f t="shared" si="145"/>
        <v/>
      </c>
      <c r="BF396" s="36" t="str">
        <f t="shared" si="146"/>
        <v/>
      </c>
      <c r="BG396" s="36" t="str">
        <f t="shared" si="147"/>
        <v>村</v>
      </c>
      <c r="BH396" s="36" t="str">
        <f t="shared" si="148"/>
        <v>村</v>
      </c>
      <c r="BI396" s="36" t="str">
        <f t="shared" si="149"/>
        <v>村</v>
      </c>
      <c r="BJ396" s="29" t="str">
        <f t="shared" si="150"/>
        <v>村</v>
      </c>
    </row>
    <row r="397" spans="2:62" x14ac:dyDescent="0.15">
      <c r="B397" s="15">
        <v>394</v>
      </c>
      <c r="C397" s="15" t="s">
        <v>907</v>
      </c>
      <c r="D397" s="15">
        <v>83</v>
      </c>
      <c r="AX397" s="15"/>
      <c r="AY397" s="35">
        <f t="shared" si="140"/>
        <v>394</v>
      </c>
      <c r="AZ397" s="35" t="str">
        <f t="shared" si="141"/>
        <v>591+799</v>
      </c>
      <c r="BA397" s="35">
        <f t="shared" si="142"/>
        <v>83</v>
      </c>
      <c r="BB397" s="38">
        <f>COUNTIF($BA$4:$BA397,$BA397)</f>
        <v>3</v>
      </c>
      <c r="BC397" s="36" t="str">
        <f t="shared" si="143"/>
        <v/>
      </c>
      <c r="BD397" s="36" t="str">
        <f t="shared" si="144"/>
        <v/>
      </c>
      <c r="BE397" s="36" t="str">
        <f t="shared" si="145"/>
        <v>营</v>
      </c>
      <c r="BF397" s="36" t="str">
        <f t="shared" si="146"/>
        <v/>
      </c>
      <c r="BG397" s="36" t="str">
        <f t="shared" si="147"/>
        <v>营</v>
      </c>
      <c r="BH397" s="36" t="str">
        <f t="shared" si="148"/>
        <v>营</v>
      </c>
      <c r="BI397" s="36" t="str">
        <f t="shared" si="149"/>
        <v>营</v>
      </c>
      <c r="BJ397" s="29" t="str">
        <f t="shared" si="150"/>
        <v>营</v>
      </c>
    </row>
    <row r="398" spans="2:62" x14ac:dyDescent="0.15">
      <c r="B398" s="15">
        <v>395</v>
      </c>
      <c r="C398" s="15" t="s">
        <v>908</v>
      </c>
      <c r="D398" s="15">
        <v>80</v>
      </c>
      <c r="AX398" s="15"/>
      <c r="AY398" s="35">
        <f t="shared" si="140"/>
        <v>395</v>
      </c>
      <c r="AZ398" s="35" t="str">
        <f t="shared" si="141"/>
        <v>574+827</v>
      </c>
      <c r="BA398" s="35">
        <f t="shared" si="142"/>
        <v>80</v>
      </c>
      <c r="BB398" s="38">
        <f>COUNTIF($BA$4:$BA398,$BA398)</f>
        <v>1</v>
      </c>
      <c r="BC398" s="36" t="str">
        <f t="shared" si="143"/>
        <v/>
      </c>
      <c r="BD398" s="36" t="str">
        <f t="shared" si="144"/>
        <v/>
      </c>
      <c r="BE398" s="36" t="str">
        <f t="shared" si="145"/>
        <v/>
      </c>
      <c r="BF398" s="36" t="str">
        <f t="shared" si="146"/>
        <v/>
      </c>
      <c r="BG398" s="36" t="str">
        <f t="shared" si="147"/>
        <v>村</v>
      </c>
      <c r="BH398" s="36" t="str">
        <f t="shared" si="148"/>
        <v>村</v>
      </c>
      <c r="BI398" s="36" t="str">
        <f t="shared" si="149"/>
        <v>村</v>
      </c>
      <c r="BJ398" s="29" t="str">
        <f t="shared" si="150"/>
        <v>村</v>
      </c>
    </row>
    <row r="399" spans="2:62" x14ac:dyDescent="0.15">
      <c r="B399" s="15">
        <v>396</v>
      </c>
      <c r="C399" s="15" t="s">
        <v>909</v>
      </c>
      <c r="D399" s="15">
        <v>80</v>
      </c>
      <c r="AX399" s="15"/>
      <c r="AY399" s="35">
        <f t="shared" si="140"/>
        <v>396</v>
      </c>
      <c r="AZ399" s="35" t="str">
        <f t="shared" si="141"/>
        <v>569+866</v>
      </c>
      <c r="BA399" s="35">
        <f t="shared" si="142"/>
        <v>80</v>
      </c>
      <c r="BB399" s="38">
        <f>COUNTIF($BA$4:$BA399,$BA399)</f>
        <v>2</v>
      </c>
      <c r="BC399" s="36" t="str">
        <f t="shared" si="143"/>
        <v/>
      </c>
      <c r="BD399" s="36" t="str">
        <f t="shared" si="144"/>
        <v/>
      </c>
      <c r="BE399" s="36" t="str">
        <f t="shared" si="145"/>
        <v/>
      </c>
      <c r="BF399" s="36" t="str">
        <f t="shared" si="146"/>
        <v/>
      </c>
      <c r="BG399" s="36" t="str">
        <f t="shared" si="147"/>
        <v>村</v>
      </c>
      <c r="BH399" s="36" t="str">
        <f t="shared" si="148"/>
        <v>村</v>
      </c>
      <c r="BI399" s="36" t="str">
        <f t="shared" si="149"/>
        <v/>
      </c>
      <c r="BJ399" s="29" t="str">
        <f t="shared" si="150"/>
        <v>村</v>
      </c>
    </row>
    <row r="400" spans="2:62" x14ac:dyDescent="0.15">
      <c r="B400" s="15">
        <v>397</v>
      </c>
      <c r="C400" s="15" t="s">
        <v>910</v>
      </c>
      <c r="D400" s="15">
        <v>125</v>
      </c>
      <c r="AX400" s="15"/>
      <c r="AY400" s="35">
        <f t="shared" si="140"/>
        <v>397</v>
      </c>
      <c r="AZ400" s="35" t="str">
        <f t="shared" si="141"/>
        <v>548+892</v>
      </c>
      <c r="BA400" s="35">
        <f t="shared" si="142"/>
        <v>125</v>
      </c>
      <c r="BB400" s="38">
        <f>COUNTIF($BA$4:$BA400,$BA400)</f>
        <v>3</v>
      </c>
      <c r="BC400" s="36" t="str">
        <f t="shared" si="143"/>
        <v/>
      </c>
      <c r="BD400" s="36" t="str">
        <f t="shared" si="144"/>
        <v/>
      </c>
      <c r="BE400" s="36" t="str">
        <f t="shared" si="145"/>
        <v/>
      </c>
      <c r="BF400" s="36" t="str">
        <f t="shared" si="146"/>
        <v/>
      </c>
      <c r="BG400" s="36" t="str">
        <f t="shared" si="147"/>
        <v>村</v>
      </c>
      <c r="BH400" s="36" t="str">
        <f t="shared" si="148"/>
        <v>村</v>
      </c>
      <c r="BI400" s="36" t="str">
        <f t="shared" si="149"/>
        <v/>
      </c>
      <c r="BJ400" s="29" t="str">
        <f t="shared" si="150"/>
        <v>村</v>
      </c>
    </row>
    <row r="401" spans="2:62" x14ac:dyDescent="0.15">
      <c r="B401" s="15">
        <v>398</v>
      </c>
      <c r="C401" s="15" t="s">
        <v>911</v>
      </c>
      <c r="D401" s="15">
        <v>125</v>
      </c>
      <c r="AX401" s="15"/>
      <c r="AY401" s="35">
        <f t="shared" si="140"/>
        <v>398</v>
      </c>
      <c r="AZ401" s="35" t="str">
        <f t="shared" si="141"/>
        <v>555+860</v>
      </c>
      <c r="BA401" s="35">
        <f t="shared" si="142"/>
        <v>125</v>
      </c>
      <c r="BB401" s="38">
        <f>COUNTIF($BA$4:$BA401,$BA401)</f>
        <v>4</v>
      </c>
      <c r="BC401" s="36" t="str">
        <f t="shared" si="143"/>
        <v/>
      </c>
      <c r="BD401" s="36" t="str">
        <f t="shared" si="144"/>
        <v/>
      </c>
      <c r="BE401" s="36" t="str">
        <f t="shared" si="145"/>
        <v/>
      </c>
      <c r="BF401" s="36" t="str">
        <f t="shared" si="146"/>
        <v/>
      </c>
      <c r="BG401" s="36" t="str">
        <f t="shared" si="147"/>
        <v>营</v>
      </c>
      <c r="BH401" s="36" t="str">
        <f t="shared" si="148"/>
        <v>营</v>
      </c>
      <c r="BI401" s="36" t="str">
        <f t="shared" si="149"/>
        <v>营</v>
      </c>
      <c r="BJ401" s="29" t="str">
        <f t="shared" si="150"/>
        <v>营</v>
      </c>
    </row>
    <row r="402" spans="2:62" x14ac:dyDescent="0.15">
      <c r="B402" s="15">
        <v>399</v>
      </c>
      <c r="C402" s="15" t="s">
        <v>912</v>
      </c>
      <c r="D402" s="15">
        <v>125</v>
      </c>
      <c r="AX402" s="15"/>
      <c r="AY402" s="35">
        <f t="shared" si="140"/>
        <v>399</v>
      </c>
      <c r="AZ402" s="35" t="str">
        <f t="shared" si="141"/>
        <v>538+876</v>
      </c>
      <c r="BA402" s="35">
        <f t="shared" si="142"/>
        <v>125</v>
      </c>
      <c r="BB402" s="38">
        <f>COUNTIF($BA$4:$BA402,$BA402)</f>
        <v>5</v>
      </c>
      <c r="BC402" s="36" t="str">
        <f t="shared" si="143"/>
        <v/>
      </c>
      <c r="BD402" s="36" t="str">
        <f t="shared" si="144"/>
        <v/>
      </c>
      <c r="BE402" s="36" t="str">
        <f t="shared" si="145"/>
        <v/>
      </c>
      <c r="BF402" s="36" t="str">
        <f t="shared" si="146"/>
        <v/>
      </c>
      <c r="BG402" s="36" t="str">
        <f t="shared" si="147"/>
        <v>营</v>
      </c>
      <c r="BH402" s="36" t="str">
        <f t="shared" si="148"/>
        <v>营</v>
      </c>
      <c r="BI402" s="36" t="str">
        <f t="shared" si="149"/>
        <v/>
      </c>
      <c r="BJ402" s="29" t="str">
        <f t="shared" si="150"/>
        <v>营</v>
      </c>
    </row>
    <row r="403" spans="2:62" x14ac:dyDescent="0.15">
      <c r="B403" s="15">
        <v>400</v>
      </c>
      <c r="C403" s="15" t="s">
        <v>913</v>
      </c>
      <c r="D403" s="15">
        <v>124</v>
      </c>
      <c r="AX403" s="15"/>
      <c r="AY403" s="35">
        <f t="shared" si="140"/>
        <v>400</v>
      </c>
      <c r="AZ403" s="35" t="str">
        <f t="shared" si="141"/>
        <v>516+883</v>
      </c>
      <c r="BA403" s="35">
        <f t="shared" si="142"/>
        <v>124</v>
      </c>
      <c r="BB403" s="38">
        <f>COUNTIF($BA$4:$BA403,$BA403)</f>
        <v>1</v>
      </c>
      <c r="BC403" s="36" t="str">
        <f t="shared" si="143"/>
        <v/>
      </c>
      <c r="BD403" s="36" t="str">
        <f t="shared" si="144"/>
        <v/>
      </c>
      <c r="BE403" s="36" t="str">
        <f t="shared" si="145"/>
        <v/>
      </c>
      <c r="BF403" s="36" t="str">
        <f t="shared" si="146"/>
        <v/>
      </c>
      <c r="BG403" s="36" t="str">
        <f t="shared" si="147"/>
        <v>村</v>
      </c>
      <c r="BH403" s="36" t="str">
        <f t="shared" si="148"/>
        <v>村</v>
      </c>
      <c r="BI403" s="36" t="str">
        <f t="shared" si="149"/>
        <v/>
      </c>
      <c r="BJ403" s="29" t="str">
        <f t="shared" si="150"/>
        <v>村</v>
      </c>
    </row>
    <row r="404" spans="2:62" x14ac:dyDescent="0.15">
      <c r="B404" s="15">
        <v>401</v>
      </c>
      <c r="C404" s="15" t="s">
        <v>914</v>
      </c>
      <c r="D404" s="15">
        <v>124</v>
      </c>
      <c r="AX404" s="15"/>
      <c r="AY404" s="35">
        <f t="shared" si="140"/>
        <v>401</v>
      </c>
      <c r="AZ404" s="35" t="str">
        <f t="shared" si="141"/>
        <v>478+869</v>
      </c>
      <c r="BA404" s="35">
        <f t="shared" si="142"/>
        <v>124</v>
      </c>
      <c r="BB404" s="38">
        <f>COUNTIF($BA$4:$BA404,$BA404)</f>
        <v>2</v>
      </c>
      <c r="BC404" s="36" t="str">
        <f t="shared" si="143"/>
        <v/>
      </c>
      <c r="BD404" s="36" t="str">
        <f t="shared" si="144"/>
        <v/>
      </c>
      <c r="BE404" s="36" t="str">
        <f t="shared" si="145"/>
        <v/>
      </c>
      <c r="BF404" s="36" t="str">
        <f t="shared" si="146"/>
        <v/>
      </c>
      <c r="BG404" s="36" t="str">
        <f t="shared" si="147"/>
        <v>村</v>
      </c>
      <c r="BH404" s="36" t="str">
        <f t="shared" si="148"/>
        <v>村</v>
      </c>
      <c r="BI404" s="36" t="str">
        <f t="shared" si="149"/>
        <v>村</v>
      </c>
      <c r="BJ404" s="29" t="str">
        <f t="shared" si="150"/>
        <v>村</v>
      </c>
    </row>
    <row r="405" spans="2:62" x14ac:dyDescent="0.15">
      <c r="B405" s="15">
        <v>402</v>
      </c>
      <c r="C405" s="15" t="s">
        <v>915</v>
      </c>
      <c r="D405" s="15">
        <v>124</v>
      </c>
      <c r="AX405" s="15"/>
      <c r="AY405" s="35">
        <f t="shared" si="140"/>
        <v>402</v>
      </c>
      <c r="AZ405" s="35" t="str">
        <f t="shared" si="141"/>
        <v>471+842</v>
      </c>
      <c r="BA405" s="35">
        <f t="shared" si="142"/>
        <v>124</v>
      </c>
      <c r="BB405" s="38">
        <f>COUNTIF($BA$4:$BA405,$BA405)</f>
        <v>3</v>
      </c>
      <c r="BC405" s="36" t="str">
        <f t="shared" si="143"/>
        <v/>
      </c>
      <c r="BD405" s="36" t="str">
        <f t="shared" si="144"/>
        <v/>
      </c>
      <c r="BE405" s="36" t="str">
        <f t="shared" si="145"/>
        <v/>
      </c>
      <c r="BF405" s="36" t="str">
        <f t="shared" si="146"/>
        <v/>
      </c>
      <c r="BG405" s="36" t="str">
        <f t="shared" si="147"/>
        <v>营</v>
      </c>
      <c r="BH405" s="36" t="str">
        <f t="shared" si="148"/>
        <v>营</v>
      </c>
      <c r="BI405" s="36" t="str">
        <f t="shared" si="149"/>
        <v>营</v>
      </c>
      <c r="BJ405" s="29" t="str">
        <f t="shared" si="150"/>
        <v>营</v>
      </c>
    </row>
    <row r="406" spans="2:62" x14ac:dyDescent="0.15">
      <c r="B406" s="15">
        <v>403</v>
      </c>
      <c r="C406" s="15" t="s">
        <v>916</v>
      </c>
      <c r="D406" s="15">
        <v>126</v>
      </c>
      <c r="AX406" s="15"/>
      <c r="AY406" s="35">
        <f t="shared" si="140"/>
        <v>403</v>
      </c>
      <c r="AZ406" s="35" t="str">
        <f t="shared" si="141"/>
        <v>544+784</v>
      </c>
      <c r="BA406" s="35">
        <f t="shared" si="142"/>
        <v>126</v>
      </c>
      <c r="BB406" s="38">
        <f>COUNTIF($BA$4:$BA406,$BA406)</f>
        <v>4</v>
      </c>
      <c r="BC406" s="36" t="str">
        <f t="shared" si="143"/>
        <v/>
      </c>
      <c r="BD406" s="36" t="str">
        <f t="shared" si="144"/>
        <v/>
      </c>
      <c r="BE406" s="36" t="str">
        <f t="shared" si="145"/>
        <v/>
      </c>
      <c r="BF406" s="36" t="str">
        <f t="shared" si="146"/>
        <v/>
      </c>
      <c r="BG406" s="36" t="str">
        <f t="shared" si="147"/>
        <v>村</v>
      </c>
      <c r="BH406" s="36" t="str">
        <f t="shared" si="148"/>
        <v/>
      </c>
      <c r="BI406" s="36" t="str">
        <f t="shared" si="149"/>
        <v>村</v>
      </c>
      <c r="BJ406" s="29" t="str">
        <f t="shared" si="150"/>
        <v>村</v>
      </c>
    </row>
    <row r="407" spans="2:62" x14ac:dyDescent="0.15">
      <c r="B407" s="15">
        <v>404</v>
      </c>
      <c r="C407" s="15" t="s">
        <v>917</v>
      </c>
      <c r="D407" s="15">
        <v>134</v>
      </c>
      <c r="AX407" s="15"/>
      <c r="AY407" s="35">
        <f t="shared" si="140"/>
        <v>404</v>
      </c>
      <c r="AZ407" s="35" t="str">
        <f t="shared" si="141"/>
        <v>569+758</v>
      </c>
      <c r="BA407" s="35">
        <f t="shared" si="142"/>
        <v>134</v>
      </c>
      <c r="BB407" s="38">
        <f>COUNTIF($BA$4:$BA407,$BA407)</f>
        <v>4</v>
      </c>
      <c r="BC407" s="36" t="str">
        <f t="shared" si="143"/>
        <v/>
      </c>
      <c r="BD407" s="36" t="str">
        <f t="shared" si="144"/>
        <v/>
      </c>
      <c r="BE407" s="36" t="str">
        <f t="shared" si="145"/>
        <v/>
      </c>
      <c r="BF407" s="36" t="str">
        <f t="shared" si="146"/>
        <v/>
      </c>
      <c r="BG407" s="36" t="str">
        <f t="shared" si="147"/>
        <v>村</v>
      </c>
      <c r="BH407" s="36" t="str">
        <f t="shared" si="148"/>
        <v>村</v>
      </c>
      <c r="BI407" s="36" t="str">
        <f t="shared" si="149"/>
        <v>村</v>
      </c>
      <c r="BJ407" s="29" t="str">
        <f t="shared" si="150"/>
        <v>村</v>
      </c>
    </row>
    <row r="408" spans="2:62" x14ac:dyDescent="0.15">
      <c r="B408" s="15">
        <v>405</v>
      </c>
      <c r="C408" s="15" t="s">
        <v>918</v>
      </c>
      <c r="D408" s="15">
        <v>125</v>
      </c>
      <c r="AX408" s="15"/>
      <c r="AY408" s="35">
        <f t="shared" si="140"/>
        <v>405</v>
      </c>
      <c r="AZ408" s="35" t="str">
        <f t="shared" si="141"/>
        <v>493+823</v>
      </c>
      <c r="BA408" s="35">
        <f t="shared" si="142"/>
        <v>125</v>
      </c>
      <c r="BB408" s="38">
        <f>COUNTIF($BA$4:$BA408,$BA408)</f>
        <v>6</v>
      </c>
      <c r="BC408" s="36" t="str">
        <f t="shared" si="143"/>
        <v/>
      </c>
      <c r="BD408" s="36" t="str">
        <f t="shared" si="144"/>
        <v/>
      </c>
      <c r="BE408" s="36" t="str">
        <f t="shared" si="145"/>
        <v/>
      </c>
      <c r="BF408" s="36" t="str">
        <f t="shared" si="146"/>
        <v/>
      </c>
      <c r="BG408" s="36" t="str">
        <f t="shared" si="147"/>
        <v>村</v>
      </c>
      <c r="BH408" s="36" t="str">
        <f t="shared" si="148"/>
        <v>村</v>
      </c>
      <c r="BI408" s="36" t="str">
        <f t="shared" si="149"/>
        <v>村</v>
      </c>
      <c r="BJ408" s="29" t="str">
        <f t="shared" si="150"/>
        <v>村</v>
      </c>
    </row>
    <row r="409" spans="2:62" x14ac:dyDescent="0.15">
      <c r="B409" s="15">
        <v>406</v>
      </c>
      <c r="C409" s="15" t="s">
        <v>919</v>
      </c>
      <c r="D409" s="15">
        <v>134</v>
      </c>
      <c r="AX409" s="15"/>
      <c r="AY409" s="35">
        <f t="shared" si="140"/>
        <v>406</v>
      </c>
      <c r="AZ409" s="35" t="str">
        <f t="shared" si="141"/>
        <v>544+767</v>
      </c>
      <c r="BA409" s="35">
        <f t="shared" si="142"/>
        <v>134</v>
      </c>
      <c r="BB409" s="38">
        <f>COUNTIF($BA$4:$BA409,$BA409)</f>
        <v>5</v>
      </c>
      <c r="BC409" s="36" t="str">
        <f t="shared" si="143"/>
        <v/>
      </c>
      <c r="BD409" s="36" t="str">
        <f t="shared" si="144"/>
        <v/>
      </c>
      <c r="BE409" s="36" t="str">
        <f t="shared" si="145"/>
        <v/>
      </c>
      <c r="BF409" s="36" t="str">
        <f t="shared" si="146"/>
        <v/>
      </c>
      <c r="BG409" s="36" t="str">
        <f t="shared" si="147"/>
        <v>营</v>
      </c>
      <c r="BH409" s="36" t="str">
        <f t="shared" si="148"/>
        <v>营</v>
      </c>
      <c r="BI409" s="36" t="str">
        <f t="shared" si="149"/>
        <v/>
      </c>
      <c r="BJ409" s="29" t="str">
        <f t="shared" si="150"/>
        <v>营</v>
      </c>
    </row>
    <row r="410" spans="2:62" x14ac:dyDescent="0.15">
      <c r="B410" s="15">
        <v>407</v>
      </c>
      <c r="C410" s="15" t="s">
        <v>920</v>
      </c>
      <c r="D410" s="15">
        <v>131</v>
      </c>
      <c r="AX410" s="15"/>
      <c r="AY410" s="35">
        <f t="shared" si="140"/>
        <v>407</v>
      </c>
      <c r="AZ410" s="35" t="str">
        <f t="shared" si="141"/>
        <v>285+716</v>
      </c>
      <c r="BA410" s="35">
        <f t="shared" si="142"/>
        <v>131</v>
      </c>
      <c r="BB410" s="38">
        <f>COUNTIF($BA$4:$BA410,$BA410)</f>
        <v>1</v>
      </c>
      <c r="BC410" s="36" t="str">
        <f t="shared" si="143"/>
        <v/>
      </c>
      <c r="BD410" s="36" t="str">
        <f t="shared" si="144"/>
        <v/>
      </c>
      <c r="BE410" s="36" t="str">
        <f t="shared" si="145"/>
        <v/>
      </c>
      <c r="BF410" s="36" t="str">
        <f t="shared" si="146"/>
        <v/>
      </c>
      <c r="BG410" s="36" t="str">
        <f t="shared" si="147"/>
        <v/>
      </c>
      <c r="BH410" s="36" t="str">
        <f t="shared" si="148"/>
        <v>营</v>
      </c>
      <c r="BI410" s="36" t="str">
        <f t="shared" si="149"/>
        <v/>
      </c>
      <c r="BJ410" s="29" t="str">
        <f t="shared" si="150"/>
        <v>营</v>
      </c>
    </row>
    <row r="411" spans="2:62" x14ac:dyDescent="0.15">
      <c r="B411" s="15">
        <v>408</v>
      </c>
      <c r="C411" s="15" t="s">
        <v>921</v>
      </c>
      <c r="D411" s="15">
        <v>112</v>
      </c>
      <c r="AX411" s="15"/>
      <c r="AY411" s="35">
        <f t="shared" si="140"/>
        <v>408</v>
      </c>
      <c r="AZ411" s="35" t="str">
        <f t="shared" si="141"/>
        <v>738+792</v>
      </c>
      <c r="BA411" s="35">
        <f t="shared" si="142"/>
        <v>112</v>
      </c>
      <c r="BB411" s="38">
        <f>COUNTIF($BA$4:$BA411,$BA411)</f>
        <v>5</v>
      </c>
      <c r="BC411" s="36" t="str">
        <f t="shared" si="143"/>
        <v/>
      </c>
      <c r="BD411" s="36" t="str">
        <f t="shared" si="144"/>
        <v/>
      </c>
      <c r="BE411" s="36" t="str">
        <f t="shared" si="145"/>
        <v/>
      </c>
      <c r="BF411" s="36" t="str">
        <f t="shared" si="146"/>
        <v/>
      </c>
      <c r="BG411" s="36" t="str">
        <f t="shared" si="147"/>
        <v>村</v>
      </c>
      <c r="BH411" s="36" t="str">
        <f t="shared" si="148"/>
        <v>村</v>
      </c>
      <c r="BI411" s="36" t="str">
        <f t="shared" si="149"/>
        <v/>
      </c>
      <c r="BJ411" s="29" t="str">
        <f t="shared" si="150"/>
        <v>村</v>
      </c>
    </row>
    <row r="412" spans="2:62" x14ac:dyDescent="0.15">
      <c r="B412" s="15">
        <v>409</v>
      </c>
      <c r="C412" s="15" t="s">
        <v>922</v>
      </c>
      <c r="D412" s="15">
        <v>78</v>
      </c>
      <c r="AX412" s="15"/>
      <c r="AY412" s="35">
        <f t="shared" si="140"/>
        <v>409</v>
      </c>
      <c r="AZ412" s="35" t="str">
        <f t="shared" si="141"/>
        <v>660+861</v>
      </c>
      <c r="BA412" s="35">
        <f t="shared" si="142"/>
        <v>78</v>
      </c>
      <c r="BB412" s="38">
        <f>COUNTIF($BA$4:$BA412,$BA412)</f>
        <v>3</v>
      </c>
      <c r="BC412" s="36" t="str">
        <f t="shared" si="143"/>
        <v/>
      </c>
      <c r="BD412" s="36" t="str">
        <f t="shared" si="144"/>
        <v/>
      </c>
      <c r="BE412" s="36" t="str">
        <f t="shared" si="145"/>
        <v/>
      </c>
      <c r="BF412" s="36" t="str">
        <f t="shared" si="146"/>
        <v/>
      </c>
      <c r="BG412" s="36" t="str">
        <f t="shared" si="147"/>
        <v>村</v>
      </c>
      <c r="BH412" s="36" t="str">
        <f t="shared" si="148"/>
        <v/>
      </c>
      <c r="BI412" s="36" t="str">
        <f t="shared" si="149"/>
        <v/>
      </c>
      <c r="BJ412" s="29" t="str">
        <f t="shared" si="150"/>
        <v>村</v>
      </c>
    </row>
    <row r="413" spans="2:62" x14ac:dyDescent="0.15">
      <c r="B413" s="15">
        <v>410</v>
      </c>
      <c r="C413" s="15" t="s">
        <v>923</v>
      </c>
      <c r="D413" s="15">
        <v>111</v>
      </c>
      <c r="AX413" s="15"/>
      <c r="AY413" s="35">
        <f t="shared" si="140"/>
        <v>410</v>
      </c>
      <c r="AZ413" s="35" t="str">
        <f t="shared" si="141"/>
        <v>701+794</v>
      </c>
      <c r="BA413" s="35">
        <f t="shared" si="142"/>
        <v>111</v>
      </c>
      <c r="BB413" s="38">
        <f>COUNTIF($BA$4:$BA413,$BA413)</f>
        <v>5</v>
      </c>
      <c r="BC413" s="36" t="str">
        <f t="shared" si="143"/>
        <v/>
      </c>
      <c r="BD413" s="36" t="str">
        <f t="shared" si="144"/>
        <v/>
      </c>
      <c r="BE413" s="36" t="str">
        <f t="shared" si="145"/>
        <v/>
      </c>
      <c r="BF413" s="36" t="str">
        <f t="shared" si="146"/>
        <v/>
      </c>
      <c r="BG413" s="36" t="str">
        <f t="shared" si="147"/>
        <v>村</v>
      </c>
      <c r="BH413" s="36" t="str">
        <f t="shared" si="148"/>
        <v/>
      </c>
      <c r="BI413" s="36" t="str">
        <f t="shared" si="149"/>
        <v/>
      </c>
      <c r="BJ413" s="29" t="str">
        <f t="shared" si="150"/>
        <v>村</v>
      </c>
    </row>
    <row r="414" spans="2:62" x14ac:dyDescent="0.15">
      <c r="B414" s="15">
        <v>411</v>
      </c>
      <c r="C414" s="15" t="s">
        <v>924</v>
      </c>
      <c r="D414" s="15">
        <v>79</v>
      </c>
      <c r="AX414" s="15"/>
      <c r="AY414" s="35">
        <f t="shared" si="140"/>
        <v>411</v>
      </c>
      <c r="AZ414" s="35" t="str">
        <f t="shared" si="141"/>
        <v>672+802</v>
      </c>
      <c r="BA414" s="35">
        <f t="shared" si="142"/>
        <v>79</v>
      </c>
      <c r="BB414" s="38">
        <f>COUNTIF($BA$4:$BA414,$BA414)</f>
        <v>5</v>
      </c>
      <c r="BC414" s="36" t="str">
        <f t="shared" si="143"/>
        <v/>
      </c>
      <c r="BD414" s="36" t="str">
        <f t="shared" si="144"/>
        <v/>
      </c>
      <c r="BE414" s="36" t="str">
        <f t="shared" si="145"/>
        <v/>
      </c>
      <c r="BF414" s="36" t="str">
        <f t="shared" si="146"/>
        <v/>
      </c>
      <c r="BG414" s="36" t="str">
        <f t="shared" si="147"/>
        <v>营</v>
      </c>
      <c r="BH414" s="36" t="str">
        <f t="shared" si="148"/>
        <v/>
      </c>
      <c r="BI414" s="36" t="str">
        <f t="shared" si="149"/>
        <v/>
      </c>
      <c r="BJ414" s="29" t="str">
        <f t="shared" si="150"/>
        <v>营</v>
      </c>
    </row>
    <row r="415" spans="2:62" x14ac:dyDescent="0.15">
      <c r="B415" s="15">
        <v>412</v>
      </c>
      <c r="C415" s="15" t="s">
        <v>925</v>
      </c>
      <c r="D415" s="15">
        <v>78</v>
      </c>
      <c r="AX415" s="15"/>
      <c r="AY415" s="35">
        <f t="shared" si="140"/>
        <v>412</v>
      </c>
      <c r="AZ415" s="35" t="str">
        <f t="shared" si="141"/>
        <v>659+856</v>
      </c>
      <c r="BA415" s="35">
        <f t="shared" si="142"/>
        <v>78</v>
      </c>
      <c r="BB415" s="38">
        <f>COUNTIF($BA$4:$BA415,$BA415)</f>
        <v>4</v>
      </c>
      <c r="BC415" s="36" t="str">
        <f t="shared" si="143"/>
        <v/>
      </c>
      <c r="BD415" s="36" t="str">
        <f t="shared" si="144"/>
        <v/>
      </c>
      <c r="BE415" s="36" t="str">
        <f t="shared" si="145"/>
        <v/>
      </c>
      <c r="BF415" s="36" t="str">
        <f t="shared" si="146"/>
        <v/>
      </c>
      <c r="BG415" s="36" t="str">
        <f t="shared" si="147"/>
        <v/>
      </c>
      <c r="BH415" s="36" t="str">
        <f t="shared" si="148"/>
        <v>村</v>
      </c>
      <c r="BI415" s="36" t="str">
        <f t="shared" si="149"/>
        <v/>
      </c>
      <c r="BJ415" s="29" t="str">
        <f t="shared" si="150"/>
        <v>村</v>
      </c>
    </row>
    <row r="416" spans="2:62" x14ac:dyDescent="0.15">
      <c r="B416" s="15">
        <v>413</v>
      </c>
      <c r="C416" s="15" t="s">
        <v>1014</v>
      </c>
      <c r="D416" s="15">
        <v>82</v>
      </c>
      <c r="AX416" s="15"/>
      <c r="AY416" s="35">
        <f t="shared" si="140"/>
        <v>413</v>
      </c>
      <c r="AZ416" s="35" t="str">
        <f t="shared" si="141"/>
        <v>629+850</v>
      </c>
      <c r="BA416" s="35">
        <f t="shared" si="142"/>
        <v>82</v>
      </c>
      <c r="BB416" s="38">
        <f>COUNTIF($BA$4:$BA416,$BA416)</f>
        <v>2</v>
      </c>
      <c r="BC416" s="36" t="str">
        <f t="shared" si="143"/>
        <v/>
      </c>
      <c r="BD416" s="36" t="str">
        <f t="shared" si="144"/>
        <v/>
      </c>
      <c r="BE416" s="36" t="str">
        <f t="shared" si="145"/>
        <v/>
      </c>
      <c r="BF416" s="36" t="str">
        <f t="shared" si="146"/>
        <v/>
      </c>
      <c r="BG416" s="36" t="str">
        <f t="shared" si="147"/>
        <v>县</v>
      </c>
      <c r="BH416" s="36" t="str">
        <f t="shared" si="148"/>
        <v/>
      </c>
      <c r="BI416" s="36" t="str">
        <f t="shared" si="149"/>
        <v/>
      </c>
      <c r="BJ416" s="29" t="str">
        <f t="shared" si="150"/>
        <v>县</v>
      </c>
    </row>
    <row r="417" spans="2:62" x14ac:dyDescent="0.15">
      <c r="B417" s="15">
        <v>414</v>
      </c>
      <c r="C417" s="15" t="s">
        <v>1015</v>
      </c>
      <c r="D417" s="15">
        <v>78</v>
      </c>
      <c r="AX417" s="15"/>
      <c r="AY417" s="35">
        <f t="shared" si="140"/>
        <v>414</v>
      </c>
      <c r="AZ417" s="35" t="str">
        <f t="shared" si="141"/>
        <v>653+851</v>
      </c>
      <c r="BA417" s="35">
        <f t="shared" si="142"/>
        <v>78</v>
      </c>
      <c r="BB417" s="38">
        <f>COUNTIF($BA$4:$BA417,$BA417)</f>
        <v>5</v>
      </c>
      <c r="BC417" s="36" t="str">
        <f t="shared" si="143"/>
        <v/>
      </c>
      <c r="BD417" s="36" t="str">
        <f t="shared" si="144"/>
        <v/>
      </c>
      <c r="BE417" s="36" t="str">
        <f t="shared" si="145"/>
        <v/>
      </c>
      <c r="BF417" s="36" t="str">
        <f t="shared" si="146"/>
        <v/>
      </c>
      <c r="BG417" s="36" t="str">
        <f t="shared" si="147"/>
        <v>村</v>
      </c>
      <c r="BH417" s="36" t="str">
        <f t="shared" si="148"/>
        <v/>
      </c>
      <c r="BI417" s="36" t="str">
        <f t="shared" si="149"/>
        <v/>
      </c>
      <c r="BJ417" s="29" t="str">
        <f t="shared" si="150"/>
        <v>村</v>
      </c>
    </row>
    <row r="418" spans="2:62" x14ac:dyDescent="0.15">
      <c r="B418" s="15">
        <v>415</v>
      </c>
      <c r="C418" s="15" t="s">
        <v>926</v>
      </c>
      <c r="D418" s="15">
        <v>82</v>
      </c>
      <c r="AX418" s="15"/>
      <c r="AY418" s="35">
        <f t="shared" si="140"/>
        <v>415</v>
      </c>
      <c r="AZ418" s="35" t="str">
        <f t="shared" si="141"/>
        <v>618+861</v>
      </c>
      <c r="BA418" s="35">
        <f t="shared" si="142"/>
        <v>82</v>
      </c>
      <c r="BB418" s="38">
        <f>COUNTIF($BA$4:$BA418,$BA418)</f>
        <v>3</v>
      </c>
      <c r="BC418" s="36" t="str">
        <f t="shared" si="143"/>
        <v/>
      </c>
      <c r="BD418" s="36" t="str">
        <f t="shared" si="144"/>
        <v/>
      </c>
      <c r="BE418" s="36" t="str">
        <f t="shared" si="145"/>
        <v/>
      </c>
      <c r="BF418" s="36" t="str">
        <f t="shared" si="146"/>
        <v/>
      </c>
      <c r="BG418" s="36" t="str">
        <f t="shared" si="147"/>
        <v>营</v>
      </c>
      <c r="BH418" s="36" t="str">
        <f t="shared" si="148"/>
        <v>营</v>
      </c>
      <c r="BI418" s="36" t="str">
        <f t="shared" si="149"/>
        <v/>
      </c>
      <c r="BJ418" s="29" t="str">
        <f t="shared" si="150"/>
        <v>营</v>
      </c>
    </row>
    <row r="419" spans="2:62" x14ac:dyDescent="0.15">
      <c r="B419" s="15">
        <v>416</v>
      </c>
      <c r="C419" s="15" t="s">
        <v>927</v>
      </c>
      <c r="D419" s="15">
        <v>82</v>
      </c>
      <c r="AX419" s="15"/>
      <c r="AY419" s="35">
        <f t="shared" si="140"/>
        <v>416</v>
      </c>
      <c r="AZ419" s="35" t="str">
        <f t="shared" si="141"/>
        <v>594+866</v>
      </c>
      <c r="BA419" s="35">
        <f t="shared" si="142"/>
        <v>82</v>
      </c>
      <c r="BB419" s="38">
        <f>COUNTIF($BA$4:$BA419,$BA419)</f>
        <v>4</v>
      </c>
      <c r="BC419" s="36" t="str">
        <f t="shared" si="143"/>
        <v/>
      </c>
      <c r="BD419" s="36" t="str">
        <f t="shared" si="144"/>
        <v/>
      </c>
      <c r="BE419" s="36" t="str">
        <f t="shared" si="145"/>
        <v/>
      </c>
      <c r="BF419" s="36" t="str">
        <f t="shared" si="146"/>
        <v/>
      </c>
      <c r="BG419" s="36" t="str">
        <f t="shared" si="147"/>
        <v>村</v>
      </c>
      <c r="BH419" s="36" t="str">
        <f t="shared" si="148"/>
        <v>村</v>
      </c>
      <c r="BI419" s="36" t="str">
        <f t="shared" si="149"/>
        <v/>
      </c>
      <c r="BJ419" s="29" t="str">
        <f t="shared" si="150"/>
        <v>村</v>
      </c>
    </row>
    <row r="420" spans="2:62" x14ac:dyDescent="0.15">
      <c r="B420" s="15">
        <v>417</v>
      </c>
      <c r="C420" s="15" t="s">
        <v>928</v>
      </c>
      <c r="D420" s="15">
        <v>80</v>
      </c>
      <c r="AX420" s="15"/>
      <c r="AY420" s="35">
        <f t="shared" si="140"/>
        <v>417</v>
      </c>
      <c r="AZ420" s="35" t="str">
        <f t="shared" si="141"/>
        <v>583+890</v>
      </c>
      <c r="BA420" s="35">
        <f t="shared" si="142"/>
        <v>80</v>
      </c>
      <c r="BB420" s="38">
        <f>COUNTIF($BA$4:$BA420,$BA420)</f>
        <v>3</v>
      </c>
      <c r="BC420" s="36" t="str">
        <f t="shared" si="143"/>
        <v/>
      </c>
      <c r="BD420" s="36" t="str">
        <f t="shared" si="144"/>
        <v/>
      </c>
      <c r="BE420" s="36" t="str">
        <f t="shared" si="145"/>
        <v/>
      </c>
      <c r="BF420" s="36" t="str">
        <f t="shared" si="146"/>
        <v/>
      </c>
      <c r="BG420" s="36" t="str">
        <f t="shared" si="147"/>
        <v>村</v>
      </c>
      <c r="BH420" s="36" t="str">
        <f t="shared" si="148"/>
        <v>村</v>
      </c>
      <c r="BI420" s="36" t="str">
        <f t="shared" si="149"/>
        <v/>
      </c>
      <c r="BJ420" s="29" t="str">
        <f t="shared" si="150"/>
        <v>村</v>
      </c>
    </row>
    <row r="421" spans="2:62" x14ac:dyDescent="0.15">
      <c r="B421" s="15">
        <v>418</v>
      </c>
      <c r="C421" s="15" t="s">
        <v>929</v>
      </c>
      <c r="D421" s="15">
        <v>81</v>
      </c>
      <c r="AX421" s="15"/>
      <c r="AY421" s="35">
        <f t="shared" si="140"/>
        <v>418</v>
      </c>
      <c r="AZ421" s="35" t="str">
        <f t="shared" si="141"/>
        <v>596+915</v>
      </c>
      <c r="BA421" s="35">
        <f t="shared" si="142"/>
        <v>81</v>
      </c>
      <c r="BB421" s="38">
        <f>COUNTIF($BA$4:$BA421,$BA421)</f>
        <v>4</v>
      </c>
      <c r="BC421" s="36" t="str">
        <f t="shared" si="143"/>
        <v/>
      </c>
      <c r="BD421" s="36" t="str">
        <f t="shared" si="144"/>
        <v/>
      </c>
      <c r="BE421" s="36" t="str">
        <f t="shared" si="145"/>
        <v/>
      </c>
      <c r="BF421" s="36" t="str">
        <f t="shared" si="146"/>
        <v/>
      </c>
      <c r="BG421" s="36" t="str">
        <f t="shared" si="147"/>
        <v>营</v>
      </c>
      <c r="BH421" s="36" t="str">
        <f t="shared" si="148"/>
        <v>营</v>
      </c>
      <c r="BI421" s="36" t="str">
        <f t="shared" si="149"/>
        <v/>
      </c>
      <c r="BJ421" s="29" t="str">
        <f t="shared" si="150"/>
        <v>营</v>
      </c>
    </row>
    <row r="422" spans="2:62" x14ac:dyDescent="0.15">
      <c r="B422" s="15">
        <v>419</v>
      </c>
      <c r="C422" s="15" t="s">
        <v>930</v>
      </c>
      <c r="D422" s="15">
        <v>123</v>
      </c>
      <c r="AX422" s="15"/>
      <c r="AY422" s="35">
        <f t="shared" si="140"/>
        <v>419</v>
      </c>
      <c r="AZ422" s="35" t="str">
        <f t="shared" si="141"/>
        <v>575+945</v>
      </c>
      <c r="BA422" s="35">
        <f t="shared" si="142"/>
        <v>123</v>
      </c>
      <c r="BB422" s="38">
        <f>COUNTIF($BA$4:$BA422,$BA422)</f>
        <v>3</v>
      </c>
      <c r="BC422" s="36" t="str">
        <f t="shared" si="143"/>
        <v/>
      </c>
      <c r="BD422" s="36" t="str">
        <f t="shared" si="144"/>
        <v/>
      </c>
      <c r="BE422" s="36" t="str">
        <f t="shared" si="145"/>
        <v/>
      </c>
      <c r="BF422" s="36" t="str">
        <f t="shared" si="146"/>
        <v/>
      </c>
      <c r="BG422" s="36" t="str">
        <f t="shared" si="147"/>
        <v>村</v>
      </c>
      <c r="BH422" s="36" t="str">
        <f t="shared" si="148"/>
        <v/>
      </c>
      <c r="BI422" s="36" t="str">
        <f t="shared" si="149"/>
        <v/>
      </c>
      <c r="BJ422" s="29" t="str">
        <f t="shared" si="150"/>
        <v>村</v>
      </c>
    </row>
    <row r="423" spans="2:62" x14ac:dyDescent="0.15">
      <c r="B423" s="15">
        <v>420</v>
      </c>
      <c r="C423" s="15" t="s">
        <v>931</v>
      </c>
      <c r="D423" s="15">
        <v>123</v>
      </c>
      <c r="AX423" s="15"/>
      <c r="AY423" s="35">
        <f t="shared" si="140"/>
        <v>420</v>
      </c>
      <c r="AZ423" s="35" t="str">
        <f t="shared" si="141"/>
        <v>557+939</v>
      </c>
      <c r="BA423" s="35">
        <f t="shared" si="142"/>
        <v>123</v>
      </c>
      <c r="BB423" s="38">
        <f>COUNTIF($BA$4:$BA423,$BA423)</f>
        <v>4</v>
      </c>
      <c r="BC423" s="36" t="str">
        <f t="shared" si="143"/>
        <v/>
      </c>
      <c r="BD423" s="36" t="str">
        <f t="shared" si="144"/>
        <v/>
      </c>
      <c r="BE423" s="36" t="str">
        <f t="shared" si="145"/>
        <v/>
      </c>
      <c r="BF423" s="36" t="str">
        <f t="shared" si="146"/>
        <v/>
      </c>
      <c r="BG423" s="36" t="str">
        <f t="shared" si="147"/>
        <v>营</v>
      </c>
      <c r="BH423" s="36" t="str">
        <f t="shared" si="148"/>
        <v>营</v>
      </c>
      <c r="BI423" s="36" t="str">
        <f t="shared" si="149"/>
        <v/>
      </c>
      <c r="BJ423" s="29" t="str">
        <f t="shared" si="150"/>
        <v>营</v>
      </c>
    </row>
    <row r="424" spans="2:62" x14ac:dyDescent="0.15">
      <c r="B424" s="15">
        <v>421</v>
      </c>
      <c r="C424" s="15" t="s">
        <v>932</v>
      </c>
      <c r="D424" s="15">
        <v>122</v>
      </c>
      <c r="AX424" s="15"/>
      <c r="AY424" s="35">
        <f t="shared" si="140"/>
        <v>421</v>
      </c>
      <c r="AZ424" s="35" t="str">
        <f t="shared" si="141"/>
        <v>530+940</v>
      </c>
      <c r="BA424" s="35">
        <f t="shared" si="142"/>
        <v>122</v>
      </c>
      <c r="BB424" s="38">
        <f>COUNTIF($BA$4:$BA424,$BA424)</f>
        <v>1</v>
      </c>
      <c r="BC424" s="36" t="str">
        <f t="shared" si="143"/>
        <v/>
      </c>
      <c r="BD424" s="36" t="str">
        <f t="shared" si="144"/>
        <v/>
      </c>
      <c r="BE424" s="36" t="str">
        <f t="shared" si="145"/>
        <v/>
      </c>
      <c r="BF424" s="36" t="str">
        <f t="shared" si="146"/>
        <v/>
      </c>
      <c r="BG424" s="36" t="str">
        <f t="shared" si="147"/>
        <v>村</v>
      </c>
      <c r="BH424" s="36" t="str">
        <f t="shared" si="148"/>
        <v>村</v>
      </c>
      <c r="BI424" s="36" t="str">
        <f t="shared" si="149"/>
        <v/>
      </c>
      <c r="BJ424" s="29" t="str">
        <f t="shared" si="150"/>
        <v>村</v>
      </c>
    </row>
    <row r="425" spans="2:62" x14ac:dyDescent="0.15">
      <c r="B425" s="15">
        <v>422</v>
      </c>
      <c r="C425" s="15" t="s">
        <v>933</v>
      </c>
      <c r="D425" s="15">
        <v>122</v>
      </c>
      <c r="AX425" s="15"/>
      <c r="AY425" s="35">
        <f t="shared" si="140"/>
        <v>422</v>
      </c>
      <c r="AZ425" s="35" t="str">
        <f t="shared" si="141"/>
        <v>484+939</v>
      </c>
      <c r="BA425" s="35">
        <f t="shared" si="142"/>
        <v>122</v>
      </c>
      <c r="BB425" s="38">
        <f>COUNTIF($BA$4:$BA425,$BA425)</f>
        <v>2</v>
      </c>
      <c r="BC425" s="36" t="str">
        <f t="shared" si="143"/>
        <v/>
      </c>
      <c r="BD425" s="36" t="str">
        <f t="shared" si="144"/>
        <v/>
      </c>
      <c r="BE425" s="36" t="str">
        <f t="shared" si="145"/>
        <v/>
      </c>
      <c r="BF425" s="36" t="str">
        <f t="shared" si="146"/>
        <v/>
      </c>
      <c r="BG425" s="36" t="str">
        <f t="shared" si="147"/>
        <v>县</v>
      </c>
      <c r="BH425" s="36" t="str">
        <f t="shared" si="148"/>
        <v/>
      </c>
      <c r="BI425" s="36" t="str">
        <f t="shared" si="149"/>
        <v/>
      </c>
      <c r="BJ425" s="29" t="str">
        <f t="shared" si="150"/>
        <v>县</v>
      </c>
    </row>
    <row r="426" spans="2:62" x14ac:dyDescent="0.15">
      <c r="B426" s="15">
        <v>423</v>
      </c>
      <c r="C426" s="15" t="s">
        <v>934</v>
      </c>
      <c r="D426" s="15">
        <v>122</v>
      </c>
      <c r="AX426" s="15"/>
      <c r="AY426" s="35">
        <f t="shared" si="140"/>
        <v>423</v>
      </c>
      <c r="AZ426" s="35" t="str">
        <f t="shared" si="141"/>
        <v>514+922</v>
      </c>
      <c r="BA426" s="35">
        <f t="shared" si="142"/>
        <v>122</v>
      </c>
      <c r="BB426" s="38">
        <f>COUNTIF($BA$4:$BA426,$BA426)</f>
        <v>3</v>
      </c>
      <c r="BC426" s="36" t="str">
        <f t="shared" si="143"/>
        <v/>
      </c>
      <c r="BD426" s="36" t="str">
        <f t="shared" si="144"/>
        <v/>
      </c>
      <c r="BE426" s="36" t="str">
        <f t="shared" si="145"/>
        <v/>
      </c>
      <c r="BF426" s="36" t="str">
        <f t="shared" si="146"/>
        <v/>
      </c>
      <c r="BG426" s="36" t="str">
        <f t="shared" si="147"/>
        <v>村</v>
      </c>
      <c r="BH426" s="36" t="str">
        <f t="shared" si="148"/>
        <v>村</v>
      </c>
      <c r="BI426" s="36" t="str">
        <f t="shared" si="149"/>
        <v/>
      </c>
      <c r="BJ426" s="29" t="str">
        <f t="shared" si="150"/>
        <v>村</v>
      </c>
    </row>
    <row r="427" spans="2:62" x14ac:dyDescent="0.15">
      <c r="B427" s="15">
        <v>424</v>
      </c>
      <c r="C427" s="15" t="s">
        <v>935</v>
      </c>
      <c r="D427" s="15">
        <v>122</v>
      </c>
      <c r="AX427" s="15"/>
      <c r="AY427" s="35">
        <f t="shared" si="140"/>
        <v>424</v>
      </c>
      <c r="AZ427" s="35" t="str">
        <f t="shared" si="141"/>
        <v>472+919</v>
      </c>
      <c r="BA427" s="35">
        <f t="shared" si="142"/>
        <v>122</v>
      </c>
      <c r="BB427" s="38">
        <f>COUNTIF($BA$4:$BA427,$BA427)</f>
        <v>4</v>
      </c>
      <c r="BC427" s="36" t="str">
        <f t="shared" si="143"/>
        <v/>
      </c>
      <c r="BD427" s="36" t="str">
        <f t="shared" si="144"/>
        <v/>
      </c>
      <c r="BE427" s="36" t="str">
        <f t="shared" si="145"/>
        <v/>
      </c>
      <c r="BF427" s="36" t="str">
        <f t="shared" si="146"/>
        <v/>
      </c>
      <c r="BG427" s="36" t="str">
        <f t="shared" si="147"/>
        <v>村</v>
      </c>
      <c r="BH427" s="36" t="str">
        <f t="shared" si="148"/>
        <v>村</v>
      </c>
      <c r="BI427" s="36" t="str">
        <f t="shared" si="149"/>
        <v>村</v>
      </c>
      <c r="BJ427" s="29" t="str">
        <f t="shared" si="150"/>
        <v>村</v>
      </c>
    </row>
    <row r="428" spans="2:62" x14ac:dyDescent="0.15">
      <c r="B428" s="15">
        <v>425</v>
      </c>
      <c r="C428" s="15" t="s">
        <v>936</v>
      </c>
      <c r="D428" s="15">
        <v>124</v>
      </c>
      <c r="AX428" s="15"/>
      <c r="AY428" s="35">
        <f t="shared" si="140"/>
        <v>425</v>
      </c>
      <c r="AZ428" s="35" t="str">
        <f t="shared" si="141"/>
        <v>460+870</v>
      </c>
      <c r="BA428" s="35">
        <f t="shared" si="142"/>
        <v>124</v>
      </c>
      <c r="BB428" s="38">
        <f>COUNTIF($BA$4:$BA428,$BA428)</f>
        <v>4</v>
      </c>
      <c r="BC428" s="36" t="str">
        <f t="shared" si="143"/>
        <v/>
      </c>
      <c r="BD428" s="36" t="str">
        <f t="shared" si="144"/>
        <v/>
      </c>
      <c r="BE428" s="36" t="str">
        <f t="shared" si="145"/>
        <v/>
      </c>
      <c r="BF428" s="36" t="str">
        <f t="shared" si="146"/>
        <v/>
      </c>
      <c r="BG428" s="36" t="str">
        <f t="shared" si="147"/>
        <v>营</v>
      </c>
      <c r="BH428" s="36" t="str">
        <f t="shared" si="148"/>
        <v>营</v>
      </c>
      <c r="BI428" s="36" t="str">
        <f t="shared" si="149"/>
        <v>营</v>
      </c>
      <c r="BJ428" s="29" t="str">
        <f t="shared" si="150"/>
        <v>营</v>
      </c>
    </row>
    <row r="429" spans="2:62" x14ac:dyDescent="0.15">
      <c r="B429" s="15">
        <v>426</v>
      </c>
      <c r="C429" s="15" t="s">
        <v>937</v>
      </c>
      <c r="D429" s="15">
        <v>129</v>
      </c>
      <c r="AX429" s="15"/>
      <c r="AY429" s="35">
        <f t="shared" si="140"/>
        <v>426</v>
      </c>
      <c r="AZ429" s="35" t="str">
        <f t="shared" si="141"/>
        <v>441+848</v>
      </c>
      <c r="BA429" s="35">
        <f t="shared" si="142"/>
        <v>129</v>
      </c>
      <c r="BB429" s="38">
        <f>COUNTIF($BA$4:$BA429,$BA429)</f>
        <v>1</v>
      </c>
      <c r="BC429" s="36" t="str">
        <f t="shared" si="143"/>
        <v/>
      </c>
      <c r="BD429" s="36" t="str">
        <f t="shared" si="144"/>
        <v/>
      </c>
      <c r="BE429" s="36" t="str">
        <f t="shared" si="145"/>
        <v/>
      </c>
      <c r="BF429" s="36" t="str">
        <f t="shared" si="146"/>
        <v/>
      </c>
      <c r="BG429" s="36" t="str">
        <f t="shared" si="147"/>
        <v>村</v>
      </c>
      <c r="BH429" s="36" t="str">
        <f t="shared" si="148"/>
        <v>村</v>
      </c>
      <c r="BI429" s="36" t="str">
        <f t="shared" si="149"/>
        <v>村</v>
      </c>
      <c r="BJ429" s="29" t="str">
        <f t="shared" si="150"/>
        <v>村</v>
      </c>
    </row>
    <row r="430" spans="2:62" x14ac:dyDescent="0.15">
      <c r="B430" s="15">
        <v>427</v>
      </c>
      <c r="C430" s="15" t="s">
        <v>938</v>
      </c>
      <c r="D430" s="15">
        <v>129</v>
      </c>
      <c r="AX430" s="15"/>
      <c r="AY430" s="35">
        <f t="shared" si="140"/>
        <v>427</v>
      </c>
      <c r="AZ430" s="35" t="str">
        <f t="shared" si="141"/>
        <v>428+817</v>
      </c>
      <c r="BA430" s="35">
        <f t="shared" si="142"/>
        <v>129</v>
      </c>
      <c r="BB430" s="38">
        <f>COUNTIF($BA$4:$BA430,$BA430)</f>
        <v>2</v>
      </c>
      <c r="BC430" s="36" t="str">
        <f t="shared" si="143"/>
        <v/>
      </c>
      <c r="BD430" s="36" t="str">
        <f t="shared" si="144"/>
        <v/>
      </c>
      <c r="BE430" s="36" t="str">
        <f t="shared" si="145"/>
        <v/>
      </c>
      <c r="BF430" s="36" t="str">
        <f t="shared" si="146"/>
        <v/>
      </c>
      <c r="BG430" s="36" t="str">
        <f t="shared" si="147"/>
        <v>村</v>
      </c>
      <c r="BH430" s="36" t="str">
        <f t="shared" si="148"/>
        <v>村</v>
      </c>
      <c r="BI430" s="36" t="str">
        <f t="shared" si="149"/>
        <v>村</v>
      </c>
      <c r="BJ430" s="29" t="str">
        <f t="shared" si="150"/>
        <v>村</v>
      </c>
    </row>
    <row r="431" spans="2:62" x14ac:dyDescent="0.15">
      <c r="B431" s="15">
        <v>428</v>
      </c>
      <c r="C431" s="15" t="s">
        <v>939</v>
      </c>
      <c r="D431" s="15">
        <v>129</v>
      </c>
      <c r="AX431" s="15"/>
      <c r="AY431" s="35">
        <f t="shared" si="140"/>
        <v>428</v>
      </c>
      <c r="AZ431" s="35" t="str">
        <f t="shared" si="141"/>
        <v>418+839</v>
      </c>
      <c r="BA431" s="35">
        <f t="shared" si="142"/>
        <v>129</v>
      </c>
      <c r="BB431" s="38">
        <f>COUNTIF($BA$4:$BA431,$BA431)</f>
        <v>3</v>
      </c>
      <c r="BC431" s="36" t="str">
        <f t="shared" si="143"/>
        <v/>
      </c>
      <c r="BD431" s="36" t="str">
        <f t="shared" si="144"/>
        <v/>
      </c>
      <c r="BE431" s="36" t="str">
        <f t="shared" si="145"/>
        <v/>
      </c>
      <c r="BF431" s="36" t="str">
        <f t="shared" si="146"/>
        <v/>
      </c>
      <c r="BG431" s="36" t="str">
        <f t="shared" si="147"/>
        <v>营</v>
      </c>
      <c r="BH431" s="36" t="str">
        <f t="shared" si="148"/>
        <v>营</v>
      </c>
      <c r="BI431" s="36" t="str">
        <f t="shared" si="149"/>
        <v>营</v>
      </c>
      <c r="BJ431" s="29" t="str">
        <f t="shared" si="150"/>
        <v>营</v>
      </c>
    </row>
    <row r="432" spans="2:62" x14ac:dyDescent="0.15">
      <c r="B432" s="15">
        <v>429</v>
      </c>
      <c r="C432" s="15" t="s">
        <v>940</v>
      </c>
      <c r="D432" s="15">
        <v>136</v>
      </c>
      <c r="AX432" s="15"/>
      <c r="AY432" s="35">
        <f t="shared" si="140"/>
        <v>429</v>
      </c>
      <c r="AZ432" s="35" t="str">
        <f t="shared" si="141"/>
        <v>489+733</v>
      </c>
      <c r="BA432" s="35">
        <f t="shared" si="142"/>
        <v>136</v>
      </c>
      <c r="BB432" s="38">
        <f>COUNTIF($BA$4:$BA432,$BA432)</f>
        <v>2</v>
      </c>
      <c r="BC432" s="36" t="str">
        <f t="shared" si="143"/>
        <v/>
      </c>
      <c r="BD432" s="36" t="str">
        <f t="shared" si="144"/>
        <v/>
      </c>
      <c r="BE432" s="36" t="str">
        <f t="shared" si="145"/>
        <v/>
      </c>
      <c r="BF432" s="36" t="str">
        <f t="shared" si="146"/>
        <v/>
      </c>
      <c r="BG432" s="36" t="str">
        <f t="shared" si="147"/>
        <v>村</v>
      </c>
      <c r="BH432" s="36" t="str">
        <f t="shared" si="148"/>
        <v>村</v>
      </c>
      <c r="BI432" s="36" t="str">
        <f t="shared" si="149"/>
        <v>村</v>
      </c>
      <c r="BJ432" s="29" t="str">
        <f t="shared" si="150"/>
        <v>村</v>
      </c>
    </row>
    <row r="433" spans="2:62" x14ac:dyDescent="0.15">
      <c r="B433" s="15">
        <v>430</v>
      </c>
      <c r="C433" s="15" t="s">
        <v>941</v>
      </c>
      <c r="D433" s="15">
        <v>136</v>
      </c>
      <c r="AX433" s="15"/>
      <c r="AY433" s="35">
        <f t="shared" si="140"/>
        <v>430</v>
      </c>
      <c r="AZ433" s="35" t="str">
        <f t="shared" si="141"/>
        <v>500+708</v>
      </c>
      <c r="BA433" s="35">
        <f t="shared" si="142"/>
        <v>136</v>
      </c>
      <c r="BB433" s="38">
        <f>COUNTIF($BA$4:$BA433,$BA433)</f>
        <v>3</v>
      </c>
      <c r="BC433" s="36" t="str">
        <f t="shared" si="143"/>
        <v/>
      </c>
      <c r="BD433" s="36" t="str">
        <f t="shared" si="144"/>
        <v/>
      </c>
      <c r="BE433" s="36" t="str">
        <f t="shared" si="145"/>
        <v/>
      </c>
      <c r="BF433" s="36" t="str">
        <f t="shared" si="146"/>
        <v/>
      </c>
      <c r="BG433" s="36" t="str">
        <f t="shared" si="147"/>
        <v>村</v>
      </c>
      <c r="BH433" s="36" t="str">
        <f t="shared" si="148"/>
        <v>村</v>
      </c>
      <c r="BI433" s="36" t="str">
        <f t="shared" si="149"/>
        <v>村</v>
      </c>
      <c r="BJ433" s="29" t="str">
        <f t="shared" si="150"/>
        <v>村</v>
      </c>
    </row>
    <row r="434" spans="2:62" x14ac:dyDescent="0.15">
      <c r="B434" s="15">
        <v>431</v>
      </c>
      <c r="C434" s="15" t="s">
        <v>942</v>
      </c>
      <c r="D434" s="15">
        <v>88</v>
      </c>
      <c r="AX434" s="15"/>
      <c r="AY434" s="35">
        <f t="shared" si="140"/>
        <v>431</v>
      </c>
      <c r="AZ434" s="35" t="str">
        <f t="shared" si="141"/>
        <v>586+668</v>
      </c>
      <c r="BA434" s="35">
        <f t="shared" si="142"/>
        <v>88</v>
      </c>
      <c r="BB434" s="38">
        <f>COUNTIF($BA$4:$BA434,$BA434)</f>
        <v>4</v>
      </c>
      <c r="BC434" s="36" t="str">
        <f t="shared" si="143"/>
        <v/>
      </c>
      <c r="BD434" s="36" t="str">
        <f t="shared" si="144"/>
        <v/>
      </c>
      <c r="BE434" s="36" t="str">
        <f t="shared" si="145"/>
        <v/>
      </c>
      <c r="BF434" s="36" t="str">
        <f t="shared" si="146"/>
        <v/>
      </c>
      <c r="BG434" s="36" t="str">
        <f t="shared" si="147"/>
        <v>村</v>
      </c>
      <c r="BH434" s="36" t="str">
        <f t="shared" si="148"/>
        <v>村</v>
      </c>
      <c r="BI434" s="36" t="str">
        <f t="shared" si="149"/>
        <v>村</v>
      </c>
      <c r="BJ434" s="29" t="str">
        <f t="shared" si="150"/>
        <v>村</v>
      </c>
    </row>
    <row r="435" spans="2:62" x14ac:dyDescent="0.15">
      <c r="B435" s="15">
        <v>432</v>
      </c>
      <c r="C435" s="15" t="s">
        <v>943</v>
      </c>
      <c r="D435" s="15">
        <v>91</v>
      </c>
      <c r="AX435" s="15"/>
      <c r="AY435" s="35">
        <f t="shared" si="140"/>
        <v>432</v>
      </c>
      <c r="AZ435" s="35" t="str">
        <f t="shared" si="141"/>
        <v>605+657</v>
      </c>
      <c r="BA435" s="35">
        <f t="shared" si="142"/>
        <v>91</v>
      </c>
      <c r="BB435" s="38">
        <f>COUNTIF($BA$4:$BA435,$BA435)</f>
        <v>4</v>
      </c>
      <c r="BC435" s="36" t="str">
        <f t="shared" si="143"/>
        <v/>
      </c>
      <c r="BD435" s="36" t="str">
        <f t="shared" si="144"/>
        <v/>
      </c>
      <c r="BE435" s="36" t="str">
        <f t="shared" si="145"/>
        <v/>
      </c>
      <c r="BF435" s="36" t="str">
        <f t="shared" si="146"/>
        <v/>
      </c>
      <c r="BG435" s="36" t="str">
        <f t="shared" si="147"/>
        <v>营</v>
      </c>
      <c r="BH435" s="36" t="str">
        <f t="shared" si="148"/>
        <v>营</v>
      </c>
      <c r="BI435" s="36" t="str">
        <f t="shared" si="149"/>
        <v>营</v>
      </c>
      <c r="BJ435" s="29" t="str">
        <f t="shared" si="150"/>
        <v>营</v>
      </c>
    </row>
    <row r="436" spans="2:62" x14ac:dyDescent="0.15">
      <c r="B436" s="15">
        <v>433</v>
      </c>
      <c r="C436" s="15" t="s">
        <v>944</v>
      </c>
      <c r="D436" s="15">
        <v>111</v>
      </c>
      <c r="AX436" s="15"/>
      <c r="AY436" s="35">
        <f t="shared" si="140"/>
        <v>433</v>
      </c>
      <c r="AZ436" s="35" t="str">
        <f t="shared" si="141"/>
        <v>687+767</v>
      </c>
      <c r="BA436" s="35">
        <f t="shared" si="142"/>
        <v>111</v>
      </c>
      <c r="BB436" s="38">
        <f>COUNTIF($BA$4:$BA436,$BA436)</f>
        <v>6</v>
      </c>
      <c r="BC436" s="36" t="str">
        <f t="shared" si="143"/>
        <v/>
      </c>
      <c r="BD436" s="36" t="str">
        <f t="shared" si="144"/>
        <v/>
      </c>
      <c r="BE436" s="36" t="str">
        <f t="shared" si="145"/>
        <v/>
      </c>
      <c r="BF436" s="36" t="str">
        <f t="shared" si="146"/>
        <v/>
      </c>
      <c r="BG436" s="36" t="str">
        <f t="shared" si="147"/>
        <v>营</v>
      </c>
      <c r="BH436" s="36" t="str">
        <f t="shared" si="148"/>
        <v/>
      </c>
      <c r="BI436" s="36" t="str">
        <f t="shared" si="149"/>
        <v/>
      </c>
      <c r="BJ436" s="29" t="str">
        <f t="shared" si="150"/>
        <v>营</v>
      </c>
    </row>
    <row r="437" spans="2:62" x14ac:dyDescent="0.15">
      <c r="B437" s="15">
        <v>434</v>
      </c>
      <c r="C437" s="15" t="s">
        <v>945</v>
      </c>
      <c r="D437" s="15">
        <v>110</v>
      </c>
      <c r="AX437" s="15"/>
      <c r="AY437" s="35">
        <f t="shared" si="140"/>
        <v>434</v>
      </c>
      <c r="AZ437" s="35" t="str">
        <f t="shared" si="141"/>
        <v>707+755</v>
      </c>
      <c r="BA437" s="35">
        <f t="shared" si="142"/>
        <v>110</v>
      </c>
      <c r="BB437" s="38">
        <f>COUNTIF($BA$4:$BA437,$BA437)</f>
        <v>3</v>
      </c>
      <c r="BC437" s="36" t="str">
        <f t="shared" si="143"/>
        <v/>
      </c>
      <c r="BD437" s="36" t="str">
        <f t="shared" si="144"/>
        <v/>
      </c>
      <c r="BE437" s="36" t="str">
        <f t="shared" si="145"/>
        <v/>
      </c>
      <c r="BF437" s="36" t="str">
        <f t="shared" si="146"/>
        <v/>
      </c>
      <c r="BG437" s="36" t="str">
        <f t="shared" si="147"/>
        <v>村</v>
      </c>
      <c r="BH437" s="36" t="str">
        <f t="shared" si="148"/>
        <v>村</v>
      </c>
      <c r="BI437" s="36" t="str">
        <f t="shared" si="149"/>
        <v/>
      </c>
      <c r="BJ437" s="29" t="str">
        <f t="shared" si="150"/>
        <v>村</v>
      </c>
    </row>
    <row r="438" spans="2:62" x14ac:dyDescent="0.15">
      <c r="B438" s="15">
        <v>435</v>
      </c>
      <c r="C438" s="15" t="s">
        <v>946</v>
      </c>
      <c r="D438" s="15">
        <v>110</v>
      </c>
      <c r="AX438" s="15"/>
      <c r="AY438" s="35">
        <f t="shared" si="140"/>
        <v>435</v>
      </c>
      <c r="AZ438" s="35" t="str">
        <f t="shared" si="141"/>
        <v>740+758</v>
      </c>
      <c r="BA438" s="35">
        <f t="shared" si="142"/>
        <v>110</v>
      </c>
      <c r="BB438" s="38">
        <f>COUNTIF($BA$4:$BA438,$BA438)</f>
        <v>4</v>
      </c>
      <c r="BC438" s="36" t="str">
        <f t="shared" si="143"/>
        <v/>
      </c>
      <c r="BD438" s="36" t="str">
        <f t="shared" si="144"/>
        <v/>
      </c>
      <c r="BE438" s="36" t="str">
        <f t="shared" si="145"/>
        <v/>
      </c>
      <c r="BF438" s="36" t="str">
        <f t="shared" si="146"/>
        <v/>
      </c>
      <c r="BG438" s="36" t="str">
        <f t="shared" si="147"/>
        <v>营</v>
      </c>
      <c r="BH438" s="36" t="str">
        <f t="shared" si="148"/>
        <v>营</v>
      </c>
      <c r="BI438" s="36" t="str">
        <f t="shared" si="149"/>
        <v/>
      </c>
      <c r="BJ438" s="29" t="str">
        <f t="shared" si="150"/>
        <v>营</v>
      </c>
    </row>
    <row r="439" spans="2:62" x14ac:dyDescent="0.15">
      <c r="B439" s="15">
        <v>436</v>
      </c>
      <c r="C439" s="15" t="s">
        <v>947</v>
      </c>
      <c r="D439" s="15">
        <v>110</v>
      </c>
      <c r="AX439" s="15"/>
      <c r="AY439" s="35">
        <f t="shared" si="140"/>
        <v>436</v>
      </c>
      <c r="AZ439" s="35" t="str">
        <f t="shared" si="141"/>
        <v>767+744</v>
      </c>
      <c r="BA439" s="35">
        <f t="shared" si="142"/>
        <v>110</v>
      </c>
      <c r="BB439" s="38">
        <f>COUNTIF($BA$4:$BA439,$BA439)</f>
        <v>5</v>
      </c>
      <c r="BC439" s="36" t="str">
        <f t="shared" si="143"/>
        <v/>
      </c>
      <c r="BD439" s="36" t="str">
        <f t="shared" si="144"/>
        <v/>
      </c>
      <c r="BE439" s="36" t="str">
        <f t="shared" si="145"/>
        <v/>
      </c>
      <c r="BF439" s="36" t="str">
        <f t="shared" si="146"/>
        <v/>
      </c>
      <c r="BG439" s="36" t="str">
        <f t="shared" si="147"/>
        <v>营</v>
      </c>
      <c r="BH439" s="36" t="str">
        <f t="shared" si="148"/>
        <v>营</v>
      </c>
      <c r="BI439" s="36" t="str">
        <f t="shared" si="149"/>
        <v/>
      </c>
      <c r="BJ439" s="29" t="str">
        <f t="shared" si="150"/>
        <v>营</v>
      </c>
    </row>
    <row r="440" spans="2:62" x14ac:dyDescent="0.15">
      <c r="B440" s="15">
        <v>437</v>
      </c>
      <c r="C440" s="15" t="s">
        <v>948</v>
      </c>
      <c r="D440" s="15">
        <v>109</v>
      </c>
      <c r="AX440" s="15"/>
      <c r="AY440" s="35">
        <f t="shared" si="140"/>
        <v>437</v>
      </c>
      <c r="AZ440" s="35" t="str">
        <f t="shared" si="141"/>
        <v>729+724</v>
      </c>
      <c r="BA440" s="35">
        <f t="shared" si="142"/>
        <v>109</v>
      </c>
      <c r="BB440" s="38">
        <f>COUNTIF($BA$4:$BA440,$BA440)</f>
        <v>3</v>
      </c>
      <c r="BC440" s="36" t="str">
        <f t="shared" si="143"/>
        <v/>
      </c>
      <c r="BD440" s="36" t="str">
        <f t="shared" si="144"/>
        <v/>
      </c>
      <c r="BE440" s="36" t="str">
        <f t="shared" si="145"/>
        <v/>
      </c>
      <c r="BF440" s="36" t="str">
        <f t="shared" si="146"/>
        <v/>
      </c>
      <c r="BG440" s="36" t="str">
        <f t="shared" si="147"/>
        <v>营</v>
      </c>
      <c r="BH440" s="36" t="str">
        <f t="shared" si="148"/>
        <v/>
      </c>
      <c r="BI440" s="36" t="str">
        <f t="shared" si="149"/>
        <v/>
      </c>
      <c r="BJ440" s="29" t="str">
        <f t="shared" si="150"/>
        <v>营</v>
      </c>
    </row>
    <row r="441" spans="2:62" x14ac:dyDescent="0.15">
      <c r="B441" s="15">
        <v>438</v>
      </c>
      <c r="C441" s="15" t="s">
        <v>949</v>
      </c>
      <c r="D441" s="15">
        <v>111</v>
      </c>
      <c r="AX441" s="15"/>
      <c r="AY441" s="35">
        <f t="shared" si="140"/>
        <v>438</v>
      </c>
      <c r="AZ441" s="35" t="str">
        <f t="shared" si="141"/>
        <v>692+735</v>
      </c>
      <c r="BA441" s="35">
        <f t="shared" si="142"/>
        <v>111</v>
      </c>
      <c r="BB441" s="38">
        <f>COUNTIF($BA$4:$BA441,$BA441)</f>
        <v>7</v>
      </c>
      <c r="BC441" s="36" t="str">
        <f t="shared" si="143"/>
        <v/>
      </c>
      <c r="BD441" s="36" t="str">
        <f t="shared" si="144"/>
        <v/>
      </c>
      <c r="BE441" s="36" t="str">
        <f t="shared" si="145"/>
        <v/>
      </c>
      <c r="BF441" s="36" t="str">
        <f t="shared" si="146"/>
        <v/>
      </c>
      <c r="BG441" s="36" t="str">
        <f t="shared" si="147"/>
        <v>村</v>
      </c>
      <c r="BH441" s="36" t="str">
        <f t="shared" si="148"/>
        <v/>
      </c>
      <c r="BI441" s="36" t="str">
        <f t="shared" si="149"/>
        <v/>
      </c>
      <c r="BJ441" s="29" t="str">
        <f t="shared" si="150"/>
        <v>村</v>
      </c>
    </row>
    <row r="442" spans="2:62" x14ac:dyDescent="0.15">
      <c r="B442" s="15">
        <v>439</v>
      </c>
      <c r="C442" s="15" t="s">
        <v>950</v>
      </c>
      <c r="D442" s="15">
        <v>110</v>
      </c>
      <c r="AX442" s="15"/>
      <c r="AY442" s="35">
        <f t="shared" si="140"/>
        <v>439</v>
      </c>
      <c r="AZ442" s="35" t="str">
        <f t="shared" si="141"/>
        <v>717+728</v>
      </c>
      <c r="BA442" s="35">
        <f t="shared" si="142"/>
        <v>110</v>
      </c>
      <c r="BB442" s="38">
        <f>COUNTIF($BA$4:$BA442,$BA442)</f>
        <v>6</v>
      </c>
      <c r="BC442" s="36" t="str">
        <f t="shared" si="143"/>
        <v/>
      </c>
      <c r="BD442" s="36" t="str">
        <f t="shared" si="144"/>
        <v/>
      </c>
      <c r="BE442" s="36" t="str">
        <f t="shared" si="145"/>
        <v/>
      </c>
      <c r="BF442" s="36" t="str">
        <f t="shared" si="146"/>
        <v/>
      </c>
      <c r="BG442" s="36" t="str">
        <f t="shared" si="147"/>
        <v>村</v>
      </c>
      <c r="BH442" s="36" t="str">
        <f t="shared" si="148"/>
        <v>村</v>
      </c>
      <c r="BI442" s="36" t="str">
        <f t="shared" si="149"/>
        <v/>
      </c>
      <c r="BJ442" s="29" t="str">
        <f t="shared" si="150"/>
        <v>村</v>
      </c>
    </row>
    <row r="443" spans="2:62" x14ac:dyDescent="0.15">
      <c r="B443" s="15">
        <v>440</v>
      </c>
      <c r="C443" s="15" t="s">
        <v>951</v>
      </c>
      <c r="D443" s="15">
        <v>90</v>
      </c>
      <c r="AX443" s="15"/>
      <c r="AY443" s="35">
        <f t="shared" si="140"/>
        <v>440</v>
      </c>
      <c r="AZ443" s="35" t="str">
        <f t="shared" si="141"/>
        <v>706+711</v>
      </c>
      <c r="BA443" s="35">
        <f t="shared" si="142"/>
        <v>90</v>
      </c>
      <c r="BB443" s="38">
        <f>COUNTIF($BA$4:$BA443,$BA443)</f>
        <v>4</v>
      </c>
      <c r="BC443" s="36" t="str">
        <f t="shared" si="143"/>
        <v/>
      </c>
      <c r="BD443" s="36" t="str">
        <f t="shared" si="144"/>
        <v/>
      </c>
      <c r="BE443" s="36" t="str">
        <f t="shared" si="145"/>
        <v/>
      </c>
      <c r="BF443" s="36" t="str">
        <f t="shared" si="146"/>
        <v/>
      </c>
      <c r="BG443" s="36" t="str">
        <f t="shared" si="147"/>
        <v>营</v>
      </c>
      <c r="BH443" s="36" t="str">
        <f t="shared" si="148"/>
        <v/>
      </c>
      <c r="BI443" s="36" t="str">
        <f t="shared" si="149"/>
        <v>营</v>
      </c>
      <c r="BJ443" s="29" t="str">
        <f t="shared" si="150"/>
        <v>营</v>
      </c>
    </row>
    <row r="444" spans="2:62" x14ac:dyDescent="0.15">
      <c r="B444" s="15">
        <v>441</v>
      </c>
      <c r="C444" s="15" t="s">
        <v>952</v>
      </c>
      <c r="D444" s="15">
        <v>149</v>
      </c>
      <c r="AX444" s="15"/>
      <c r="AY444" s="35">
        <f t="shared" si="140"/>
        <v>441</v>
      </c>
      <c r="AZ444" s="35" t="str">
        <f t="shared" si="141"/>
        <v>568+657</v>
      </c>
      <c r="BA444" s="35">
        <f t="shared" si="142"/>
        <v>149</v>
      </c>
      <c r="BB444" s="38">
        <f>COUNTIF($BA$4:$BA444,$BA444)</f>
        <v>2</v>
      </c>
      <c r="BC444" s="36" t="str">
        <f t="shared" si="143"/>
        <v/>
      </c>
      <c r="BD444" s="36" t="str">
        <f t="shared" si="144"/>
        <v/>
      </c>
      <c r="BE444" s="36" t="str">
        <f t="shared" si="145"/>
        <v/>
      </c>
      <c r="BF444" s="36" t="str">
        <f t="shared" si="146"/>
        <v/>
      </c>
      <c r="BG444" s="36" t="str">
        <f t="shared" si="147"/>
        <v>村</v>
      </c>
      <c r="BH444" s="36" t="str">
        <f t="shared" si="148"/>
        <v/>
      </c>
      <c r="BI444" s="36" t="str">
        <f t="shared" si="149"/>
        <v>村</v>
      </c>
      <c r="BJ444" s="29" t="str">
        <f t="shared" si="150"/>
        <v>村</v>
      </c>
    </row>
    <row r="445" spans="2:62" x14ac:dyDescent="0.15">
      <c r="B445" s="15">
        <v>442</v>
      </c>
      <c r="C445" s="15" t="s">
        <v>953</v>
      </c>
      <c r="D445" s="15">
        <v>93</v>
      </c>
      <c r="AX445" s="15"/>
      <c r="AY445" s="35">
        <f t="shared" si="140"/>
        <v>442</v>
      </c>
      <c r="AZ445" s="35" t="str">
        <f t="shared" si="141"/>
        <v>569+596</v>
      </c>
      <c r="BA445" s="35">
        <f t="shared" si="142"/>
        <v>93</v>
      </c>
      <c r="BB445" s="38">
        <f>COUNTIF($BA$4:$BA445,$BA445)</f>
        <v>5</v>
      </c>
      <c r="BC445" s="36" t="str">
        <f t="shared" si="143"/>
        <v/>
      </c>
      <c r="BD445" s="36" t="str">
        <f t="shared" si="144"/>
        <v/>
      </c>
      <c r="BE445" s="36" t="str">
        <f t="shared" si="145"/>
        <v/>
      </c>
      <c r="BF445" s="36" t="str">
        <f t="shared" si="146"/>
        <v/>
      </c>
      <c r="BG445" s="36" t="str">
        <f t="shared" si="147"/>
        <v>县</v>
      </c>
      <c r="BH445" s="36" t="str">
        <f t="shared" si="148"/>
        <v/>
      </c>
      <c r="BI445" s="36" t="str">
        <f t="shared" si="149"/>
        <v>县</v>
      </c>
      <c r="BJ445" s="29" t="str">
        <f t="shared" si="150"/>
        <v>县</v>
      </c>
    </row>
    <row r="446" spans="2:62" x14ac:dyDescent="0.15">
      <c r="B446" s="15">
        <v>443</v>
      </c>
      <c r="C446" s="15" t="s">
        <v>954</v>
      </c>
      <c r="D446" s="15">
        <v>102</v>
      </c>
      <c r="AX446" s="15"/>
      <c r="AY446" s="35">
        <f t="shared" si="140"/>
        <v>443</v>
      </c>
      <c r="AZ446" s="35" t="str">
        <f t="shared" si="141"/>
        <v>633+638</v>
      </c>
      <c r="BA446" s="35">
        <f t="shared" si="142"/>
        <v>102</v>
      </c>
      <c r="BB446" s="38">
        <f>COUNTIF($BA$4:$BA446,$BA446)</f>
        <v>4</v>
      </c>
      <c r="BC446" s="36" t="str">
        <f t="shared" si="143"/>
        <v/>
      </c>
      <c r="BD446" s="36" t="str">
        <f t="shared" si="144"/>
        <v/>
      </c>
      <c r="BE446" s="36" t="str">
        <f t="shared" si="145"/>
        <v/>
      </c>
      <c r="BF446" s="36" t="str">
        <f t="shared" si="146"/>
        <v/>
      </c>
      <c r="BG446" s="36" t="str">
        <f t="shared" si="147"/>
        <v>县</v>
      </c>
      <c r="BH446" s="36" t="str">
        <f t="shared" si="148"/>
        <v/>
      </c>
      <c r="BI446" s="36" t="str">
        <f t="shared" si="149"/>
        <v>县</v>
      </c>
      <c r="BJ446" s="29" t="str">
        <f t="shared" si="150"/>
        <v>县</v>
      </c>
    </row>
    <row r="447" spans="2:62" x14ac:dyDescent="0.15">
      <c r="B447" s="15">
        <v>444</v>
      </c>
      <c r="C447" s="15" t="s">
        <v>955</v>
      </c>
      <c r="D447" s="15">
        <v>125</v>
      </c>
      <c r="AX447" s="15"/>
      <c r="AY447" s="35">
        <f t="shared" si="140"/>
        <v>444</v>
      </c>
      <c r="AZ447" s="35" t="str">
        <f t="shared" si="141"/>
        <v>508+813</v>
      </c>
      <c r="BA447" s="35">
        <f t="shared" si="142"/>
        <v>125</v>
      </c>
      <c r="BB447" s="38">
        <f>COUNTIF($BA$4:$BA447,$BA447)</f>
        <v>7</v>
      </c>
      <c r="BC447" s="36" t="str">
        <f t="shared" si="143"/>
        <v/>
      </c>
      <c r="BD447" s="36" t="str">
        <f t="shared" si="144"/>
        <v/>
      </c>
      <c r="BE447" s="36" t="str">
        <f t="shared" si="145"/>
        <v/>
      </c>
      <c r="BF447" s="36" t="str">
        <f t="shared" si="146"/>
        <v/>
      </c>
      <c r="BG447" s="36" t="str">
        <f t="shared" si="147"/>
        <v>村</v>
      </c>
      <c r="BH447" s="36" t="str">
        <f t="shared" si="148"/>
        <v>村</v>
      </c>
      <c r="BI447" s="36" t="str">
        <f t="shared" si="149"/>
        <v>村</v>
      </c>
      <c r="BJ447" s="29" t="str">
        <f t="shared" si="150"/>
        <v>村</v>
      </c>
    </row>
    <row r="448" spans="2:62" x14ac:dyDescent="0.15">
      <c r="B448" s="15">
        <v>445</v>
      </c>
      <c r="C448" s="15" t="s">
        <v>1016</v>
      </c>
      <c r="D448" s="15">
        <v>125</v>
      </c>
      <c r="AX448" s="15"/>
      <c r="AY448" s="35">
        <f t="shared" si="140"/>
        <v>445</v>
      </c>
      <c r="AZ448" s="35" t="str">
        <f t="shared" si="141"/>
        <v>535+859</v>
      </c>
      <c r="BA448" s="35">
        <f t="shared" si="142"/>
        <v>125</v>
      </c>
      <c r="BB448" s="38">
        <f>COUNTIF($BA$4:$BA448,$BA448)</f>
        <v>8</v>
      </c>
      <c r="BC448" s="36" t="str">
        <f t="shared" si="143"/>
        <v/>
      </c>
      <c r="BD448" s="36" t="str">
        <f t="shared" si="144"/>
        <v/>
      </c>
      <c r="BE448" s="36" t="str">
        <f t="shared" si="145"/>
        <v/>
      </c>
      <c r="BF448" s="36" t="str">
        <f t="shared" si="146"/>
        <v/>
      </c>
      <c r="BG448" s="36" t="str">
        <f t="shared" si="147"/>
        <v/>
      </c>
      <c r="BH448" s="36" t="str">
        <f t="shared" si="148"/>
        <v>村</v>
      </c>
      <c r="BI448" s="36" t="str">
        <f t="shared" si="149"/>
        <v>村</v>
      </c>
      <c r="BJ448" s="29" t="str">
        <f t="shared" si="150"/>
        <v>村</v>
      </c>
    </row>
    <row r="449" spans="2:62" x14ac:dyDescent="0.15">
      <c r="B449" s="15">
        <v>446</v>
      </c>
      <c r="C449" s="15" t="s">
        <v>956</v>
      </c>
      <c r="D449" s="15">
        <v>124</v>
      </c>
      <c r="AX449" s="15"/>
      <c r="AY449" s="35">
        <f t="shared" si="140"/>
        <v>446</v>
      </c>
      <c r="AZ449" s="35" t="str">
        <f t="shared" si="141"/>
        <v>505+872</v>
      </c>
      <c r="BA449" s="35">
        <f t="shared" si="142"/>
        <v>124</v>
      </c>
      <c r="BB449" s="38">
        <f>COUNTIF($BA$4:$BA449,$BA449)</f>
        <v>5</v>
      </c>
      <c r="BC449" s="36" t="str">
        <f t="shared" si="143"/>
        <v/>
      </c>
      <c r="BD449" s="36" t="str">
        <f t="shared" si="144"/>
        <v/>
      </c>
      <c r="BE449" s="36" t="str">
        <f t="shared" si="145"/>
        <v/>
      </c>
      <c r="BF449" s="36" t="str">
        <f t="shared" si="146"/>
        <v/>
      </c>
      <c r="BG449" s="36" t="str">
        <f t="shared" si="147"/>
        <v/>
      </c>
      <c r="BH449" s="36" t="str">
        <f t="shared" si="148"/>
        <v>营</v>
      </c>
      <c r="BI449" s="36" t="str">
        <f t="shared" si="149"/>
        <v>营</v>
      </c>
      <c r="BJ449" s="29" t="str">
        <f t="shared" si="150"/>
        <v>营</v>
      </c>
    </row>
    <row r="450" spans="2:62" x14ac:dyDescent="0.15">
      <c r="B450" s="15">
        <v>447</v>
      </c>
      <c r="C450" s="15" t="s">
        <v>957</v>
      </c>
      <c r="D450" s="15">
        <v>125</v>
      </c>
      <c r="AX450" s="15"/>
      <c r="AY450" s="35">
        <f t="shared" si="140"/>
        <v>447</v>
      </c>
      <c r="AZ450" s="35" t="str">
        <f t="shared" si="141"/>
        <v>484+814</v>
      </c>
      <c r="BA450" s="35">
        <f t="shared" si="142"/>
        <v>125</v>
      </c>
      <c r="BB450" s="38">
        <f>COUNTIF($BA$4:$BA450,$BA450)</f>
        <v>9</v>
      </c>
      <c r="BC450" s="36" t="str">
        <f t="shared" si="143"/>
        <v/>
      </c>
      <c r="BD450" s="36" t="str">
        <f t="shared" si="144"/>
        <v/>
      </c>
      <c r="BE450" s="36" t="str">
        <f t="shared" si="145"/>
        <v/>
      </c>
      <c r="BF450" s="36" t="str">
        <f t="shared" si="146"/>
        <v/>
      </c>
      <c r="BG450" s="36" t="str">
        <f t="shared" si="147"/>
        <v/>
      </c>
      <c r="BH450" s="36" t="str">
        <f t="shared" si="148"/>
        <v>县</v>
      </c>
      <c r="BI450" s="36" t="str">
        <f t="shared" si="149"/>
        <v/>
      </c>
      <c r="BJ450" s="29" t="str">
        <f t="shared" si="150"/>
        <v>县</v>
      </c>
    </row>
    <row r="451" spans="2:62" x14ac:dyDescent="0.15">
      <c r="B451" s="15">
        <v>448</v>
      </c>
      <c r="C451" s="15" t="s">
        <v>958</v>
      </c>
      <c r="D451" s="15">
        <v>83</v>
      </c>
      <c r="AX451" s="15"/>
      <c r="AY451" s="35">
        <f t="shared" si="140"/>
        <v>448</v>
      </c>
      <c r="AZ451" s="35" t="str">
        <f t="shared" si="141"/>
        <v>581+805</v>
      </c>
      <c r="BA451" s="35">
        <f t="shared" si="142"/>
        <v>83</v>
      </c>
      <c r="BB451" s="38">
        <f>COUNTIF($BA$4:$BA451,$BA451)</f>
        <v>4</v>
      </c>
      <c r="BC451" s="36" t="str">
        <f t="shared" si="143"/>
        <v/>
      </c>
      <c r="BD451" s="36" t="str">
        <f t="shared" si="144"/>
        <v/>
      </c>
      <c r="BE451" s="36" t="str">
        <f t="shared" si="145"/>
        <v/>
      </c>
      <c r="BF451" s="36" t="str">
        <f t="shared" si="146"/>
        <v/>
      </c>
      <c r="BG451" s="36" t="str">
        <f t="shared" si="147"/>
        <v/>
      </c>
      <c r="BH451" s="36" t="str">
        <f t="shared" si="148"/>
        <v>村</v>
      </c>
      <c r="BI451" s="36" t="str">
        <f t="shared" si="149"/>
        <v>村</v>
      </c>
      <c r="BJ451" s="29" t="str">
        <f t="shared" si="150"/>
        <v>村</v>
      </c>
    </row>
    <row r="452" spans="2:62" x14ac:dyDescent="0.15">
      <c r="B452" s="15">
        <v>449</v>
      </c>
      <c r="C452" s="15" t="s">
        <v>959</v>
      </c>
      <c r="D452" s="15">
        <v>82</v>
      </c>
      <c r="AX452" s="15"/>
      <c r="AY452" s="35">
        <f t="shared" si="140"/>
        <v>449</v>
      </c>
      <c r="AZ452" s="35" t="str">
        <f t="shared" si="141"/>
        <v>592+844</v>
      </c>
      <c r="BA452" s="35">
        <f t="shared" si="142"/>
        <v>82</v>
      </c>
      <c r="BB452" s="38">
        <f>COUNTIF($BA$4:$BA452,$BA452)</f>
        <v>5</v>
      </c>
      <c r="BC452" s="36" t="str">
        <f t="shared" si="143"/>
        <v/>
      </c>
      <c r="BD452" s="36" t="str">
        <f t="shared" si="144"/>
        <v/>
      </c>
      <c r="BE452" s="36" t="str">
        <f t="shared" si="145"/>
        <v/>
      </c>
      <c r="BF452" s="36" t="str">
        <f t="shared" si="146"/>
        <v/>
      </c>
      <c r="BG452" s="36" t="str">
        <f t="shared" si="147"/>
        <v/>
      </c>
      <c r="BH452" s="36" t="str">
        <f t="shared" si="148"/>
        <v>营</v>
      </c>
      <c r="BI452" s="36" t="str">
        <f t="shared" si="149"/>
        <v/>
      </c>
      <c r="BJ452" s="29" t="str">
        <f t="shared" si="150"/>
        <v>营</v>
      </c>
    </row>
    <row r="453" spans="2:62" x14ac:dyDescent="0.15">
      <c r="B453" s="15">
        <v>450</v>
      </c>
      <c r="C453" s="15" t="s">
        <v>960</v>
      </c>
      <c r="D453" s="15">
        <v>80</v>
      </c>
      <c r="AX453" s="15"/>
      <c r="AY453" s="35">
        <f t="shared" ref="AY453:AY499" si="151">B453</f>
        <v>450</v>
      </c>
      <c r="AZ453" s="35" t="str">
        <f t="shared" ref="AZ453:AZ499" si="152">C453</f>
        <v>580+920</v>
      </c>
      <c r="BA453" s="35">
        <f t="shared" ref="BA453:BA499" si="153">D453</f>
        <v>80</v>
      </c>
      <c r="BB453" s="38">
        <f>COUNTIF($BA$4:$BA453,$BA453)</f>
        <v>4</v>
      </c>
      <c r="BC453" s="36" t="str">
        <f t="shared" ref="BC453:BC502" si="154">IFERROR(IF(LEFT(INDEX($G$4:$G$173,MATCH($AZ453,$I$4:$I$173,0)),1)="精","营",LEFT(INDEX($G$4:$G$173,MATCH($AZ453,$I$4:$I$173,0)),1)),"")</f>
        <v/>
      </c>
      <c r="BD453" s="36" t="str">
        <f t="shared" ref="BD453:BD502" si="155">IFERROR(IF(LEFT(INDEX($M$4:$M$173,MATCH($AZ453,$O$4:$O$173,0)),1)="精","营",LEFT(INDEX($M$4:$M$173,MATCH($AZ453,$O$4:$O$173,0)),1)),"")</f>
        <v/>
      </c>
      <c r="BE453" s="36" t="str">
        <f t="shared" ref="BE453:BE502" si="156">IFERROR(IF(LEFT(INDEX($S$4:$S$173,MATCH($AZ453,$U$4:$U$173,0)),1)="精","营",LEFT(INDEX($S$4:$S$173,MATCH($AZ453,$U$4:$U$173,0)),1)),"")</f>
        <v/>
      </c>
      <c r="BF453" s="36" t="str">
        <f t="shared" ref="BF453:BF502" si="157">IFERROR(IF(LEFT(INDEX($Y$4:$Y$173,MATCH($AZ453,$AA$4:$AA$173,0)),1)="精","营",LEFT(INDEX($Y$4:$Y$173,MATCH($AZ453,$AA$4:$AA$173,0)),1)),"")</f>
        <v/>
      </c>
      <c r="BG453" s="36" t="str">
        <f t="shared" ref="BG453:BG502" si="158">IFERROR(IF(LEFT(INDEX($AE$4:$AE$173,MATCH($AZ453,$AG$4:$AG$173,0)),1)="精","营",LEFT(INDEX($AE$4:$AE$173,MATCH($AZ453,$AG$4:$AG$173,0)),1)),"")</f>
        <v/>
      </c>
      <c r="BH453" s="36" t="str">
        <f t="shared" ref="BH453:BH502" si="159">IFERROR(IF(LEFT(INDEX($AK$4:$AK$173,MATCH($AZ453,$AM$4:$AM$173,0)),1)="精","营",LEFT(INDEX($AK$4:$AK$173,MATCH($AZ453,$AM$4:$AM$173,0)),1)),"")</f>
        <v>县</v>
      </c>
      <c r="BI453" s="36" t="str">
        <f t="shared" ref="BI453:BI502" si="160">IFERROR(IF(LEFT(INDEX($AQ$4:$AQ$173,MATCH($AZ453,$AS$4:$AS$173,0)),1)="精","营",LEFT(INDEX($AQ$4:$AQ$173,MATCH($AZ453,$AS$4:$AS$173,0)),1)),"")</f>
        <v/>
      </c>
      <c r="BJ453" s="29" t="str">
        <f t="shared" ref="BJ453:BJ499" si="161">IF(BC453&lt;&gt;"",BC453,IF(BD453&lt;&gt;"",BD453,IF(BE453&lt;&gt;"",BE453,IF(BF453&lt;&gt;"",BF453,IF(BG453&lt;&gt;"",BG453,IF(BH453&lt;&gt;"",BH453,IF(BI453&lt;&gt;"",BI453,"")))))))</f>
        <v>县</v>
      </c>
    </row>
    <row r="454" spans="2:62" x14ac:dyDescent="0.15">
      <c r="B454" s="15">
        <v>451</v>
      </c>
      <c r="C454" s="15" t="s">
        <v>961</v>
      </c>
      <c r="D454" s="15">
        <v>78</v>
      </c>
      <c r="AX454" s="15"/>
      <c r="AY454" s="35">
        <f t="shared" si="151"/>
        <v>451</v>
      </c>
      <c r="AZ454" s="35" t="str">
        <f t="shared" si="152"/>
        <v>642+886</v>
      </c>
      <c r="BA454" s="35">
        <f t="shared" si="153"/>
        <v>78</v>
      </c>
      <c r="BB454" s="38">
        <f>COUNTIF($BA$4:$BA454,$BA454)</f>
        <v>6</v>
      </c>
      <c r="BC454" s="36" t="str">
        <f t="shared" si="154"/>
        <v/>
      </c>
      <c r="BD454" s="36" t="str">
        <f t="shared" si="155"/>
        <v/>
      </c>
      <c r="BE454" s="36" t="str">
        <f t="shared" si="156"/>
        <v/>
      </c>
      <c r="BF454" s="36" t="str">
        <f t="shared" si="157"/>
        <v/>
      </c>
      <c r="BG454" s="36" t="str">
        <f t="shared" si="158"/>
        <v/>
      </c>
      <c r="BH454" s="36" t="str">
        <f t="shared" si="159"/>
        <v>村</v>
      </c>
      <c r="BI454" s="36" t="str">
        <f t="shared" si="160"/>
        <v/>
      </c>
      <c r="BJ454" s="29" t="str">
        <f t="shared" si="161"/>
        <v>村</v>
      </c>
    </row>
    <row r="455" spans="2:62" x14ac:dyDescent="0.15">
      <c r="B455" s="15">
        <v>452</v>
      </c>
      <c r="C455" s="15" t="s">
        <v>962</v>
      </c>
      <c r="D455" s="15">
        <v>122</v>
      </c>
      <c r="AX455" s="15"/>
      <c r="AY455" s="35">
        <f t="shared" si="151"/>
        <v>452</v>
      </c>
      <c r="AZ455" s="35" t="str">
        <f t="shared" si="152"/>
        <v>493+917</v>
      </c>
      <c r="BA455" s="35">
        <f t="shared" si="153"/>
        <v>122</v>
      </c>
      <c r="BB455" s="38">
        <f>COUNTIF($BA$4:$BA455,$BA455)</f>
        <v>5</v>
      </c>
      <c r="BC455" s="36" t="str">
        <f t="shared" si="154"/>
        <v/>
      </c>
      <c r="BD455" s="36" t="str">
        <f t="shared" si="155"/>
        <v/>
      </c>
      <c r="BE455" s="36" t="str">
        <f t="shared" si="156"/>
        <v/>
      </c>
      <c r="BF455" s="36" t="str">
        <f t="shared" si="157"/>
        <v/>
      </c>
      <c r="BG455" s="36" t="str">
        <f t="shared" si="158"/>
        <v/>
      </c>
      <c r="BH455" s="36" t="str">
        <f t="shared" si="159"/>
        <v>营</v>
      </c>
      <c r="BI455" s="36" t="str">
        <f t="shared" si="160"/>
        <v/>
      </c>
      <c r="BJ455" s="29" t="str">
        <f t="shared" si="161"/>
        <v>营</v>
      </c>
    </row>
    <row r="456" spans="2:62" x14ac:dyDescent="0.15">
      <c r="B456" s="15">
        <v>453</v>
      </c>
      <c r="C456" s="15" t="s">
        <v>963</v>
      </c>
      <c r="D456" s="15">
        <v>121</v>
      </c>
      <c r="AX456" s="15"/>
      <c r="AY456" s="35">
        <f t="shared" si="151"/>
        <v>453</v>
      </c>
      <c r="AZ456" s="35" t="str">
        <f t="shared" si="152"/>
        <v>464+900</v>
      </c>
      <c r="BA456" s="35">
        <f t="shared" si="153"/>
        <v>121</v>
      </c>
      <c r="BB456" s="38">
        <f>COUNTIF($BA$4:$BA456,$BA456)</f>
        <v>1</v>
      </c>
      <c r="BC456" s="36" t="str">
        <f t="shared" si="154"/>
        <v/>
      </c>
      <c r="BD456" s="36" t="str">
        <f t="shared" si="155"/>
        <v/>
      </c>
      <c r="BE456" s="36" t="str">
        <f t="shared" si="156"/>
        <v/>
      </c>
      <c r="BF456" s="36" t="str">
        <f t="shared" si="157"/>
        <v/>
      </c>
      <c r="BG456" s="36" t="str">
        <f t="shared" si="158"/>
        <v/>
      </c>
      <c r="BH456" s="36" t="str">
        <f t="shared" si="159"/>
        <v>村</v>
      </c>
      <c r="BI456" s="36" t="str">
        <f t="shared" si="160"/>
        <v/>
      </c>
      <c r="BJ456" s="29" t="str">
        <f t="shared" si="161"/>
        <v>村</v>
      </c>
    </row>
    <row r="457" spans="2:62" x14ac:dyDescent="0.15">
      <c r="B457" s="15">
        <v>454</v>
      </c>
      <c r="C457" s="15" t="s">
        <v>964</v>
      </c>
      <c r="D457" s="15">
        <v>120</v>
      </c>
      <c r="AX457" s="15"/>
      <c r="AY457" s="35">
        <f t="shared" si="151"/>
        <v>454</v>
      </c>
      <c r="AZ457" s="35" t="str">
        <f t="shared" si="152"/>
        <v>428+887</v>
      </c>
      <c r="BA457" s="35">
        <f t="shared" si="153"/>
        <v>120</v>
      </c>
      <c r="BB457" s="38">
        <f>COUNTIF($BA$4:$BA457,$BA457)</f>
        <v>1</v>
      </c>
      <c r="BC457" s="36" t="str">
        <f t="shared" si="154"/>
        <v/>
      </c>
      <c r="BD457" s="36" t="str">
        <f t="shared" si="155"/>
        <v/>
      </c>
      <c r="BE457" s="36" t="str">
        <f t="shared" si="156"/>
        <v/>
      </c>
      <c r="BF457" s="36" t="str">
        <f t="shared" si="157"/>
        <v/>
      </c>
      <c r="BG457" s="36" t="str">
        <f t="shared" si="158"/>
        <v/>
      </c>
      <c r="BH457" s="36" t="str">
        <f t="shared" si="159"/>
        <v>村</v>
      </c>
      <c r="BI457" s="36" t="str">
        <f t="shared" si="160"/>
        <v>村</v>
      </c>
      <c r="BJ457" s="29" t="str">
        <f t="shared" si="161"/>
        <v>村</v>
      </c>
    </row>
    <row r="458" spans="2:62" x14ac:dyDescent="0.15">
      <c r="B458" s="15">
        <v>455</v>
      </c>
      <c r="C458" s="15" t="s">
        <v>965</v>
      </c>
      <c r="D458" s="15">
        <v>129</v>
      </c>
      <c r="AX458" s="15"/>
      <c r="AY458" s="35">
        <f t="shared" si="151"/>
        <v>455</v>
      </c>
      <c r="AZ458" s="35" t="str">
        <f t="shared" si="152"/>
        <v>436+794</v>
      </c>
      <c r="BA458" s="35">
        <f t="shared" si="153"/>
        <v>129</v>
      </c>
      <c r="BB458" s="38">
        <f>COUNTIF($BA$4:$BA458,$BA458)</f>
        <v>4</v>
      </c>
      <c r="BC458" s="36" t="str">
        <f t="shared" si="154"/>
        <v/>
      </c>
      <c r="BD458" s="36" t="str">
        <f t="shared" si="155"/>
        <v/>
      </c>
      <c r="BE458" s="36" t="str">
        <f t="shared" si="156"/>
        <v/>
      </c>
      <c r="BF458" s="36" t="str">
        <f t="shared" si="157"/>
        <v/>
      </c>
      <c r="BG458" s="36" t="str">
        <f t="shared" si="158"/>
        <v/>
      </c>
      <c r="BH458" s="36" t="str">
        <f t="shared" si="159"/>
        <v>村</v>
      </c>
      <c r="BI458" s="36" t="str">
        <f t="shared" si="160"/>
        <v>村</v>
      </c>
      <c r="BJ458" s="29" t="str">
        <f t="shared" si="161"/>
        <v>村</v>
      </c>
    </row>
    <row r="459" spans="2:62" x14ac:dyDescent="0.15">
      <c r="B459" s="15">
        <v>456</v>
      </c>
      <c r="C459" s="15" t="s">
        <v>966</v>
      </c>
      <c r="D459" s="15">
        <v>127</v>
      </c>
      <c r="AX459" s="15"/>
      <c r="AY459" s="35">
        <f t="shared" si="151"/>
        <v>456</v>
      </c>
      <c r="AZ459" s="35" t="str">
        <f t="shared" si="152"/>
        <v>521+739</v>
      </c>
      <c r="BA459" s="35">
        <f t="shared" si="153"/>
        <v>127</v>
      </c>
      <c r="BB459" s="38">
        <f>COUNTIF($BA$4:$BA459,$BA459)</f>
        <v>4</v>
      </c>
      <c r="BC459" s="36" t="str">
        <f t="shared" si="154"/>
        <v/>
      </c>
      <c r="BD459" s="36" t="str">
        <f t="shared" si="155"/>
        <v/>
      </c>
      <c r="BE459" s="36" t="str">
        <f t="shared" si="156"/>
        <v/>
      </c>
      <c r="BF459" s="36" t="str">
        <f t="shared" si="157"/>
        <v/>
      </c>
      <c r="BG459" s="36" t="str">
        <f t="shared" si="158"/>
        <v/>
      </c>
      <c r="BH459" s="36" t="str">
        <f t="shared" si="159"/>
        <v>村</v>
      </c>
      <c r="BI459" s="36" t="str">
        <f t="shared" si="160"/>
        <v>村</v>
      </c>
      <c r="BJ459" s="29" t="str">
        <f t="shared" si="161"/>
        <v>村</v>
      </c>
    </row>
    <row r="460" spans="2:62" x14ac:dyDescent="0.15">
      <c r="B460" s="15">
        <v>457</v>
      </c>
      <c r="C460" s="15" t="s">
        <v>967</v>
      </c>
      <c r="D460" s="15">
        <v>73</v>
      </c>
      <c r="AX460" s="15"/>
      <c r="AY460" s="35">
        <f t="shared" si="151"/>
        <v>457</v>
      </c>
      <c r="AZ460" s="35" t="str">
        <f t="shared" si="152"/>
        <v>716+867</v>
      </c>
      <c r="BA460" s="35">
        <f t="shared" si="153"/>
        <v>73</v>
      </c>
      <c r="BB460" s="38">
        <f>COUNTIF($BA$4:$BA460,$BA460)</f>
        <v>4</v>
      </c>
      <c r="BC460" s="36" t="str">
        <f t="shared" si="154"/>
        <v/>
      </c>
      <c r="BD460" s="36" t="str">
        <f t="shared" si="155"/>
        <v/>
      </c>
      <c r="BE460" s="36" t="str">
        <f t="shared" si="156"/>
        <v/>
      </c>
      <c r="BF460" s="36" t="str">
        <f t="shared" si="157"/>
        <v/>
      </c>
      <c r="BG460" s="36" t="str">
        <f t="shared" si="158"/>
        <v>村</v>
      </c>
      <c r="BH460" s="36" t="str">
        <f t="shared" si="159"/>
        <v>村</v>
      </c>
      <c r="BI460" s="36" t="str">
        <f t="shared" si="160"/>
        <v/>
      </c>
      <c r="BJ460" s="29" t="str">
        <f t="shared" si="161"/>
        <v>村</v>
      </c>
    </row>
    <row r="461" spans="2:62" x14ac:dyDescent="0.15">
      <c r="B461" s="15">
        <v>458</v>
      </c>
      <c r="C461" s="15" t="s">
        <v>968</v>
      </c>
      <c r="D461" s="15">
        <v>73</v>
      </c>
      <c r="AX461" s="15"/>
      <c r="AY461" s="35">
        <f t="shared" si="151"/>
        <v>458</v>
      </c>
      <c r="AZ461" s="35" t="str">
        <f t="shared" si="152"/>
        <v>735+878</v>
      </c>
      <c r="BA461" s="35">
        <f t="shared" si="153"/>
        <v>73</v>
      </c>
      <c r="BB461" s="38">
        <f>COUNTIF($BA$4:$BA461,$BA461)</f>
        <v>5</v>
      </c>
      <c r="BC461" s="36" t="str">
        <f t="shared" si="154"/>
        <v/>
      </c>
      <c r="BD461" s="36" t="str">
        <f t="shared" si="155"/>
        <v/>
      </c>
      <c r="BE461" s="36" t="str">
        <f t="shared" si="156"/>
        <v/>
      </c>
      <c r="BF461" s="36" t="str">
        <f t="shared" si="157"/>
        <v/>
      </c>
      <c r="BG461" s="36" t="str">
        <f t="shared" si="158"/>
        <v/>
      </c>
      <c r="BH461" s="36" t="str">
        <f t="shared" si="159"/>
        <v>村</v>
      </c>
      <c r="BI461" s="36" t="str">
        <f t="shared" si="160"/>
        <v/>
      </c>
      <c r="BJ461" s="29" t="str">
        <f t="shared" si="161"/>
        <v>村</v>
      </c>
    </row>
    <row r="462" spans="2:62" x14ac:dyDescent="0.15">
      <c r="B462" s="15">
        <v>459</v>
      </c>
      <c r="C462" s="15" t="s">
        <v>969</v>
      </c>
      <c r="D462" s="15">
        <v>76</v>
      </c>
      <c r="AX462" s="15"/>
      <c r="AY462" s="35">
        <f t="shared" si="151"/>
        <v>459</v>
      </c>
      <c r="AZ462" s="35" t="str">
        <f t="shared" si="152"/>
        <v>748+906</v>
      </c>
      <c r="BA462" s="35">
        <f t="shared" si="153"/>
        <v>76</v>
      </c>
      <c r="BB462" s="38">
        <f>COUNTIF($BA$4:$BA462,$BA462)</f>
        <v>3</v>
      </c>
      <c r="BC462" s="36" t="str">
        <f t="shared" si="154"/>
        <v/>
      </c>
      <c r="BD462" s="36" t="str">
        <f t="shared" si="155"/>
        <v/>
      </c>
      <c r="BE462" s="36" t="str">
        <f t="shared" si="156"/>
        <v/>
      </c>
      <c r="BF462" s="36" t="str">
        <f t="shared" si="157"/>
        <v/>
      </c>
      <c r="BG462" s="36" t="str">
        <f t="shared" si="158"/>
        <v/>
      </c>
      <c r="BH462" s="36" t="str">
        <f t="shared" si="159"/>
        <v>村</v>
      </c>
      <c r="BI462" s="36" t="str">
        <f t="shared" si="160"/>
        <v/>
      </c>
      <c r="BJ462" s="29" t="str">
        <f t="shared" si="161"/>
        <v>村</v>
      </c>
    </row>
    <row r="463" spans="2:62" x14ac:dyDescent="0.15">
      <c r="B463" s="15">
        <v>460</v>
      </c>
      <c r="C463" s="15" t="s">
        <v>970</v>
      </c>
      <c r="D463" s="15">
        <v>84</v>
      </c>
      <c r="AX463" s="15"/>
      <c r="AY463" s="35">
        <f t="shared" si="151"/>
        <v>460</v>
      </c>
      <c r="AZ463" s="35" t="str">
        <f t="shared" si="152"/>
        <v>631+772</v>
      </c>
      <c r="BA463" s="35">
        <f t="shared" si="153"/>
        <v>84</v>
      </c>
      <c r="BB463" s="38">
        <f>COUNTIF($BA$4:$BA463,$BA463)</f>
        <v>4</v>
      </c>
      <c r="BC463" s="36" t="str">
        <f t="shared" si="154"/>
        <v/>
      </c>
      <c r="BD463" s="36" t="str">
        <f t="shared" si="155"/>
        <v/>
      </c>
      <c r="BE463" s="36" t="str">
        <f t="shared" si="156"/>
        <v/>
      </c>
      <c r="BF463" s="36" t="str">
        <f t="shared" si="157"/>
        <v/>
      </c>
      <c r="BG463" s="36" t="str">
        <f t="shared" si="158"/>
        <v/>
      </c>
      <c r="BH463" s="36" t="str">
        <f t="shared" si="159"/>
        <v>村</v>
      </c>
      <c r="BI463" s="36" t="str">
        <f t="shared" si="160"/>
        <v>村</v>
      </c>
      <c r="BJ463" s="29" t="str">
        <f t="shared" si="161"/>
        <v>村</v>
      </c>
    </row>
    <row r="464" spans="2:62" x14ac:dyDescent="0.15">
      <c r="B464" s="15">
        <v>461</v>
      </c>
      <c r="C464" s="15" t="s">
        <v>971</v>
      </c>
      <c r="D464" s="15">
        <v>72</v>
      </c>
      <c r="AX464" s="15"/>
      <c r="AY464" s="35">
        <f t="shared" si="151"/>
        <v>461</v>
      </c>
      <c r="AZ464" s="35" t="str">
        <f t="shared" si="152"/>
        <v>725+848</v>
      </c>
      <c r="BA464" s="35">
        <f t="shared" si="153"/>
        <v>72</v>
      </c>
      <c r="BB464" s="38">
        <f>COUNTIF($BA$4:$BA464,$BA464)</f>
        <v>4</v>
      </c>
      <c r="BC464" s="36" t="str">
        <f t="shared" si="154"/>
        <v/>
      </c>
      <c r="BD464" s="36" t="str">
        <f t="shared" si="155"/>
        <v/>
      </c>
      <c r="BE464" s="36" t="str">
        <f t="shared" si="156"/>
        <v/>
      </c>
      <c r="BF464" s="36" t="str">
        <f t="shared" si="157"/>
        <v/>
      </c>
      <c r="BG464" s="36" t="str">
        <f t="shared" si="158"/>
        <v/>
      </c>
      <c r="BH464" s="36" t="str">
        <f t="shared" si="159"/>
        <v>营</v>
      </c>
      <c r="BI464" s="36" t="str">
        <f t="shared" si="160"/>
        <v/>
      </c>
      <c r="BJ464" s="29" t="str">
        <f t="shared" si="161"/>
        <v>营</v>
      </c>
    </row>
    <row r="465" spans="2:62" x14ac:dyDescent="0.15">
      <c r="B465" s="15">
        <v>462</v>
      </c>
      <c r="C465" s="15" t="s">
        <v>972</v>
      </c>
      <c r="D465" s="15">
        <v>76</v>
      </c>
      <c r="AX465" s="15"/>
      <c r="AY465" s="35">
        <f t="shared" si="151"/>
        <v>462</v>
      </c>
      <c r="AZ465" s="35" t="str">
        <f t="shared" si="152"/>
        <v>772+949</v>
      </c>
      <c r="BA465" s="35">
        <f t="shared" si="153"/>
        <v>76</v>
      </c>
      <c r="BB465" s="38">
        <f>COUNTIF($BA$4:$BA465,$BA465)</f>
        <v>4</v>
      </c>
      <c r="BC465" s="36" t="str">
        <f t="shared" si="154"/>
        <v/>
      </c>
      <c r="BD465" s="36" t="str">
        <f t="shared" si="155"/>
        <v/>
      </c>
      <c r="BE465" s="36" t="str">
        <f t="shared" si="156"/>
        <v/>
      </c>
      <c r="BF465" s="36" t="str">
        <f t="shared" si="157"/>
        <v/>
      </c>
      <c r="BG465" s="36" t="str">
        <f t="shared" si="158"/>
        <v/>
      </c>
      <c r="BH465" s="36" t="str">
        <f t="shared" si="159"/>
        <v>县</v>
      </c>
      <c r="BI465" s="36" t="str">
        <f t="shared" si="160"/>
        <v/>
      </c>
      <c r="BJ465" s="29" t="str">
        <f t="shared" si="161"/>
        <v>县</v>
      </c>
    </row>
    <row r="466" spans="2:62" x14ac:dyDescent="0.15">
      <c r="B466" s="15">
        <v>463</v>
      </c>
      <c r="C466" s="15" t="s">
        <v>973</v>
      </c>
      <c r="D466" s="15">
        <v>67</v>
      </c>
      <c r="AX466" s="15"/>
      <c r="AY466" s="35">
        <f t="shared" si="151"/>
        <v>463</v>
      </c>
      <c r="AZ466" s="35" t="str">
        <f t="shared" si="152"/>
        <v>808+912</v>
      </c>
      <c r="BA466" s="35">
        <f t="shared" si="153"/>
        <v>67</v>
      </c>
      <c r="BB466" s="38">
        <f>COUNTIF($BA$4:$BA466,$BA466)</f>
        <v>2</v>
      </c>
      <c r="BC466" s="36" t="str">
        <f t="shared" si="154"/>
        <v/>
      </c>
      <c r="BD466" s="36" t="str">
        <f t="shared" si="155"/>
        <v/>
      </c>
      <c r="BE466" s="36" t="str">
        <f t="shared" si="156"/>
        <v/>
      </c>
      <c r="BF466" s="36" t="str">
        <f t="shared" si="157"/>
        <v/>
      </c>
      <c r="BG466" s="36" t="str">
        <f t="shared" si="158"/>
        <v/>
      </c>
      <c r="BH466" s="36" t="str">
        <f t="shared" si="159"/>
        <v>县</v>
      </c>
      <c r="BI466" s="36" t="str">
        <f t="shared" si="160"/>
        <v/>
      </c>
      <c r="BJ466" s="29" t="str">
        <f t="shared" si="161"/>
        <v>县</v>
      </c>
    </row>
    <row r="467" spans="2:62" x14ac:dyDescent="0.15">
      <c r="B467" s="15">
        <v>464</v>
      </c>
      <c r="C467" s="15" t="s">
        <v>974</v>
      </c>
      <c r="D467" s="15">
        <v>71</v>
      </c>
      <c r="AX467" s="15"/>
      <c r="AY467" s="35">
        <f t="shared" si="151"/>
        <v>464</v>
      </c>
      <c r="AZ467" s="35" t="str">
        <f t="shared" si="152"/>
        <v>760+823</v>
      </c>
      <c r="BA467" s="35">
        <f t="shared" si="153"/>
        <v>71</v>
      </c>
      <c r="BB467" s="38">
        <f>COUNTIF($BA$4:$BA467,$BA467)</f>
        <v>5</v>
      </c>
      <c r="BC467" s="36" t="str">
        <f t="shared" si="154"/>
        <v/>
      </c>
      <c r="BD467" s="36" t="str">
        <f t="shared" si="155"/>
        <v/>
      </c>
      <c r="BE467" s="36" t="str">
        <f t="shared" si="156"/>
        <v/>
      </c>
      <c r="BF467" s="36" t="str">
        <f t="shared" si="157"/>
        <v/>
      </c>
      <c r="BG467" s="36" t="str">
        <f t="shared" si="158"/>
        <v/>
      </c>
      <c r="BH467" s="36" t="str">
        <f t="shared" si="159"/>
        <v>营</v>
      </c>
      <c r="BI467" s="36" t="str">
        <f t="shared" si="160"/>
        <v/>
      </c>
      <c r="BJ467" s="29" t="str">
        <f t="shared" si="161"/>
        <v>营</v>
      </c>
    </row>
    <row r="468" spans="2:62" x14ac:dyDescent="0.15">
      <c r="B468" s="15">
        <v>465</v>
      </c>
      <c r="C468" s="15" t="s">
        <v>975</v>
      </c>
      <c r="D468" s="15">
        <v>87</v>
      </c>
      <c r="AX468" s="15"/>
      <c r="AY468" s="35">
        <f t="shared" si="151"/>
        <v>465</v>
      </c>
      <c r="AZ468" s="35" t="str">
        <f t="shared" si="152"/>
        <v>642+697</v>
      </c>
      <c r="BA468" s="35">
        <f t="shared" si="153"/>
        <v>87</v>
      </c>
      <c r="BB468" s="38">
        <f>COUNTIF($BA$4:$BA468,$BA468)</f>
        <v>3</v>
      </c>
      <c r="BC468" s="36" t="str">
        <f t="shared" si="154"/>
        <v/>
      </c>
      <c r="BD468" s="36" t="str">
        <f t="shared" si="155"/>
        <v/>
      </c>
      <c r="BE468" s="36" t="str">
        <f t="shared" si="156"/>
        <v/>
      </c>
      <c r="BF468" s="36" t="str">
        <f t="shared" si="157"/>
        <v/>
      </c>
      <c r="BG468" s="36" t="str">
        <f t="shared" si="158"/>
        <v/>
      </c>
      <c r="BH468" s="36" t="str">
        <f t="shared" si="159"/>
        <v>村</v>
      </c>
      <c r="BI468" s="36" t="str">
        <f t="shared" si="160"/>
        <v>村</v>
      </c>
      <c r="BJ468" s="29" t="str">
        <f t="shared" si="161"/>
        <v>村</v>
      </c>
    </row>
    <row r="469" spans="2:62" x14ac:dyDescent="0.15">
      <c r="B469" s="15">
        <v>466</v>
      </c>
      <c r="C469" s="15" t="s">
        <v>976</v>
      </c>
      <c r="D469" s="15">
        <v>127</v>
      </c>
      <c r="AX469" s="15"/>
      <c r="AY469" s="35">
        <f t="shared" si="151"/>
        <v>466</v>
      </c>
      <c r="AZ469" s="35" t="str">
        <f t="shared" si="152"/>
        <v>517+724</v>
      </c>
      <c r="BA469" s="35">
        <f t="shared" si="153"/>
        <v>127</v>
      </c>
      <c r="BB469" s="38">
        <f>COUNTIF($BA$4:$BA469,$BA469)</f>
        <v>5</v>
      </c>
      <c r="BC469" s="36" t="str">
        <f t="shared" si="154"/>
        <v/>
      </c>
      <c r="BD469" s="36" t="str">
        <f t="shared" si="155"/>
        <v/>
      </c>
      <c r="BE469" s="36" t="str">
        <f t="shared" si="156"/>
        <v/>
      </c>
      <c r="BF469" s="36" t="str">
        <f t="shared" si="157"/>
        <v/>
      </c>
      <c r="BG469" s="36" t="str">
        <f t="shared" si="158"/>
        <v>营</v>
      </c>
      <c r="BH469" s="36" t="str">
        <f t="shared" si="159"/>
        <v>营</v>
      </c>
      <c r="BI469" s="36" t="str">
        <f t="shared" si="160"/>
        <v/>
      </c>
      <c r="BJ469" s="29" t="str">
        <f t="shared" si="161"/>
        <v>营</v>
      </c>
    </row>
    <row r="470" spans="2:62" x14ac:dyDescent="0.15">
      <c r="B470" s="15">
        <v>467</v>
      </c>
      <c r="C470" s="15" t="s">
        <v>977</v>
      </c>
      <c r="D470" s="15">
        <v>137</v>
      </c>
      <c r="AX470" s="15"/>
      <c r="AY470" s="35">
        <f t="shared" si="151"/>
        <v>467</v>
      </c>
      <c r="AZ470" s="35" t="str">
        <f t="shared" si="152"/>
        <v>407+694</v>
      </c>
      <c r="BA470" s="35">
        <f t="shared" si="153"/>
        <v>137</v>
      </c>
      <c r="BB470" s="38">
        <f>COUNTIF($BA$4:$BA470,$BA470)</f>
        <v>4</v>
      </c>
      <c r="BC470" s="36" t="str">
        <f t="shared" si="154"/>
        <v/>
      </c>
      <c r="BD470" s="36" t="str">
        <f t="shared" si="155"/>
        <v/>
      </c>
      <c r="BE470" s="36" t="str">
        <f t="shared" si="156"/>
        <v/>
      </c>
      <c r="BF470" s="36" t="str">
        <f t="shared" si="157"/>
        <v/>
      </c>
      <c r="BG470" s="36" t="str">
        <f t="shared" si="158"/>
        <v/>
      </c>
      <c r="BH470" s="36" t="str">
        <f t="shared" si="159"/>
        <v>村</v>
      </c>
      <c r="BI470" s="36" t="str">
        <f t="shared" si="160"/>
        <v>村</v>
      </c>
      <c r="BJ470" s="29" t="str">
        <f t="shared" si="161"/>
        <v>村</v>
      </c>
    </row>
    <row r="471" spans="2:62" x14ac:dyDescent="0.15">
      <c r="B471" s="15">
        <v>468</v>
      </c>
      <c r="C471" s="15" t="s">
        <v>978</v>
      </c>
      <c r="D471" s="15">
        <v>119</v>
      </c>
      <c r="AX471" s="15"/>
      <c r="AY471" s="35">
        <f t="shared" si="151"/>
        <v>468</v>
      </c>
      <c r="AZ471" s="35" t="str">
        <f t="shared" si="152"/>
        <v>380+809</v>
      </c>
      <c r="BA471" s="35">
        <f t="shared" si="153"/>
        <v>119</v>
      </c>
      <c r="BB471" s="38">
        <f>COUNTIF($BA$4:$BA471,$BA471)</f>
        <v>2</v>
      </c>
      <c r="BC471" s="36" t="str">
        <f t="shared" si="154"/>
        <v/>
      </c>
      <c r="BD471" s="36" t="str">
        <f t="shared" si="155"/>
        <v/>
      </c>
      <c r="BE471" s="36" t="str">
        <f t="shared" si="156"/>
        <v/>
      </c>
      <c r="BF471" s="36" t="str">
        <f t="shared" si="157"/>
        <v/>
      </c>
      <c r="BG471" s="36" t="str">
        <f t="shared" si="158"/>
        <v/>
      </c>
      <c r="BH471" s="36" t="str">
        <f t="shared" si="159"/>
        <v>村</v>
      </c>
      <c r="BI471" s="36" t="str">
        <f t="shared" si="160"/>
        <v>村</v>
      </c>
      <c r="BJ471" s="29" t="str">
        <f t="shared" si="161"/>
        <v>村</v>
      </c>
    </row>
    <row r="472" spans="2:62" x14ac:dyDescent="0.15">
      <c r="B472" s="15">
        <v>469</v>
      </c>
      <c r="C472" s="15" t="s">
        <v>979</v>
      </c>
      <c r="D472" s="15">
        <v>119</v>
      </c>
      <c r="AX472" s="15"/>
      <c r="AY472" s="35">
        <f t="shared" si="151"/>
        <v>469</v>
      </c>
      <c r="AZ472" s="35" t="str">
        <f t="shared" si="152"/>
        <v>355+843</v>
      </c>
      <c r="BA472" s="35">
        <f t="shared" si="153"/>
        <v>119</v>
      </c>
      <c r="BB472" s="38">
        <f>COUNTIF($BA$4:$BA472,$BA472)</f>
        <v>3</v>
      </c>
      <c r="BC472" s="36" t="str">
        <f t="shared" si="154"/>
        <v/>
      </c>
      <c r="BD472" s="36" t="str">
        <f t="shared" si="155"/>
        <v/>
      </c>
      <c r="BE472" s="36" t="str">
        <f t="shared" si="156"/>
        <v/>
      </c>
      <c r="BF472" s="36" t="str">
        <f t="shared" si="157"/>
        <v/>
      </c>
      <c r="BG472" s="36" t="str">
        <f t="shared" si="158"/>
        <v/>
      </c>
      <c r="BH472" s="36" t="str">
        <f t="shared" si="159"/>
        <v>县</v>
      </c>
      <c r="BI472" s="36" t="str">
        <f t="shared" si="160"/>
        <v/>
      </c>
      <c r="BJ472" s="29" t="str">
        <f t="shared" si="161"/>
        <v>县</v>
      </c>
    </row>
    <row r="473" spans="2:62" x14ac:dyDescent="0.15">
      <c r="B473" s="15">
        <v>470</v>
      </c>
      <c r="C473" s="15" t="s">
        <v>980</v>
      </c>
      <c r="D473" s="15">
        <v>120</v>
      </c>
      <c r="AX473" s="15"/>
      <c r="AY473" s="35">
        <f t="shared" si="151"/>
        <v>470</v>
      </c>
      <c r="AZ473" s="35" t="str">
        <f t="shared" si="152"/>
        <v>382+861</v>
      </c>
      <c r="BA473" s="35">
        <f t="shared" si="153"/>
        <v>120</v>
      </c>
      <c r="BB473" s="38">
        <f>COUNTIF($BA$4:$BA473,$BA473)</f>
        <v>2</v>
      </c>
      <c r="BC473" s="36" t="str">
        <f t="shared" si="154"/>
        <v/>
      </c>
      <c r="BD473" s="36" t="str">
        <f t="shared" si="155"/>
        <v/>
      </c>
      <c r="BE473" s="36" t="str">
        <f t="shared" si="156"/>
        <v/>
      </c>
      <c r="BF473" s="36" t="str">
        <f t="shared" si="157"/>
        <v/>
      </c>
      <c r="BG473" s="36" t="str">
        <f t="shared" si="158"/>
        <v/>
      </c>
      <c r="BH473" s="36" t="str">
        <f t="shared" si="159"/>
        <v>村</v>
      </c>
      <c r="BI473" s="36" t="str">
        <f t="shared" si="160"/>
        <v>村</v>
      </c>
      <c r="BJ473" s="29" t="str">
        <f t="shared" si="161"/>
        <v>村</v>
      </c>
    </row>
    <row r="474" spans="2:62" x14ac:dyDescent="0.15">
      <c r="B474" s="15">
        <v>471</v>
      </c>
      <c r="C474" s="15" t="s">
        <v>981</v>
      </c>
      <c r="D474" s="15">
        <v>117</v>
      </c>
      <c r="AX474" s="15"/>
      <c r="AY474" s="35">
        <f t="shared" si="151"/>
        <v>471</v>
      </c>
      <c r="AZ474" s="35" t="str">
        <f t="shared" si="152"/>
        <v>368+892</v>
      </c>
      <c r="BA474" s="35">
        <f t="shared" si="153"/>
        <v>117</v>
      </c>
      <c r="BB474" s="38">
        <f>COUNTIF($BA$4:$BA474,$BA474)</f>
        <v>1</v>
      </c>
      <c r="BC474" s="36" t="str">
        <f t="shared" si="154"/>
        <v/>
      </c>
      <c r="BD474" s="36" t="str">
        <f t="shared" si="155"/>
        <v/>
      </c>
      <c r="BE474" s="36" t="str">
        <f t="shared" si="156"/>
        <v/>
      </c>
      <c r="BF474" s="36" t="str">
        <f t="shared" si="157"/>
        <v/>
      </c>
      <c r="BG474" s="36" t="str">
        <f t="shared" si="158"/>
        <v/>
      </c>
      <c r="BH474" s="36" t="str">
        <f t="shared" si="159"/>
        <v>营</v>
      </c>
      <c r="BI474" s="36" t="str">
        <f t="shared" si="160"/>
        <v>营</v>
      </c>
      <c r="BJ474" s="29" t="str">
        <f t="shared" si="161"/>
        <v>营</v>
      </c>
    </row>
    <row r="475" spans="2:62" x14ac:dyDescent="0.15">
      <c r="B475" s="15">
        <v>472</v>
      </c>
      <c r="C475" s="15" t="s">
        <v>982</v>
      </c>
      <c r="D475" s="15">
        <v>147</v>
      </c>
      <c r="AX475" s="15"/>
      <c r="AY475" s="35">
        <f t="shared" si="151"/>
        <v>472</v>
      </c>
      <c r="AZ475" s="35" t="str">
        <f t="shared" si="152"/>
        <v>506+636</v>
      </c>
      <c r="BA475" s="35">
        <f t="shared" si="153"/>
        <v>147</v>
      </c>
      <c r="BB475" s="38">
        <f>COUNTIF($BA$4:$BA475,$BA475)</f>
        <v>2</v>
      </c>
      <c r="BC475" s="36" t="str">
        <f t="shared" si="154"/>
        <v/>
      </c>
      <c r="BD475" s="36" t="str">
        <f t="shared" si="155"/>
        <v/>
      </c>
      <c r="BE475" s="36" t="str">
        <f t="shared" si="156"/>
        <v/>
      </c>
      <c r="BF475" s="36" t="str">
        <f t="shared" si="157"/>
        <v/>
      </c>
      <c r="BG475" s="36" t="str">
        <f t="shared" si="158"/>
        <v/>
      </c>
      <c r="BH475" s="36" t="str">
        <f t="shared" si="159"/>
        <v>村</v>
      </c>
      <c r="BI475" s="36" t="str">
        <f t="shared" si="160"/>
        <v>村</v>
      </c>
      <c r="BJ475" s="29" t="str">
        <f t="shared" si="161"/>
        <v>村</v>
      </c>
    </row>
    <row r="476" spans="2:62" x14ac:dyDescent="0.15">
      <c r="B476" s="15">
        <v>473</v>
      </c>
      <c r="C476" s="15" t="s">
        <v>983</v>
      </c>
      <c r="D476" s="15">
        <v>137</v>
      </c>
      <c r="AX476" s="15"/>
      <c r="AY476" s="35">
        <f t="shared" si="151"/>
        <v>473</v>
      </c>
      <c r="AZ476" s="35" t="str">
        <f t="shared" si="152"/>
        <v>428+665</v>
      </c>
      <c r="BA476" s="35">
        <f t="shared" si="153"/>
        <v>137</v>
      </c>
      <c r="BB476" s="38">
        <f>COUNTIF($BA$4:$BA476,$BA476)</f>
        <v>5</v>
      </c>
      <c r="BC476" s="36" t="str">
        <f t="shared" si="154"/>
        <v/>
      </c>
      <c r="BD476" s="36" t="str">
        <f t="shared" si="155"/>
        <v/>
      </c>
      <c r="BE476" s="36" t="str">
        <f t="shared" si="156"/>
        <v/>
      </c>
      <c r="BF476" s="36" t="str">
        <f t="shared" si="157"/>
        <v/>
      </c>
      <c r="BG476" s="36" t="str">
        <f t="shared" si="158"/>
        <v/>
      </c>
      <c r="BH476" s="36" t="str">
        <f t="shared" si="159"/>
        <v>营</v>
      </c>
      <c r="BI476" s="36" t="str">
        <f t="shared" si="160"/>
        <v>营</v>
      </c>
      <c r="BJ476" s="29" t="str">
        <f t="shared" si="161"/>
        <v>营</v>
      </c>
    </row>
    <row r="477" spans="2:62" x14ac:dyDescent="0.15">
      <c r="B477" s="15">
        <v>474</v>
      </c>
      <c r="C477" s="15" t="s">
        <v>984</v>
      </c>
      <c r="D477" s="15">
        <v>145</v>
      </c>
      <c r="AX477" s="15"/>
      <c r="AY477" s="35">
        <f t="shared" si="151"/>
        <v>474</v>
      </c>
      <c r="AZ477" s="35" t="str">
        <f t="shared" si="152"/>
        <v>414+661</v>
      </c>
      <c r="BA477" s="35">
        <f t="shared" si="153"/>
        <v>145</v>
      </c>
      <c r="BB477" s="38">
        <f>COUNTIF($BA$4:$BA477,$BA477)</f>
        <v>4</v>
      </c>
      <c r="BC477" s="36" t="str">
        <f t="shared" si="154"/>
        <v/>
      </c>
      <c r="BD477" s="36" t="str">
        <f t="shared" si="155"/>
        <v/>
      </c>
      <c r="BE477" s="36" t="str">
        <f t="shared" si="156"/>
        <v/>
      </c>
      <c r="BF477" s="36" t="str">
        <f t="shared" si="157"/>
        <v/>
      </c>
      <c r="BG477" s="36" t="str">
        <f t="shared" si="158"/>
        <v/>
      </c>
      <c r="BH477" s="36" t="str">
        <f t="shared" si="159"/>
        <v>县</v>
      </c>
      <c r="BI477" s="36" t="str">
        <f t="shared" si="160"/>
        <v>县</v>
      </c>
      <c r="BJ477" s="29" t="str">
        <f t="shared" si="161"/>
        <v>县</v>
      </c>
    </row>
    <row r="478" spans="2:62" x14ac:dyDescent="0.15">
      <c r="B478" s="15">
        <v>475</v>
      </c>
      <c r="C478" s="15" t="s">
        <v>985</v>
      </c>
      <c r="D478" s="15">
        <v>146</v>
      </c>
      <c r="AX478" s="15"/>
      <c r="AY478" s="35">
        <f t="shared" si="151"/>
        <v>475</v>
      </c>
      <c r="AZ478" s="35" t="str">
        <f t="shared" si="152"/>
        <v>489+625</v>
      </c>
      <c r="BA478" s="35">
        <f t="shared" si="153"/>
        <v>146</v>
      </c>
      <c r="BB478" s="38">
        <f>COUNTIF($BA$4:$BA478,$BA478)</f>
        <v>3</v>
      </c>
      <c r="BC478" s="36" t="str">
        <f t="shared" si="154"/>
        <v/>
      </c>
      <c r="BD478" s="36" t="str">
        <f t="shared" si="155"/>
        <v/>
      </c>
      <c r="BE478" s="36" t="str">
        <f t="shared" si="156"/>
        <v/>
      </c>
      <c r="BF478" s="36" t="str">
        <f t="shared" si="157"/>
        <v/>
      </c>
      <c r="BG478" s="36" t="str">
        <f t="shared" si="158"/>
        <v/>
      </c>
      <c r="BH478" s="36" t="str">
        <f t="shared" si="159"/>
        <v/>
      </c>
      <c r="BI478" s="36" t="str">
        <f t="shared" si="160"/>
        <v>村</v>
      </c>
      <c r="BJ478" s="29" t="str">
        <f t="shared" si="161"/>
        <v>村</v>
      </c>
    </row>
    <row r="479" spans="2:62" x14ac:dyDescent="0.15">
      <c r="B479" s="15">
        <v>476</v>
      </c>
      <c r="C479" s="15" t="s">
        <v>986</v>
      </c>
      <c r="D479" s="15">
        <v>149</v>
      </c>
      <c r="AX479" s="15"/>
      <c r="AY479" s="35">
        <f t="shared" si="151"/>
        <v>476</v>
      </c>
      <c r="AZ479" s="35" t="str">
        <f t="shared" si="152"/>
        <v>544+658</v>
      </c>
      <c r="BA479" s="35">
        <f t="shared" si="153"/>
        <v>149</v>
      </c>
      <c r="BB479" s="38">
        <f>COUNTIF($BA$4:$BA479,$BA479)</f>
        <v>3</v>
      </c>
      <c r="BC479" s="36" t="str">
        <f t="shared" si="154"/>
        <v/>
      </c>
      <c r="BD479" s="36" t="str">
        <f t="shared" si="155"/>
        <v/>
      </c>
      <c r="BE479" s="36" t="str">
        <f t="shared" si="156"/>
        <v/>
      </c>
      <c r="BF479" s="36" t="str">
        <f t="shared" si="157"/>
        <v/>
      </c>
      <c r="BG479" s="36" t="str">
        <f t="shared" si="158"/>
        <v/>
      </c>
      <c r="BH479" s="36" t="str">
        <f t="shared" si="159"/>
        <v/>
      </c>
      <c r="BI479" s="36" t="str">
        <f t="shared" si="160"/>
        <v>村</v>
      </c>
      <c r="BJ479" s="29" t="str">
        <f t="shared" si="161"/>
        <v>村</v>
      </c>
    </row>
    <row r="480" spans="2:62" x14ac:dyDescent="0.15">
      <c r="B480" s="15">
        <v>477</v>
      </c>
      <c r="C480" s="15" t="s">
        <v>987</v>
      </c>
      <c r="D480" s="15">
        <v>149</v>
      </c>
      <c r="AX480" s="15"/>
      <c r="AY480" s="35">
        <f t="shared" si="151"/>
        <v>477</v>
      </c>
      <c r="AZ480" s="35" t="str">
        <f t="shared" si="152"/>
        <v>535+666</v>
      </c>
      <c r="BA480" s="35">
        <f t="shared" si="153"/>
        <v>149</v>
      </c>
      <c r="BB480" s="38">
        <f>COUNTIF($BA$4:$BA480,$BA480)</f>
        <v>4</v>
      </c>
      <c r="BC480" s="36" t="str">
        <f t="shared" si="154"/>
        <v/>
      </c>
      <c r="BD480" s="36" t="str">
        <f t="shared" si="155"/>
        <v/>
      </c>
      <c r="BE480" s="36" t="str">
        <f t="shared" si="156"/>
        <v/>
      </c>
      <c r="BF480" s="36" t="str">
        <f t="shared" si="157"/>
        <v/>
      </c>
      <c r="BG480" s="36" t="str">
        <f t="shared" si="158"/>
        <v/>
      </c>
      <c r="BH480" s="36" t="str">
        <f t="shared" si="159"/>
        <v/>
      </c>
      <c r="BI480" s="36" t="str">
        <f t="shared" si="160"/>
        <v>村</v>
      </c>
      <c r="BJ480" s="29" t="str">
        <f t="shared" si="161"/>
        <v>村</v>
      </c>
    </row>
    <row r="481" spans="2:62" x14ac:dyDescent="0.15">
      <c r="B481" s="15">
        <v>478</v>
      </c>
      <c r="C481" s="15" t="s">
        <v>988</v>
      </c>
      <c r="D481" s="15">
        <v>137</v>
      </c>
      <c r="AX481" s="15"/>
      <c r="AY481" s="35">
        <f t="shared" si="151"/>
        <v>478</v>
      </c>
      <c r="AZ481" s="35" t="str">
        <f t="shared" si="152"/>
        <v>488+678</v>
      </c>
      <c r="BA481" s="35">
        <f t="shared" si="153"/>
        <v>137</v>
      </c>
      <c r="BB481" s="38">
        <f>COUNTIF($BA$4:$BA481,$BA481)</f>
        <v>6</v>
      </c>
      <c r="BC481" s="36" t="str">
        <f t="shared" si="154"/>
        <v/>
      </c>
      <c r="BD481" s="36" t="str">
        <f t="shared" si="155"/>
        <v/>
      </c>
      <c r="BE481" s="36" t="str">
        <f t="shared" si="156"/>
        <v/>
      </c>
      <c r="BF481" s="36" t="str">
        <f t="shared" si="157"/>
        <v/>
      </c>
      <c r="BG481" s="36" t="str">
        <f t="shared" si="158"/>
        <v/>
      </c>
      <c r="BH481" s="36" t="str">
        <f t="shared" si="159"/>
        <v/>
      </c>
      <c r="BI481" s="36" t="str">
        <f t="shared" si="160"/>
        <v>村</v>
      </c>
      <c r="BJ481" s="29" t="str">
        <f t="shared" si="161"/>
        <v>村</v>
      </c>
    </row>
    <row r="482" spans="2:62" x14ac:dyDescent="0.15">
      <c r="B482" s="15">
        <v>479</v>
      </c>
      <c r="C482" s="15" t="s">
        <v>989</v>
      </c>
      <c r="D482" s="15">
        <v>152</v>
      </c>
      <c r="AX482" s="15"/>
      <c r="AY482" s="35">
        <f t="shared" si="151"/>
        <v>479</v>
      </c>
      <c r="AZ482" s="35" t="str">
        <f t="shared" si="152"/>
        <v>455+580</v>
      </c>
      <c r="BA482" s="35">
        <f t="shared" si="153"/>
        <v>152</v>
      </c>
      <c r="BB482" s="38">
        <f>COUNTIF($BA$4:$BA482,$BA482)</f>
        <v>2</v>
      </c>
      <c r="BC482" s="36" t="str">
        <f t="shared" si="154"/>
        <v/>
      </c>
      <c r="BD482" s="36" t="str">
        <f t="shared" si="155"/>
        <v/>
      </c>
      <c r="BE482" s="36" t="str">
        <f t="shared" si="156"/>
        <v/>
      </c>
      <c r="BF482" s="36" t="str">
        <f t="shared" si="157"/>
        <v/>
      </c>
      <c r="BG482" s="36" t="str">
        <f t="shared" si="158"/>
        <v/>
      </c>
      <c r="BH482" s="36" t="str">
        <f t="shared" si="159"/>
        <v/>
      </c>
      <c r="BI482" s="36" t="str">
        <f t="shared" si="160"/>
        <v>村</v>
      </c>
      <c r="BJ482" s="29" t="str">
        <f t="shared" si="161"/>
        <v>村</v>
      </c>
    </row>
    <row r="483" spans="2:62" x14ac:dyDescent="0.15">
      <c r="B483" s="15">
        <v>480</v>
      </c>
      <c r="C483" s="15" t="s">
        <v>990</v>
      </c>
      <c r="D483" s="15">
        <v>147</v>
      </c>
      <c r="AX483" s="15"/>
      <c r="AY483" s="35">
        <f t="shared" si="151"/>
        <v>480</v>
      </c>
      <c r="AZ483" s="35" t="str">
        <f t="shared" si="152"/>
        <v>509+603</v>
      </c>
      <c r="BA483" s="35">
        <f t="shared" si="153"/>
        <v>147</v>
      </c>
      <c r="BB483" s="38">
        <f>COUNTIF($BA$4:$BA483,$BA483)</f>
        <v>3</v>
      </c>
      <c r="BC483" s="36" t="str">
        <f t="shared" si="154"/>
        <v/>
      </c>
      <c r="BD483" s="36" t="str">
        <f t="shared" si="155"/>
        <v/>
      </c>
      <c r="BE483" s="36" t="str">
        <f t="shared" si="156"/>
        <v/>
      </c>
      <c r="BF483" s="36" t="str">
        <f t="shared" si="157"/>
        <v/>
      </c>
      <c r="BG483" s="36" t="str">
        <f t="shared" si="158"/>
        <v/>
      </c>
      <c r="BH483" s="36" t="str">
        <f t="shared" si="159"/>
        <v/>
      </c>
      <c r="BI483" s="36" t="str">
        <f t="shared" si="160"/>
        <v>县</v>
      </c>
      <c r="BJ483" s="29" t="str">
        <f t="shared" si="161"/>
        <v>县</v>
      </c>
    </row>
    <row r="484" spans="2:62" x14ac:dyDescent="0.15">
      <c r="B484" s="15">
        <v>481</v>
      </c>
      <c r="C484" s="15" t="s">
        <v>991</v>
      </c>
      <c r="D484" s="15">
        <v>128</v>
      </c>
      <c r="AX484" s="15"/>
      <c r="AY484" s="35">
        <f t="shared" si="151"/>
        <v>481</v>
      </c>
      <c r="AZ484" s="35" t="str">
        <f t="shared" si="152"/>
        <v>494+789</v>
      </c>
      <c r="BA484" s="35">
        <f t="shared" si="153"/>
        <v>128</v>
      </c>
      <c r="BB484" s="38">
        <f>COUNTIF($BA$4:$BA484,$BA484)</f>
        <v>3</v>
      </c>
      <c r="BC484" s="36" t="str">
        <f t="shared" si="154"/>
        <v/>
      </c>
      <c r="BD484" s="36" t="str">
        <f t="shared" si="155"/>
        <v/>
      </c>
      <c r="BE484" s="36" t="str">
        <f t="shared" si="156"/>
        <v/>
      </c>
      <c r="BF484" s="36" t="str">
        <f t="shared" si="157"/>
        <v/>
      </c>
      <c r="BG484" s="36" t="str">
        <f t="shared" si="158"/>
        <v/>
      </c>
      <c r="BH484" s="36" t="str">
        <f t="shared" si="159"/>
        <v/>
      </c>
      <c r="BI484" s="36" t="str">
        <f t="shared" si="160"/>
        <v>营</v>
      </c>
      <c r="BJ484" s="29" t="str">
        <f t="shared" si="161"/>
        <v>营</v>
      </c>
    </row>
    <row r="485" spans="2:62" x14ac:dyDescent="0.15">
      <c r="B485" s="15">
        <v>482</v>
      </c>
      <c r="C485" s="15" t="s">
        <v>992</v>
      </c>
      <c r="D485" s="15">
        <v>128</v>
      </c>
      <c r="AX485" s="15"/>
      <c r="AY485" s="35">
        <f t="shared" si="151"/>
        <v>482</v>
      </c>
      <c r="AZ485" s="35" t="str">
        <f t="shared" si="152"/>
        <v>450+780</v>
      </c>
      <c r="BA485" s="35">
        <f t="shared" si="153"/>
        <v>128</v>
      </c>
      <c r="BB485" s="38">
        <f>COUNTIF($BA$4:$BA485,$BA485)</f>
        <v>4</v>
      </c>
      <c r="BC485" s="36" t="str">
        <f t="shared" si="154"/>
        <v/>
      </c>
      <c r="BD485" s="36" t="str">
        <f t="shared" si="155"/>
        <v/>
      </c>
      <c r="BE485" s="36" t="str">
        <f t="shared" si="156"/>
        <v/>
      </c>
      <c r="BF485" s="36" t="str">
        <f t="shared" si="157"/>
        <v/>
      </c>
      <c r="BG485" s="36" t="str">
        <f t="shared" si="158"/>
        <v/>
      </c>
      <c r="BH485" s="36" t="str">
        <f t="shared" si="159"/>
        <v/>
      </c>
      <c r="BI485" s="36" t="str">
        <f t="shared" si="160"/>
        <v>村</v>
      </c>
      <c r="BJ485" s="29" t="str">
        <f t="shared" si="161"/>
        <v>村</v>
      </c>
    </row>
    <row r="486" spans="2:62" x14ac:dyDescent="0.15">
      <c r="B486" s="15">
        <v>483</v>
      </c>
      <c r="C486" s="15" t="s">
        <v>993</v>
      </c>
      <c r="D486" s="15">
        <v>128</v>
      </c>
      <c r="AX486" s="15"/>
      <c r="AY486" s="35">
        <f t="shared" si="151"/>
        <v>483</v>
      </c>
      <c r="AZ486" s="35" t="str">
        <f t="shared" si="152"/>
        <v>455+823</v>
      </c>
      <c r="BA486" s="35">
        <f t="shared" si="153"/>
        <v>128</v>
      </c>
      <c r="BB486" s="38">
        <f>COUNTIF($BA$4:$BA486,$BA486)</f>
        <v>5</v>
      </c>
      <c r="BC486" s="36" t="str">
        <f t="shared" si="154"/>
        <v/>
      </c>
      <c r="BD486" s="36" t="str">
        <f t="shared" si="155"/>
        <v/>
      </c>
      <c r="BE486" s="36" t="str">
        <f t="shared" si="156"/>
        <v/>
      </c>
      <c r="BF486" s="36" t="str">
        <f t="shared" si="157"/>
        <v/>
      </c>
      <c r="BG486" s="36" t="str">
        <f t="shared" si="158"/>
        <v/>
      </c>
      <c r="BH486" s="36" t="str">
        <f t="shared" si="159"/>
        <v/>
      </c>
      <c r="BI486" s="36" t="str">
        <f t="shared" si="160"/>
        <v>营</v>
      </c>
      <c r="BJ486" s="29" t="str">
        <f t="shared" si="161"/>
        <v>营</v>
      </c>
    </row>
    <row r="487" spans="2:62" x14ac:dyDescent="0.15">
      <c r="B487" s="15">
        <v>484</v>
      </c>
      <c r="C487" s="15" t="s">
        <v>994</v>
      </c>
      <c r="D487" s="15">
        <v>129</v>
      </c>
      <c r="AX487" s="15"/>
      <c r="AY487" s="35">
        <f t="shared" si="151"/>
        <v>484</v>
      </c>
      <c r="AZ487" s="35" t="str">
        <f t="shared" si="152"/>
        <v>420+784</v>
      </c>
      <c r="BA487" s="35">
        <f t="shared" si="153"/>
        <v>129</v>
      </c>
      <c r="BB487" s="38">
        <f>COUNTIF($BA$4:$BA487,$BA487)</f>
        <v>5</v>
      </c>
      <c r="BC487" s="36" t="str">
        <f t="shared" si="154"/>
        <v/>
      </c>
      <c r="BD487" s="36" t="str">
        <f t="shared" si="155"/>
        <v/>
      </c>
      <c r="BE487" s="36" t="str">
        <f t="shared" si="156"/>
        <v/>
      </c>
      <c r="BF487" s="36" t="str">
        <f t="shared" si="157"/>
        <v/>
      </c>
      <c r="BG487" s="36" t="str">
        <f t="shared" si="158"/>
        <v/>
      </c>
      <c r="BH487" s="36" t="str">
        <f t="shared" si="159"/>
        <v/>
      </c>
      <c r="BI487" s="36" t="str">
        <f t="shared" si="160"/>
        <v>营</v>
      </c>
      <c r="BJ487" s="29" t="str">
        <f t="shared" si="161"/>
        <v>营</v>
      </c>
    </row>
    <row r="488" spans="2:62" x14ac:dyDescent="0.15">
      <c r="B488" s="15">
        <v>485</v>
      </c>
      <c r="C488" s="15" t="s">
        <v>995</v>
      </c>
      <c r="D488" s="15">
        <v>138</v>
      </c>
      <c r="AX488" s="15"/>
      <c r="AY488" s="35">
        <f t="shared" si="151"/>
        <v>485</v>
      </c>
      <c r="AZ488" s="35" t="str">
        <f t="shared" si="152"/>
        <v>394+674</v>
      </c>
      <c r="BA488" s="35">
        <f t="shared" si="153"/>
        <v>138</v>
      </c>
      <c r="BB488" s="38">
        <f>COUNTIF($BA$4:$BA488,$BA488)</f>
        <v>6</v>
      </c>
      <c r="BC488" s="36" t="str">
        <f t="shared" si="154"/>
        <v/>
      </c>
      <c r="BD488" s="36" t="str">
        <f t="shared" si="155"/>
        <v/>
      </c>
      <c r="BE488" s="36" t="str">
        <f t="shared" si="156"/>
        <v/>
      </c>
      <c r="BF488" s="36" t="str">
        <f t="shared" si="157"/>
        <v/>
      </c>
      <c r="BG488" s="36" t="str">
        <f t="shared" si="158"/>
        <v/>
      </c>
      <c r="BH488" s="36" t="str">
        <f t="shared" si="159"/>
        <v/>
      </c>
      <c r="BI488" s="36" t="str">
        <f t="shared" si="160"/>
        <v>村</v>
      </c>
      <c r="BJ488" s="29" t="str">
        <f t="shared" si="161"/>
        <v>村</v>
      </c>
    </row>
    <row r="489" spans="2:62" x14ac:dyDescent="0.15">
      <c r="B489" s="15">
        <v>486</v>
      </c>
      <c r="C489" s="15" t="s">
        <v>996</v>
      </c>
      <c r="D489" s="15">
        <v>158</v>
      </c>
      <c r="AX489" s="15"/>
      <c r="AY489" s="35">
        <f t="shared" si="151"/>
        <v>486</v>
      </c>
      <c r="AZ489" s="35" t="str">
        <f t="shared" si="152"/>
        <v>455+538</v>
      </c>
      <c r="BA489" s="35">
        <f t="shared" si="153"/>
        <v>158</v>
      </c>
      <c r="BB489" s="38">
        <f>COUNTIF($BA$4:$BA489,$BA489)</f>
        <v>3</v>
      </c>
      <c r="BC489" s="36" t="str">
        <f t="shared" si="154"/>
        <v/>
      </c>
      <c r="BD489" s="36" t="str">
        <f t="shared" si="155"/>
        <v/>
      </c>
      <c r="BE489" s="36" t="str">
        <f t="shared" si="156"/>
        <v/>
      </c>
      <c r="BF489" s="36" t="str">
        <f t="shared" si="157"/>
        <v/>
      </c>
      <c r="BG489" s="36" t="str">
        <f t="shared" si="158"/>
        <v/>
      </c>
      <c r="BH489" s="36" t="str">
        <f t="shared" si="159"/>
        <v/>
      </c>
      <c r="BI489" s="36" t="str">
        <f t="shared" si="160"/>
        <v>营</v>
      </c>
      <c r="BJ489" s="29" t="str">
        <f t="shared" si="161"/>
        <v>营</v>
      </c>
    </row>
    <row r="490" spans="2:62" x14ac:dyDescent="0.15">
      <c r="B490" s="15">
        <v>487</v>
      </c>
      <c r="C490" s="15" t="s">
        <v>997</v>
      </c>
      <c r="D490" s="15">
        <v>132</v>
      </c>
      <c r="AX490" s="15"/>
      <c r="AY490" s="35">
        <f t="shared" si="151"/>
        <v>487</v>
      </c>
      <c r="AZ490" s="35" t="str">
        <f t="shared" si="152"/>
        <v>381+702</v>
      </c>
      <c r="BA490" s="35">
        <f t="shared" si="153"/>
        <v>132</v>
      </c>
      <c r="BB490" s="38">
        <f>COUNTIF($BA$4:$BA490,$BA490)</f>
        <v>4</v>
      </c>
      <c r="BC490" s="36" t="str">
        <f t="shared" si="154"/>
        <v/>
      </c>
      <c r="BD490" s="36" t="str">
        <f t="shared" si="155"/>
        <v/>
      </c>
      <c r="BE490" s="36" t="str">
        <f t="shared" si="156"/>
        <v/>
      </c>
      <c r="BF490" s="36" t="str">
        <f t="shared" si="157"/>
        <v/>
      </c>
      <c r="BG490" s="36" t="str">
        <f t="shared" si="158"/>
        <v/>
      </c>
      <c r="BH490" s="36" t="str">
        <f t="shared" si="159"/>
        <v/>
      </c>
      <c r="BI490" s="36" t="str">
        <f t="shared" si="160"/>
        <v>村</v>
      </c>
      <c r="BJ490" s="29" t="str">
        <f t="shared" si="161"/>
        <v>村</v>
      </c>
    </row>
    <row r="491" spans="2:62" x14ac:dyDescent="0.15">
      <c r="B491" s="15">
        <v>488</v>
      </c>
      <c r="C491" s="15" t="s">
        <v>998</v>
      </c>
      <c r="D491" s="15">
        <v>138</v>
      </c>
      <c r="AX491" s="15"/>
      <c r="AY491" s="35">
        <f t="shared" si="151"/>
        <v>488</v>
      </c>
      <c r="AZ491" s="35" t="str">
        <f t="shared" si="152"/>
        <v>359+644</v>
      </c>
      <c r="BA491" s="35">
        <f t="shared" si="153"/>
        <v>138</v>
      </c>
      <c r="BB491" s="38">
        <f>COUNTIF($BA$4:$BA491,$BA491)</f>
        <v>7</v>
      </c>
      <c r="BC491" s="36" t="str">
        <f t="shared" si="154"/>
        <v/>
      </c>
      <c r="BD491" s="36" t="str">
        <f t="shared" si="155"/>
        <v/>
      </c>
      <c r="BE491" s="36" t="str">
        <f t="shared" si="156"/>
        <v/>
      </c>
      <c r="BF491" s="36" t="str">
        <f t="shared" si="157"/>
        <v/>
      </c>
      <c r="BG491" s="36" t="str">
        <f t="shared" si="158"/>
        <v/>
      </c>
      <c r="BH491" s="36" t="str">
        <f t="shared" si="159"/>
        <v/>
      </c>
      <c r="BI491" s="36" t="str">
        <f t="shared" si="160"/>
        <v>村</v>
      </c>
      <c r="BJ491" s="29" t="str">
        <f t="shared" si="161"/>
        <v>村</v>
      </c>
    </row>
    <row r="492" spans="2:62" x14ac:dyDescent="0.15">
      <c r="B492" s="15">
        <v>489</v>
      </c>
      <c r="C492" s="15" t="s">
        <v>999</v>
      </c>
      <c r="D492" s="15">
        <v>143</v>
      </c>
      <c r="AX492" s="15"/>
      <c r="AY492" s="35">
        <f t="shared" si="151"/>
        <v>489</v>
      </c>
      <c r="AZ492" s="35" t="str">
        <f t="shared" si="152"/>
        <v>352+593</v>
      </c>
      <c r="BA492" s="35">
        <f t="shared" si="153"/>
        <v>143</v>
      </c>
      <c r="BB492" s="38">
        <f>COUNTIF($BA$4:$BA492,$BA492)</f>
        <v>4</v>
      </c>
      <c r="BC492" s="36" t="str">
        <f t="shared" si="154"/>
        <v/>
      </c>
      <c r="BD492" s="36" t="str">
        <f t="shared" si="155"/>
        <v/>
      </c>
      <c r="BE492" s="36" t="str">
        <f t="shared" si="156"/>
        <v/>
      </c>
      <c r="BF492" s="36" t="str">
        <f t="shared" si="157"/>
        <v/>
      </c>
      <c r="BG492" s="36" t="str">
        <f t="shared" si="158"/>
        <v/>
      </c>
      <c r="BH492" s="36" t="str">
        <f t="shared" si="159"/>
        <v/>
      </c>
      <c r="BI492" s="36" t="str">
        <f t="shared" si="160"/>
        <v>营</v>
      </c>
      <c r="BJ492" s="29" t="str">
        <f t="shared" si="161"/>
        <v>营</v>
      </c>
    </row>
    <row r="493" spans="2:62" x14ac:dyDescent="0.15">
      <c r="B493" s="15">
        <v>490</v>
      </c>
      <c r="C493" s="15" t="s">
        <v>1000</v>
      </c>
      <c r="D493" s="15">
        <v>161</v>
      </c>
      <c r="AX493" s="15"/>
      <c r="AY493" s="35">
        <f t="shared" si="151"/>
        <v>490</v>
      </c>
      <c r="AZ493" s="35" t="str">
        <f t="shared" si="152"/>
        <v>381+530</v>
      </c>
      <c r="BA493" s="35">
        <f t="shared" si="153"/>
        <v>161</v>
      </c>
      <c r="BB493" s="38">
        <f>COUNTIF($BA$4:$BA493,$BA493)</f>
        <v>3</v>
      </c>
      <c r="BC493" s="36" t="str">
        <f t="shared" si="154"/>
        <v/>
      </c>
      <c r="BD493" s="36" t="str">
        <f t="shared" si="155"/>
        <v/>
      </c>
      <c r="BE493" s="36" t="str">
        <f t="shared" si="156"/>
        <v/>
      </c>
      <c r="BF493" s="36" t="str">
        <f t="shared" si="157"/>
        <v/>
      </c>
      <c r="BG493" s="36" t="str">
        <f t="shared" si="158"/>
        <v/>
      </c>
      <c r="BH493" s="36" t="str">
        <f t="shared" si="159"/>
        <v/>
      </c>
      <c r="BI493" s="36" t="str">
        <f t="shared" si="160"/>
        <v>营</v>
      </c>
      <c r="BJ493" s="29" t="str">
        <f t="shared" si="161"/>
        <v>营</v>
      </c>
    </row>
    <row r="494" spans="2:62" x14ac:dyDescent="0.15">
      <c r="B494" s="15">
        <v>491</v>
      </c>
      <c r="C494" s="15" t="s">
        <v>1001</v>
      </c>
      <c r="D494" s="15">
        <v>40</v>
      </c>
      <c r="AX494" s="15"/>
      <c r="AY494" s="35">
        <f t="shared" si="151"/>
        <v>491</v>
      </c>
      <c r="AZ494" s="35" t="str">
        <f t="shared" si="152"/>
        <v>480+516</v>
      </c>
      <c r="BA494" s="35">
        <f t="shared" si="153"/>
        <v>40</v>
      </c>
      <c r="BB494" s="38">
        <f>COUNTIF($BA$4:$BA494,$BA494)</f>
        <v>3</v>
      </c>
      <c r="BC494" s="36" t="str">
        <f t="shared" si="154"/>
        <v/>
      </c>
      <c r="BD494" s="36" t="str">
        <f t="shared" si="155"/>
        <v/>
      </c>
      <c r="BE494" s="36" t="str">
        <f t="shared" si="156"/>
        <v/>
      </c>
      <c r="BF494" s="36" t="str">
        <f t="shared" si="157"/>
        <v/>
      </c>
      <c r="BG494" s="36" t="str">
        <f t="shared" si="158"/>
        <v/>
      </c>
      <c r="BH494" s="36" t="str">
        <f t="shared" si="159"/>
        <v/>
      </c>
      <c r="BI494" s="36" t="str">
        <f t="shared" si="160"/>
        <v>村</v>
      </c>
      <c r="BJ494" s="29" t="str">
        <f t="shared" si="161"/>
        <v>村</v>
      </c>
    </row>
    <row r="495" spans="2:62" x14ac:dyDescent="0.15">
      <c r="B495" s="15">
        <v>492</v>
      </c>
      <c r="C495" s="15" t="s">
        <v>1002</v>
      </c>
      <c r="D495" s="15">
        <v>43</v>
      </c>
      <c r="AX495" s="15"/>
      <c r="AY495" s="35">
        <f t="shared" si="151"/>
        <v>492</v>
      </c>
      <c r="AZ495" s="35" t="str">
        <f t="shared" si="152"/>
        <v>419+505</v>
      </c>
      <c r="BA495" s="35">
        <f t="shared" si="153"/>
        <v>43</v>
      </c>
      <c r="BB495" s="38">
        <f>COUNTIF($BA$4:$BA495,$BA495)</f>
        <v>4</v>
      </c>
      <c r="BC495" s="36" t="str">
        <f t="shared" si="154"/>
        <v/>
      </c>
      <c r="BD495" s="36" t="str">
        <f t="shared" si="155"/>
        <v/>
      </c>
      <c r="BE495" s="36" t="str">
        <f t="shared" si="156"/>
        <v/>
      </c>
      <c r="BF495" s="36" t="str">
        <f t="shared" si="157"/>
        <v/>
      </c>
      <c r="BG495" s="36" t="str">
        <f t="shared" si="158"/>
        <v/>
      </c>
      <c r="BH495" s="36" t="str">
        <f t="shared" si="159"/>
        <v/>
      </c>
      <c r="BI495" s="36" t="str">
        <f t="shared" si="160"/>
        <v>村</v>
      </c>
      <c r="BJ495" s="29" t="str">
        <f t="shared" si="161"/>
        <v>村</v>
      </c>
    </row>
    <row r="496" spans="2:62" x14ac:dyDescent="0.15">
      <c r="B496" s="15">
        <v>493</v>
      </c>
      <c r="C496" s="15" t="s">
        <v>1003</v>
      </c>
      <c r="D496" s="15">
        <v>95</v>
      </c>
      <c r="AX496" s="15"/>
      <c r="AY496" s="35">
        <f t="shared" si="151"/>
        <v>493</v>
      </c>
      <c r="AZ496" s="35" t="str">
        <f t="shared" si="152"/>
        <v>610+537</v>
      </c>
      <c r="BA496" s="35">
        <f t="shared" si="153"/>
        <v>95</v>
      </c>
      <c r="BB496" s="38">
        <f>COUNTIF($BA$4:$BA496,$BA496)</f>
        <v>3</v>
      </c>
      <c r="BC496" s="36" t="str">
        <f t="shared" si="154"/>
        <v/>
      </c>
      <c r="BD496" s="36" t="str">
        <f t="shared" si="155"/>
        <v/>
      </c>
      <c r="BE496" s="36" t="str">
        <f t="shared" si="156"/>
        <v/>
      </c>
      <c r="BF496" s="36" t="str">
        <f t="shared" si="157"/>
        <v/>
      </c>
      <c r="BG496" s="36" t="str">
        <f t="shared" si="158"/>
        <v/>
      </c>
      <c r="BH496" s="36" t="str">
        <f t="shared" si="159"/>
        <v/>
      </c>
      <c r="BI496" s="36" t="str">
        <f t="shared" si="160"/>
        <v/>
      </c>
      <c r="BJ496" s="29" t="str">
        <f t="shared" si="161"/>
        <v/>
      </c>
    </row>
    <row r="497" spans="2:62" x14ac:dyDescent="0.15">
      <c r="B497" s="15">
        <v>494</v>
      </c>
      <c r="C497" s="15" t="s">
        <v>1004</v>
      </c>
      <c r="D497" s="15">
        <v>86</v>
      </c>
      <c r="AX497" s="15"/>
      <c r="AY497" s="35">
        <f t="shared" si="151"/>
        <v>494</v>
      </c>
      <c r="AZ497" s="35" t="str">
        <f t="shared" si="152"/>
        <v>605+730</v>
      </c>
      <c r="BA497" s="35">
        <f t="shared" si="153"/>
        <v>86</v>
      </c>
      <c r="BB497" s="38">
        <f>COUNTIF($BA$4:$BA497,$BA497)</f>
        <v>3</v>
      </c>
      <c r="BC497" s="36" t="str">
        <f t="shared" si="154"/>
        <v/>
      </c>
      <c r="BD497" s="36" t="str">
        <f t="shared" si="155"/>
        <v/>
      </c>
      <c r="BE497" s="36" t="str">
        <f t="shared" si="156"/>
        <v/>
      </c>
      <c r="BF497" s="36" t="str">
        <f t="shared" si="157"/>
        <v/>
      </c>
      <c r="BG497" s="36" t="str">
        <f t="shared" si="158"/>
        <v/>
      </c>
      <c r="BH497" s="36" t="str">
        <f t="shared" si="159"/>
        <v/>
      </c>
      <c r="BI497" s="36" t="str">
        <f t="shared" si="160"/>
        <v>村</v>
      </c>
      <c r="BJ497" s="29" t="str">
        <f t="shared" si="161"/>
        <v>村</v>
      </c>
    </row>
    <row r="498" spans="2:62" x14ac:dyDescent="0.15">
      <c r="B498" s="15">
        <v>495</v>
      </c>
      <c r="C498" s="15" t="s">
        <v>1005</v>
      </c>
      <c r="D498" s="15">
        <v>134</v>
      </c>
      <c r="AX498" s="15"/>
      <c r="AY498" s="35">
        <f t="shared" si="151"/>
        <v>495</v>
      </c>
      <c r="AZ498" s="35" t="str">
        <f t="shared" si="152"/>
        <v>556+746</v>
      </c>
      <c r="BA498" s="35">
        <f t="shared" si="153"/>
        <v>134</v>
      </c>
      <c r="BB498" s="38">
        <f>COUNTIF($BA$4:$BA498,$BA498)</f>
        <v>6</v>
      </c>
      <c r="BC498" s="36" t="str">
        <f t="shared" si="154"/>
        <v/>
      </c>
      <c r="BD498" s="36" t="str">
        <f t="shared" si="155"/>
        <v/>
      </c>
      <c r="BE498" s="36" t="str">
        <f t="shared" si="156"/>
        <v/>
      </c>
      <c r="BF498" s="36" t="str">
        <f t="shared" si="157"/>
        <v/>
      </c>
      <c r="BG498" s="36" t="str">
        <f t="shared" si="158"/>
        <v/>
      </c>
      <c r="BH498" s="36" t="str">
        <f t="shared" si="159"/>
        <v/>
      </c>
      <c r="BI498" s="36" t="str">
        <f t="shared" si="160"/>
        <v>营</v>
      </c>
      <c r="BJ498" s="29" t="str">
        <f t="shared" si="161"/>
        <v>营</v>
      </c>
    </row>
    <row r="499" spans="2:62" x14ac:dyDescent="0.15">
      <c r="B499" s="15">
        <v>496</v>
      </c>
      <c r="C499" s="15" t="s">
        <v>1006</v>
      </c>
      <c r="D499" s="15">
        <v>130</v>
      </c>
      <c r="AX499" s="15"/>
      <c r="AY499" s="35">
        <f t="shared" si="151"/>
        <v>496</v>
      </c>
      <c r="AZ499" s="35" t="str">
        <f t="shared" si="152"/>
        <v>392+831</v>
      </c>
      <c r="BA499" s="35">
        <f t="shared" si="153"/>
        <v>130</v>
      </c>
      <c r="BB499" s="38">
        <f>COUNTIF($BA$4:$BA499,$BA499)</f>
        <v>4</v>
      </c>
      <c r="BC499" s="36" t="str">
        <f t="shared" si="154"/>
        <v/>
      </c>
      <c r="BD499" s="36" t="str">
        <f t="shared" si="155"/>
        <v/>
      </c>
      <c r="BE499" s="36" t="str">
        <f t="shared" si="156"/>
        <v/>
      </c>
      <c r="BF499" s="36" t="str">
        <f t="shared" si="157"/>
        <v/>
      </c>
      <c r="BG499" s="36" t="str">
        <f t="shared" si="158"/>
        <v/>
      </c>
      <c r="BH499" s="36" t="str">
        <f t="shared" si="159"/>
        <v/>
      </c>
      <c r="BI499" s="36" t="str">
        <f t="shared" si="160"/>
        <v>营</v>
      </c>
      <c r="BJ499" s="29" t="str">
        <f t="shared" si="161"/>
        <v>营</v>
      </c>
    </row>
    <row r="500" spans="2:62" x14ac:dyDescent="0.15">
      <c r="B500" s="15">
        <v>497</v>
      </c>
      <c r="C500" s="15" t="s">
        <v>624</v>
      </c>
      <c r="D500" s="39">
        <v>84</v>
      </c>
      <c r="AX500" s="15"/>
      <c r="AY500" s="39">
        <f t="shared" ref="AY500:AY502" si="162">B500</f>
        <v>497</v>
      </c>
      <c r="AZ500" s="39" t="str">
        <f t="shared" ref="AZ500:AZ502" si="163">C500</f>
        <v>628+814</v>
      </c>
      <c r="BA500" s="39">
        <f t="shared" ref="BA500:BA502" si="164">D500</f>
        <v>84</v>
      </c>
      <c r="BB500" s="39">
        <f>COUNTIF($BA$4:$BA500,$BA500)</f>
        <v>5</v>
      </c>
      <c r="BC500" s="39" t="str">
        <f t="shared" si="154"/>
        <v/>
      </c>
      <c r="BD500" s="39" t="str">
        <f t="shared" si="155"/>
        <v>村</v>
      </c>
      <c r="BE500" s="39" t="str">
        <f t="shared" si="156"/>
        <v/>
      </c>
      <c r="BF500" s="39" t="str">
        <f t="shared" si="157"/>
        <v/>
      </c>
      <c r="BG500" s="39" t="str">
        <f t="shared" si="158"/>
        <v/>
      </c>
      <c r="BH500" s="39" t="str">
        <f t="shared" si="159"/>
        <v/>
      </c>
      <c r="BI500" s="39" t="str">
        <f t="shared" si="160"/>
        <v/>
      </c>
      <c r="BJ500" s="29" t="str">
        <f t="shared" ref="BJ500:BJ502" si="165">IF(BC500&lt;&gt;"",BC500,IF(BD500&lt;&gt;"",BD500,IF(BE500&lt;&gt;"",BE500,IF(BF500&lt;&gt;"",BF500,IF(BG500&lt;&gt;"",BG500,IF(BH500&lt;&gt;"",BH500,IF(BI500&lt;&gt;"",BI500,"")))))))</f>
        <v>村</v>
      </c>
    </row>
    <row r="501" spans="2:62" x14ac:dyDescent="0.15">
      <c r="B501" s="15">
        <v>498</v>
      </c>
      <c r="C501" s="15" t="s">
        <v>179</v>
      </c>
      <c r="D501" s="39">
        <v>85</v>
      </c>
      <c r="AX501" s="15"/>
      <c r="AY501" s="39">
        <f t="shared" si="162"/>
        <v>498</v>
      </c>
      <c r="AZ501" s="39" t="str">
        <f t="shared" si="163"/>
        <v>647+749</v>
      </c>
      <c r="BA501" s="39">
        <f t="shared" si="164"/>
        <v>85</v>
      </c>
      <c r="BB501" s="39">
        <f>COUNTIF($BA$4:$BA501,$BA501)</f>
        <v>5</v>
      </c>
      <c r="BC501" s="39" t="str">
        <f t="shared" si="154"/>
        <v/>
      </c>
      <c r="BD501" s="39" t="str">
        <f t="shared" si="155"/>
        <v>村</v>
      </c>
      <c r="BE501" s="39" t="str">
        <f t="shared" si="156"/>
        <v/>
      </c>
      <c r="BF501" s="39" t="str">
        <f t="shared" si="157"/>
        <v/>
      </c>
      <c r="BG501" s="39" t="str">
        <f t="shared" si="158"/>
        <v/>
      </c>
      <c r="BH501" s="39" t="str">
        <f t="shared" si="159"/>
        <v/>
      </c>
      <c r="BI501" s="39" t="str">
        <f t="shared" si="160"/>
        <v/>
      </c>
      <c r="BJ501" s="29" t="str">
        <f t="shared" si="165"/>
        <v>村</v>
      </c>
    </row>
    <row r="502" spans="2:62" x14ac:dyDescent="0.15">
      <c r="B502" s="15">
        <v>499</v>
      </c>
      <c r="C502" s="15" t="s">
        <v>168</v>
      </c>
      <c r="D502" s="39">
        <v>79</v>
      </c>
      <c r="AX502" s="15"/>
      <c r="AY502" s="39">
        <f t="shared" si="162"/>
        <v>499</v>
      </c>
      <c r="AZ502" s="39" t="str">
        <f t="shared" si="163"/>
        <v>654+811</v>
      </c>
      <c r="BA502" s="39">
        <f t="shared" si="164"/>
        <v>79</v>
      </c>
      <c r="BB502" s="39">
        <f>COUNTIF($BA$4:$BA502,$BA502)</f>
        <v>6</v>
      </c>
      <c r="BC502" s="39" t="str">
        <f t="shared" si="154"/>
        <v/>
      </c>
      <c r="BD502" s="39" t="str">
        <f t="shared" si="155"/>
        <v>村</v>
      </c>
      <c r="BE502" s="39" t="str">
        <f t="shared" si="156"/>
        <v/>
      </c>
      <c r="BF502" s="39" t="str">
        <f t="shared" si="157"/>
        <v/>
      </c>
      <c r="BG502" s="39" t="str">
        <f t="shared" si="158"/>
        <v/>
      </c>
      <c r="BH502" s="39" t="str">
        <f t="shared" si="159"/>
        <v/>
      </c>
      <c r="BI502" s="39" t="str">
        <f t="shared" si="160"/>
        <v/>
      </c>
      <c r="BJ502" s="29" t="str">
        <f t="shared" si="165"/>
        <v>村</v>
      </c>
    </row>
    <row r="503" spans="2:62" x14ac:dyDescent="0.15">
      <c r="AX503" s="15"/>
      <c r="AY503" s="35"/>
      <c r="AZ503" s="35"/>
    </row>
    <row r="504" spans="2:62" x14ac:dyDescent="0.15">
      <c r="AX504" s="15"/>
      <c r="AY504" s="35"/>
      <c r="AZ504" s="35"/>
    </row>
    <row r="505" spans="2:62" x14ac:dyDescent="0.15">
      <c r="AX505" s="15"/>
      <c r="AY505" s="35"/>
      <c r="AZ505" s="35"/>
    </row>
    <row r="506" spans="2:62" x14ac:dyDescent="0.15">
      <c r="AX506" s="15"/>
      <c r="AY506" s="35"/>
      <c r="AZ506" s="35"/>
    </row>
    <row r="507" spans="2:62" x14ac:dyDescent="0.15">
      <c r="AX507" s="15"/>
      <c r="AY507" s="35"/>
      <c r="AZ507" s="35"/>
    </row>
    <row r="508" spans="2:62" x14ac:dyDescent="0.15">
      <c r="AX508" s="15"/>
      <c r="AY508" s="35"/>
      <c r="AZ508" s="35"/>
    </row>
    <row r="509" spans="2:62" x14ac:dyDescent="0.15">
      <c r="AX509" s="15"/>
      <c r="AY509" s="35"/>
      <c r="AZ509" s="35"/>
    </row>
    <row r="510" spans="2:62" x14ac:dyDescent="0.15">
      <c r="AX510" s="15"/>
      <c r="AY510" s="35"/>
      <c r="AZ510" s="35"/>
    </row>
    <row r="511" spans="2:62" x14ac:dyDescent="0.15">
      <c r="AX511" s="15"/>
      <c r="AY511" s="35"/>
      <c r="AZ511" s="35"/>
    </row>
    <row r="512" spans="2:62" x14ac:dyDescent="0.15">
      <c r="AX512" s="15"/>
      <c r="AY512" s="35"/>
      <c r="AZ512" s="35"/>
    </row>
    <row r="513" spans="50:52" x14ac:dyDescent="0.15">
      <c r="AX513" s="15"/>
      <c r="AY513" s="35"/>
      <c r="AZ513" s="35"/>
    </row>
    <row r="514" spans="50:52" x14ac:dyDescent="0.15">
      <c r="AX514" s="15"/>
      <c r="AY514" s="35"/>
      <c r="AZ514" s="35"/>
    </row>
    <row r="515" spans="50:52" x14ac:dyDescent="0.15">
      <c r="AX515" s="15"/>
      <c r="AY515" s="35"/>
      <c r="AZ515" s="35"/>
    </row>
    <row r="516" spans="50:52" x14ac:dyDescent="0.15">
      <c r="AX516" s="15"/>
      <c r="AY516" s="35"/>
      <c r="AZ516" s="35"/>
    </row>
    <row r="517" spans="50:52" x14ac:dyDescent="0.15">
      <c r="AX517" s="15"/>
      <c r="AY517" s="35"/>
      <c r="AZ517" s="35"/>
    </row>
    <row r="518" spans="50:52" x14ac:dyDescent="0.15">
      <c r="AX518" s="15"/>
      <c r="AY518" s="35"/>
      <c r="AZ518" s="35"/>
    </row>
    <row r="519" spans="50:52" x14ac:dyDescent="0.15">
      <c r="AX519" s="15"/>
    </row>
    <row r="520" spans="50:52" x14ac:dyDescent="0.15">
      <c r="AX520" s="15"/>
    </row>
    <row r="521" spans="50:52" x14ac:dyDescent="0.15">
      <c r="AX521" s="15"/>
    </row>
    <row r="522" spans="50:52" x14ac:dyDescent="0.15">
      <c r="AX522" s="15"/>
    </row>
    <row r="523" spans="50:52" x14ac:dyDescent="0.15">
      <c r="AX523" s="15"/>
    </row>
    <row r="524" spans="50:52" x14ac:dyDescent="0.15">
      <c r="AX524" s="15"/>
    </row>
    <row r="525" spans="50:52" x14ac:dyDescent="0.15">
      <c r="AX525" s="15"/>
    </row>
    <row r="526" spans="50:52" x14ac:dyDescent="0.15">
      <c r="AX526" s="15"/>
    </row>
    <row r="527" spans="50:52" x14ac:dyDescent="0.15">
      <c r="AX527" s="15"/>
    </row>
    <row r="528" spans="50:52" x14ac:dyDescent="0.15">
      <c r="AX528" s="15"/>
    </row>
    <row r="529" spans="2:50" x14ac:dyDescent="0.15">
      <c r="AX529" s="15"/>
    </row>
    <row r="530" spans="2:50" x14ac:dyDescent="0.15">
      <c r="AX530" s="15"/>
    </row>
    <row r="531" spans="2:50" x14ac:dyDescent="0.15">
      <c r="AX531" s="15"/>
    </row>
    <row r="532" spans="2:50" x14ac:dyDescent="0.15">
      <c r="AX532" s="15"/>
    </row>
    <row r="533" spans="2:50" x14ac:dyDescent="0.15">
      <c r="AX533" s="15"/>
    </row>
    <row r="534" spans="2:50" x14ac:dyDescent="0.15">
      <c r="B534" s="35"/>
    </row>
    <row r="535" spans="2:50" x14ac:dyDescent="0.15">
      <c r="B535" s="35"/>
    </row>
    <row r="536" spans="2:50" x14ac:dyDescent="0.15">
      <c r="B536" s="35"/>
    </row>
    <row r="537" spans="2:50" x14ac:dyDescent="0.15">
      <c r="B537" s="35"/>
    </row>
    <row r="538" spans="2:50" x14ac:dyDescent="0.15">
      <c r="B538" s="35"/>
    </row>
    <row r="539" spans="2:50" x14ac:dyDescent="0.15">
      <c r="B539" s="35"/>
    </row>
    <row r="540" spans="2:50" x14ac:dyDescent="0.15">
      <c r="B540" s="35"/>
    </row>
    <row r="541" spans="2:50" x14ac:dyDescent="0.15">
      <c r="B541" s="35"/>
    </row>
    <row r="542" spans="2:50" x14ac:dyDescent="0.15">
      <c r="B542" s="35"/>
    </row>
    <row r="543" spans="2:50" x14ac:dyDescent="0.15">
      <c r="B543" s="35"/>
    </row>
    <row r="544" spans="2:50" x14ac:dyDescent="0.15">
      <c r="B544" s="35"/>
    </row>
    <row r="545" spans="2:2" x14ac:dyDescent="0.15">
      <c r="B545" s="35"/>
    </row>
    <row r="546" spans="2:2" x14ac:dyDescent="0.15">
      <c r="B546" s="35"/>
    </row>
    <row r="547" spans="2:2" x14ac:dyDescent="0.15">
      <c r="B547" s="35"/>
    </row>
    <row r="548" spans="2:2" x14ac:dyDescent="0.15">
      <c r="B548" s="35"/>
    </row>
    <row r="549" spans="2:2" x14ac:dyDescent="0.15">
      <c r="B549" s="35"/>
    </row>
    <row r="550" spans="2:2" x14ac:dyDescent="0.15">
      <c r="B550" s="35"/>
    </row>
    <row r="551" spans="2:2" x14ac:dyDescent="0.15">
      <c r="B551" s="35"/>
    </row>
    <row r="552" spans="2:2" x14ac:dyDescent="0.15">
      <c r="B552" s="35"/>
    </row>
    <row r="553" spans="2:2" x14ac:dyDescent="0.15">
      <c r="B553" s="35"/>
    </row>
    <row r="554" spans="2:2" x14ac:dyDescent="0.15">
      <c r="B554" s="35"/>
    </row>
    <row r="555" spans="2:2" x14ac:dyDescent="0.15">
      <c r="B555" s="35"/>
    </row>
    <row r="556" spans="2:2" x14ac:dyDescent="0.15">
      <c r="B556" s="35"/>
    </row>
    <row r="557" spans="2:2" x14ac:dyDescent="0.15">
      <c r="B557" s="35"/>
    </row>
    <row r="558" spans="2:2" x14ac:dyDescent="0.15">
      <c r="B558" s="35"/>
    </row>
    <row r="559" spans="2:2" x14ac:dyDescent="0.15">
      <c r="B559" s="35"/>
    </row>
    <row r="560" spans="2:2" x14ac:dyDescent="0.15">
      <c r="B560" s="35"/>
    </row>
    <row r="561" spans="2:2" x14ac:dyDescent="0.15">
      <c r="B561" s="35"/>
    </row>
    <row r="562" spans="2:2" x14ac:dyDescent="0.15">
      <c r="B562" s="35"/>
    </row>
    <row r="563" spans="2:2" x14ac:dyDescent="0.15">
      <c r="B563" s="35"/>
    </row>
    <row r="564" spans="2:2" x14ac:dyDescent="0.15">
      <c r="B564" s="35"/>
    </row>
    <row r="565" spans="2:2" x14ac:dyDescent="0.15">
      <c r="B565" s="35"/>
    </row>
    <row r="566" spans="2:2" x14ac:dyDescent="0.15">
      <c r="B566" s="35"/>
    </row>
    <row r="567" spans="2:2" x14ac:dyDescent="0.15">
      <c r="B567" s="35"/>
    </row>
    <row r="568" spans="2:2" x14ac:dyDescent="0.15">
      <c r="B568" s="35"/>
    </row>
    <row r="569" spans="2:2" x14ac:dyDescent="0.15">
      <c r="B569" s="35"/>
    </row>
    <row r="570" spans="2:2" x14ac:dyDescent="0.15">
      <c r="B570" s="35"/>
    </row>
    <row r="571" spans="2:2" x14ac:dyDescent="0.15">
      <c r="B571" s="35"/>
    </row>
    <row r="572" spans="2:2" x14ac:dyDescent="0.15">
      <c r="B572" s="35"/>
    </row>
    <row r="573" spans="2:2" x14ac:dyDescent="0.15">
      <c r="B573" s="35"/>
    </row>
    <row r="574" spans="2:2" x14ac:dyDescent="0.15">
      <c r="B574" s="35"/>
    </row>
    <row r="575" spans="2:2" x14ac:dyDescent="0.15">
      <c r="B575" s="35"/>
    </row>
    <row r="576" spans="2:2" x14ac:dyDescent="0.15">
      <c r="B576" s="35"/>
    </row>
    <row r="577" spans="2:2" x14ac:dyDescent="0.15">
      <c r="B577" s="35"/>
    </row>
    <row r="578" spans="2:2" x14ac:dyDescent="0.15">
      <c r="B578" s="35"/>
    </row>
    <row r="579" spans="2:2" x14ac:dyDescent="0.15">
      <c r="B579" s="35"/>
    </row>
    <row r="580" spans="2:2" x14ac:dyDescent="0.15">
      <c r="B580" s="35"/>
    </row>
    <row r="581" spans="2:2" x14ac:dyDescent="0.15">
      <c r="B581" s="35"/>
    </row>
    <row r="582" spans="2:2" x14ac:dyDescent="0.15">
      <c r="B582" s="35"/>
    </row>
    <row r="583" spans="2:2" x14ac:dyDescent="0.15">
      <c r="B583" s="35"/>
    </row>
    <row r="584" spans="2:2" x14ac:dyDescent="0.15">
      <c r="B584" s="35"/>
    </row>
    <row r="585" spans="2:2" x14ac:dyDescent="0.15">
      <c r="B585" s="35"/>
    </row>
    <row r="586" spans="2:2" x14ac:dyDescent="0.15">
      <c r="B586" s="35"/>
    </row>
    <row r="587" spans="2:2" x14ac:dyDescent="0.15">
      <c r="B587" s="35"/>
    </row>
    <row r="588" spans="2:2" x14ac:dyDescent="0.15">
      <c r="B588" s="35"/>
    </row>
    <row r="589" spans="2:2" x14ac:dyDescent="0.15">
      <c r="B589" s="35"/>
    </row>
    <row r="590" spans="2:2" x14ac:dyDescent="0.15">
      <c r="B590" s="35"/>
    </row>
    <row r="591" spans="2:2" x14ac:dyDescent="0.15">
      <c r="B591" s="35"/>
    </row>
    <row r="592" spans="2:2" x14ac:dyDescent="0.15">
      <c r="B592" s="35"/>
    </row>
    <row r="593" spans="2:2" x14ac:dyDescent="0.15">
      <c r="B593" s="35"/>
    </row>
    <row r="594" spans="2:2" x14ac:dyDescent="0.15">
      <c r="B594" s="35"/>
    </row>
    <row r="595" spans="2:2" x14ac:dyDescent="0.15">
      <c r="B595" s="35"/>
    </row>
    <row r="596" spans="2:2" x14ac:dyDescent="0.15">
      <c r="B596" s="35"/>
    </row>
    <row r="597" spans="2:2" x14ac:dyDescent="0.15">
      <c r="B597" s="35"/>
    </row>
    <row r="598" spans="2:2" x14ac:dyDescent="0.15">
      <c r="B598" s="35"/>
    </row>
    <row r="599" spans="2:2" x14ac:dyDescent="0.15">
      <c r="B599" s="35"/>
    </row>
    <row r="600" spans="2:2" x14ac:dyDescent="0.15">
      <c r="B600" s="35"/>
    </row>
    <row r="601" spans="2:2" x14ac:dyDescent="0.15">
      <c r="B601" s="35"/>
    </row>
    <row r="602" spans="2:2" x14ac:dyDescent="0.15">
      <c r="B602" s="35"/>
    </row>
    <row r="603" spans="2:2" x14ac:dyDescent="0.15">
      <c r="B603" s="35"/>
    </row>
    <row r="604" spans="2:2" x14ac:dyDescent="0.15">
      <c r="B604" s="35"/>
    </row>
    <row r="605" spans="2:2" x14ac:dyDescent="0.15">
      <c r="B605" s="35"/>
    </row>
    <row r="606" spans="2:2" x14ac:dyDescent="0.15">
      <c r="B606" s="35"/>
    </row>
    <row r="607" spans="2:2" x14ac:dyDescent="0.15">
      <c r="B607" s="35"/>
    </row>
    <row r="608" spans="2:2" x14ac:dyDescent="0.15">
      <c r="B608" s="35"/>
    </row>
    <row r="609" spans="2:2" x14ac:dyDescent="0.15">
      <c r="B609" s="35"/>
    </row>
    <row r="610" spans="2:2" x14ac:dyDescent="0.15">
      <c r="B610" s="35"/>
    </row>
    <row r="611" spans="2:2" x14ac:dyDescent="0.15">
      <c r="B611" s="35"/>
    </row>
    <row r="612" spans="2:2" x14ac:dyDescent="0.15">
      <c r="B612" s="35"/>
    </row>
    <row r="613" spans="2:2" x14ac:dyDescent="0.15">
      <c r="B613" s="35"/>
    </row>
    <row r="614" spans="2:2" x14ac:dyDescent="0.15">
      <c r="B614" s="35"/>
    </row>
    <row r="615" spans="2:2" x14ac:dyDescent="0.15">
      <c r="B615" s="35"/>
    </row>
    <row r="616" spans="2:2" x14ac:dyDescent="0.15">
      <c r="B616" s="35"/>
    </row>
    <row r="617" spans="2:2" x14ac:dyDescent="0.15">
      <c r="B617" s="35"/>
    </row>
    <row r="618" spans="2:2" x14ac:dyDescent="0.15">
      <c r="B618" s="35"/>
    </row>
    <row r="619" spans="2:2" x14ac:dyDescent="0.15">
      <c r="B619" s="35"/>
    </row>
    <row r="620" spans="2:2" x14ac:dyDescent="0.15">
      <c r="B620" s="35"/>
    </row>
    <row r="621" spans="2:2" x14ac:dyDescent="0.15">
      <c r="B621" s="35"/>
    </row>
    <row r="622" spans="2:2" x14ac:dyDescent="0.15">
      <c r="B622" s="35"/>
    </row>
    <row r="623" spans="2:2" x14ac:dyDescent="0.15">
      <c r="B623" s="35"/>
    </row>
    <row r="624" spans="2:2" x14ac:dyDescent="0.15">
      <c r="B624" s="35"/>
    </row>
    <row r="625" spans="2:2" x14ac:dyDescent="0.15">
      <c r="B625" s="35"/>
    </row>
    <row r="626" spans="2:2" x14ac:dyDescent="0.15">
      <c r="B626" s="35"/>
    </row>
    <row r="627" spans="2:2" x14ac:dyDescent="0.15">
      <c r="B627" s="35"/>
    </row>
    <row r="628" spans="2:2" x14ac:dyDescent="0.15">
      <c r="B628" s="35"/>
    </row>
    <row r="629" spans="2:2" x14ac:dyDescent="0.15">
      <c r="B629" s="35"/>
    </row>
    <row r="630" spans="2:2" x14ac:dyDescent="0.15">
      <c r="B630" s="35"/>
    </row>
    <row r="631" spans="2:2" x14ac:dyDescent="0.15">
      <c r="B631" s="35"/>
    </row>
    <row r="632" spans="2:2" x14ac:dyDescent="0.15">
      <c r="B632" s="35"/>
    </row>
    <row r="633" spans="2:2" x14ac:dyDescent="0.15">
      <c r="B633" s="35"/>
    </row>
    <row r="634" spans="2:2" x14ac:dyDescent="0.15">
      <c r="B634" s="35"/>
    </row>
    <row r="635" spans="2:2" x14ac:dyDescent="0.15">
      <c r="B635" s="35"/>
    </row>
    <row r="636" spans="2:2" x14ac:dyDescent="0.15">
      <c r="B636" s="35"/>
    </row>
    <row r="637" spans="2:2" x14ac:dyDescent="0.15">
      <c r="B637" s="35"/>
    </row>
    <row r="638" spans="2:2" x14ac:dyDescent="0.15">
      <c r="B638" s="35"/>
    </row>
    <row r="639" spans="2:2" x14ac:dyDescent="0.15">
      <c r="B639" s="35"/>
    </row>
    <row r="640" spans="2:2" x14ac:dyDescent="0.15">
      <c r="B640" s="35"/>
    </row>
    <row r="641" spans="2:2" x14ac:dyDescent="0.15">
      <c r="B641" s="35"/>
    </row>
    <row r="642" spans="2:2" x14ac:dyDescent="0.15">
      <c r="B642" s="35"/>
    </row>
    <row r="643" spans="2:2" x14ac:dyDescent="0.15">
      <c r="B643" s="35"/>
    </row>
    <row r="644" spans="2:2" x14ac:dyDescent="0.15">
      <c r="B644" s="35"/>
    </row>
    <row r="645" spans="2:2" x14ac:dyDescent="0.15">
      <c r="B645" s="35"/>
    </row>
    <row r="646" spans="2:2" x14ac:dyDescent="0.15">
      <c r="B646" s="35"/>
    </row>
    <row r="647" spans="2:2" x14ac:dyDescent="0.15">
      <c r="B647" s="35"/>
    </row>
    <row r="648" spans="2:2" x14ac:dyDescent="0.15">
      <c r="B648" s="35"/>
    </row>
    <row r="649" spans="2:2" x14ac:dyDescent="0.15">
      <c r="B649" s="35"/>
    </row>
    <row r="650" spans="2:2" x14ac:dyDescent="0.15">
      <c r="B650" s="35"/>
    </row>
    <row r="651" spans="2:2" x14ac:dyDescent="0.15">
      <c r="B651" s="35"/>
    </row>
    <row r="652" spans="2:2" x14ac:dyDescent="0.15">
      <c r="B652" s="35"/>
    </row>
    <row r="653" spans="2:2" x14ac:dyDescent="0.15">
      <c r="B653" s="35"/>
    </row>
    <row r="654" spans="2:2" x14ac:dyDescent="0.15">
      <c r="B654" s="35"/>
    </row>
    <row r="655" spans="2:2" x14ac:dyDescent="0.15">
      <c r="B655" s="35"/>
    </row>
    <row r="656" spans="2:2" x14ac:dyDescent="0.15">
      <c r="B656" s="35"/>
    </row>
    <row r="657" spans="2:2" x14ac:dyDescent="0.15">
      <c r="B657" s="35"/>
    </row>
    <row r="658" spans="2:2" x14ac:dyDescent="0.15">
      <c r="B658" s="35"/>
    </row>
    <row r="659" spans="2:2" x14ac:dyDescent="0.15">
      <c r="B659" s="35"/>
    </row>
    <row r="660" spans="2:2" x14ac:dyDescent="0.15">
      <c r="B660" s="35"/>
    </row>
    <row r="661" spans="2:2" x14ac:dyDescent="0.15">
      <c r="B661" s="35"/>
    </row>
    <row r="662" spans="2:2" x14ac:dyDescent="0.15">
      <c r="B662" s="35"/>
    </row>
    <row r="663" spans="2:2" x14ac:dyDescent="0.15">
      <c r="B663" s="35"/>
    </row>
    <row r="664" spans="2:2" x14ac:dyDescent="0.15">
      <c r="B664" s="35"/>
    </row>
    <row r="665" spans="2:2" x14ac:dyDescent="0.15">
      <c r="B665" s="35"/>
    </row>
    <row r="666" spans="2:2" x14ac:dyDescent="0.15">
      <c r="B666" s="35"/>
    </row>
    <row r="667" spans="2:2" x14ac:dyDescent="0.15">
      <c r="B667" s="35"/>
    </row>
    <row r="668" spans="2:2" x14ac:dyDescent="0.15">
      <c r="B668" s="35"/>
    </row>
    <row r="669" spans="2:2" x14ac:dyDescent="0.15">
      <c r="B669" s="35"/>
    </row>
    <row r="670" spans="2:2" x14ac:dyDescent="0.15">
      <c r="B670" s="35"/>
    </row>
    <row r="671" spans="2:2" x14ac:dyDescent="0.15">
      <c r="B671" s="35"/>
    </row>
    <row r="672" spans="2:2" x14ac:dyDescent="0.15">
      <c r="B672" s="35"/>
    </row>
    <row r="673" spans="2:2" x14ac:dyDescent="0.15">
      <c r="B673" s="35"/>
    </row>
    <row r="674" spans="2:2" x14ac:dyDescent="0.15">
      <c r="B674" s="35"/>
    </row>
    <row r="675" spans="2:2" x14ac:dyDescent="0.15">
      <c r="B675" s="35"/>
    </row>
    <row r="676" spans="2:2" x14ac:dyDescent="0.15">
      <c r="B676" s="35"/>
    </row>
    <row r="677" spans="2:2" x14ac:dyDescent="0.15">
      <c r="B677" s="35"/>
    </row>
    <row r="678" spans="2:2" x14ac:dyDescent="0.15">
      <c r="B678" s="35"/>
    </row>
    <row r="679" spans="2:2" x14ac:dyDescent="0.15">
      <c r="B679" s="35"/>
    </row>
    <row r="680" spans="2:2" x14ac:dyDescent="0.15">
      <c r="B680" s="35"/>
    </row>
    <row r="681" spans="2:2" x14ac:dyDescent="0.15">
      <c r="B681" s="35"/>
    </row>
    <row r="682" spans="2:2" x14ac:dyDescent="0.15">
      <c r="B682" s="35"/>
    </row>
    <row r="683" spans="2:2" x14ac:dyDescent="0.15">
      <c r="B683" s="35"/>
    </row>
    <row r="684" spans="2:2" x14ac:dyDescent="0.15">
      <c r="B684" s="35"/>
    </row>
    <row r="685" spans="2:2" x14ac:dyDescent="0.15">
      <c r="B685" s="35"/>
    </row>
    <row r="686" spans="2:2" x14ac:dyDescent="0.15">
      <c r="B686" s="35"/>
    </row>
    <row r="687" spans="2:2" x14ac:dyDescent="0.15">
      <c r="B687" s="35"/>
    </row>
    <row r="688" spans="2:2" x14ac:dyDescent="0.15">
      <c r="B688" s="35"/>
    </row>
    <row r="689" spans="2:2" x14ac:dyDescent="0.15">
      <c r="B689" s="35"/>
    </row>
    <row r="690" spans="2:2" x14ac:dyDescent="0.15">
      <c r="B690" s="35"/>
    </row>
    <row r="691" spans="2:2" x14ac:dyDescent="0.15">
      <c r="B691" s="35"/>
    </row>
    <row r="692" spans="2:2" x14ac:dyDescent="0.15">
      <c r="B692" s="35"/>
    </row>
    <row r="693" spans="2:2" x14ac:dyDescent="0.15">
      <c r="B693" s="35"/>
    </row>
    <row r="694" spans="2:2" x14ac:dyDescent="0.15">
      <c r="B694" s="35"/>
    </row>
    <row r="695" spans="2:2" x14ac:dyDescent="0.15">
      <c r="B695" s="35"/>
    </row>
    <row r="696" spans="2:2" x14ac:dyDescent="0.15">
      <c r="B696" s="35"/>
    </row>
    <row r="697" spans="2:2" x14ac:dyDescent="0.15">
      <c r="B697" s="35"/>
    </row>
    <row r="698" spans="2:2" x14ac:dyDescent="0.15">
      <c r="B698" s="35"/>
    </row>
    <row r="699" spans="2:2" x14ac:dyDescent="0.15">
      <c r="B699" s="35"/>
    </row>
    <row r="700" spans="2:2" x14ac:dyDescent="0.15">
      <c r="B700" s="35"/>
    </row>
    <row r="701" spans="2:2" x14ac:dyDescent="0.15">
      <c r="B701" s="35"/>
    </row>
    <row r="702" spans="2:2" x14ac:dyDescent="0.15">
      <c r="B702" s="35"/>
    </row>
    <row r="703" spans="2:2" x14ac:dyDescent="0.15">
      <c r="B703" s="35"/>
    </row>
    <row r="704" spans="2:2" x14ac:dyDescent="0.15">
      <c r="B704" s="35"/>
    </row>
    <row r="705" spans="2:2" x14ac:dyDescent="0.15">
      <c r="B705" s="35"/>
    </row>
    <row r="706" spans="2:2" x14ac:dyDescent="0.15">
      <c r="B706" s="35"/>
    </row>
    <row r="707" spans="2:2" x14ac:dyDescent="0.15">
      <c r="B707" s="35"/>
    </row>
    <row r="708" spans="2:2" x14ac:dyDescent="0.15">
      <c r="B708" s="35"/>
    </row>
    <row r="709" spans="2:2" x14ac:dyDescent="0.15">
      <c r="B709" s="35"/>
    </row>
    <row r="710" spans="2:2" x14ac:dyDescent="0.15">
      <c r="B710" s="35"/>
    </row>
    <row r="711" spans="2:2" x14ac:dyDescent="0.15">
      <c r="B711" s="35"/>
    </row>
    <row r="712" spans="2:2" x14ac:dyDescent="0.15">
      <c r="B712" s="35"/>
    </row>
    <row r="713" spans="2:2" x14ac:dyDescent="0.15">
      <c r="B713" s="35"/>
    </row>
    <row r="714" spans="2:2" x14ac:dyDescent="0.15">
      <c r="B714" s="35"/>
    </row>
    <row r="715" spans="2:2" x14ac:dyDescent="0.15">
      <c r="B715" s="35"/>
    </row>
    <row r="716" spans="2:2" x14ac:dyDescent="0.15">
      <c r="B716" s="35"/>
    </row>
    <row r="717" spans="2:2" x14ac:dyDescent="0.15">
      <c r="B717" s="35"/>
    </row>
    <row r="718" spans="2:2" x14ac:dyDescent="0.15">
      <c r="B718" s="35"/>
    </row>
    <row r="719" spans="2:2" x14ac:dyDescent="0.15">
      <c r="B719" s="35"/>
    </row>
    <row r="720" spans="2:2" x14ac:dyDescent="0.15">
      <c r="B720" s="35"/>
    </row>
  </sheetData>
  <sortState xmlns:xlrd2="http://schemas.microsoft.com/office/spreadsheetml/2017/richdata2" ref="C4:D499">
    <sortCondition ref="D4"/>
  </sortState>
  <mergeCells count="3">
    <mergeCell ref="CQ2:DE2"/>
    <mergeCell ref="CB2:CP2"/>
    <mergeCell ref="BM2:C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A331-FB5F-4B41-9D4B-B039899CA7C9}">
  <dimension ref="C9:EC129"/>
  <sheetViews>
    <sheetView topLeftCell="CA1" workbookViewId="0">
      <selection activeCell="CC24" sqref="CC24:CC28"/>
    </sheetView>
  </sheetViews>
  <sheetFormatPr defaultRowHeight="11.25" x14ac:dyDescent="0.15"/>
  <cols>
    <col min="1" max="16384" width="9" style="41"/>
  </cols>
  <sheetData>
    <row r="9" spans="3:133" x14ac:dyDescent="0.15">
      <c r="C9" s="50"/>
    </row>
    <row r="10" spans="3:133" x14ac:dyDescent="0.15">
      <c r="C10" s="50"/>
    </row>
    <row r="12" spans="3:133" x14ac:dyDescent="0.15"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</row>
    <row r="13" spans="3:133" x14ac:dyDescent="0.15"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</row>
    <row r="14" spans="3:133" x14ac:dyDescent="0.15"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</row>
    <row r="15" spans="3:133" x14ac:dyDescent="0.15"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</row>
    <row r="16" spans="3:133" ht="12" x14ac:dyDescent="0.15"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42">
        <v>106</v>
      </c>
      <c r="N16" s="43"/>
      <c r="O16" s="43"/>
      <c r="P16" s="43"/>
      <c r="Q16" s="26"/>
      <c r="R16" s="26"/>
      <c r="S16" s="26"/>
      <c r="T16" s="26"/>
      <c r="U16" s="44">
        <v>162</v>
      </c>
      <c r="V16" s="26"/>
      <c r="W16" s="26"/>
      <c r="X16" s="26"/>
      <c r="Y16" s="26"/>
      <c r="Z16" s="26"/>
      <c r="AA16" s="26"/>
      <c r="AB16" s="26"/>
      <c r="AC16" s="42">
        <v>107</v>
      </c>
      <c r="AD16" s="43"/>
      <c r="AE16" s="26"/>
      <c r="AF16" s="26"/>
      <c r="AG16" s="26"/>
      <c r="AH16" s="26"/>
      <c r="AI16" s="26"/>
      <c r="AJ16" s="26"/>
      <c r="AK16" s="44">
        <v>163</v>
      </c>
      <c r="AL16" s="26"/>
      <c r="AM16" s="26"/>
      <c r="AN16" s="26"/>
      <c r="AO16" s="26"/>
      <c r="AP16" s="26"/>
      <c r="AQ16" s="45">
        <v>16</v>
      </c>
      <c r="AR16" s="43" t="s">
        <v>1017</v>
      </c>
      <c r="AS16" s="45">
        <v>17</v>
      </c>
      <c r="AT16" s="43" t="s">
        <v>1017</v>
      </c>
      <c r="AU16" s="42">
        <v>108</v>
      </c>
      <c r="AV16" s="26"/>
      <c r="AW16" s="44">
        <v>164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44">
        <v>167</v>
      </c>
      <c r="CJ16" s="26"/>
      <c r="CK16" s="26"/>
      <c r="CL16" s="26"/>
      <c r="CM16" s="26"/>
      <c r="CN16" s="26"/>
      <c r="CO16" s="45">
        <v>55</v>
      </c>
      <c r="CP16" s="43" t="s">
        <v>1017</v>
      </c>
      <c r="CQ16" s="42">
        <v>112</v>
      </c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</row>
    <row r="17" spans="3:133" ht="12" x14ac:dyDescent="0.15"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43" t="s">
        <v>1018</v>
      </c>
      <c r="N17" s="26"/>
      <c r="O17" s="26"/>
      <c r="P17" s="26"/>
      <c r="Q17" s="26"/>
      <c r="R17" s="26"/>
      <c r="S17" s="26"/>
      <c r="T17" s="26"/>
      <c r="U17" s="43" t="s">
        <v>1018</v>
      </c>
      <c r="V17" s="26"/>
      <c r="W17" s="26"/>
      <c r="X17" s="26"/>
      <c r="Y17" s="26"/>
      <c r="Z17" s="26"/>
      <c r="AA17" s="26"/>
      <c r="AB17" s="26"/>
      <c r="AC17" s="43" t="s">
        <v>1018</v>
      </c>
      <c r="AD17" s="26"/>
      <c r="AE17" s="26"/>
      <c r="AF17" s="26"/>
      <c r="AG17" s="26"/>
      <c r="AH17" s="26"/>
      <c r="AI17" s="26"/>
      <c r="AJ17" s="26"/>
      <c r="AK17" s="43" t="s">
        <v>1018</v>
      </c>
      <c r="AL17" s="26"/>
      <c r="AM17" s="26"/>
      <c r="AN17" s="26"/>
      <c r="AO17" s="26"/>
      <c r="AP17" s="26" t="s">
        <v>1019</v>
      </c>
      <c r="AQ17" s="26"/>
      <c r="AR17" s="26"/>
      <c r="AS17" s="26"/>
      <c r="AT17" s="26"/>
      <c r="AU17" s="26"/>
      <c r="AV17" s="26"/>
      <c r="AW17" s="43" t="s">
        <v>1018</v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43" t="s">
        <v>1018</v>
      </c>
      <c r="CJ17" s="26"/>
      <c r="CK17" s="26"/>
      <c r="CL17" s="26"/>
      <c r="CM17" s="26"/>
      <c r="CN17" s="26" t="s">
        <v>1019</v>
      </c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</row>
    <row r="18" spans="3:133" ht="12" x14ac:dyDescent="0.15">
      <c r="C18" s="45">
        <v>1</v>
      </c>
      <c r="D18" s="43" t="s">
        <v>1017</v>
      </c>
      <c r="E18" s="45">
        <v>2</v>
      </c>
      <c r="F18" s="43" t="s">
        <v>1017</v>
      </c>
      <c r="G18" s="45">
        <v>3</v>
      </c>
      <c r="H18" s="43" t="s">
        <v>1017</v>
      </c>
      <c r="I18" s="45">
        <v>4</v>
      </c>
      <c r="J18" s="43" t="s">
        <v>1017</v>
      </c>
      <c r="K18" s="46">
        <v>116</v>
      </c>
      <c r="L18" s="43" t="s">
        <v>1017</v>
      </c>
      <c r="M18" s="45">
        <v>5</v>
      </c>
      <c r="N18" s="43" t="s">
        <v>1017</v>
      </c>
      <c r="O18" s="45">
        <v>6</v>
      </c>
      <c r="P18" s="43" t="s">
        <v>1017</v>
      </c>
      <c r="Q18" s="46">
        <v>117</v>
      </c>
      <c r="R18" s="43" t="s">
        <v>1017</v>
      </c>
      <c r="S18" s="45">
        <v>7</v>
      </c>
      <c r="T18" s="43" t="s">
        <v>1017</v>
      </c>
      <c r="U18" s="45">
        <v>8</v>
      </c>
      <c r="V18" s="43" t="s">
        <v>1017</v>
      </c>
      <c r="W18" s="45">
        <v>9</v>
      </c>
      <c r="X18" s="43" t="s">
        <v>1017</v>
      </c>
      <c r="Y18" s="46">
        <v>118</v>
      </c>
      <c r="Z18" s="43" t="s">
        <v>1017</v>
      </c>
      <c r="AA18" s="45">
        <v>10</v>
      </c>
      <c r="AB18" s="43" t="s">
        <v>1017</v>
      </c>
      <c r="AC18" s="45">
        <v>11</v>
      </c>
      <c r="AD18" s="43" t="s">
        <v>1017</v>
      </c>
      <c r="AE18" s="45">
        <v>12</v>
      </c>
      <c r="AF18" s="43" t="s">
        <v>1017</v>
      </c>
      <c r="AG18" s="46">
        <v>119</v>
      </c>
      <c r="AH18" s="43" t="s">
        <v>1017</v>
      </c>
      <c r="AI18" s="45">
        <v>13</v>
      </c>
      <c r="AJ18" s="43" t="s">
        <v>1017</v>
      </c>
      <c r="AK18" s="45">
        <v>14</v>
      </c>
      <c r="AL18" s="43" t="s">
        <v>1017</v>
      </c>
      <c r="AM18" s="45">
        <v>15</v>
      </c>
      <c r="AN18" s="43" t="s">
        <v>1017</v>
      </c>
      <c r="AO18" s="46">
        <v>120</v>
      </c>
      <c r="AP18" s="26"/>
      <c r="AQ18" s="26"/>
      <c r="AR18" s="26"/>
      <c r="AS18" s="26"/>
      <c r="AT18" s="26"/>
      <c r="AU18" s="26"/>
      <c r="AV18" s="26"/>
      <c r="AW18" s="45">
        <v>20</v>
      </c>
      <c r="AX18" s="43" t="s">
        <v>1017</v>
      </c>
      <c r="AY18" s="45">
        <v>21</v>
      </c>
      <c r="AZ18" s="43" t="s">
        <v>1017</v>
      </c>
      <c r="BA18" s="46">
        <v>122</v>
      </c>
      <c r="BB18" s="43" t="s">
        <v>1017</v>
      </c>
      <c r="BC18" s="45">
        <v>24</v>
      </c>
      <c r="BD18" s="43" t="s">
        <v>1017</v>
      </c>
      <c r="BE18" s="45">
        <v>25</v>
      </c>
      <c r="BF18" s="43" t="s">
        <v>1017</v>
      </c>
      <c r="BG18" s="46">
        <v>124</v>
      </c>
      <c r="BH18" s="43" t="s">
        <v>1017</v>
      </c>
      <c r="BI18" s="45">
        <v>28</v>
      </c>
      <c r="BJ18" s="43" t="s">
        <v>1017</v>
      </c>
      <c r="BK18" s="45">
        <v>29</v>
      </c>
      <c r="BL18" s="43" t="s">
        <v>1017</v>
      </c>
      <c r="BM18" s="46">
        <v>126</v>
      </c>
      <c r="BN18" s="43" t="s">
        <v>1017</v>
      </c>
      <c r="BO18" s="45">
        <v>33</v>
      </c>
      <c r="BP18" s="43" t="s">
        <v>1017</v>
      </c>
      <c r="BQ18" s="45">
        <v>34</v>
      </c>
      <c r="BR18" s="43" t="s">
        <v>1017</v>
      </c>
      <c r="BS18" s="46">
        <v>128</v>
      </c>
      <c r="BT18" s="43" t="s">
        <v>1017</v>
      </c>
      <c r="BU18" s="45">
        <v>38</v>
      </c>
      <c r="BV18" s="43" t="s">
        <v>1017</v>
      </c>
      <c r="BW18" s="45">
        <v>39</v>
      </c>
      <c r="BX18" s="43" t="s">
        <v>1017</v>
      </c>
      <c r="BY18" s="46">
        <v>130</v>
      </c>
      <c r="BZ18" s="43" t="s">
        <v>1017</v>
      </c>
      <c r="CA18" s="45">
        <v>43</v>
      </c>
      <c r="CB18" s="43" t="s">
        <v>1017</v>
      </c>
      <c r="CC18" s="45">
        <v>44</v>
      </c>
      <c r="CD18" s="43" t="s">
        <v>1017</v>
      </c>
      <c r="CE18" s="45">
        <v>45</v>
      </c>
      <c r="CF18" s="43" t="s">
        <v>1017</v>
      </c>
      <c r="CG18" s="46">
        <v>132</v>
      </c>
      <c r="CH18" s="43" t="s">
        <v>1017</v>
      </c>
      <c r="CI18" s="45">
        <v>49</v>
      </c>
      <c r="CJ18" s="43" t="s">
        <v>1017</v>
      </c>
      <c r="CK18" s="45">
        <v>50</v>
      </c>
      <c r="CL18" s="43" t="s">
        <v>1017</v>
      </c>
      <c r="CM18" s="46">
        <v>134</v>
      </c>
      <c r="CN18" s="26"/>
      <c r="CO18" s="26"/>
      <c r="CP18" s="43"/>
      <c r="CQ18" s="26"/>
      <c r="CR18" s="26"/>
      <c r="CS18" s="26"/>
      <c r="CT18" s="26"/>
      <c r="CU18" s="44">
        <v>168</v>
      </c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45">
        <v>75</v>
      </c>
      <c r="DH18" s="43" t="s">
        <v>1017</v>
      </c>
      <c r="DI18" s="45">
        <v>76</v>
      </c>
      <c r="DJ18" s="43" t="s">
        <v>1017</v>
      </c>
      <c r="DK18" s="46">
        <v>146</v>
      </c>
      <c r="DL18" s="43" t="s">
        <v>1017</v>
      </c>
      <c r="DM18" s="45">
        <v>82</v>
      </c>
      <c r="DN18" s="43" t="s">
        <v>1017</v>
      </c>
      <c r="DO18" s="45">
        <v>83</v>
      </c>
      <c r="DP18" s="43" t="s">
        <v>1017</v>
      </c>
      <c r="DQ18" s="46">
        <v>150</v>
      </c>
      <c r="DR18" s="43" t="s">
        <v>1017</v>
      </c>
      <c r="DS18" s="45">
        <v>90</v>
      </c>
      <c r="DT18" s="43" t="s">
        <v>1017</v>
      </c>
      <c r="DU18" s="45">
        <v>91</v>
      </c>
      <c r="DV18" s="43" t="s">
        <v>1017</v>
      </c>
      <c r="DW18" s="46">
        <v>154</v>
      </c>
      <c r="DX18" s="43" t="s">
        <v>1017</v>
      </c>
      <c r="DY18" s="45">
        <v>98</v>
      </c>
      <c r="DZ18" s="43" t="s">
        <v>1017</v>
      </c>
      <c r="EA18" s="45">
        <v>99</v>
      </c>
      <c r="EB18" s="43" t="s">
        <v>1017</v>
      </c>
      <c r="EC18" s="46">
        <v>158</v>
      </c>
    </row>
    <row r="19" spans="3:133" ht="12" x14ac:dyDescent="0.15"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 t="s">
        <v>1020</v>
      </c>
      <c r="AQ19" s="26"/>
      <c r="AR19" s="26"/>
      <c r="AS19" s="26"/>
      <c r="AT19" s="26"/>
      <c r="AU19" s="26"/>
      <c r="AV19" s="26" t="s">
        <v>1019</v>
      </c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 t="s">
        <v>1020</v>
      </c>
      <c r="CO19" s="26"/>
      <c r="CP19" s="26"/>
      <c r="CQ19" s="26"/>
      <c r="CR19" s="26"/>
      <c r="CS19" s="26"/>
      <c r="CT19" s="26"/>
      <c r="CU19" s="43" t="s">
        <v>1018</v>
      </c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 t="s">
        <v>1019</v>
      </c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</row>
    <row r="20" spans="3:133" ht="12" x14ac:dyDescent="0.15"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45">
        <v>18</v>
      </c>
      <c r="AR20" s="43" t="s">
        <v>1017</v>
      </c>
      <c r="AS20" s="45">
        <v>19</v>
      </c>
      <c r="AT20" s="43" t="s">
        <v>1017</v>
      </c>
      <c r="AU20" s="46">
        <v>121</v>
      </c>
      <c r="AV20" s="26"/>
      <c r="AW20" s="26"/>
      <c r="AX20" s="26"/>
      <c r="AY20" s="26"/>
      <c r="AZ20" s="43"/>
      <c r="BA20" s="43"/>
      <c r="BB20" s="26"/>
      <c r="BC20" s="45">
        <v>26</v>
      </c>
      <c r="BD20" s="43" t="s">
        <v>1017</v>
      </c>
      <c r="BE20" s="42">
        <v>109</v>
      </c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45">
        <v>56</v>
      </c>
      <c r="CP20" s="43" t="s">
        <v>1017</v>
      </c>
      <c r="CQ20" s="46">
        <v>137</v>
      </c>
      <c r="CR20" s="43" t="s">
        <v>1017</v>
      </c>
      <c r="CS20" s="45">
        <v>61</v>
      </c>
      <c r="CT20" s="43" t="s">
        <v>1017</v>
      </c>
      <c r="CU20" s="45">
        <v>62</v>
      </c>
      <c r="CV20" s="43" t="s">
        <v>1017</v>
      </c>
      <c r="CW20" s="45">
        <v>63</v>
      </c>
      <c r="CX20" s="43" t="s">
        <v>1017</v>
      </c>
      <c r="CY20" s="46">
        <v>140</v>
      </c>
      <c r="CZ20" s="43" t="s">
        <v>1017</v>
      </c>
      <c r="DA20" s="45">
        <v>68</v>
      </c>
      <c r="DB20" s="43" t="s">
        <v>1017</v>
      </c>
      <c r="DC20" s="45">
        <v>69</v>
      </c>
      <c r="DD20" s="43" t="s">
        <v>1017</v>
      </c>
      <c r="DE20" s="46">
        <v>143</v>
      </c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44">
        <v>170</v>
      </c>
      <c r="DT20" s="26"/>
      <c r="DU20" s="26"/>
      <c r="DV20" s="26"/>
      <c r="DW20" s="26"/>
      <c r="DX20" s="26"/>
      <c r="DY20" s="26"/>
      <c r="DZ20" s="26"/>
      <c r="EA20" s="26"/>
      <c r="EB20" s="26"/>
      <c r="EC20" s="26"/>
    </row>
    <row r="21" spans="3:133" ht="12" x14ac:dyDescent="0.15"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 t="s">
        <v>1020</v>
      </c>
      <c r="AW21" s="26"/>
      <c r="AX21" s="26"/>
      <c r="AY21" s="26"/>
      <c r="AZ21" s="26"/>
      <c r="BA21" s="26"/>
      <c r="BB21" s="26" t="s">
        <v>1019</v>
      </c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 t="s">
        <v>1020</v>
      </c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43" t="s">
        <v>1018</v>
      </c>
      <c r="DT21" s="26"/>
      <c r="DU21" s="26"/>
      <c r="DV21" s="26"/>
      <c r="DW21" s="26"/>
      <c r="DX21" s="26"/>
      <c r="DY21" s="26"/>
      <c r="DZ21" s="26"/>
      <c r="EA21" s="26"/>
      <c r="EB21" s="26"/>
      <c r="EC21" s="26"/>
    </row>
    <row r="22" spans="3:133" ht="12" x14ac:dyDescent="0.15"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5"/>
      <c r="AO22" s="25"/>
      <c r="AP22" s="26"/>
      <c r="AQ22" s="26"/>
      <c r="AR22" s="26"/>
      <c r="AS22" s="26"/>
      <c r="AT22" s="26"/>
      <c r="AU22" s="26"/>
      <c r="AV22" s="26"/>
      <c r="AW22" s="45">
        <v>22</v>
      </c>
      <c r="AX22" s="43" t="s">
        <v>1017</v>
      </c>
      <c r="AY22" s="45">
        <v>23</v>
      </c>
      <c r="AZ22" s="43" t="s">
        <v>1017</v>
      </c>
      <c r="BA22" s="46">
        <v>123</v>
      </c>
      <c r="BB22" s="26"/>
      <c r="BC22" s="26"/>
      <c r="BD22" s="26"/>
      <c r="BE22" s="26"/>
      <c r="BF22" s="26"/>
      <c r="BG22" s="26"/>
      <c r="BH22" s="26"/>
      <c r="BI22" s="44">
        <v>165</v>
      </c>
      <c r="BJ22" s="26"/>
      <c r="BK22" s="26"/>
      <c r="BL22" s="26"/>
      <c r="BM22" s="26"/>
      <c r="BN22" s="26"/>
      <c r="BO22" s="45">
        <v>35</v>
      </c>
      <c r="BP22" s="43" t="s">
        <v>1017</v>
      </c>
      <c r="BQ22" s="42">
        <v>110</v>
      </c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45">
        <v>77</v>
      </c>
      <c r="DH22" s="43" t="s">
        <v>1017</v>
      </c>
      <c r="DI22" s="45">
        <v>78</v>
      </c>
      <c r="DJ22" s="43" t="s">
        <v>1017</v>
      </c>
      <c r="DK22" s="46">
        <v>147</v>
      </c>
      <c r="DL22" s="43" t="s">
        <v>1017</v>
      </c>
      <c r="DM22" s="45">
        <v>84</v>
      </c>
      <c r="DN22" s="43" t="s">
        <v>1017</v>
      </c>
      <c r="DO22" s="45">
        <v>85</v>
      </c>
      <c r="DP22" s="43" t="s">
        <v>1017</v>
      </c>
      <c r="DQ22" s="46">
        <v>151</v>
      </c>
      <c r="DR22" s="43" t="s">
        <v>1017</v>
      </c>
      <c r="DS22" s="45">
        <v>92</v>
      </c>
      <c r="DT22" s="43" t="s">
        <v>1017</v>
      </c>
      <c r="DU22" s="45">
        <v>93</v>
      </c>
      <c r="DV22" s="43" t="s">
        <v>1017</v>
      </c>
      <c r="DW22" s="46">
        <v>155</v>
      </c>
      <c r="DX22" s="43" t="s">
        <v>1017</v>
      </c>
      <c r="DY22" s="45">
        <v>100</v>
      </c>
      <c r="DZ22" s="43" t="s">
        <v>1017</v>
      </c>
      <c r="EA22" s="45">
        <v>101</v>
      </c>
      <c r="EB22" s="43" t="s">
        <v>1017</v>
      </c>
      <c r="EC22" s="46">
        <v>159</v>
      </c>
    </row>
    <row r="23" spans="3:133" ht="12" x14ac:dyDescent="0.15"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5"/>
      <c r="AO23" s="25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 t="s">
        <v>1020</v>
      </c>
      <c r="BC23" s="26"/>
      <c r="BD23" s="26"/>
      <c r="BE23" s="26"/>
      <c r="BF23" s="26"/>
      <c r="BG23" s="26"/>
      <c r="BH23" s="26"/>
      <c r="BI23" s="43" t="s">
        <v>1018</v>
      </c>
      <c r="BJ23" s="26"/>
      <c r="BK23" s="26"/>
      <c r="BL23" s="26"/>
      <c r="BM23" s="26"/>
      <c r="BN23" s="26" t="s">
        <v>1019</v>
      </c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</row>
    <row r="24" spans="3:133" ht="12" x14ac:dyDescent="0.15"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H24" s="26"/>
      <c r="AI24" s="26"/>
      <c r="AJ24" s="26"/>
      <c r="AK24" s="26"/>
      <c r="AL24" s="26"/>
      <c r="AM24" s="26"/>
      <c r="AN24" s="25"/>
      <c r="AO24" s="25"/>
      <c r="AP24" s="26"/>
      <c r="AW24" s="26"/>
      <c r="AX24" s="26"/>
      <c r="AY24" s="26"/>
      <c r="AZ24" s="26"/>
      <c r="BA24" s="26"/>
      <c r="BB24" s="26"/>
      <c r="BC24" s="45">
        <v>27</v>
      </c>
      <c r="BD24" s="43" t="s">
        <v>1017</v>
      </c>
      <c r="BE24" s="46">
        <v>125</v>
      </c>
      <c r="BF24" s="43" t="s">
        <v>1017</v>
      </c>
      <c r="BG24" s="45">
        <v>30</v>
      </c>
      <c r="BH24" s="43" t="s">
        <v>1017</v>
      </c>
      <c r="BI24" s="45">
        <v>31</v>
      </c>
      <c r="BJ24" s="43" t="s">
        <v>1017</v>
      </c>
      <c r="BK24" s="45">
        <v>32</v>
      </c>
      <c r="BL24" s="43" t="s">
        <v>1017</v>
      </c>
      <c r="BM24" s="46">
        <v>127</v>
      </c>
      <c r="BN24" s="26"/>
      <c r="BO24" s="26"/>
      <c r="BP24" s="26"/>
      <c r="BQ24" s="26"/>
      <c r="BR24" s="26"/>
      <c r="BS24" s="26"/>
      <c r="BT24" s="26"/>
      <c r="BU24" s="26"/>
      <c r="BV24" s="26"/>
      <c r="BW24" s="44">
        <v>166</v>
      </c>
      <c r="BX24" s="26"/>
      <c r="BY24" s="26"/>
      <c r="BZ24" s="26"/>
      <c r="CA24" s="26"/>
      <c r="CB24" s="26"/>
      <c r="CC24" s="45">
        <v>46</v>
      </c>
      <c r="CD24" s="43" t="s">
        <v>1017</v>
      </c>
      <c r="CE24" s="42">
        <v>111</v>
      </c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44">
        <v>169</v>
      </c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42">
        <v>115</v>
      </c>
      <c r="DZ24" s="26"/>
      <c r="EA24" s="26"/>
      <c r="EB24" s="26"/>
      <c r="EC24" s="26"/>
    </row>
    <row r="25" spans="3:133" ht="12" x14ac:dyDescent="0.15"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H25" s="26"/>
      <c r="AI25" s="26"/>
      <c r="AJ25" s="26"/>
      <c r="AK25" s="26">
        <v>1</v>
      </c>
      <c r="AL25" s="26">
        <v>2</v>
      </c>
      <c r="AM25" s="26"/>
      <c r="AN25" s="26"/>
      <c r="AO25" s="26"/>
      <c r="AP25" s="26" t="str">
        <f>合并区域(AL25:AO25,"+")</f>
        <v>2</v>
      </c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 t="s">
        <v>1020</v>
      </c>
      <c r="BO25" s="26"/>
      <c r="BP25" s="26"/>
      <c r="BQ25" s="26"/>
      <c r="BR25" s="26"/>
      <c r="BS25" s="26"/>
      <c r="BT25" s="26"/>
      <c r="BU25" s="26"/>
      <c r="BV25" s="26"/>
      <c r="BW25" s="43" t="s">
        <v>1018</v>
      </c>
      <c r="BX25" s="26"/>
      <c r="BY25" s="26"/>
      <c r="BZ25" s="26"/>
      <c r="CA25" s="26"/>
      <c r="CB25" s="26" t="s">
        <v>1019</v>
      </c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43" t="s">
        <v>1018</v>
      </c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43" t="s">
        <v>1018</v>
      </c>
      <c r="DZ25" s="26"/>
      <c r="EA25" s="26"/>
      <c r="EB25" s="26"/>
      <c r="EC25" s="26"/>
    </row>
    <row r="26" spans="3:133" ht="12" x14ac:dyDescent="0.15">
      <c r="R26" s="26"/>
      <c r="S26" s="26"/>
      <c r="T26" s="26"/>
      <c r="U26" s="26"/>
      <c r="V26" s="26"/>
      <c r="W26" s="26"/>
      <c r="X26" s="26"/>
      <c r="Y26" s="26"/>
      <c r="Z26" s="26"/>
      <c r="AA26" s="26"/>
      <c r="AH26" s="26"/>
      <c r="AI26" s="26"/>
      <c r="AJ26" s="26"/>
      <c r="AK26" s="26">
        <v>2</v>
      </c>
      <c r="AL26" s="26">
        <v>3</v>
      </c>
      <c r="AM26" s="26"/>
      <c r="AN26" s="26"/>
      <c r="AO26" s="26"/>
      <c r="AP26" s="26" t="str">
        <f t="shared" ref="AP26:AP89" si="0">合并区域(AL26:AO26,"+")</f>
        <v>3</v>
      </c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45">
        <v>36</v>
      </c>
      <c r="BP26" s="43" t="s">
        <v>1017</v>
      </c>
      <c r="BQ26" s="45">
        <v>37</v>
      </c>
      <c r="BR26" s="43" t="s">
        <v>1017</v>
      </c>
      <c r="BS26" s="46">
        <v>129</v>
      </c>
      <c r="BT26" s="43" t="s">
        <v>1017</v>
      </c>
      <c r="BU26" s="45">
        <v>40</v>
      </c>
      <c r="BV26" s="43" t="s">
        <v>1017</v>
      </c>
      <c r="BW26" s="45">
        <v>41</v>
      </c>
      <c r="BX26" s="43" t="s">
        <v>1017</v>
      </c>
      <c r="BY26" s="45">
        <v>42</v>
      </c>
      <c r="BZ26" s="43" t="s">
        <v>1017</v>
      </c>
      <c r="CA26" s="46">
        <v>131</v>
      </c>
      <c r="CB26" s="26"/>
      <c r="CC26" s="26"/>
      <c r="CD26" s="26"/>
      <c r="CE26" s="26"/>
      <c r="CF26" s="26"/>
      <c r="CG26" s="26"/>
      <c r="CH26" s="26"/>
      <c r="CI26" s="45">
        <v>51</v>
      </c>
      <c r="CJ26" s="43" t="s">
        <v>1017</v>
      </c>
      <c r="CK26" s="45">
        <v>52</v>
      </c>
      <c r="CL26" s="43" t="s">
        <v>1017</v>
      </c>
      <c r="CM26" s="46">
        <v>135</v>
      </c>
      <c r="CN26" s="43" t="s">
        <v>1017</v>
      </c>
      <c r="CO26" s="45">
        <v>57</v>
      </c>
      <c r="CP26" s="43" t="s">
        <v>1017</v>
      </c>
      <c r="CQ26" s="45">
        <v>58</v>
      </c>
      <c r="CR26" s="43" t="s">
        <v>1017</v>
      </c>
      <c r="CS26" s="46">
        <v>138</v>
      </c>
      <c r="CT26" s="43" t="s">
        <v>1017</v>
      </c>
      <c r="CU26" s="45">
        <v>64</v>
      </c>
      <c r="CV26" s="43" t="s">
        <v>1017</v>
      </c>
      <c r="CW26" s="45">
        <v>65</v>
      </c>
      <c r="CX26" s="43" t="s">
        <v>1017</v>
      </c>
      <c r="CY26" s="46">
        <v>141</v>
      </c>
      <c r="CZ26" s="43" t="s">
        <v>1017</v>
      </c>
      <c r="DA26" s="45">
        <v>70</v>
      </c>
      <c r="DB26" s="43" t="s">
        <v>1017</v>
      </c>
      <c r="DC26" s="45">
        <v>71</v>
      </c>
      <c r="DD26" s="43" t="s">
        <v>1017</v>
      </c>
      <c r="DE26" s="46">
        <v>144</v>
      </c>
      <c r="DF26" s="43" t="s">
        <v>1017</v>
      </c>
      <c r="DG26" s="45">
        <v>79</v>
      </c>
      <c r="DH26" s="43" t="s">
        <v>1017</v>
      </c>
      <c r="DI26" s="45">
        <v>80</v>
      </c>
      <c r="DJ26" s="43" t="s">
        <v>1017</v>
      </c>
      <c r="DK26" s="46">
        <v>148</v>
      </c>
      <c r="DL26" s="43" t="s">
        <v>1017</v>
      </c>
      <c r="DM26" s="45">
        <v>86</v>
      </c>
      <c r="DN26" s="43" t="s">
        <v>1017</v>
      </c>
      <c r="DO26" s="45">
        <v>87</v>
      </c>
      <c r="DP26" s="43" t="s">
        <v>1017</v>
      </c>
      <c r="DQ26" s="46">
        <v>152</v>
      </c>
      <c r="DR26" s="43" t="s">
        <v>1017</v>
      </c>
      <c r="DS26" s="45">
        <v>94</v>
      </c>
      <c r="DT26" s="43" t="s">
        <v>1017</v>
      </c>
      <c r="DU26" s="45">
        <v>95</v>
      </c>
      <c r="DV26" s="43" t="s">
        <v>1017</v>
      </c>
      <c r="DW26" s="46">
        <v>156</v>
      </c>
      <c r="DX26" s="43" t="s">
        <v>1017</v>
      </c>
      <c r="DY26" s="45">
        <v>102</v>
      </c>
      <c r="DZ26" s="43" t="s">
        <v>1017</v>
      </c>
      <c r="EA26" s="45">
        <v>103</v>
      </c>
      <c r="EB26" s="43" t="s">
        <v>1017</v>
      </c>
      <c r="EC26" s="46">
        <v>160</v>
      </c>
    </row>
    <row r="27" spans="3:133" x14ac:dyDescent="0.15">
      <c r="R27" s="26"/>
      <c r="S27" s="26"/>
      <c r="T27" s="26"/>
      <c r="U27" s="26"/>
      <c r="V27" s="26"/>
      <c r="W27" s="26"/>
      <c r="X27" s="26"/>
      <c r="Y27" s="26"/>
      <c r="Z27" s="26"/>
      <c r="AA27" s="26"/>
      <c r="AH27" s="26"/>
      <c r="AI27" s="26"/>
      <c r="AJ27" s="26"/>
      <c r="AK27" s="26">
        <v>3</v>
      </c>
      <c r="AL27" s="26">
        <v>4</v>
      </c>
      <c r="AM27" s="26"/>
      <c r="AN27" s="26"/>
      <c r="AO27" s="26"/>
      <c r="AP27" s="26" t="str">
        <f t="shared" si="0"/>
        <v>4</v>
      </c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 t="s">
        <v>1020</v>
      </c>
      <c r="CC27" s="26"/>
      <c r="CD27" s="26"/>
      <c r="CE27" s="26"/>
      <c r="CF27" s="26"/>
      <c r="CG27" s="26"/>
      <c r="CH27" s="26" t="s">
        <v>1019</v>
      </c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</row>
    <row r="28" spans="3:133" ht="12" x14ac:dyDescent="0.15">
      <c r="R28" s="26"/>
      <c r="S28" s="26"/>
      <c r="T28" s="26"/>
      <c r="U28" s="26"/>
      <c r="V28" s="26"/>
      <c r="W28" s="26"/>
      <c r="X28" s="26"/>
      <c r="Y28" s="26"/>
      <c r="Z28" s="26"/>
      <c r="AA28" s="26"/>
      <c r="AH28" s="26"/>
      <c r="AI28" s="26"/>
      <c r="AJ28" s="26"/>
      <c r="AK28" s="26">
        <v>4</v>
      </c>
      <c r="AN28" s="26">
        <v>116</v>
      </c>
      <c r="AO28" s="26"/>
      <c r="AP28" s="26" t="str">
        <f t="shared" si="0"/>
        <v>116</v>
      </c>
      <c r="BB28" s="26"/>
      <c r="BC28" s="26"/>
      <c r="BD28" s="26"/>
      <c r="BE28" s="26"/>
      <c r="BF28" s="26"/>
      <c r="BG28" s="26"/>
      <c r="BH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45">
        <v>47</v>
      </c>
      <c r="CD28" s="43" t="s">
        <v>1017</v>
      </c>
      <c r="CE28" s="45">
        <v>48</v>
      </c>
      <c r="CF28" s="43" t="s">
        <v>1017</v>
      </c>
      <c r="CG28" s="46">
        <v>133</v>
      </c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42">
        <v>113</v>
      </c>
      <c r="DD28" s="26"/>
      <c r="DE28" s="26"/>
      <c r="DF28" s="26"/>
      <c r="DG28" s="26"/>
      <c r="DH28" s="26"/>
      <c r="DI28" s="26"/>
      <c r="DJ28" s="26"/>
      <c r="DK28" s="26"/>
      <c r="DL28" s="26"/>
      <c r="DM28" s="42">
        <v>114</v>
      </c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</row>
    <row r="29" spans="3:133" ht="12" x14ac:dyDescent="0.15">
      <c r="R29" s="26"/>
      <c r="S29" s="26"/>
      <c r="T29" s="26"/>
      <c r="U29" s="26"/>
      <c r="V29" s="26"/>
      <c r="W29" s="26"/>
      <c r="X29" s="26"/>
      <c r="Y29" s="26"/>
      <c r="Z29" s="26"/>
      <c r="AA29" s="26"/>
      <c r="AH29" s="26"/>
      <c r="AI29" s="26"/>
      <c r="AJ29" s="26"/>
      <c r="AK29" s="26">
        <v>5</v>
      </c>
      <c r="AL29" s="41">
        <v>6</v>
      </c>
      <c r="AM29" s="41">
        <v>106</v>
      </c>
      <c r="AN29" s="26"/>
      <c r="AO29" s="26"/>
      <c r="AP29" s="26" t="str">
        <f t="shared" si="0"/>
        <v>6+106</v>
      </c>
      <c r="BB29" s="26"/>
      <c r="BC29" s="26"/>
      <c r="BD29" s="26"/>
      <c r="BE29" s="26"/>
      <c r="BF29" s="26"/>
      <c r="BG29" s="26"/>
      <c r="BH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 t="s">
        <v>1020</v>
      </c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43" t="s">
        <v>1018</v>
      </c>
      <c r="DD29" s="26"/>
      <c r="DE29" s="26"/>
      <c r="DF29" s="26"/>
      <c r="DG29" s="26"/>
      <c r="DH29" s="26"/>
      <c r="DI29" s="26"/>
      <c r="DJ29" s="26"/>
      <c r="DK29" s="26"/>
      <c r="DL29" s="26"/>
      <c r="DM29" s="43" t="s">
        <v>1018</v>
      </c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</row>
    <row r="30" spans="3:133" ht="12" x14ac:dyDescent="0.15">
      <c r="R30" s="26"/>
      <c r="S30" s="26"/>
      <c r="T30" s="26"/>
      <c r="U30" s="26"/>
      <c r="V30" s="26"/>
      <c r="W30" s="26"/>
      <c r="X30" s="26"/>
      <c r="Y30" s="26"/>
      <c r="Z30" s="26"/>
      <c r="AA30" s="26"/>
      <c r="AH30" s="26"/>
      <c r="AI30" s="26"/>
      <c r="AJ30" s="26"/>
      <c r="AK30" s="26">
        <v>6</v>
      </c>
      <c r="AN30" s="41">
        <v>117</v>
      </c>
      <c r="AO30" s="26"/>
      <c r="AP30" s="26" t="str">
        <f t="shared" si="0"/>
        <v>117</v>
      </c>
      <c r="BB30" s="26"/>
      <c r="BC30" s="26"/>
      <c r="BD30" s="26"/>
      <c r="BE30" s="26"/>
      <c r="BF30" s="26"/>
      <c r="BG30" s="26"/>
      <c r="BH30" s="26"/>
      <c r="BP30" s="26"/>
      <c r="BQ30" s="26"/>
      <c r="BR30" s="26"/>
      <c r="BS30" s="26"/>
      <c r="BT30" s="26"/>
      <c r="CA30" s="26"/>
      <c r="CB30" s="26"/>
      <c r="CC30" s="26"/>
      <c r="CD30" s="26"/>
      <c r="CE30" s="26"/>
      <c r="CF30" s="26"/>
      <c r="CG30" s="26"/>
      <c r="CH30" s="26"/>
      <c r="CI30" s="45">
        <v>53</v>
      </c>
      <c r="CJ30" s="43" t="s">
        <v>1017</v>
      </c>
      <c r="CK30" s="45">
        <v>54</v>
      </c>
      <c r="CL30" s="43" t="s">
        <v>1017</v>
      </c>
      <c r="CM30" s="46">
        <v>136</v>
      </c>
      <c r="CN30" s="43" t="s">
        <v>1017</v>
      </c>
      <c r="CO30" s="45">
        <v>59</v>
      </c>
      <c r="CP30" s="43" t="s">
        <v>1017</v>
      </c>
      <c r="CQ30" s="45">
        <v>60</v>
      </c>
      <c r="CR30" s="43" t="s">
        <v>1017</v>
      </c>
      <c r="CS30" s="46">
        <v>139</v>
      </c>
      <c r="CT30" s="43" t="s">
        <v>1017</v>
      </c>
      <c r="CU30" s="45">
        <v>66</v>
      </c>
      <c r="CV30" s="43" t="s">
        <v>1017</v>
      </c>
      <c r="CW30" s="45">
        <v>67</v>
      </c>
      <c r="CX30" s="43" t="s">
        <v>1017</v>
      </c>
      <c r="CY30" s="46">
        <v>142</v>
      </c>
      <c r="CZ30" s="43" t="s">
        <v>1017</v>
      </c>
      <c r="DA30" s="45">
        <v>72</v>
      </c>
      <c r="DB30" s="43" t="s">
        <v>1017</v>
      </c>
      <c r="DC30" s="45">
        <v>73</v>
      </c>
      <c r="DD30" s="43" t="s">
        <v>1017</v>
      </c>
      <c r="DE30" s="45">
        <v>74</v>
      </c>
      <c r="DF30" s="43" t="s">
        <v>1017</v>
      </c>
      <c r="DG30" s="46">
        <v>145</v>
      </c>
      <c r="DH30" s="43" t="s">
        <v>1017</v>
      </c>
      <c r="DI30" s="45">
        <v>81</v>
      </c>
      <c r="DJ30" s="43" t="s">
        <v>1017</v>
      </c>
      <c r="DK30" s="46">
        <v>149</v>
      </c>
      <c r="DL30" s="43" t="s">
        <v>1017</v>
      </c>
      <c r="DM30" s="45">
        <v>88</v>
      </c>
      <c r="DN30" s="43" t="s">
        <v>1017</v>
      </c>
      <c r="DO30" s="45">
        <v>89</v>
      </c>
      <c r="DP30" s="43" t="s">
        <v>1017</v>
      </c>
      <c r="DQ30" s="46">
        <v>153</v>
      </c>
      <c r="DR30" s="43" t="s">
        <v>1017</v>
      </c>
      <c r="DS30" s="45">
        <v>96</v>
      </c>
      <c r="DT30" s="43" t="s">
        <v>1017</v>
      </c>
      <c r="DU30" s="45">
        <v>97</v>
      </c>
      <c r="DV30" s="43" t="s">
        <v>1017</v>
      </c>
      <c r="DW30" s="46">
        <v>157</v>
      </c>
      <c r="DX30" s="43" t="s">
        <v>1017</v>
      </c>
      <c r="DY30" s="45">
        <v>104</v>
      </c>
      <c r="DZ30" s="43" t="s">
        <v>1017</v>
      </c>
      <c r="EA30" s="45">
        <v>105</v>
      </c>
      <c r="EB30" s="43" t="s">
        <v>1017</v>
      </c>
      <c r="EC30" s="46">
        <v>161</v>
      </c>
    </row>
    <row r="31" spans="3:133" x14ac:dyDescent="0.15">
      <c r="AK31" s="26">
        <v>7</v>
      </c>
      <c r="AL31" s="41">
        <v>8</v>
      </c>
      <c r="AN31" s="26"/>
      <c r="AO31" s="26"/>
      <c r="AP31" s="26" t="str">
        <f t="shared" si="0"/>
        <v>8</v>
      </c>
    </row>
    <row r="32" spans="3:133" x14ac:dyDescent="0.15">
      <c r="AK32" s="26">
        <v>8</v>
      </c>
      <c r="AL32" s="41">
        <v>9</v>
      </c>
      <c r="AO32" s="41">
        <v>162</v>
      </c>
      <c r="AP32" s="26" t="str">
        <f t="shared" si="0"/>
        <v>9+162</v>
      </c>
    </row>
    <row r="33" spans="37:102" x14ac:dyDescent="0.15">
      <c r="AK33" s="26">
        <v>9</v>
      </c>
      <c r="AN33" s="41">
        <v>118</v>
      </c>
      <c r="AP33" s="26" t="str">
        <f t="shared" si="0"/>
        <v>118</v>
      </c>
      <c r="CU33" s="41">
        <v>116</v>
      </c>
      <c r="CV33" s="41">
        <v>5</v>
      </c>
      <c r="CW33" s="26"/>
      <c r="CX33" s="41" t="str">
        <f>合并区域(CV33:CW33,"+")</f>
        <v>5</v>
      </c>
    </row>
    <row r="34" spans="37:102" x14ac:dyDescent="0.15">
      <c r="AK34" s="26">
        <v>10</v>
      </c>
      <c r="AL34" s="41">
        <v>11</v>
      </c>
      <c r="AP34" s="26" t="str">
        <f t="shared" si="0"/>
        <v>11</v>
      </c>
      <c r="CU34" s="41">
        <v>117</v>
      </c>
      <c r="CV34" s="41">
        <v>7</v>
      </c>
      <c r="CW34" s="26"/>
      <c r="CX34" s="41" t="str">
        <f t="shared" ref="CX34:CX78" si="1">合并区域(CV34:CW34,"+")</f>
        <v>7</v>
      </c>
    </row>
    <row r="35" spans="37:102" x14ac:dyDescent="0.15">
      <c r="AK35" s="26">
        <v>11</v>
      </c>
      <c r="AL35" s="41">
        <v>12</v>
      </c>
      <c r="AM35" s="41">
        <v>107</v>
      </c>
      <c r="AP35" s="26" t="str">
        <f t="shared" si="0"/>
        <v>12+107</v>
      </c>
      <c r="CU35" s="41">
        <v>118</v>
      </c>
      <c r="CV35" s="41">
        <v>10</v>
      </c>
      <c r="CW35" s="26"/>
      <c r="CX35" s="41" t="str">
        <f t="shared" si="1"/>
        <v>10</v>
      </c>
    </row>
    <row r="36" spans="37:102" x14ac:dyDescent="0.15">
      <c r="AK36" s="26">
        <v>12</v>
      </c>
      <c r="AN36" s="41">
        <v>119</v>
      </c>
      <c r="AP36" s="26" t="str">
        <f t="shared" si="0"/>
        <v>119</v>
      </c>
      <c r="CU36" s="41">
        <v>119</v>
      </c>
      <c r="CV36" s="41">
        <v>13</v>
      </c>
      <c r="CW36" s="26"/>
      <c r="CX36" s="41" t="str">
        <f t="shared" si="1"/>
        <v>13</v>
      </c>
    </row>
    <row r="37" spans="37:102" x14ac:dyDescent="0.15">
      <c r="AK37" s="26">
        <v>13</v>
      </c>
      <c r="AL37" s="41">
        <v>14</v>
      </c>
      <c r="AP37" s="26" t="str">
        <f t="shared" si="0"/>
        <v>14</v>
      </c>
      <c r="CU37" s="41">
        <v>120</v>
      </c>
      <c r="CV37" s="41">
        <v>16</v>
      </c>
      <c r="CW37" s="26">
        <v>18</v>
      </c>
      <c r="CX37" s="41" t="str">
        <f t="shared" si="1"/>
        <v>16+18</v>
      </c>
    </row>
    <row r="38" spans="37:102" x14ac:dyDescent="0.15">
      <c r="AK38" s="26">
        <v>14</v>
      </c>
      <c r="AL38" s="41">
        <v>15</v>
      </c>
      <c r="AO38" s="41">
        <v>163</v>
      </c>
      <c r="AP38" s="26" t="str">
        <f t="shared" si="0"/>
        <v>15+163</v>
      </c>
      <c r="CU38" s="41">
        <v>121</v>
      </c>
      <c r="CV38" s="41">
        <v>20</v>
      </c>
      <c r="CW38" s="26">
        <v>22</v>
      </c>
      <c r="CX38" s="41" t="str">
        <f t="shared" si="1"/>
        <v>20+22</v>
      </c>
    </row>
    <row r="39" spans="37:102" x14ac:dyDescent="0.15">
      <c r="AK39" s="26">
        <v>15</v>
      </c>
      <c r="AN39" s="41">
        <v>120</v>
      </c>
      <c r="AP39" s="26" t="str">
        <f t="shared" si="0"/>
        <v>120</v>
      </c>
      <c r="CU39" s="41">
        <v>122</v>
      </c>
      <c r="CV39" s="41">
        <v>24</v>
      </c>
      <c r="CW39" s="26"/>
      <c r="CX39" s="41" t="str">
        <f t="shared" si="1"/>
        <v>24</v>
      </c>
    </row>
    <row r="40" spans="37:102" x14ac:dyDescent="0.15">
      <c r="AK40" s="26">
        <v>16</v>
      </c>
      <c r="AL40" s="41">
        <v>17</v>
      </c>
      <c r="AP40" s="26" t="str">
        <f t="shared" si="0"/>
        <v>17</v>
      </c>
      <c r="CU40" s="41">
        <v>123</v>
      </c>
      <c r="CV40" s="41">
        <v>26</v>
      </c>
      <c r="CW40" s="41">
        <v>27</v>
      </c>
      <c r="CX40" s="41" t="str">
        <f t="shared" si="1"/>
        <v>26+27</v>
      </c>
    </row>
    <row r="41" spans="37:102" x14ac:dyDescent="0.15">
      <c r="AK41" s="26">
        <v>17</v>
      </c>
      <c r="AM41" s="41">
        <v>108</v>
      </c>
      <c r="AP41" s="26" t="str">
        <f t="shared" si="0"/>
        <v>108</v>
      </c>
      <c r="CU41" s="41">
        <v>124</v>
      </c>
      <c r="CV41" s="41">
        <v>28</v>
      </c>
      <c r="CX41" s="41" t="str">
        <f t="shared" si="1"/>
        <v>28</v>
      </c>
    </row>
    <row r="42" spans="37:102" x14ac:dyDescent="0.15">
      <c r="AK42" s="26">
        <v>18</v>
      </c>
      <c r="AL42" s="41">
        <v>19</v>
      </c>
      <c r="AP42" s="26" t="str">
        <f t="shared" si="0"/>
        <v>19</v>
      </c>
      <c r="CU42" s="41">
        <v>125</v>
      </c>
      <c r="CV42" s="41">
        <v>30</v>
      </c>
      <c r="CX42" s="41" t="str">
        <f t="shared" si="1"/>
        <v>30</v>
      </c>
    </row>
    <row r="43" spans="37:102" x14ac:dyDescent="0.15">
      <c r="AK43" s="26">
        <v>19</v>
      </c>
      <c r="AN43" s="41">
        <v>121</v>
      </c>
      <c r="AP43" s="26" t="str">
        <f t="shared" si="0"/>
        <v>121</v>
      </c>
      <c r="CU43" s="41">
        <v>126</v>
      </c>
      <c r="CV43" s="41">
        <v>33</v>
      </c>
      <c r="CX43" s="41" t="str">
        <f t="shared" si="1"/>
        <v>33</v>
      </c>
    </row>
    <row r="44" spans="37:102" x14ac:dyDescent="0.15">
      <c r="AK44" s="26">
        <v>20</v>
      </c>
      <c r="AL44" s="26">
        <v>21</v>
      </c>
      <c r="AM44" s="26"/>
      <c r="AN44" s="26"/>
      <c r="AO44" s="26">
        <v>164</v>
      </c>
      <c r="AP44" s="26" t="str">
        <f t="shared" si="0"/>
        <v>21+164</v>
      </c>
      <c r="CU44" s="41">
        <v>127</v>
      </c>
      <c r="CV44" s="41">
        <v>35</v>
      </c>
      <c r="CW44" s="41">
        <v>36</v>
      </c>
      <c r="CX44" s="41" t="str">
        <f t="shared" si="1"/>
        <v>35+36</v>
      </c>
    </row>
    <row r="45" spans="37:102" x14ac:dyDescent="0.15">
      <c r="AK45" s="26">
        <v>21</v>
      </c>
      <c r="AL45" s="26"/>
      <c r="AM45" s="26"/>
      <c r="AN45" s="26">
        <v>122</v>
      </c>
      <c r="AO45" s="26"/>
      <c r="AP45" s="26" t="str">
        <f t="shared" si="0"/>
        <v>122</v>
      </c>
      <c r="CU45" s="41">
        <v>128</v>
      </c>
      <c r="CV45" s="41">
        <v>38</v>
      </c>
      <c r="CX45" s="41" t="str">
        <f t="shared" si="1"/>
        <v>38</v>
      </c>
    </row>
    <row r="46" spans="37:102" x14ac:dyDescent="0.15">
      <c r="AK46" s="26">
        <v>22</v>
      </c>
      <c r="AL46" s="26">
        <v>23</v>
      </c>
      <c r="AM46" s="26"/>
      <c r="AN46" s="26"/>
      <c r="AO46" s="26"/>
      <c r="AP46" s="26" t="str">
        <f t="shared" si="0"/>
        <v>23</v>
      </c>
      <c r="CU46" s="41">
        <v>129</v>
      </c>
      <c r="CV46" s="41">
        <v>40</v>
      </c>
      <c r="CX46" s="41" t="str">
        <f t="shared" si="1"/>
        <v>40</v>
      </c>
    </row>
    <row r="47" spans="37:102" x14ac:dyDescent="0.15">
      <c r="AK47" s="26">
        <v>23</v>
      </c>
      <c r="AL47" s="26"/>
      <c r="AM47" s="26"/>
      <c r="AN47" s="26">
        <v>123</v>
      </c>
      <c r="AO47" s="26"/>
      <c r="AP47" s="26" t="str">
        <f t="shared" si="0"/>
        <v>123</v>
      </c>
      <c r="CU47" s="41">
        <v>130</v>
      </c>
      <c r="CV47" s="41">
        <v>43</v>
      </c>
      <c r="CX47" s="41" t="str">
        <f t="shared" si="1"/>
        <v>43</v>
      </c>
    </row>
    <row r="48" spans="37:102" x14ac:dyDescent="0.15">
      <c r="AK48" s="26">
        <v>24</v>
      </c>
      <c r="AL48" s="26">
        <v>25</v>
      </c>
      <c r="AM48" s="26"/>
      <c r="AN48" s="26"/>
      <c r="AO48" s="26"/>
      <c r="AP48" s="26" t="str">
        <f t="shared" si="0"/>
        <v>25</v>
      </c>
      <c r="CU48" s="41">
        <v>131</v>
      </c>
      <c r="CV48" s="41">
        <v>46</v>
      </c>
      <c r="CW48" s="41">
        <v>47</v>
      </c>
      <c r="CX48" s="41" t="str">
        <f t="shared" si="1"/>
        <v>46+47</v>
      </c>
    </row>
    <row r="49" spans="37:102" x14ac:dyDescent="0.15">
      <c r="AK49" s="26">
        <v>25</v>
      </c>
      <c r="AN49" s="41">
        <v>124</v>
      </c>
      <c r="AP49" s="26" t="str">
        <f t="shared" si="0"/>
        <v>124</v>
      </c>
      <c r="CU49" s="41">
        <v>132</v>
      </c>
      <c r="CV49" s="41">
        <v>49</v>
      </c>
      <c r="CX49" s="41" t="str">
        <f t="shared" si="1"/>
        <v>49</v>
      </c>
    </row>
    <row r="50" spans="37:102" x14ac:dyDescent="0.15">
      <c r="AK50" s="26">
        <v>26</v>
      </c>
      <c r="AM50" s="41">
        <v>109</v>
      </c>
      <c r="AP50" s="26" t="str">
        <f t="shared" si="0"/>
        <v>109</v>
      </c>
      <c r="CU50" s="41">
        <v>133</v>
      </c>
      <c r="CV50" s="41">
        <v>51</v>
      </c>
      <c r="CW50" s="41">
        <v>53</v>
      </c>
      <c r="CX50" s="41" t="str">
        <f t="shared" si="1"/>
        <v>51+53</v>
      </c>
    </row>
    <row r="51" spans="37:102" x14ac:dyDescent="0.15">
      <c r="AK51" s="26">
        <v>27</v>
      </c>
      <c r="AN51" s="41">
        <v>125</v>
      </c>
      <c r="AP51" s="26" t="str">
        <f t="shared" si="0"/>
        <v>125</v>
      </c>
      <c r="CU51" s="41">
        <v>134</v>
      </c>
      <c r="CV51" s="41">
        <v>55</v>
      </c>
      <c r="CW51" s="41">
        <v>56</v>
      </c>
      <c r="CX51" s="41" t="str">
        <f t="shared" si="1"/>
        <v>55+56</v>
      </c>
    </row>
    <row r="52" spans="37:102" x14ac:dyDescent="0.15">
      <c r="AK52" s="26">
        <v>28</v>
      </c>
      <c r="AL52" s="41">
        <v>29</v>
      </c>
      <c r="AP52" s="26" t="str">
        <f t="shared" si="0"/>
        <v>29</v>
      </c>
      <c r="CU52" s="41">
        <v>135</v>
      </c>
      <c r="CV52" s="41">
        <v>57</v>
      </c>
      <c r="CX52" s="41" t="str">
        <f t="shared" si="1"/>
        <v>57</v>
      </c>
    </row>
    <row r="53" spans="37:102" x14ac:dyDescent="0.15">
      <c r="AK53" s="26">
        <v>29</v>
      </c>
      <c r="AN53" s="41">
        <v>126</v>
      </c>
      <c r="AP53" s="26" t="str">
        <f t="shared" si="0"/>
        <v>126</v>
      </c>
      <c r="CU53" s="41">
        <v>136</v>
      </c>
      <c r="CV53" s="41">
        <v>59</v>
      </c>
      <c r="CX53" s="41" t="str">
        <f t="shared" si="1"/>
        <v>59</v>
      </c>
    </row>
    <row r="54" spans="37:102" x14ac:dyDescent="0.15">
      <c r="AK54" s="26">
        <v>30</v>
      </c>
      <c r="AL54" s="41">
        <v>31</v>
      </c>
      <c r="AP54" s="26" t="str">
        <f t="shared" si="0"/>
        <v>31</v>
      </c>
      <c r="CU54" s="41">
        <v>137</v>
      </c>
      <c r="CV54" s="41">
        <v>61</v>
      </c>
      <c r="CX54" s="41" t="str">
        <f t="shared" si="1"/>
        <v>61</v>
      </c>
    </row>
    <row r="55" spans="37:102" x14ac:dyDescent="0.15">
      <c r="AK55" s="26">
        <v>31</v>
      </c>
      <c r="AL55" s="41">
        <v>32</v>
      </c>
      <c r="AO55" s="41">
        <v>165</v>
      </c>
      <c r="AP55" s="26" t="str">
        <f t="shared" si="0"/>
        <v>32+165</v>
      </c>
      <c r="CU55" s="41">
        <v>138</v>
      </c>
      <c r="CV55" s="41">
        <v>64</v>
      </c>
      <c r="CX55" s="41" t="str">
        <f t="shared" si="1"/>
        <v>64</v>
      </c>
    </row>
    <row r="56" spans="37:102" x14ac:dyDescent="0.15">
      <c r="AK56" s="26">
        <v>32</v>
      </c>
      <c r="AN56" s="41">
        <v>127</v>
      </c>
      <c r="AP56" s="26" t="str">
        <f t="shared" si="0"/>
        <v>127</v>
      </c>
      <c r="CU56" s="41">
        <v>139</v>
      </c>
      <c r="CV56" s="41">
        <v>66</v>
      </c>
      <c r="CX56" s="41" t="str">
        <f t="shared" si="1"/>
        <v>66</v>
      </c>
    </row>
    <row r="57" spans="37:102" x14ac:dyDescent="0.15">
      <c r="AK57" s="26">
        <v>33</v>
      </c>
      <c r="AL57" s="41">
        <v>34</v>
      </c>
      <c r="AP57" s="26" t="str">
        <f t="shared" si="0"/>
        <v>34</v>
      </c>
      <c r="CU57" s="41">
        <v>140</v>
      </c>
      <c r="CV57" s="41">
        <v>68</v>
      </c>
      <c r="CX57" s="41" t="str">
        <f t="shared" si="1"/>
        <v>68</v>
      </c>
    </row>
    <row r="58" spans="37:102" x14ac:dyDescent="0.15">
      <c r="AK58" s="26">
        <v>34</v>
      </c>
      <c r="AN58" s="41">
        <v>128</v>
      </c>
      <c r="AP58" s="26" t="str">
        <f t="shared" si="0"/>
        <v>128</v>
      </c>
      <c r="CU58" s="41">
        <v>141</v>
      </c>
      <c r="CV58" s="41">
        <v>70</v>
      </c>
      <c r="CX58" s="41" t="str">
        <f t="shared" si="1"/>
        <v>70</v>
      </c>
    </row>
    <row r="59" spans="37:102" x14ac:dyDescent="0.15">
      <c r="AK59" s="26">
        <v>35</v>
      </c>
      <c r="AM59" s="41">
        <v>110</v>
      </c>
      <c r="AP59" s="26" t="str">
        <f t="shared" si="0"/>
        <v>110</v>
      </c>
      <c r="CU59" s="41">
        <v>142</v>
      </c>
      <c r="CV59" s="41">
        <v>72</v>
      </c>
      <c r="CX59" s="41" t="str">
        <f t="shared" si="1"/>
        <v>72</v>
      </c>
    </row>
    <row r="60" spans="37:102" x14ac:dyDescent="0.15">
      <c r="AK60" s="26">
        <v>36</v>
      </c>
      <c r="AL60" s="41">
        <v>37</v>
      </c>
      <c r="AP60" s="26" t="str">
        <f t="shared" si="0"/>
        <v>37</v>
      </c>
      <c r="CU60" s="41">
        <v>143</v>
      </c>
      <c r="CV60" s="41">
        <v>75</v>
      </c>
      <c r="CW60" s="41">
        <v>77</v>
      </c>
      <c r="CX60" s="41" t="str">
        <f t="shared" si="1"/>
        <v>75+77</v>
      </c>
    </row>
    <row r="61" spans="37:102" x14ac:dyDescent="0.15">
      <c r="AK61" s="26">
        <v>37</v>
      </c>
      <c r="AN61" s="41">
        <v>129</v>
      </c>
      <c r="AP61" s="26" t="str">
        <f t="shared" si="0"/>
        <v>129</v>
      </c>
      <c r="CU61" s="41">
        <v>144</v>
      </c>
      <c r="CV61" s="41">
        <v>79</v>
      </c>
      <c r="CX61" s="41" t="str">
        <f t="shared" si="1"/>
        <v>79</v>
      </c>
    </row>
    <row r="62" spans="37:102" x14ac:dyDescent="0.15">
      <c r="AK62" s="26">
        <v>38</v>
      </c>
      <c r="AL62" s="41">
        <v>39</v>
      </c>
      <c r="AP62" s="26" t="str">
        <f t="shared" si="0"/>
        <v>39</v>
      </c>
      <c r="CU62" s="41">
        <v>145</v>
      </c>
      <c r="CV62" s="41">
        <v>81</v>
      </c>
      <c r="CX62" s="41" t="str">
        <f t="shared" si="1"/>
        <v>81</v>
      </c>
    </row>
    <row r="63" spans="37:102" x14ac:dyDescent="0.15">
      <c r="AK63" s="26">
        <v>39</v>
      </c>
      <c r="AN63" s="41">
        <v>130</v>
      </c>
      <c r="AP63" s="26" t="str">
        <f t="shared" si="0"/>
        <v>130</v>
      </c>
      <c r="CU63" s="41">
        <v>146</v>
      </c>
      <c r="CV63" s="41">
        <v>82</v>
      </c>
      <c r="CX63" s="41" t="str">
        <f t="shared" si="1"/>
        <v>82</v>
      </c>
    </row>
    <row r="64" spans="37:102" x14ac:dyDescent="0.15">
      <c r="AK64" s="26">
        <v>40</v>
      </c>
      <c r="AL64" s="41">
        <v>41</v>
      </c>
      <c r="AP64" s="26" t="str">
        <f t="shared" si="0"/>
        <v>41</v>
      </c>
      <c r="CU64" s="41">
        <v>147</v>
      </c>
      <c r="CV64" s="41">
        <v>84</v>
      </c>
      <c r="CX64" s="41" t="str">
        <f t="shared" si="1"/>
        <v>84</v>
      </c>
    </row>
    <row r="65" spans="37:102" x14ac:dyDescent="0.15">
      <c r="AK65" s="26">
        <v>41</v>
      </c>
      <c r="AL65" s="41">
        <v>42</v>
      </c>
      <c r="AO65" s="41">
        <v>166</v>
      </c>
      <c r="AP65" s="26" t="str">
        <f t="shared" si="0"/>
        <v>42+166</v>
      </c>
      <c r="CU65" s="41">
        <v>148</v>
      </c>
      <c r="CV65" s="41">
        <v>86</v>
      </c>
      <c r="CX65" s="41" t="str">
        <f t="shared" si="1"/>
        <v>86</v>
      </c>
    </row>
    <row r="66" spans="37:102" x14ac:dyDescent="0.15">
      <c r="AK66" s="26">
        <v>42</v>
      </c>
      <c r="AN66" s="41">
        <v>131</v>
      </c>
      <c r="AP66" s="26" t="str">
        <f t="shared" si="0"/>
        <v>131</v>
      </c>
      <c r="CU66" s="41">
        <v>149</v>
      </c>
      <c r="CV66" s="41">
        <v>88</v>
      </c>
      <c r="CX66" s="41" t="str">
        <f t="shared" si="1"/>
        <v>88</v>
      </c>
    </row>
    <row r="67" spans="37:102" x14ac:dyDescent="0.15">
      <c r="AK67" s="26">
        <v>43</v>
      </c>
      <c r="AL67" s="41">
        <v>44</v>
      </c>
      <c r="AP67" s="26" t="str">
        <f t="shared" si="0"/>
        <v>44</v>
      </c>
      <c r="CU67" s="41">
        <v>150</v>
      </c>
      <c r="CV67" s="41">
        <v>90</v>
      </c>
      <c r="CX67" s="41" t="str">
        <f t="shared" si="1"/>
        <v>90</v>
      </c>
    </row>
    <row r="68" spans="37:102" x14ac:dyDescent="0.15">
      <c r="AK68" s="26">
        <v>44</v>
      </c>
      <c r="AL68" s="41">
        <v>45</v>
      </c>
      <c r="AP68" s="26" t="str">
        <f t="shared" si="0"/>
        <v>45</v>
      </c>
      <c r="CU68" s="41">
        <v>151</v>
      </c>
      <c r="CV68" s="41">
        <v>92</v>
      </c>
      <c r="CX68" s="41" t="str">
        <f t="shared" si="1"/>
        <v>92</v>
      </c>
    </row>
    <row r="69" spans="37:102" x14ac:dyDescent="0.15">
      <c r="AK69" s="26">
        <v>45</v>
      </c>
      <c r="AN69" s="41">
        <v>132</v>
      </c>
      <c r="AP69" s="26" t="str">
        <f t="shared" si="0"/>
        <v>132</v>
      </c>
      <c r="CU69" s="41">
        <v>152</v>
      </c>
      <c r="CV69" s="41">
        <v>94</v>
      </c>
      <c r="CX69" s="41" t="str">
        <f t="shared" si="1"/>
        <v>94</v>
      </c>
    </row>
    <row r="70" spans="37:102" x14ac:dyDescent="0.15">
      <c r="AK70" s="26">
        <v>46</v>
      </c>
      <c r="AM70" s="41">
        <v>111</v>
      </c>
      <c r="AP70" s="26" t="str">
        <f t="shared" si="0"/>
        <v>111</v>
      </c>
      <c r="CU70" s="41">
        <v>153</v>
      </c>
      <c r="CV70" s="41">
        <v>96</v>
      </c>
      <c r="CX70" s="41" t="str">
        <f t="shared" si="1"/>
        <v>96</v>
      </c>
    </row>
    <row r="71" spans="37:102" x14ac:dyDescent="0.15">
      <c r="AK71" s="26">
        <v>47</v>
      </c>
      <c r="AL71" s="41">
        <v>48</v>
      </c>
      <c r="AP71" s="26" t="str">
        <f t="shared" si="0"/>
        <v>48</v>
      </c>
      <c r="CU71" s="41">
        <v>154</v>
      </c>
      <c r="CV71" s="41">
        <v>98</v>
      </c>
      <c r="CX71" s="41" t="str">
        <f t="shared" si="1"/>
        <v>98</v>
      </c>
    </row>
    <row r="72" spans="37:102" x14ac:dyDescent="0.15">
      <c r="AK72" s="26">
        <v>48</v>
      </c>
      <c r="AN72" s="41">
        <v>133</v>
      </c>
      <c r="AP72" s="26" t="str">
        <f t="shared" si="0"/>
        <v>133</v>
      </c>
      <c r="CU72" s="41">
        <v>155</v>
      </c>
      <c r="CV72" s="41">
        <v>100</v>
      </c>
      <c r="CX72" s="41" t="str">
        <f t="shared" si="1"/>
        <v>100</v>
      </c>
    </row>
    <row r="73" spans="37:102" x14ac:dyDescent="0.15">
      <c r="AK73" s="26">
        <v>49</v>
      </c>
      <c r="AL73" s="41">
        <v>50</v>
      </c>
      <c r="AO73" s="41">
        <v>167</v>
      </c>
      <c r="AP73" s="26" t="str">
        <f t="shared" si="0"/>
        <v>50+167</v>
      </c>
      <c r="CU73" s="41">
        <v>156</v>
      </c>
      <c r="CV73" s="41">
        <v>102</v>
      </c>
      <c r="CX73" s="41" t="str">
        <f t="shared" si="1"/>
        <v>102</v>
      </c>
    </row>
    <row r="74" spans="37:102" x14ac:dyDescent="0.15">
      <c r="AK74" s="26">
        <v>50</v>
      </c>
      <c r="AN74" s="41">
        <v>134</v>
      </c>
      <c r="AP74" s="26" t="str">
        <f t="shared" si="0"/>
        <v>134</v>
      </c>
      <c r="CU74" s="41">
        <v>157</v>
      </c>
      <c r="CV74" s="41">
        <v>104</v>
      </c>
      <c r="CX74" s="41" t="str">
        <f t="shared" si="1"/>
        <v>104</v>
      </c>
    </row>
    <row r="75" spans="37:102" x14ac:dyDescent="0.15">
      <c r="AK75" s="26">
        <v>51</v>
      </c>
      <c r="AL75" s="41">
        <v>52</v>
      </c>
      <c r="AP75" s="26" t="str">
        <f t="shared" si="0"/>
        <v>52</v>
      </c>
      <c r="CU75" s="41">
        <v>158</v>
      </c>
      <c r="CX75" s="41" t="str">
        <f t="shared" si="1"/>
        <v/>
      </c>
    </row>
    <row r="76" spans="37:102" x14ac:dyDescent="0.15">
      <c r="AK76" s="26">
        <v>52</v>
      </c>
      <c r="AN76" s="41">
        <v>135</v>
      </c>
      <c r="AP76" s="26" t="str">
        <f t="shared" si="0"/>
        <v>135</v>
      </c>
      <c r="CU76" s="41">
        <v>159</v>
      </c>
      <c r="CX76" s="41" t="str">
        <f t="shared" si="1"/>
        <v/>
      </c>
    </row>
    <row r="77" spans="37:102" x14ac:dyDescent="0.15">
      <c r="AK77" s="26">
        <v>53</v>
      </c>
      <c r="AL77" s="41">
        <v>54</v>
      </c>
      <c r="AP77" s="26" t="str">
        <f t="shared" si="0"/>
        <v>54</v>
      </c>
      <c r="CU77" s="41">
        <v>160</v>
      </c>
      <c r="CX77" s="41" t="str">
        <f t="shared" si="1"/>
        <v/>
      </c>
    </row>
    <row r="78" spans="37:102" x14ac:dyDescent="0.15">
      <c r="AK78" s="26">
        <v>54</v>
      </c>
      <c r="AN78" s="41">
        <v>136</v>
      </c>
      <c r="AP78" s="26" t="str">
        <f t="shared" si="0"/>
        <v>136</v>
      </c>
      <c r="CU78" s="41">
        <v>161</v>
      </c>
      <c r="CX78" s="41" t="str">
        <f t="shared" si="1"/>
        <v/>
      </c>
    </row>
    <row r="79" spans="37:102" x14ac:dyDescent="0.15">
      <c r="AK79" s="26">
        <v>55</v>
      </c>
      <c r="AM79" s="41">
        <v>112</v>
      </c>
      <c r="AP79" s="26" t="str">
        <f t="shared" si="0"/>
        <v>112</v>
      </c>
    </row>
    <row r="80" spans="37:102" x14ac:dyDescent="0.15">
      <c r="AK80" s="26">
        <v>56</v>
      </c>
      <c r="AN80" s="41">
        <v>137</v>
      </c>
      <c r="AP80" s="26" t="str">
        <f t="shared" si="0"/>
        <v>137</v>
      </c>
    </row>
    <row r="81" spans="37:42" x14ac:dyDescent="0.15">
      <c r="AK81" s="26">
        <v>57</v>
      </c>
      <c r="AL81" s="41">
        <v>58</v>
      </c>
      <c r="AP81" s="26" t="str">
        <f t="shared" si="0"/>
        <v>58</v>
      </c>
    </row>
    <row r="82" spans="37:42" x14ac:dyDescent="0.15">
      <c r="AK82" s="26">
        <v>58</v>
      </c>
      <c r="AN82" s="41">
        <v>138</v>
      </c>
      <c r="AP82" s="26" t="str">
        <f t="shared" si="0"/>
        <v>138</v>
      </c>
    </row>
    <row r="83" spans="37:42" x14ac:dyDescent="0.15">
      <c r="AK83" s="26">
        <v>59</v>
      </c>
      <c r="AL83" s="41">
        <v>60</v>
      </c>
      <c r="AP83" s="26" t="str">
        <f t="shared" si="0"/>
        <v>60</v>
      </c>
    </row>
    <row r="84" spans="37:42" x14ac:dyDescent="0.15">
      <c r="AK84" s="26">
        <v>60</v>
      </c>
      <c r="AN84" s="41">
        <v>139</v>
      </c>
      <c r="AP84" s="26" t="str">
        <f t="shared" si="0"/>
        <v>139</v>
      </c>
    </row>
    <row r="85" spans="37:42" x14ac:dyDescent="0.15">
      <c r="AK85" s="26">
        <v>61</v>
      </c>
      <c r="AL85" s="41">
        <v>62</v>
      </c>
      <c r="AP85" s="26" t="str">
        <f t="shared" si="0"/>
        <v>62</v>
      </c>
    </row>
    <row r="86" spans="37:42" x14ac:dyDescent="0.15">
      <c r="AK86" s="26">
        <v>62</v>
      </c>
      <c r="AL86" s="41">
        <v>63</v>
      </c>
      <c r="AO86" s="41">
        <v>168</v>
      </c>
      <c r="AP86" s="26" t="str">
        <f t="shared" si="0"/>
        <v>63+168</v>
      </c>
    </row>
    <row r="87" spans="37:42" x14ac:dyDescent="0.15">
      <c r="AK87" s="26">
        <v>63</v>
      </c>
      <c r="AN87" s="41">
        <v>140</v>
      </c>
      <c r="AP87" s="26" t="str">
        <f t="shared" si="0"/>
        <v>140</v>
      </c>
    </row>
    <row r="88" spans="37:42" x14ac:dyDescent="0.15">
      <c r="AK88" s="26">
        <v>64</v>
      </c>
      <c r="AL88" s="41">
        <v>65</v>
      </c>
      <c r="AP88" s="26" t="str">
        <f t="shared" si="0"/>
        <v>65</v>
      </c>
    </row>
    <row r="89" spans="37:42" x14ac:dyDescent="0.15">
      <c r="AK89" s="26">
        <v>65</v>
      </c>
      <c r="AN89" s="41">
        <v>141</v>
      </c>
      <c r="AP89" s="26" t="str">
        <f t="shared" si="0"/>
        <v>141</v>
      </c>
    </row>
    <row r="90" spans="37:42" x14ac:dyDescent="0.15">
      <c r="AK90" s="26">
        <v>66</v>
      </c>
      <c r="AL90" s="41">
        <v>67</v>
      </c>
      <c r="AP90" s="26" t="str">
        <f t="shared" ref="AP90:AP129" si="2">合并区域(AL90:AO90,"+")</f>
        <v>67</v>
      </c>
    </row>
    <row r="91" spans="37:42" x14ac:dyDescent="0.15">
      <c r="AK91" s="26">
        <v>67</v>
      </c>
      <c r="AN91" s="41">
        <v>142</v>
      </c>
      <c r="AP91" s="26" t="str">
        <f t="shared" si="2"/>
        <v>142</v>
      </c>
    </row>
    <row r="92" spans="37:42" x14ac:dyDescent="0.15">
      <c r="AK92" s="26">
        <v>68</v>
      </c>
      <c r="AL92" s="41">
        <v>69</v>
      </c>
      <c r="AP92" s="26" t="str">
        <f t="shared" si="2"/>
        <v>69</v>
      </c>
    </row>
    <row r="93" spans="37:42" x14ac:dyDescent="0.15">
      <c r="AK93" s="26">
        <v>69</v>
      </c>
      <c r="AN93" s="41">
        <v>143</v>
      </c>
      <c r="AP93" s="26" t="str">
        <f t="shared" si="2"/>
        <v>143</v>
      </c>
    </row>
    <row r="94" spans="37:42" x14ac:dyDescent="0.15">
      <c r="AK94" s="26">
        <v>70</v>
      </c>
      <c r="AL94" s="41">
        <v>71</v>
      </c>
      <c r="AP94" s="26" t="str">
        <f t="shared" si="2"/>
        <v>71</v>
      </c>
    </row>
    <row r="95" spans="37:42" x14ac:dyDescent="0.15">
      <c r="AK95" s="26">
        <v>71</v>
      </c>
      <c r="AN95" s="41">
        <v>144</v>
      </c>
      <c r="AP95" s="26" t="str">
        <f t="shared" si="2"/>
        <v>144</v>
      </c>
    </row>
    <row r="96" spans="37:42" x14ac:dyDescent="0.15">
      <c r="AK96" s="26">
        <v>72</v>
      </c>
      <c r="AL96" s="41">
        <v>73</v>
      </c>
      <c r="AP96" s="26" t="str">
        <f t="shared" si="2"/>
        <v>73</v>
      </c>
    </row>
    <row r="97" spans="37:42" x14ac:dyDescent="0.15">
      <c r="AK97" s="26">
        <v>73</v>
      </c>
      <c r="AL97" s="41">
        <v>74</v>
      </c>
      <c r="AM97" s="41">
        <v>113</v>
      </c>
      <c r="AP97" s="26" t="str">
        <f t="shared" si="2"/>
        <v>74+113</v>
      </c>
    </row>
    <row r="98" spans="37:42" x14ac:dyDescent="0.15">
      <c r="AK98" s="26">
        <v>74</v>
      </c>
      <c r="AN98" s="41">
        <v>145</v>
      </c>
      <c r="AP98" s="26" t="str">
        <f t="shared" si="2"/>
        <v>145</v>
      </c>
    </row>
    <row r="99" spans="37:42" x14ac:dyDescent="0.15">
      <c r="AK99" s="26">
        <v>75</v>
      </c>
      <c r="AL99" s="41">
        <v>76</v>
      </c>
      <c r="AP99" s="26" t="str">
        <f t="shared" si="2"/>
        <v>76</v>
      </c>
    </row>
    <row r="100" spans="37:42" x14ac:dyDescent="0.15">
      <c r="AK100" s="26">
        <v>76</v>
      </c>
      <c r="AN100" s="41">
        <v>146</v>
      </c>
      <c r="AP100" s="26" t="str">
        <f t="shared" si="2"/>
        <v>146</v>
      </c>
    </row>
    <row r="101" spans="37:42" x14ac:dyDescent="0.15">
      <c r="AK101" s="26">
        <v>77</v>
      </c>
      <c r="AL101" s="41">
        <v>78</v>
      </c>
      <c r="AP101" s="26" t="str">
        <f t="shared" si="2"/>
        <v>78</v>
      </c>
    </row>
    <row r="102" spans="37:42" x14ac:dyDescent="0.15">
      <c r="AK102" s="26">
        <v>78</v>
      </c>
      <c r="AN102" s="41">
        <v>147</v>
      </c>
      <c r="AP102" s="26" t="str">
        <f t="shared" si="2"/>
        <v>147</v>
      </c>
    </row>
    <row r="103" spans="37:42" x14ac:dyDescent="0.15">
      <c r="AK103" s="26">
        <v>79</v>
      </c>
      <c r="AL103" s="41">
        <v>80</v>
      </c>
      <c r="AO103" s="41">
        <v>169</v>
      </c>
      <c r="AP103" s="26" t="str">
        <f t="shared" si="2"/>
        <v>80+169</v>
      </c>
    </row>
    <row r="104" spans="37:42" x14ac:dyDescent="0.15">
      <c r="AK104" s="26">
        <v>80</v>
      </c>
      <c r="AN104" s="41">
        <v>148</v>
      </c>
      <c r="AP104" s="26" t="str">
        <f t="shared" si="2"/>
        <v>148</v>
      </c>
    </row>
    <row r="105" spans="37:42" x14ac:dyDescent="0.15">
      <c r="AK105" s="26">
        <v>81</v>
      </c>
      <c r="AN105" s="41">
        <v>149</v>
      </c>
      <c r="AP105" s="26" t="str">
        <f t="shared" si="2"/>
        <v>149</v>
      </c>
    </row>
    <row r="106" spans="37:42" x14ac:dyDescent="0.15">
      <c r="AK106" s="26">
        <v>82</v>
      </c>
      <c r="AL106" s="41">
        <v>83</v>
      </c>
      <c r="AP106" s="26" t="str">
        <f t="shared" si="2"/>
        <v>83</v>
      </c>
    </row>
    <row r="107" spans="37:42" x14ac:dyDescent="0.15">
      <c r="AK107" s="26">
        <v>83</v>
      </c>
      <c r="AN107" s="41">
        <v>150</v>
      </c>
      <c r="AP107" s="26" t="str">
        <f t="shared" si="2"/>
        <v>150</v>
      </c>
    </row>
    <row r="108" spans="37:42" x14ac:dyDescent="0.15">
      <c r="AK108" s="26">
        <v>84</v>
      </c>
      <c r="AL108" s="41">
        <v>85</v>
      </c>
      <c r="AP108" s="26" t="str">
        <f t="shared" si="2"/>
        <v>85</v>
      </c>
    </row>
    <row r="109" spans="37:42" x14ac:dyDescent="0.15">
      <c r="AK109" s="26">
        <v>85</v>
      </c>
      <c r="AN109" s="41">
        <v>151</v>
      </c>
      <c r="AP109" s="26" t="str">
        <f t="shared" si="2"/>
        <v>151</v>
      </c>
    </row>
    <row r="110" spans="37:42" x14ac:dyDescent="0.15">
      <c r="AK110" s="26">
        <v>86</v>
      </c>
      <c r="AL110" s="41">
        <v>87</v>
      </c>
      <c r="AP110" s="26" t="str">
        <f t="shared" si="2"/>
        <v>87</v>
      </c>
    </row>
    <row r="111" spans="37:42" x14ac:dyDescent="0.15">
      <c r="AK111" s="26">
        <v>87</v>
      </c>
      <c r="AN111" s="41">
        <v>152</v>
      </c>
      <c r="AP111" s="26" t="str">
        <f t="shared" si="2"/>
        <v>152</v>
      </c>
    </row>
    <row r="112" spans="37:42" x14ac:dyDescent="0.15">
      <c r="AK112" s="26">
        <v>88</v>
      </c>
      <c r="AL112" s="41">
        <v>89</v>
      </c>
      <c r="AM112" s="41">
        <v>114</v>
      </c>
      <c r="AP112" s="26" t="str">
        <f t="shared" si="2"/>
        <v>89+114</v>
      </c>
    </row>
    <row r="113" spans="37:42" x14ac:dyDescent="0.15">
      <c r="AK113" s="26">
        <v>89</v>
      </c>
      <c r="AN113" s="41">
        <v>153</v>
      </c>
      <c r="AP113" s="26" t="str">
        <f t="shared" si="2"/>
        <v>153</v>
      </c>
    </row>
    <row r="114" spans="37:42" x14ac:dyDescent="0.15">
      <c r="AK114" s="26">
        <v>90</v>
      </c>
      <c r="AL114" s="41">
        <v>91</v>
      </c>
      <c r="AP114" s="26" t="str">
        <f t="shared" si="2"/>
        <v>91</v>
      </c>
    </row>
    <row r="115" spans="37:42" x14ac:dyDescent="0.15">
      <c r="AK115" s="26">
        <v>91</v>
      </c>
      <c r="AN115" s="41">
        <v>154</v>
      </c>
      <c r="AP115" s="26" t="str">
        <f t="shared" si="2"/>
        <v>154</v>
      </c>
    </row>
    <row r="116" spans="37:42" x14ac:dyDescent="0.15">
      <c r="AK116" s="26">
        <v>92</v>
      </c>
      <c r="AL116" s="41">
        <v>93</v>
      </c>
      <c r="AO116" s="41">
        <v>170</v>
      </c>
      <c r="AP116" s="26" t="str">
        <f t="shared" si="2"/>
        <v>93+170</v>
      </c>
    </row>
    <row r="117" spans="37:42" x14ac:dyDescent="0.15">
      <c r="AK117" s="26">
        <v>93</v>
      </c>
      <c r="AN117" s="41">
        <v>155</v>
      </c>
      <c r="AP117" s="26" t="str">
        <f t="shared" si="2"/>
        <v>155</v>
      </c>
    </row>
    <row r="118" spans="37:42" x14ac:dyDescent="0.15">
      <c r="AK118" s="26">
        <v>94</v>
      </c>
      <c r="AL118" s="41">
        <v>95</v>
      </c>
      <c r="AP118" s="26" t="str">
        <f t="shared" si="2"/>
        <v>95</v>
      </c>
    </row>
    <row r="119" spans="37:42" x14ac:dyDescent="0.15">
      <c r="AK119" s="26">
        <v>95</v>
      </c>
      <c r="AN119" s="41">
        <v>156</v>
      </c>
      <c r="AP119" s="26" t="str">
        <f t="shared" si="2"/>
        <v>156</v>
      </c>
    </row>
    <row r="120" spans="37:42" x14ac:dyDescent="0.15">
      <c r="AK120" s="26">
        <v>96</v>
      </c>
      <c r="AL120" s="41">
        <v>97</v>
      </c>
      <c r="AP120" s="26" t="str">
        <f t="shared" si="2"/>
        <v>97</v>
      </c>
    </row>
    <row r="121" spans="37:42" x14ac:dyDescent="0.15">
      <c r="AK121" s="26">
        <v>97</v>
      </c>
      <c r="AN121" s="41">
        <v>157</v>
      </c>
      <c r="AP121" s="26" t="str">
        <f t="shared" si="2"/>
        <v>157</v>
      </c>
    </row>
    <row r="122" spans="37:42" x14ac:dyDescent="0.15">
      <c r="AK122" s="26">
        <v>98</v>
      </c>
      <c r="AL122" s="41">
        <v>99</v>
      </c>
      <c r="AP122" s="26" t="str">
        <f t="shared" si="2"/>
        <v>99</v>
      </c>
    </row>
    <row r="123" spans="37:42" x14ac:dyDescent="0.15">
      <c r="AK123" s="26">
        <v>99</v>
      </c>
      <c r="AN123" s="41">
        <v>158</v>
      </c>
      <c r="AP123" s="26" t="str">
        <f t="shared" si="2"/>
        <v>158</v>
      </c>
    </row>
    <row r="124" spans="37:42" x14ac:dyDescent="0.15">
      <c r="AK124" s="26">
        <v>100</v>
      </c>
      <c r="AL124" s="41">
        <v>101</v>
      </c>
      <c r="AP124" s="26" t="str">
        <f t="shared" si="2"/>
        <v>101</v>
      </c>
    </row>
    <row r="125" spans="37:42" x14ac:dyDescent="0.15">
      <c r="AK125" s="26">
        <v>101</v>
      </c>
      <c r="AN125" s="41">
        <v>159</v>
      </c>
      <c r="AP125" s="26" t="str">
        <f t="shared" si="2"/>
        <v>159</v>
      </c>
    </row>
    <row r="126" spans="37:42" x14ac:dyDescent="0.15">
      <c r="AK126" s="26">
        <v>102</v>
      </c>
      <c r="AL126" s="41">
        <v>103</v>
      </c>
      <c r="AM126" s="41">
        <v>115</v>
      </c>
      <c r="AP126" s="26" t="str">
        <f t="shared" si="2"/>
        <v>103+115</v>
      </c>
    </row>
    <row r="127" spans="37:42" x14ac:dyDescent="0.15">
      <c r="AK127" s="26">
        <v>103</v>
      </c>
      <c r="AN127" s="41">
        <v>160</v>
      </c>
      <c r="AP127" s="26" t="str">
        <f t="shared" si="2"/>
        <v>160</v>
      </c>
    </row>
    <row r="128" spans="37:42" x14ac:dyDescent="0.15">
      <c r="AK128" s="26">
        <v>104</v>
      </c>
      <c r="AL128" s="41">
        <v>105</v>
      </c>
      <c r="AP128" s="26" t="str">
        <f t="shared" si="2"/>
        <v>105</v>
      </c>
    </row>
    <row r="129" spans="37:42" x14ac:dyDescent="0.15">
      <c r="AK129" s="26">
        <v>105</v>
      </c>
      <c r="AN129" s="41">
        <v>161</v>
      </c>
      <c r="AP129" s="26" t="str">
        <f t="shared" si="2"/>
        <v>161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基础信息</vt:lpstr>
      <vt:lpstr>线路设计</vt:lpstr>
      <vt:lpstr>规划模版</vt:lpstr>
      <vt:lpstr>食邑对应区域</vt:lpstr>
      <vt:lpstr>食邑线路图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2021-01-07T11:14:51Z</dcterms:modified>
</cp:coreProperties>
</file>