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030DAA43-8F04-4014-AFAA-861987C93754}" xr6:coauthVersionLast="47" xr6:coauthVersionMax="47" xr10:uidLastSave="{00000000-0000-0000-0000-000000000000}"/>
  <bookViews>
    <workbookView xWindow="5835" yWindow="990" windowWidth="20130" windowHeight="12975" tabRatio="860" activeTab="4" xr2:uid="{00000000-000D-0000-FFFF-FFFF00000000}"/>
  </bookViews>
  <sheets>
    <sheet name="节奏总纲" sheetId="18" r:id="rId1"/>
    <sheet name="其他调用" sheetId="86" r:id="rId2"/>
    <sheet name="设计思路" sheetId="87" r:id="rId3"/>
    <sheet name="综合信息" sheetId="96" r:id="rId4"/>
    <sheet name="军团声望" sheetId="88" r:id="rId5"/>
    <sheet name="军团义军任务" sheetId="89" r:id="rId6"/>
    <sheet name="移动营寨" sheetId="90" r:id="rId7"/>
    <sheet name="道具信息" sheetId="91" r:id="rId8"/>
  </sheets>
  <functionGroups builtInGroupCount="19"/>
  <externalReferences>
    <externalReference r:id="rId9"/>
    <externalReference r:id="rId10"/>
    <externalReference r:id="rId11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08" i="91" l="1"/>
  <c r="P1008" i="91"/>
  <c r="O1008" i="91"/>
  <c r="M1008" i="91"/>
  <c r="L1008" i="91"/>
  <c r="K1008" i="91"/>
  <c r="J1008" i="91"/>
  <c r="I1008" i="91"/>
  <c r="H1008" i="91"/>
  <c r="G1008" i="91"/>
  <c r="F1008" i="91"/>
  <c r="E1008" i="91"/>
  <c r="D1008" i="91"/>
  <c r="C1008" i="91"/>
  <c r="Q1007" i="91"/>
  <c r="P1007" i="91"/>
  <c r="O1007" i="91"/>
  <c r="M1007" i="91"/>
  <c r="L1007" i="91"/>
  <c r="K1007" i="91"/>
  <c r="J1007" i="91"/>
  <c r="I1007" i="91"/>
  <c r="H1007" i="91"/>
  <c r="G1007" i="91"/>
  <c r="F1007" i="91"/>
  <c r="E1007" i="91"/>
  <c r="D1007" i="91"/>
  <c r="C1007" i="91"/>
  <c r="Q1006" i="91"/>
  <c r="P1006" i="91"/>
  <c r="O1006" i="91"/>
  <c r="M1006" i="91"/>
  <c r="L1006" i="91"/>
  <c r="K1006" i="91"/>
  <c r="J1006" i="91"/>
  <c r="I1006" i="91"/>
  <c r="H1006" i="91"/>
  <c r="G1006" i="91"/>
  <c r="F1006" i="91"/>
  <c r="E1006" i="91"/>
  <c r="D1006" i="91"/>
  <c r="C1006" i="91"/>
  <c r="Q1005" i="91"/>
  <c r="P1005" i="91"/>
  <c r="O1005" i="91"/>
  <c r="M1005" i="91"/>
  <c r="L1005" i="91"/>
  <c r="K1005" i="91"/>
  <c r="J1005" i="91"/>
  <c r="I1005" i="91"/>
  <c r="H1005" i="91"/>
  <c r="G1005" i="91"/>
  <c r="F1005" i="91"/>
  <c r="E1005" i="91"/>
  <c r="D1005" i="91"/>
  <c r="C1005" i="91"/>
  <c r="Q1004" i="91"/>
  <c r="P1004" i="91"/>
  <c r="O1004" i="91"/>
  <c r="M1004" i="91"/>
  <c r="L1004" i="91"/>
  <c r="K1004" i="91"/>
  <c r="J1004" i="91"/>
  <c r="I1004" i="91"/>
  <c r="H1004" i="91"/>
  <c r="G1004" i="91"/>
  <c r="F1004" i="91"/>
  <c r="E1004" i="91"/>
  <c r="D1004" i="91"/>
  <c r="C1004" i="91"/>
  <c r="Q1003" i="91"/>
  <c r="P1003" i="91"/>
  <c r="O1003" i="91"/>
  <c r="M1003" i="91"/>
  <c r="L1003" i="91"/>
  <c r="K1003" i="91"/>
  <c r="J1003" i="91"/>
  <c r="I1003" i="91"/>
  <c r="H1003" i="91"/>
  <c r="G1003" i="91"/>
  <c r="F1003" i="91"/>
  <c r="E1003" i="91"/>
  <c r="D1003" i="91"/>
  <c r="C1003" i="91"/>
  <c r="Q1002" i="91"/>
  <c r="P1002" i="91"/>
  <c r="O1002" i="91"/>
  <c r="M1002" i="91"/>
  <c r="L1002" i="91"/>
  <c r="K1002" i="91"/>
  <c r="J1002" i="91"/>
  <c r="I1002" i="91"/>
  <c r="H1002" i="91"/>
  <c r="G1002" i="91"/>
  <c r="F1002" i="91"/>
  <c r="E1002" i="91"/>
  <c r="D1002" i="91"/>
  <c r="C1002" i="91"/>
  <c r="Q1001" i="91"/>
  <c r="P1001" i="91"/>
  <c r="O1001" i="91"/>
  <c r="M1001" i="91"/>
  <c r="L1001" i="91"/>
  <c r="K1001" i="91"/>
  <c r="J1001" i="91"/>
  <c r="I1001" i="91"/>
  <c r="H1001" i="91"/>
  <c r="G1001" i="91"/>
  <c r="F1001" i="91"/>
  <c r="E1001" i="91"/>
  <c r="D1001" i="91"/>
  <c r="C1001" i="91"/>
  <c r="Q1000" i="91"/>
  <c r="P1000" i="91"/>
  <c r="O1000" i="91"/>
  <c r="M1000" i="91"/>
  <c r="L1000" i="91"/>
  <c r="K1000" i="91"/>
  <c r="J1000" i="91"/>
  <c r="I1000" i="91"/>
  <c r="H1000" i="91"/>
  <c r="G1000" i="91"/>
  <c r="F1000" i="91"/>
  <c r="E1000" i="91"/>
  <c r="D1000" i="91"/>
  <c r="C1000" i="91"/>
  <c r="Q999" i="91"/>
  <c r="P999" i="91"/>
  <c r="O999" i="91"/>
  <c r="M999" i="91"/>
  <c r="L999" i="91"/>
  <c r="K999" i="91"/>
  <c r="J999" i="91"/>
  <c r="I999" i="91"/>
  <c r="H999" i="91"/>
  <c r="G999" i="91"/>
  <c r="F999" i="91"/>
  <c r="E999" i="91"/>
  <c r="D999" i="91"/>
  <c r="C999" i="91"/>
  <c r="Q998" i="91"/>
  <c r="P998" i="91"/>
  <c r="O998" i="91"/>
  <c r="M998" i="91"/>
  <c r="L998" i="91"/>
  <c r="K998" i="91"/>
  <c r="J998" i="91"/>
  <c r="I998" i="91"/>
  <c r="H998" i="91"/>
  <c r="G998" i="91"/>
  <c r="F998" i="91"/>
  <c r="E998" i="91"/>
  <c r="D998" i="91"/>
  <c r="C998" i="91"/>
  <c r="Q997" i="91"/>
  <c r="P997" i="91"/>
  <c r="O997" i="91"/>
  <c r="M997" i="91"/>
  <c r="L997" i="91"/>
  <c r="K997" i="91"/>
  <c r="J997" i="91"/>
  <c r="I997" i="91"/>
  <c r="H997" i="91"/>
  <c r="G997" i="91"/>
  <c r="F997" i="91"/>
  <c r="E997" i="91"/>
  <c r="D997" i="91"/>
  <c r="C997" i="91"/>
  <c r="Q996" i="91"/>
  <c r="P996" i="91"/>
  <c r="O996" i="91"/>
  <c r="M996" i="91"/>
  <c r="L996" i="91"/>
  <c r="K996" i="91"/>
  <c r="J996" i="91"/>
  <c r="I996" i="91"/>
  <c r="H996" i="91"/>
  <c r="G996" i="91"/>
  <c r="F996" i="91"/>
  <c r="E996" i="91"/>
  <c r="D996" i="91"/>
  <c r="C996" i="91"/>
  <c r="Q995" i="91"/>
  <c r="P995" i="91"/>
  <c r="O995" i="91"/>
  <c r="M995" i="91"/>
  <c r="L995" i="91"/>
  <c r="K995" i="91"/>
  <c r="J995" i="91"/>
  <c r="I995" i="91"/>
  <c r="H995" i="91"/>
  <c r="G995" i="91"/>
  <c r="F995" i="91"/>
  <c r="E995" i="91"/>
  <c r="D995" i="91"/>
  <c r="C995" i="91"/>
  <c r="Q994" i="91"/>
  <c r="P994" i="91"/>
  <c r="O994" i="91"/>
  <c r="M994" i="91"/>
  <c r="L994" i="91"/>
  <c r="K994" i="91"/>
  <c r="J994" i="91"/>
  <c r="I994" i="91"/>
  <c r="H994" i="91"/>
  <c r="G994" i="91"/>
  <c r="F994" i="91"/>
  <c r="E994" i="91"/>
  <c r="D994" i="91"/>
  <c r="C994" i="91"/>
  <c r="Q993" i="91"/>
  <c r="P993" i="91"/>
  <c r="O993" i="91"/>
  <c r="M993" i="91"/>
  <c r="L993" i="91"/>
  <c r="K993" i="91"/>
  <c r="J993" i="91"/>
  <c r="I993" i="91"/>
  <c r="H993" i="91"/>
  <c r="G993" i="91"/>
  <c r="F993" i="91"/>
  <c r="E993" i="91"/>
  <c r="D993" i="91"/>
  <c r="C993" i="91"/>
  <c r="Q992" i="91"/>
  <c r="P992" i="91"/>
  <c r="O992" i="91"/>
  <c r="M992" i="91"/>
  <c r="L992" i="91"/>
  <c r="K992" i="91"/>
  <c r="J992" i="91"/>
  <c r="I992" i="91"/>
  <c r="H992" i="91"/>
  <c r="G992" i="91"/>
  <c r="F992" i="91"/>
  <c r="E992" i="91"/>
  <c r="D992" i="91"/>
  <c r="C992" i="91"/>
  <c r="Q991" i="91"/>
  <c r="P991" i="91"/>
  <c r="O991" i="91"/>
  <c r="M991" i="91"/>
  <c r="L991" i="91"/>
  <c r="K991" i="91"/>
  <c r="J991" i="91"/>
  <c r="I991" i="91"/>
  <c r="H991" i="91"/>
  <c r="G991" i="91"/>
  <c r="F991" i="91"/>
  <c r="E991" i="91"/>
  <c r="D991" i="91"/>
  <c r="C991" i="91"/>
  <c r="Q990" i="91"/>
  <c r="P990" i="91"/>
  <c r="O990" i="91"/>
  <c r="M990" i="91"/>
  <c r="L990" i="91"/>
  <c r="K990" i="91"/>
  <c r="J990" i="91"/>
  <c r="I990" i="91"/>
  <c r="H990" i="91"/>
  <c r="G990" i="91"/>
  <c r="F990" i="91"/>
  <c r="E990" i="91"/>
  <c r="D990" i="91"/>
  <c r="C990" i="91"/>
  <c r="Q989" i="91"/>
  <c r="P989" i="91"/>
  <c r="O989" i="91"/>
  <c r="M989" i="91"/>
  <c r="L989" i="91"/>
  <c r="K989" i="91"/>
  <c r="J989" i="91"/>
  <c r="I989" i="91"/>
  <c r="H989" i="91"/>
  <c r="G989" i="91"/>
  <c r="F989" i="91"/>
  <c r="E989" i="91"/>
  <c r="D989" i="91"/>
  <c r="C989" i="91"/>
  <c r="Q988" i="91"/>
  <c r="P988" i="91"/>
  <c r="O988" i="91"/>
  <c r="M988" i="91"/>
  <c r="L988" i="91"/>
  <c r="K988" i="91"/>
  <c r="J988" i="91"/>
  <c r="I988" i="91"/>
  <c r="H988" i="91"/>
  <c r="G988" i="91"/>
  <c r="F988" i="91"/>
  <c r="E988" i="91"/>
  <c r="D988" i="91"/>
  <c r="C988" i="91"/>
  <c r="Q987" i="91"/>
  <c r="P987" i="91"/>
  <c r="O987" i="91"/>
  <c r="M987" i="91"/>
  <c r="L987" i="91"/>
  <c r="K987" i="91"/>
  <c r="J987" i="91"/>
  <c r="I987" i="91"/>
  <c r="H987" i="91"/>
  <c r="G987" i="91"/>
  <c r="F987" i="91"/>
  <c r="E987" i="91"/>
  <c r="D987" i="91"/>
  <c r="C987" i="91"/>
  <c r="Q986" i="91"/>
  <c r="P986" i="91"/>
  <c r="O986" i="91"/>
  <c r="M986" i="91"/>
  <c r="L986" i="91"/>
  <c r="K986" i="91"/>
  <c r="J986" i="91"/>
  <c r="I986" i="91"/>
  <c r="H986" i="91"/>
  <c r="G986" i="91"/>
  <c r="F986" i="91"/>
  <c r="E986" i="91"/>
  <c r="D986" i="91"/>
  <c r="C986" i="91"/>
  <c r="Q985" i="91"/>
  <c r="P985" i="91"/>
  <c r="O985" i="91"/>
  <c r="M985" i="91"/>
  <c r="L985" i="91"/>
  <c r="K985" i="91"/>
  <c r="J985" i="91"/>
  <c r="I985" i="91"/>
  <c r="H985" i="91"/>
  <c r="G985" i="91"/>
  <c r="F985" i="91"/>
  <c r="E985" i="91"/>
  <c r="D985" i="91"/>
  <c r="C985" i="91"/>
  <c r="Q984" i="91"/>
  <c r="P984" i="91"/>
  <c r="O984" i="91"/>
  <c r="M984" i="91"/>
  <c r="L984" i="91"/>
  <c r="K984" i="91"/>
  <c r="J984" i="91"/>
  <c r="I984" i="91"/>
  <c r="H984" i="91"/>
  <c r="G984" i="91"/>
  <c r="F984" i="91"/>
  <c r="E984" i="91"/>
  <c r="D984" i="91"/>
  <c r="C984" i="91"/>
  <c r="Q983" i="91"/>
  <c r="P983" i="91"/>
  <c r="O983" i="91"/>
  <c r="M983" i="91"/>
  <c r="L983" i="91"/>
  <c r="K983" i="91"/>
  <c r="J983" i="91"/>
  <c r="I983" i="91"/>
  <c r="H983" i="91"/>
  <c r="G983" i="91"/>
  <c r="F983" i="91"/>
  <c r="E983" i="91"/>
  <c r="D983" i="91"/>
  <c r="C983" i="91"/>
  <c r="Q982" i="91"/>
  <c r="P982" i="91"/>
  <c r="O982" i="91"/>
  <c r="M982" i="91"/>
  <c r="L982" i="91"/>
  <c r="K982" i="91"/>
  <c r="J982" i="91"/>
  <c r="I982" i="91"/>
  <c r="H982" i="91"/>
  <c r="G982" i="91"/>
  <c r="F982" i="91"/>
  <c r="E982" i="91"/>
  <c r="D982" i="91"/>
  <c r="C982" i="91"/>
  <c r="Q981" i="91"/>
  <c r="P981" i="91"/>
  <c r="O981" i="91"/>
  <c r="M981" i="91"/>
  <c r="L981" i="91"/>
  <c r="K981" i="91"/>
  <c r="J981" i="91"/>
  <c r="I981" i="91"/>
  <c r="H981" i="91"/>
  <c r="G981" i="91"/>
  <c r="F981" i="91"/>
  <c r="E981" i="91"/>
  <c r="D981" i="91"/>
  <c r="C981" i="91"/>
  <c r="Q980" i="91"/>
  <c r="P980" i="91"/>
  <c r="O980" i="91"/>
  <c r="M980" i="91"/>
  <c r="L980" i="91"/>
  <c r="K980" i="91"/>
  <c r="J980" i="91"/>
  <c r="I980" i="91"/>
  <c r="H980" i="91"/>
  <c r="G980" i="91"/>
  <c r="F980" i="91"/>
  <c r="E980" i="91"/>
  <c r="D980" i="91"/>
  <c r="C980" i="91"/>
  <c r="Q979" i="91"/>
  <c r="P979" i="91"/>
  <c r="O979" i="91"/>
  <c r="M979" i="91"/>
  <c r="L979" i="91"/>
  <c r="K979" i="91"/>
  <c r="J979" i="91"/>
  <c r="I979" i="91"/>
  <c r="H979" i="91"/>
  <c r="G979" i="91"/>
  <c r="F979" i="91"/>
  <c r="E979" i="91"/>
  <c r="D979" i="91"/>
  <c r="C979" i="91"/>
  <c r="Q978" i="91"/>
  <c r="P978" i="91"/>
  <c r="O978" i="91"/>
  <c r="M978" i="91"/>
  <c r="L978" i="91"/>
  <c r="K978" i="91"/>
  <c r="J978" i="91"/>
  <c r="I978" i="91"/>
  <c r="H978" i="91"/>
  <c r="G978" i="91"/>
  <c r="F978" i="91"/>
  <c r="E978" i="91"/>
  <c r="D978" i="91"/>
  <c r="C978" i="91"/>
  <c r="Q977" i="91"/>
  <c r="P977" i="91"/>
  <c r="O977" i="91"/>
  <c r="M977" i="91"/>
  <c r="L977" i="91"/>
  <c r="K977" i="91"/>
  <c r="J977" i="91"/>
  <c r="I977" i="91"/>
  <c r="H977" i="91"/>
  <c r="G977" i="91"/>
  <c r="F977" i="91"/>
  <c r="E977" i="91"/>
  <c r="D977" i="91"/>
  <c r="C977" i="91"/>
  <c r="Q976" i="91"/>
  <c r="P976" i="91"/>
  <c r="O976" i="91"/>
  <c r="M976" i="91"/>
  <c r="L976" i="91"/>
  <c r="K976" i="91"/>
  <c r="J976" i="91"/>
  <c r="I976" i="91"/>
  <c r="H976" i="91"/>
  <c r="G976" i="91"/>
  <c r="F976" i="91"/>
  <c r="E976" i="91"/>
  <c r="D976" i="91"/>
  <c r="C976" i="91"/>
  <c r="Q975" i="91"/>
  <c r="P975" i="91"/>
  <c r="O975" i="91"/>
  <c r="M975" i="91"/>
  <c r="L975" i="91"/>
  <c r="K975" i="91"/>
  <c r="J975" i="91"/>
  <c r="I975" i="91"/>
  <c r="H975" i="91"/>
  <c r="G975" i="91"/>
  <c r="F975" i="91"/>
  <c r="E975" i="91"/>
  <c r="D975" i="91"/>
  <c r="C975" i="91"/>
  <c r="Q974" i="91"/>
  <c r="P974" i="91"/>
  <c r="O974" i="91"/>
  <c r="M974" i="91"/>
  <c r="L974" i="91"/>
  <c r="K974" i="91"/>
  <c r="J974" i="91"/>
  <c r="I974" i="91"/>
  <c r="H974" i="91"/>
  <c r="G974" i="91"/>
  <c r="F974" i="91"/>
  <c r="E974" i="91"/>
  <c r="D974" i="91"/>
  <c r="C974" i="91"/>
  <c r="Q973" i="91"/>
  <c r="P973" i="91"/>
  <c r="O973" i="91"/>
  <c r="M973" i="91"/>
  <c r="L973" i="91"/>
  <c r="K973" i="91"/>
  <c r="J973" i="91"/>
  <c r="I973" i="91"/>
  <c r="H973" i="91"/>
  <c r="G973" i="91"/>
  <c r="F973" i="91"/>
  <c r="E973" i="91"/>
  <c r="D973" i="91"/>
  <c r="C973" i="91"/>
  <c r="Q972" i="91"/>
  <c r="P972" i="91"/>
  <c r="O972" i="91"/>
  <c r="M972" i="91"/>
  <c r="L972" i="91"/>
  <c r="K972" i="91"/>
  <c r="J972" i="91"/>
  <c r="I972" i="91"/>
  <c r="H972" i="91"/>
  <c r="G972" i="91"/>
  <c r="F972" i="91"/>
  <c r="E972" i="91"/>
  <c r="D972" i="91"/>
  <c r="C972" i="91"/>
  <c r="Q971" i="91"/>
  <c r="P971" i="91"/>
  <c r="O971" i="91"/>
  <c r="M971" i="91"/>
  <c r="L971" i="91"/>
  <c r="K971" i="91"/>
  <c r="J971" i="91"/>
  <c r="I971" i="91"/>
  <c r="H971" i="91"/>
  <c r="G971" i="91"/>
  <c r="F971" i="91"/>
  <c r="E971" i="91"/>
  <c r="D971" i="91"/>
  <c r="C971" i="91"/>
  <c r="Q970" i="91"/>
  <c r="P970" i="91"/>
  <c r="O970" i="91"/>
  <c r="M970" i="91"/>
  <c r="L970" i="91"/>
  <c r="K970" i="91"/>
  <c r="J970" i="91"/>
  <c r="I970" i="91"/>
  <c r="H970" i="91"/>
  <c r="G970" i="91"/>
  <c r="F970" i="91"/>
  <c r="E970" i="91"/>
  <c r="D970" i="91"/>
  <c r="C970" i="91"/>
  <c r="Q969" i="91"/>
  <c r="P969" i="91"/>
  <c r="O969" i="91"/>
  <c r="M969" i="91"/>
  <c r="L969" i="91"/>
  <c r="K969" i="91"/>
  <c r="J969" i="91"/>
  <c r="I969" i="91"/>
  <c r="H969" i="91"/>
  <c r="G969" i="91"/>
  <c r="F969" i="91"/>
  <c r="E969" i="91"/>
  <c r="D969" i="91"/>
  <c r="C969" i="91"/>
  <c r="Q968" i="91"/>
  <c r="P968" i="91"/>
  <c r="O968" i="91"/>
  <c r="M968" i="91"/>
  <c r="L968" i="91"/>
  <c r="K968" i="91"/>
  <c r="J968" i="91"/>
  <c r="I968" i="91"/>
  <c r="H968" i="91"/>
  <c r="G968" i="91"/>
  <c r="F968" i="91"/>
  <c r="E968" i="91"/>
  <c r="D968" i="91"/>
  <c r="C968" i="91"/>
  <c r="Q967" i="91"/>
  <c r="P967" i="91"/>
  <c r="O967" i="91"/>
  <c r="M967" i="91"/>
  <c r="L967" i="91"/>
  <c r="K967" i="91"/>
  <c r="J967" i="91"/>
  <c r="I967" i="91"/>
  <c r="H967" i="91"/>
  <c r="G967" i="91"/>
  <c r="F967" i="91"/>
  <c r="E967" i="91"/>
  <c r="D967" i="91"/>
  <c r="C967" i="91"/>
  <c r="Q966" i="91"/>
  <c r="P966" i="91"/>
  <c r="O966" i="91"/>
  <c r="M966" i="91"/>
  <c r="L966" i="91"/>
  <c r="K966" i="91"/>
  <c r="J966" i="91"/>
  <c r="I966" i="91"/>
  <c r="H966" i="91"/>
  <c r="G966" i="91"/>
  <c r="F966" i="91"/>
  <c r="E966" i="91"/>
  <c r="D966" i="91"/>
  <c r="C966" i="91"/>
  <c r="Q965" i="91"/>
  <c r="P965" i="91"/>
  <c r="O965" i="91"/>
  <c r="M965" i="91"/>
  <c r="L965" i="91"/>
  <c r="K965" i="91"/>
  <c r="J965" i="91"/>
  <c r="I965" i="91"/>
  <c r="H965" i="91"/>
  <c r="G965" i="91"/>
  <c r="F965" i="91"/>
  <c r="E965" i="91"/>
  <c r="D965" i="91"/>
  <c r="C965" i="91"/>
  <c r="Q964" i="91"/>
  <c r="P964" i="91"/>
  <c r="O964" i="91"/>
  <c r="M964" i="91"/>
  <c r="L964" i="91"/>
  <c r="K964" i="91"/>
  <c r="J964" i="91"/>
  <c r="I964" i="91"/>
  <c r="H964" i="91"/>
  <c r="G964" i="91"/>
  <c r="F964" i="91"/>
  <c r="E964" i="91"/>
  <c r="D964" i="91"/>
  <c r="C964" i="91"/>
  <c r="Q963" i="91"/>
  <c r="P963" i="91"/>
  <c r="O963" i="91"/>
  <c r="M963" i="91"/>
  <c r="L963" i="91"/>
  <c r="K963" i="91"/>
  <c r="J963" i="91"/>
  <c r="I963" i="91"/>
  <c r="H963" i="91"/>
  <c r="G963" i="91"/>
  <c r="F963" i="91"/>
  <c r="E963" i="91"/>
  <c r="D963" i="91"/>
  <c r="C963" i="91"/>
  <c r="Q962" i="91"/>
  <c r="P962" i="91"/>
  <c r="O962" i="91"/>
  <c r="M962" i="91"/>
  <c r="L962" i="91"/>
  <c r="K962" i="91"/>
  <c r="J962" i="91"/>
  <c r="I962" i="91"/>
  <c r="H962" i="91"/>
  <c r="G962" i="91"/>
  <c r="F962" i="91"/>
  <c r="E962" i="91"/>
  <c r="D962" i="91"/>
  <c r="C962" i="91"/>
  <c r="Q961" i="91"/>
  <c r="P961" i="91"/>
  <c r="O961" i="91"/>
  <c r="M961" i="91"/>
  <c r="L961" i="91"/>
  <c r="K961" i="91"/>
  <c r="J961" i="91"/>
  <c r="I961" i="91"/>
  <c r="H961" i="91"/>
  <c r="G961" i="91"/>
  <c r="F961" i="91"/>
  <c r="E961" i="91"/>
  <c r="D961" i="91"/>
  <c r="C961" i="91"/>
  <c r="Q960" i="91"/>
  <c r="P960" i="91"/>
  <c r="O960" i="91"/>
  <c r="M960" i="91"/>
  <c r="L960" i="91"/>
  <c r="K960" i="91"/>
  <c r="J960" i="91"/>
  <c r="I960" i="91"/>
  <c r="H960" i="91"/>
  <c r="G960" i="91"/>
  <c r="F960" i="91"/>
  <c r="E960" i="91"/>
  <c r="D960" i="91"/>
  <c r="C960" i="91"/>
  <c r="Q959" i="91"/>
  <c r="P959" i="91"/>
  <c r="O959" i="91"/>
  <c r="M959" i="91"/>
  <c r="L959" i="91"/>
  <c r="K959" i="91"/>
  <c r="J959" i="91"/>
  <c r="I959" i="91"/>
  <c r="H959" i="91"/>
  <c r="G959" i="91"/>
  <c r="F959" i="91"/>
  <c r="E959" i="91"/>
  <c r="D959" i="91"/>
  <c r="C959" i="91"/>
  <c r="Q958" i="91"/>
  <c r="P958" i="91"/>
  <c r="O958" i="91"/>
  <c r="M958" i="91"/>
  <c r="L958" i="91"/>
  <c r="K958" i="91"/>
  <c r="J958" i="91"/>
  <c r="I958" i="91"/>
  <c r="H958" i="91"/>
  <c r="G958" i="91"/>
  <c r="F958" i="91"/>
  <c r="E958" i="91"/>
  <c r="D958" i="91"/>
  <c r="C958" i="91"/>
  <c r="Q957" i="91"/>
  <c r="P957" i="91"/>
  <c r="O957" i="91"/>
  <c r="M957" i="91"/>
  <c r="L957" i="91"/>
  <c r="K957" i="91"/>
  <c r="J957" i="91"/>
  <c r="I957" i="91"/>
  <c r="H957" i="91"/>
  <c r="G957" i="91"/>
  <c r="F957" i="91"/>
  <c r="E957" i="91"/>
  <c r="D957" i="91"/>
  <c r="C957" i="91"/>
  <c r="Q956" i="91"/>
  <c r="P956" i="91"/>
  <c r="O956" i="91"/>
  <c r="M956" i="91"/>
  <c r="L956" i="91"/>
  <c r="K956" i="91"/>
  <c r="J956" i="91"/>
  <c r="I956" i="91"/>
  <c r="H956" i="91"/>
  <c r="G956" i="91"/>
  <c r="F956" i="91"/>
  <c r="E956" i="91"/>
  <c r="D956" i="91"/>
  <c r="C956" i="91"/>
  <c r="Q955" i="91"/>
  <c r="P955" i="91"/>
  <c r="O955" i="91"/>
  <c r="M955" i="91"/>
  <c r="L955" i="91"/>
  <c r="K955" i="91"/>
  <c r="J955" i="91"/>
  <c r="I955" i="91"/>
  <c r="H955" i="91"/>
  <c r="G955" i="91"/>
  <c r="F955" i="91"/>
  <c r="E955" i="91"/>
  <c r="D955" i="91"/>
  <c r="C955" i="91"/>
  <c r="Q954" i="91"/>
  <c r="P954" i="91"/>
  <c r="O954" i="91"/>
  <c r="M954" i="91"/>
  <c r="L954" i="91"/>
  <c r="K954" i="91"/>
  <c r="J954" i="91"/>
  <c r="I954" i="91"/>
  <c r="H954" i="91"/>
  <c r="G954" i="91"/>
  <c r="F954" i="91"/>
  <c r="E954" i="91"/>
  <c r="D954" i="91"/>
  <c r="C954" i="91"/>
  <c r="Q953" i="91"/>
  <c r="P953" i="91"/>
  <c r="O953" i="91"/>
  <c r="M953" i="91"/>
  <c r="L953" i="91"/>
  <c r="K953" i="91"/>
  <c r="J953" i="91"/>
  <c r="I953" i="91"/>
  <c r="H953" i="91"/>
  <c r="G953" i="91"/>
  <c r="F953" i="91"/>
  <c r="E953" i="91"/>
  <c r="D953" i="91"/>
  <c r="C953" i="91"/>
  <c r="Q952" i="91"/>
  <c r="P952" i="91"/>
  <c r="O952" i="91"/>
  <c r="M952" i="91"/>
  <c r="L952" i="91"/>
  <c r="K952" i="91"/>
  <c r="J952" i="91"/>
  <c r="I952" i="91"/>
  <c r="H952" i="91"/>
  <c r="G952" i="91"/>
  <c r="F952" i="91"/>
  <c r="E952" i="91"/>
  <c r="D952" i="91"/>
  <c r="C952" i="91"/>
  <c r="Q951" i="91"/>
  <c r="P951" i="91"/>
  <c r="O951" i="91"/>
  <c r="M951" i="91"/>
  <c r="L951" i="91"/>
  <c r="K951" i="91"/>
  <c r="J951" i="91"/>
  <c r="I951" i="91"/>
  <c r="H951" i="91"/>
  <c r="G951" i="91"/>
  <c r="F951" i="91"/>
  <c r="E951" i="91"/>
  <c r="D951" i="91"/>
  <c r="C951" i="91"/>
  <c r="Q950" i="91"/>
  <c r="P950" i="91"/>
  <c r="O950" i="91"/>
  <c r="M950" i="91"/>
  <c r="L950" i="91"/>
  <c r="K950" i="91"/>
  <c r="J950" i="91"/>
  <c r="I950" i="91"/>
  <c r="H950" i="91"/>
  <c r="G950" i="91"/>
  <c r="F950" i="91"/>
  <c r="E950" i="91"/>
  <c r="D950" i="91"/>
  <c r="C950" i="91"/>
  <c r="Q949" i="91"/>
  <c r="P949" i="91"/>
  <c r="O949" i="91"/>
  <c r="M949" i="91"/>
  <c r="L949" i="91"/>
  <c r="K949" i="91"/>
  <c r="J949" i="91"/>
  <c r="I949" i="91"/>
  <c r="H949" i="91"/>
  <c r="G949" i="91"/>
  <c r="F949" i="91"/>
  <c r="E949" i="91"/>
  <c r="D949" i="91"/>
  <c r="C949" i="91"/>
  <c r="Q948" i="91"/>
  <c r="P948" i="91"/>
  <c r="O948" i="91"/>
  <c r="M948" i="91"/>
  <c r="L948" i="91"/>
  <c r="K948" i="91"/>
  <c r="J948" i="91"/>
  <c r="I948" i="91"/>
  <c r="H948" i="91"/>
  <c r="G948" i="91"/>
  <c r="F948" i="91"/>
  <c r="E948" i="91"/>
  <c r="D948" i="91"/>
  <c r="C948" i="91"/>
  <c r="Q947" i="91"/>
  <c r="P947" i="91"/>
  <c r="O947" i="91"/>
  <c r="M947" i="91"/>
  <c r="L947" i="91"/>
  <c r="K947" i="91"/>
  <c r="J947" i="91"/>
  <c r="I947" i="91"/>
  <c r="H947" i="91"/>
  <c r="G947" i="91"/>
  <c r="F947" i="91"/>
  <c r="E947" i="91"/>
  <c r="D947" i="91"/>
  <c r="C947" i="91"/>
  <c r="Q946" i="91"/>
  <c r="P946" i="91"/>
  <c r="O946" i="91"/>
  <c r="M946" i="91"/>
  <c r="L946" i="91"/>
  <c r="K946" i="91"/>
  <c r="J946" i="91"/>
  <c r="I946" i="91"/>
  <c r="H946" i="91"/>
  <c r="G946" i="91"/>
  <c r="F946" i="91"/>
  <c r="E946" i="91"/>
  <c r="D946" i="91"/>
  <c r="C946" i="91"/>
  <c r="Q945" i="91"/>
  <c r="P945" i="91"/>
  <c r="O945" i="91"/>
  <c r="M945" i="91"/>
  <c r="L945" i="91"/>
  <c r="K945" i="91"/>
  <c r="J945" i="91"/>
  <c r="I945" i="91"/>
  <c r="H945" i="91"/>
  <c r="G945" i="91"/>
  <c r="F945" i="91"/>
  <c r="E945" i="91"/>
  <c r="D945" i="91"/>
  <c r="C945" i="91"/>
  <c r="Q944" i="91"/>
  <c r="P944" i="91"/>
  <c r="O944" i="91"/>
  <c r="M944" i="91"/>
  <c r="L944" i="91"/>
  <c r="K944" i="91"/>
  <c r="J944" i="91"/>
  <c r="I944" i="91"/>
  <c r="H944" i="91"/>
  <c r="G944" i="91"/>
  <c r="F944" i="91"/>
  <c r="E944" i="91"/>
  <c r="D944" i="91"/>
  <c r="C944" i="91"/>
  <c r="Q943" i="91"/>
  <c r="P943" i="91"/>
  <c r="O943" i="91"/>
  <c r="M943" i="91"/>
  <c r="L943" i="91"/>
  <c r="K943" i="91"/>
  <c r="J943" i="91"/>
  <c r="I943" i="91"/>
  <c r="H943" i="91"/>
  <c r="G943" i="91"/>
  <c r="F943" i="91"/>
  <c r="E943" i="91"/>
  <c r="D943" i="91"/>
  <c r="C943" i="91"/>
  <c r="Q942" i="91"/>
  <c r="P942" i="91"/>
  <c r="O942" i="91"/>
  <c r="M942" i="91"/>
  <c r="L942" i="91"/>
  <c r="K942" i="91"/>
  <c r="J942" i="91"/>
  <c r="I942" i="91"/>
  <c r="H942" i="91"/>
  <c r="G942" i="91"/>
  <c r="F942" i="91"/>
  <c r="E942" i="91"/>
  <c r="D942" i="91"/>
  <c r="C942" i="91"/>
  <c r="Q941" i="91"/>
  <c r="P941" i="91"/>
  <c r="O941" i="91"/>
  <c r="M941" i="91"/>
  <c r="L941" i="91"/>
  <c r="K941" i="91"/>
  <c r="J941" i="91"/>
  <c r="I941" i="91"/>
  <c r="H941" i="91"/>
  <c r="G941" i="91"/>
  <c r="F941" i="91"/>
  <c r="E941" i="91"/>
  <c r="D941" i="91"/>
  <c r="C941" i="91"/>
  <c r="Q940" i="91"/>
  <c r="P940" i="91"/>
  <c r="O940" i="91"/>
  <c r="M940" i="91"/>
  <c r="L940" i="91"/>
  <c r="K940" i="91"/>
  <c r="J940" i="91"/>
  <c r="I940" i="91"/>
  <c r="H940" i="91"/>
  <c r="G940" i="91"/>
  <c r="F940" i="91"/>
  <c r="E940" i="91"/>
  <c r="D940" i="91"/>
  <c r="C940" i="91"/>
  <c r="Q939" i="91"/>
  <c r="P939" i="91"/>
  <c r="O939" i="91"/>
  <c r="M939" i="91"/>
  <c r="L939" i="91"/>
  <c r="K939" i="91"/>
  <c r="J939" i="91"/>
  <c r="I939" i="91"/>
  <c r="H939" i="91"/>
  <c r="G939" i="91"/>
  <c r="F939" i="91"/>
  <c r="E939" i="91"/>
  <c r="D939" i="91"/>
  <c r="C939" i="91"/>
  <c r="Q938" i="91"/>
  <c r="P938" i="91"/>
  <c r="O938" i="91"/>
  <c r="M938" i="91"/>
  <c r="L938" i="91"/>
  <c r="K938" i="91"/>
  <c r="J938" i="91"/>
  <c r="I938" i="91"/>
  <c r="H938" i="91"/>
  <c r="G938" i="91"/>
  <c r="F938" i="91"/>
  <c r="E938" i="91"/>
  <c r="D938" i="91"/>
  <c r="C938" i="91"/>
  <c r="Q937" i="91"/>
  <c r="P937" i="91"/>
  <c r="O937" i="91"/>
  <c r="M937" i="91"/>
  <c r="L937" i="91"/>
  <c r="K937" i="91"/>
  <c r="J937" i="91"/>
  <c r="I937" i="91"/>
  <c r="H937" i="91"/>
  <c r="G937" i="91"/>
  <c r="F937" i="91"/>
  <c r="E937" i="91"/>
  <c r="D937" i="91"/>
  <c r="C937" i="91"/>
  <c r="Q936" i="91"/>
  <c r="P936" i="91"/>
  <c r="O936" i="91"/>
  <c r="M936" i="91"/>
  <c r="L936" i="91"/>
  <c r="K936" i="91"/>
  <c r="J936" i="91"/>
  <c r="I936" i="91"/>
  <c r="H936" i="91"/>
  <c r="G936" i="91"/>
  <c r="F936" i="91"/>
  <c r="E936" i="91"/>
  <c r="D936" i="91"/>
  <c r="C936" i="91"/>
  <c r="Q935" i="91"/>
  <c r="P935" i="91"/>
  <c r="O935" i="91"/>
  <c r="M935" i="91"/>
  <c r="L935" i="91"/>
  <c r="K935" i="91"/>
  <c r="J935" i="91"/>
  <c r="I935" i="91"/>
  <c r="H935" i="91"/>
  <c r="G935" i="91"/>
  <c r="F935" i="91"/>
  <c r="E935" i="91"/>
  <c r="D935" i="91"/>
  <c r="C935" i="91"/>
  <c r="Q934" i="91"/>
  <c r="P934" i="91"/>
  <c r="O934" i="91"/>
  <c r="M934" i="91"/>
  <c r="L934" i="91"/>
  <c r="K934" i="91"/>
  <c r="J934" i="91"/>
  <c r="I934" i="91"/>
  <c r="H934" i="91"/>
  <c r="G934" i="91"/>
  <c r="F934" i="91"/>
  <c r="E934" i="91"/>
  <c r="D934" i="91"/>
  <c r="C934" i="91"/>
  <c r="Q933" i="91"/>
  <c r="P933" i="91"/>
  <c r="O933" i="91"/>
  <c r="M933" i="91"/>
  <c r="L933" i="91"/>
  <c r="K933" i="91"/>
  <c r="J933" i="91"/>
  <c r="I933" i="91"/>
  <c r="H933" i="91"/>
  <c r="G933" i="91"/>
  <c r="F933" i="91"/>
  <c r="E933" i="91"/>
  <c r="D933" i="91"/>
  <c r="C933" i="91"/>
  <c r="Q932" i="91"/>
  <c r="P932" i="91"/>
  <c r="O932" i="91"/>
  <c r="M932" i="91"/>
  <c r="L932" i="91"/>
  <c r="K932" i="91"/>
  <c r="J932" i="91"/>
  <c r="I932" i="91"/>
  <c r="H932" i="91"/>
  <c r="G932" i="91"/>
  <c r="F932" i="91"/>
  <c r="E932" i="91"/>
  <c r="D932" i="91"/>
  <c r="C932" i="91"/>
  <c r="Q931" i="91"/>
  <c r="P931" i="91"/>
  <c r="O931" i="91"/>
  <c r="M931" i="91"/>
  <c r="L931" i="91"/>
  <c r="K931" i="91"/>
  <c r="J931" i="91"/>
  <c r="I931" i="91"/>
  <c r="H931" i="91"/>
  <c r="G931" i="91"/>
  <c r="F931" i="91"/>
  <c r="E931" i="91"/>
  <c r="D931" i="91"/>
  <c r="C931" i="91"/>
  <c r="Q930" i="91"/>
  <c r="P930" i="91"/>
  <c r="O930" i="91"/>
  <c r="M930" i="91"/>
  <c r="L930" i="91"/>
  <c r="K930" i="91"/>
  <c r="J930" i="91"/>
  <c r="I930" i="91"/>
  <c r="H930" i="91"/>
  <c r="G930" i="91"/>
  <c r="F930" i="91"/>
  <c r="E930" i="91"/>
  <c r="D930" i="91"/>
  <c r="C930" i="91"/>
  <c r="Q929" i="91"/>
  <c r="P929" i="91"/>
  <c r="O929" i="91"/>
  <c r="M929" i="91"/>
  <c r="L929" i="91"/>
  <c r="K929" i="91"/>
  <c r="J929" i="91"/>
  <c r="I929" i="91"/>
  <c r="H929" i="91"/>
  <c r="G929" i="91"/>
  <c r="F929" i="91"/>
  <c r="E929" i="91"/>
  <c r="D929" i="91"/>
  <c r="C929" i="91"/>
  <c r="Q928" i="91"/>
  <c r="P928" i="91"/>
  <c r="O928" i="91"/>
  <c r="M928" i="91"/>
  <c r="L928" i="91"/>
  <c r="K928" i="91"/>
  <c r="J928" i="91"/>
  <c r="I928" i="91"/>
  <c r="H928" i="91"/>
  <c r="G928" i="91"/>
  <c r="F928" i="91"/>
  <c r="E928" i="91"/>
  <c r="D928" i="91"/>
  <c r="C928" i="91"/>
  <c r="Q927" i="91"/>
  <c r="P927" i="91"/>
  <c r="O927" i="91"/>
  <c r="M927" i="91"/>
  <c r="L927" i="91"/>
  <c r="K927" i="91"/>
  <c r="J927" i="91"/>
  <c r="I927" i="91"/>
  <c r="H927" i="91"/>
  <c r="G927" i="91"/>
  <c r="F927" i="91"/>
  <c r="E927" i="91"/>
  <c r="D927" i="91"/>
  <c r="C927" i="91"/>
  <c r="Q926" i="91"/>
  <c r="P926" i="91"/>
  <c r="O926" i="91"/>
  <c r="M926" i="91"/>
  <c r="L926" i="91"/>
  <c r="K926" i="91"/>
  <c r="J926" i="91"/>
  <c r="I926" i="91"/>
  <c r="H926" i="91"/>
  <c r="G926" i="91"/>
  <c r="F926" i="91"/>
  <c r="E926" i="91"/>
  <c r="D926" i="91"/>
  <c r="C926" i="91"/>
  <c r="Q925" i="91"/>
  <c r="P925" i="91"/>
  <c r="O925" i="91"/>
  <c r="M925" i="91"/>
  <c r="L925" i="91"/>
  <c r="K925" i="91"/>
  <c r="J925" i="91"/>
  <c r="I925" i="91"/>
  <c r="H925" i="91"/>
  <c r="G925" i="91"/>
  <c r="F925" i="91"/>
  <c r="E925" i="91"/>
  <c r="D925" i="91"/>
  <c r="C925" i="91"/>
  <c r="Q924" i="91"/>
  <c r="P924" i="91"/>
  <c r="O924" i="91"/>
  <c r="M924" i="91"/>
  <c r="L924" i="91"/>
  <c r="K924" i="91"/>
  <c r="J924" i="91"/>
  <c r="I924" i="91"/>
  <c r="H924" i="91"/>
  <c r="G924" i="91"/>
  <c r="F924" i="91"/>
  <c r="E924" i="91"/>
  <c r="D924" i="91"/>
  <c r="C924" i="91"/>
  <c r="Q923" i="91"/>
  <c r="P923" i="91"/>
  <c r="O923" i="91"/>
  <c r="M923" i="91"/>
  <c r="L923" i="91"/>
  <c r="K923" i="91"/>
  <c r="J923" i="91"/>
  <c r="I923" i="91"/>
  <c r="H923" i="91"/>
  <c r="G923" i="91"/>
  <c r="F923" i="91"/>
  <c r="E923" i="91"/>
  <c r="D923" i="91"/>
  <c r="C923" i="91"/>
  <c r="Q922" i="91"/>
  <c r="P922" i="91"/>
  <c r="O922" i="91"/>
  <c r="M922" i="91"/>
  <c r="L922" i="91"/>
  <c r="K922" i="91"/>
  <c r="J922" i="91"/>
  <c r="I922" i="91"/>
  <c r="H922" i="91"/>
  <c r="G922" i="91"/>
  <c r="F922" i="91"/>
  <c r="E922" i="91"/>
  <c r="D922" i="91"/>
  <c r="C922" i="91"/>
  <c r="Q921" i="91"/>
  <c r="P921" i="91"/>
  <c r="O921" i="91"/>
  <c r="M921" i="91"/>
  <c r="L921" i="91"/>
  <c r="K921" i="91"/>
  <c r="J921" i="91"/>
  <c r="I921" i="91"/>
  <c r="H921" i="91"/>
  <c r="G921" i="91"/>
  <c r="F921" i="91"/>
  <c r="E921" i="91"/>
  <c r="D921" i="91"/>
  <c r="C921" i="91"/>
  <c r="Q920" i="91"/>
  <c r="P920" i="91"/>
  <c r="O920" i="91"/>
  <c r="M920" i="91"/>
  <c r="L920" i="91"/>
  <c r="K920" i="91"/>
  <c r="J920" i="91"/>
  <c r="I920" i="91"/>
  <c r="H920" i="91"/>
  <c r="G920" i="91"/>
  <c r="F920" i="91"/>
  <c r="E920" i="91"/>
  <c r="D920" i="91"/>
  <c r="C920" i="91"/>
  <c r="Q919" i="91"/>
  <c r="P919" i="91"/>
  <c r="O919" i="91"/>
  <c r="M919" i="91"/>
  <c r="L919" i="91"/>
  <c r="K919" i="91"/>
  <c r="J919" i="91"/>
  <c r="I919" i="91"/>
  <c r="H919" i="91"/>
  <c r="G919" i="91"/>
  <c r="F919" i="91"/>
  <c r="E919" i="91"/>
  <c r="D919" i="91"/>
  <c r="C919" i="91"/>
  <c r="Q918" i="91"/>
  <c r="P918" i="91"/>
  <c r="O918" i="91"/>
  <c r="M918" i="91"/>
  <c r="L918" i="91"/>
  <c r="K918" i="91"/>
  <c r="J918" i="91"/>
  <c r="I918" i="91"/>
  <c r="H918" i="91"/>
  <c r="G918" i="91"/>
  <c r="F918" i="91"/>
  <c r="E918" i="91"/>
  <c r="D918" i="91"/>
  <c r="C918" i="91"/>
  <c r="Q917" i="91"/>
  <c r="P917" i="91"/>
  <c r="O917" i="91"/>
  <c r="M917" i="91"/>
  <c r="L917" i="91"/>
  <c r="K917" i="91"/>
  <c r="J917" i="91"/>
  <c r="I917" i="91"/>
  <c r="H917" i="91"/>
  <c r="G917" i="91"/>
  <c r="F917" i="91"/>
  <c r="E917" i="91"/>
  <c r="D917" i="91"/>
  <c r="C917" i="91"/>
  <c r="Q916" i="91"/>
  <c r="P916" i="91"/>
  <c r="O916" i="91"/>
  <c r="M916" i="91"/>
  <c r="L916" i="91"/>
  <c r="K916" i="91"/>
  <c r="J916" i="91"/>
  <c r="I916" i="91"/>
  <c r="H916" i="91"/>
  <c r="G916" i="91"/>
  <c r="F916" i="91"/>
  <c r="E916" i="91"/>
  <c r="D916" i="91"/>
  <c r="C916" i="91"/>
  <c r="Q915" i="91"/>
  <c r="P915" i="91"/>
  <c r="O915" i="91"/>
  <c r="M915" i="91"/>
  <c r="L915" i="91"/>
  <c r="K915" i="91"/>
  <c r="J915" i="91"/>
  <c r="I915" i="91"/>
  <c r="H915" i="91"/>
  <c r="G915" i="91"/>
  <c r="F915" i="91"/>
  <c r="E915" i="91"/>
  <c r="D915" i="91"/>
  <c r="C915" i="91"/>
  <c r="Q914" i="91"/>
  <c r="P914" i="91"/>
  <c r="O914" i="91"/>
  <c r="M914" i="91"/>
  <c r="L914" i="91"/>
  <c r="K914" i="91"/>
  <c r="J914" i="91"/>
  <c r="I914" i="91"/>
  <c r="H914" i="91"/>
  <c r="G914" i="91"/>
  <c r="F914" i="91"/>
  <c r="E914" i="91"/>
  <c r="D914" i="91"/>
  <c r="C914" i="91"/>
  <c r="Q913" i="91"/>
  <c r="P913" i="91"/>
  <c r="O913" i="91"/>
  <c r="M913" i="91"/>
  <c r="L913" i="91"/>
  <c r="K913" i="91"/>
  <c r="J913" i="91"/>
  <c r="I913" i="91"/>
  <c r="H913" i="91"/>
  <c r="G913" i="91"/>
  <c r="F913" i="91"/>
  <c r="E913" i="91"/>
  <c r="D913" i="91"/>
  <c r="C913" i="91"/>
  <c r="Q912" i="91"/>
  <c r="P912" i="91"/>
  <c r="O912" i="91"/>
  <c r="M912" i="91"/>
  <c r="L912" i="91"/>
  <c r="K912" i="91"/>
  <c r="J912" i="91"/>
  <c r="I912" i="91"/>
  <c r="H912" i="91"/>
  <c r="G912" i="91"/>
  <c r="F912" i="91"/>
  <c r="E912" i="91"/>
  <c r="D912" i="91"/>
  <c r="C912" i="91"/>
  <c r="Q911" i="91"/>
  <c r="P911" i="91"/>
  <c r="O911" i="91"/>
  <c r="M911" i="91"/>
  <c r="L911" i="91"/>
  <c r="K911" i="91"/>
  <c r="J911" i="91"/>
  <c r="I911" i="91"/>
  <c r="H911" i="91"/>
  <c r="G911" i="91"/>
  <c r="F911" i="91"/>
  <c r="E911" i="91"/>
  <c r="D911" i="91"/>
  <c r="C911" i="91"/>
  <c r="Q910" i="91"/>
  <c r="P910" i="91"/>
  <c r="O910" i="91"/>
  <c r="M910" i="91"/>
  <c r="L910" i="91"/>
  <c r="K910" i="91"/>
  <c r="J910" i="91"/>
  <c r="I910" i="91"/>
  <c r="H910" i="91"/>
  <c r="G910" i="91"/>
  <c r="F910" i="91"/>
  <c r="E910" i="91"/>
  <c r="D910" i="91"/>
  <c r="C910" i="91"/>
  <c r="Q909" i="91"/>
  <c r="P909" i="91"/>
  <c r="O909" i="91"/>
  <c r="M909" i="91"/>
  <c r="L909" i="91"/>
  <c r="K909" i="91"/>
  <c r="J909" i="91"/>
  <c r="I909" i="91"/>
  <c r="H909" i="91"/>
  <c r="G909" i="91"/>
  <c r="F909" i="91"/>
  <c r="E909" i="91"/>
  <c r="D909" i="91"/>
  <c r="C909" i="91"/>
  <c r="Q908" i="91"/>
  <c r="P908" i="91"/>
  <c r="O908" i="91"/>
  <c r="M908" i="91"/>
  <c r="L908" i="91"/>
  <c r="K908" i="91"/>
  <c r="J908" i="91"/>
  <c r="I908" i="91"/>
  <c r="H908" i="91"/>
  <c r="G908" i="91"/>
  <c r="F908" i="91"/>
  <c r="E908" i="91"/>
  <c r="D908" i="91"/>
  <c r="C908" i="91"/>
  <c r="Q907" i="91"/>
  <c r="P907" i="91"/>
  <c r="O907" i="91"/>
  <c r="M907" i="91"/>
  <c r="L907" i="91"/>
  <c r="K907" i="91"/>
  <c r="J907" i="91"/>
  <c r="I907" i="91"/>
  <c r="H907" i="91"/>
  <c r="G907" i="91"/>
  <c r="F907" i="91"/>
  <c r="E907" i="91"/>
  <c r="D907" i="91"/>
  <c r="C907" i="91"/>
  <c r="Q906" i="91"/>
  <c r="P906" i="91"/>
  <c r="O906" i="91"/>
  <c r="M906" i="91"/>
  <c r="L906" i="91"/>
  <c r="K906" i="91"/>
  <c r="J906" i="91"/>
  <c r="I906" i="91"/>
  <c r="H906" i="91"/>
  <c r="G906" i="91"/>
  <c r="F906" i="91"/>
  <c r="E906" i="91"/>
  <c r="D906" i="91"/>
  <c r="C906" i="91"/>
  <c r="Q905" i="91"/>
  <c r="P905" i="91"/>
  <c r="O905" i="91"/>
  <c r="M905" i="91"/>
  <c r="L905" i="91"/>
  <c r="K905" i="91"/>
  <c r="J905" i="91"/>
  <c r="I905" i="91"/>
  <c r="H905" i="91"/>
  <c r="G905" i="91"/>
  <c r="F905" i="91"/>
  <c r="E905" i="91"/>
  <c r="D905" i="91"/>
  <c r="C905" i="91"/>
  <c r="Q904" i="91"/>
  <c r="P904" i="91"/>
  <c r="O904" i="91"/>
  <c r="M904" i="91"/>
  <c r="L904" i="91"/>
  <c r="K904" i="91"/>
  <c r="J904" i="91"/>
  <c r="I904" i="91"/>
  <c r="H904" i="91"/>
  <c r="G904" i="91"/>
  <c r="F904" i="91"/>
  <c r="E904" i="91"/>
  <c r="D904" i="91"/>
  <c r="C904" i="91"/>
  <c r="Q903" i="91"/>
  <c r="P903" i="91"/>
  <c r="O903" i="91"/>
  <c r="M903" i="91"/>
  <c r="L903" i="91"/>
  <c r="K903" i="91"/>
  <c r="J903" i="91"/>
  <c r="I903" i="91"/>
  <c r="H903" i="91"/>
  <c r="G903" i="91"/>
  <c r="F903" i="91"/>
  <c r="E903" i="91"/>
  <c r="D903" i="91"/>
  <c r="C903" i="91"/>
  <c r="Q902" i="91"/>
  <c r="P902" i="91"/>
  <c r="O902" i="91"/>
  <c r="M902" i="91"/>
  <c r="L902" i="91"/>
  <c r="K902" i="91"/>
  <c r="J902" i="91"/>
  <c r="I902" i="91"/>
  <c r="H902" i="91"/>
  <c r="G902" i="91"/>
  <c r="F902" i="91"/>
  <c r="E902" i="91"/>
  <c r="D902" i="91"/>
  <c r="C902" i="91"/>
  <c r="Q901" i="91"/>
  <c r="P901" i="91"/>
  <c r="O901" i="91"/>
  <c r="M901" i="91"/>
  <c r="L901" i="91"/>
  <c r="K901" i="91"/>
  <c r="J901" i="91"/>
  <c r="I901" i="91"/>
  <c r="H901" i="91"/>
  <c r="G901" i="91"/>
  <c r="F901" i="91"/>
  <c r="E901" i="91"/>
  <c r="D901" i="91"/>
  <c r="C901" i="91"/>
  <c r="Q900" i="91"/>
  <c r="P900" i="91"/>
  <c r="O900" i="91"/>
  <c r="M900" i="91"/>
  <c r="L900" i="91"/>
  <c r="K900" i="91"/>
  <c r="J900" i="91"/>
  <c r="I900" i="91"/>
  <c r="H900" i="91"/>
  <c r="G900" i="91"/>
  <c r="F900" i="91"/>
  <c r="E900" i="91"/>
  <c r="D900" i="91"/>
  <c r="C900" i="91"/>
  <c r="Q899" i="91"/>
  <c r="P899" i="91"/>
  <c r="O899" i="91"/>
  <c r="M899" i="91"/>
  <c r="L899" i="91"/>
  <c r="K899" i="91"/>
  <c r="J899" i="91"/>
  <c r="I899" i="91"/>
  <c r="H899" i="91"/>
  <c r="G899" i="91"/>
  <c r="F899" i="91"/>
  <c r="E899" i="91"/>
  <c r="D899" i="91"/>
  <c r="C899" i="91"/>
  <c r="Q898" i="91"/>
  <c r="P898" i="91"/>
  <c r="O898" i="91"/>
  <c r="M898" i="91"/>
  <c r="L898" i="91"/>
  <c r="K898" i="91"/>
  <c r="J898" i="91"/>
  <c r="I898" i="91"/>
  <c r="H898" i="91"/>
  <c r="G898" i="91"/>
  <c r="F898" i="91"/>
  <c r="E898" i="91"/>
  <c r="D898" i="91"/>
  <c r="C898" i="91"/>
  <c r="Q897" i="91"/>
  <c r="P897" i="91"/>
  <c r="O897" i="91"/>
  <c r="M897" i="91"/>
  <c r="L897" i="91"/>
  <c r="K897" i="91"/>
  <c r="J897" i="91"/>
  <c r="I897" i="91"/>
  <c r="H897" i="91"/>
  <c r="G897" i="91"/>
  <c r="F897" i="91"/>
  <c r="E897" i="91"/>
  <c r="D897" i="91"/>
  <c r="C897" i="91"/>
  <c r="Q896" i="91"/>
  <c r="P896" i="91"/>
  <c r="O896" i="91"/>
  <c r="M896" i="91"/>
  <c r="L896" i="91"/>
  <c r="K896" i="91"/>
  <c r="J896" i="91"/>
  <c r="I896" i="91"/>
  <c r="H896" i="91"/>
  <c r="G896" i="91"/>
  <c r="F896" i="91"/>
  <c r="E896" i="91"/>
  <c r="D896" i="91"/>
  <c r="C896" i="91"/>
  <c r="Q895" i="91"/>
  <c r="P895" i="91"/>
  <c r="O895" i="91"/>
  <c r="M895" i="91"/>
  <c r="L895" i="91"/>
  <c r="K895" i="91"/>
  <c r="J895" i="91"/>
  <c r="I895" i="91"/>
  <c r="H895" i="91"/>
  <c r="G895" i="91"/>
  <c r="F895" i="91"/>
  <c r="E895" i="91"/>
  <c r="D895" i="91"/>
  <c r="C895" i="91"/>
  <c r="Q894" i="91"/>
  <c r="P894" i="91"/>
  <c r="O894" i="91"/>
  <c r="M894" i="91"/>
  <c r="L894" i="91"/>
  <c r="K894" i="91"/>
  <c r="J894" i="91"/>
  <c r="I894" i="91"/>
  <c r="H894" i="91"/>
  <c r="G894" i="91"/>
  <c r="F894" i="91"/>
  <c r="E894" i="91"/>
  <c r="D894" i="91"/>
  <c r="C894" i="91"/>
  <c r="Q893" i="91"/>
  <c r="P893" i="91"/>
  <c r="O893" i="91"/>
  <c r="M893" i="91"/>
  <c r="L893" i="91"/>
  <c r="K893" i="91"/>
  <c r="J893" i="91"/>
  <c r="I893" i="91"/>
  <c r="H893" i="91"/>
  <c r="G893" i="91"/>
  <c r="F893" i="91"/>
  <c r="E893" i="91"/>
  <c r="D893" i="91"/>
  <c r="C893" i="91"/>
  <c r="Q892" i="91"/>
  <c r="P892" i="91"/>
  <c r="O892" i="91"/>
  <c r="M892" i="91"/>
  <c r="L892" i="91"/>
  <c r="K892" i="91"/>
  <c r="J892" i="91"/>
  <c r="I892" i="91"/>
  <c r="H892" i="91"/>
  <c r="G892" i="91"/>
  <c r="F892" i="91"/>
  <c r="E892" i="91"/>
  <c r="D892" i="91"/>
  <c r="C892" i="91"/>
  <c r="Q891" i="91"/>
  <c r="P891" i="91"/>
  <c r="O891" i="91"/>
  <c r="M891" i="91"/>
  <c r="L891" i="91"/>
  <c r="K891" i="91"/>
  <c r="J891" i="91"/>
  <c r="I891" i="91"/>
  <c r="H891" i="91"/>
  <c r="G891" i="91"/>
  <c r="F891" i="91"/>
  <c r="E891" i="91"/>
  <c r="D891" i="91"/>
  <c r="C891" i="91"/>
  <c r="Q890" i="91"/>
  <c r="P890" i="91"/>
  <c r="O890" i="91"/>
  <c r="M890" i="91"/>
  <c r="L890" i="91"/>
  <c r="K890" i="91"/>
  <c r="J890" i="91"/>
  <c r="I890" i="91"/>
  <c r="H890" i="91"/>
  <c r="G890" i="91"/>
  <c r="F890" i="91"/>
  <c r="E890" i="91"/>
  <c r="D890" i="91"/>
  <c r="C890" i="91"/>
  <c r="Q889" i="91"/>
  <c r="P889" i="91"/>
  <c r="O889" i="91"/>
  <c r="M889" i="91"/>
  <c r="L889" i="91"/>
  <c r="K889" i="91"/>
  <c r="J889" i="91"/>
  <c r="I889" i="91"/>
  <c r="H889" i="91"/>
  <c r="G889" i="91"/>
  <c r="F889" i="91"/>
  <c r="E889" i="91"/>
  <c r="D889" i="91"/>
  <c r="C889" i="91"/>
  <c r="Q888" i="91"/>
  <c r="P888" i="91"/>
  <c r="O888" i="91"/>
  <c r="M888" i="91"/>
  <c r="L888" i="91"/>
  <c r="K888" i="91"/>
  <c r="J888" i="91"/>
  <c r="I888" i="91"/>
  <c r="H888" i="91"/>
  <c r="G888" i="91"/>
  <c r="F888" i="91"/>
  <c r="E888" i="91"/>
  <c r="D888" i="91"/>
  <c r="C888" i="91"/>
  <c r="Q887" i="91"/>
  <c r="P887" i="91"/>
  <c r="O887" i="91"/>
  <c r="M887" i="91"/>
  <c r="L887" i="91"/>
  <c r="K887" i="91"/>
  <c r="J887" i="91"/>
  <c r="I887" i="91"/>
  <c r="H887" i="91"/>
  <c r="G887" i="91"/>
  <c r="F887" i="91"/>
  <c r="E887" i="91"/>
  <c r="D887" i="91"/>
  <c r="C887" i="91"/>
  <c r="Q886" i="91"/>
  <c r="P886" i="91"/>
  <c r="O886" i="91"/>
  <c r="M886" i="91"/>
  <c r="L886" i="91"/>
  <c r="K886" i="91"/>
  <c r="J886" i="91"/>
  <c r="I886" i="91"/>
  <c r="H886" i="91"/>
  <c r="G886" i="91"/>
  <c r="F886" i="91"/>
  <c r="E886" i="91"/>
  <c r="D886" i="91"/>
  <c r="C886" i="91"/>
  <c r="Q885" i="91"/>
  <c r="P885" i="91"/>
  <c r="O885" i="91"/>
  <c r="M885" i="91"/>
  <c r="L885" i="91"/>
  <c r="K885" i="91"/>
  <c r="J885" i="91"/>
  <c r="I885" i="91"/>
  <c r="H885" i="91"/>
  <c r="G885" i="91"/>
  <c r="F885" i="91"/>
  <c r="E885" i="91"/>
  <c r="D885" i="91"/>
  <c r="C885" i="91"/>
  <c r="Q884" i="91"/>
  <c r="P884" i="91"/>
  <c r="O884" i="91"/>
  <c r="M884" i="91"/>
  <c r="L884" i="91"/>
  <c r="K884" i="91"/>
  <c r="J884" i="91"/>
  <c r="I884" i="91"/>
  <c r="H884" i="91"/>
  <c r="G884" i="91"/>
  <c r="F884" i="91"/>
  <c r="E884" i="91"/>
  <c r="D884" i="91"/>
  <c r="C884" i="91"/>
  <c r="Q883" i="91"/>
  <c r="P883" i="91"/>
  <c r="O883" i="91"/>
  <c r="M883" i="91"/>
  <c r="L883" i="91"/>
  <c r="K883" i="91"/>
  <c r="J883" i="91"/>
  <c r="I883" i="91"/>
  <c r="H883" i="91"/>
  <c r="G883" i="91"/>
  <c r="F883" i="91"/>
  <c r="E883" i="91"/>
  <c r="D883" i="91"/>
  <c r="C883" i="91"/>
  <c r="Q882" i="91"/>
  <c r="P882" i="91"/>
  <c r="O882" i="91"/>
  <c r="M882" i="91"/>
  <c r="L882" i="91"/>
  <c r="K882" i="91"/>
  <c r="J882" i="91"/>
  <c r="I882" i="91"/>
  <c r="H882" i="91"/>
  <c r="G882" i="91"/>
  <c r="F882" i="91"/>
  <c r="E882" i="91"/>
  <c r="D882" i="91"/>
  <c r="C882" i="91"/>
  <c r="Q881" i="91"/>
  <c r="P881" i="91"/>
  <c r="O881" i="91"/>
  <c r="M881" i="91"/>
  <c r="L881" i="91"/>
  <c r="K881" i="91"/>
  <c r="J881" i="91"/>
  <c r="I881" i="91"/>
  <c r="H881" i="91"/>
  <c r="G881" i="91"/>
  <c r="F881" i="91"/>
  <c r="E881" i="91"/>
  <c r="D881" i="91"/>
  <c r="C881" i="91"/>
  <c r="Q880" i="91"/>
  <c r="P880" i="91"/>
  <c r="O880" i="91"/>
  <c r="M880" i="91"/>
  <c r="L880" i="91"/>
  <c r="K880" i="91"/>
  <c r="J880" i="91"/>
  <c r="I880" i="91"/>
  <c r="H880" i="91"/>
  <c r="G880" i="91"/>
  <c r="F880" i="91"/>
  <c r="E880" i="91"/>
  <c r="D880" i="91"/>
  <c r="C880" i="91"/>
  <c r="Q879" i="91"/>
  <c r="P879" i="91"/>
  <c r="O879" i="91"/>
  <c r="M879" i="91"/>
  <c r="L879" i="91"/>
  <c r="K879" i="91"/>
  <c r="J879" i="91"/>
  <c r="I879" i="91"/>
  <c r="H879" i="91"/>
  <c r="G879" i="91"/>
  <c r="F879" i="91"/>
  <c r="E879" i="91"/>
  <c r="D879" i="91"/>
  <c r="C879" i="91"/>
  <c r="Q878" i="91"/>
  <c r="P878" i="91"/>
  <c r="O878" i="91"/>
  <c r="M878" i="91"/>
  <c r="L878" i="91"/>
  <c r="K878" i="91"/>
  <c r="J878" i="91"/>
  <c r="I878" i="91"/>
  <c r="H878" i="91"/>
  <c r="G878" i="91"/>
  <c r="F878" i="91"/>
  <c r="E878" i="91"/>
  <c r="D878" i="91"/>
  <c r="C878" i="91"/>
  <c r="Q877" i="91"/>
  <c r="P877" i="91"/>
  <c r="O877" i="91"/>
  <c r="M877" i="91"/>
  <c r="L877" i="91"/>
  <c r="K877" i="91"/>
  <c r="J877" i="91"/>
  <c r="I877" i="91"/>
  <c r="H877" i="91"/>
  <c r="G877" i="91"/>
  <c r="F877" i="91"/>
  <c r="E877" i="91"/>
  <c r="D877" i="91"/>
  <c r="C877" i="91"/>
  <c r="Q876" i="91"/>
  <c r="P876" i="91"/>
  <c r="O876" i="91"/>
  <c r="M876" i="91"/>
  <c r="L876" i="91"/>
  <c r="K876" i="91"/>
  <c r="J876" i="91"/>
  <c r="I876" i="91"/>
  <c r="H876" i="91"/>
  <c r="G876" i="91"/>
  <c r="F876" i="91"/>
  <c r="E876" i="91"/>
  <c r="D876" i="91"/>
  <c r="C876" i="91"/>
  <c r="Q875" i="91"/>
  <c r="P875" i="91"/>
  <c r="O875" i="91"/>
  <c r="M875" i="91"/>
  <c r="L875" i="91"/>
  <c r="K875" i="91"/>
  <c r="J875" i="91"/>
  <c r="I875" i="91"/>
  <c r="H875" i="91"/>
  <c r="G875" i="91"/>
  <c r="F875" i="91"/>
  <c r="E875" i="91"/>
  <c r="D875" i="91"/>
  <c r="C875" i="91"/>
  <c r="Q874" i="91"/>
  <c r="P874" i="91"/>
  <c r="O874" i="91"/>
  <c r="M874" i="91"/>
  <c r="L874" i="91"/>
  <c r="K874" i="91"/>
  <c r="J874" i="91"/>
  <c r="I874" i="91"/>
  <c r="H874" i="91"/>
  <c r="G874" i="91"/>
  <c r="F874" i="91"/>
  <c r="E874" i="91"/>
  <c r="D874" i="91"/>
  <c r="C874" i="91"/>
  <c r="Q873" i="91"/>
  <c r="P873" i="91"/>
  <c r="O873" i="91"/>
  <c r="M873" i="91"/>
  <c r="L873" i="91"/>
  <c r="K873" i="91"/>
  <c r="J873" i="91"/>
  <c r="I873" i="91"/>
  <c r="H873" i="91"/>
  <c r="G873" i="91"/>
  <c r="F873" i="91"/>
  <c r="E873" i="91"/>
  <c r="D873" i="91"/>
  <c r="C873" i="91"/>
  <c r="Q872" i="91"/>
  <c r="P872" i="91"/>
  <c r="O872" i="91"/>
  <c r="M872" i="91"/>
  <c r="L872" i="91"/>
  <c r="K872" i="91"/>
  <c r="J872" i="91"/>
  <c r="I872" i="91"/>
  <c r="H872" i="91"/>
  <c r="G872" i="91"/>
  <c r="F872" i="91"/>
  <c r="E872" i="91"/>
  <c r="D872" i="91"/>
  <c r="C872" i="91"/>
  <c r="Q871" i="91"/>
  <c r="P871" i="91"/>
  <c r="O871" i="91"/>
  <c r="M871" i="91"/>
  <c r="L871" i="91"/>
  <c r="K871" i="91"/>
  <c r="J871" i="91"/>
  <c r="I871" i="91"/>
  <c r="H871" i="91"/>
  <c r="G871" i="91"/>
  <c r="F871" i="91"/>
  <c r="E871" i="91"/>
  <c r="D871" i="91"/>
  <c r="C871" i="91"/>
  <c r="Q870" i="91"/>
  <c r="P870" i="91"/>
  <c r="O870" i="91"/>
  <c r="M870" i="91"/>
  <c r="L870" i="91"/>
  <c r="K870" i="91"/>
  <c r="J870" i="91"/>
  <c r="I870" i="91"/>
  <c r="H870" i="91"/>
  <c r="G870" i="91"/>
  <c r="F870" i="91"/>
  <c r="E870" i="91"/>
  <c r="D870" i="91"/>
  <c r="C870" i="91"/>
  <c r="Q869" i="91"/>
  <c r="P869" i="91"/>
  <c r="O869" i="91"/>
  <c r="M869" i="91"/>
  <c r="L869" i="91"/>
  <c r="K869" i="91"/>
  <c r="J869" i="91"/>
  <c r="I869" i="91"/>
  <c r="H869" i="91"/>
  <c r="G869" i="91"/>
  <c r="F869" i="91"/>
  <c r="E869" i="91"/>
  <c r="D869" i="91"/>
  <c r="C869" i="91"/>
  <c r="Q868" i="91"/>
  <c r="P868" i="91"/>
  <c r="O868" i="91"/>
  <c r="M868" i="91"/>
  <c r="L868" i="91"/>
  <c r="K868" i="91"/>
  <c r="J868" i="91"/>
  <c r="I868" i="91"/>
  <c r="H868" i="91"/>
  <c r="G868" i="91"/>
  <c r="F868" i="91"/>
  <c r="E868" i="91"/>
  <c r="D868" i="91"/>
  <c r="C868" i="91"/>
  <c r="Q867" i="91"/>
  <c r="P867" i="91"/>
  <c r="O867" i="91"/>
  <c r="M867" i="91"/>
  <c r="L867" i="91"/>
  <c r="K867" i="91"/>
  <c r="J867" i="91"/>
  <c r="I867" i="91"/>
  <c r="H867" i="91"/>
  <c r="G867" i="91"/>
  <c r="F867" i="91"/>
  <c r="E867" i="91"/>
  <c r="D867" i="91"/>
  <c r="C867" i="91"/>
  <c r="Q866" i="91"/>
  <c r="P866" i="91"/>
  <c r="O866" i="91"/>
  <c r="M866" i="91"/>
  <c r="L866" i="91"/>
  <c r="K866" i="91"/>
  <c r="J866" i="91"/>
  <c r="I866" i="91"/>
  <c r="H866" i="91"/>
  <c r="G866" i="91"/>
  <c r="F866" i="91"/>
  <c r="E866" i="91"/>
  <c r="D866" i="91"/>
  <c r="C866" i="91"/>
  <c r="Q865" i="91"/>
  <c r="P865" i="91"/>
  <c r="O865" i="91"/>
  <c r="M865" i="91"/>
  <c r="L865" i="91"/>
  <c r="K865" i="91"/>
  <c r="J865" i="91"/>
  <c r="I865" i="91"/>
  <c r="H865" i="91"/>
  <c r="G865" i="91"/>
  <c r="F865" i="91"/>
  <c r="E865" i="91"/>
  <c r="D865" i="91"/>
  <c r="C865" i="91"/>
  <c r="Q864" i="91"/>
  <c r="P864" i="91"/>
  <c r="O864" i="91"/>
  <c r="M864" i="91"/>
  <c r="L864" i="91"/>
  <c r="K864" i="91"/>
  <c r="J864" i="91"/>
  <c r="I864" i="91"/>
  <c r="H864" i="91"/>
  <c r="G864" i="91"/>
  <c r="F864" i="91"/>
  <c r="E864" i="91"/>
  <c r="D864" i="91"/>
  <c r="C864" i="91"/>
  <c r="Q863" i="91"/>
  <c r="P863" i="91"/>
  <c r="O863" i="91"/>
  <c r="M863" i="91"/>
  <c r="L863" i="91"/>
  <c r="K863" i="91"/>
  <c r="J863" i="91"/>
  <c r="I863" i="91"/>
  <c r="H863" i="91"/>
  <c r="G863" i="91"/>
  <c r="F863" i="91"/>
  <c r="E863" i="91"/>
  <c r="D863" i="91"/>
  <c r="C863" i="91"/>
  <c r="Q862" i="91"/>
  <c r="P862" i="91"/>
  <c r="O862" i="91"/>
  <c r="M862" i="91"/>
  <c r="L862" i="91"/>
  <c r="K862" i="91"/>
  <c r="J862" i="91"/>
  <c r="I862" i="91"/>
  <c r="H862" i="91"/>
  <c r="G862" i="91"/>
  <c r="F862" i="91"/>
  <c r="E862" i="91"/>
  <c r="D862" i="91"/>
  <c r="C862" i="91"/>
  <c r="Q861" i="91"/>
  <c r="P861" i="91"/>
  <c r="O861" i="91"/>
  <c r="M861" i="91"/>
  <c r="L861" i="91"/>
  <c r="K861" i="91"/>
  <c r="J861" i="91"/>
  <c r="I861" i="91"/>
  <c r="H861" i="91"/>
  <c r="G861" i="91"/>
  <c r="F861" i="91"/>
  <c r="E861" i="91"/>
  <c r="D861" i="91"/>
  <c r="C861" i="91"/>
  <c r="Q860" i="91"/>
  <c r="P860" i="91"/>
  <c r="O860" i="91"/>
  <c r="M860" i="91"/>
  <c r="L860" i="91"/>
  <c r="K860" i="91"/>
  <c r="J860" i="91"/>
  <c r="I860" i="91"/>
  <c r="H860" i="91"/>
  <c r="G860" i="91"/>
  <c r="F860" i="91"/>
  <c r="E860" i="91"/>
  <c r="D860" i="91"/>
  <c r="C860" i="91"/>
  <c r="Q859" i="91"/>
  <c r="P859" i="91"/>
  <c r="O859" i="91"/>
  <c r="M859" i="91"/>
  <c r="L859" i="91"/>
  <c r="K859" i="91"/>
  <c r="J859" i="91"/>
  <c r="I859" i="91"/>
  <c r="H859" i="91"/>
  <c r="G859" i="91"/>
  <c r="F859" i="91"/>
  <c r="E859" i="91"/>
  <c r="D859" i="91"/>
  <c r="C859" i="91"/>
  <c r="Q858" i="91"/>
  <c r="P858" i="91"/>
  <c r="O858" i="91"/>
  <c r="M858" i="91"/>
  <c r="L858" i="91"/>
  <c r="K858" i="91"/>
  <c r="J858" i="91"/>
  <c r="I858" i="91"/>
  <c r="H858" i="91"/>
  <c r="G858" i="91"/>
  <c r="F858" i="91"/>
  <c r="E858" i="91"/>
  <c r="D858" i="91"/>
  <c r="C858" i="91"/>
  <c r="Q857" i="91"/>
  <c r="P857" i="91"/>
  <c r="O857" i="91"/>
  <c r="M857" i="91"/>
  <c r="L857" i="91"/>
  <c r="K857" i="91"/>
  <c r="J857" i="91"/>
  <c r="I857" i="91"/>
  <c r="H857" i="91"/>
  <c r="G857" i="91"/>
  <c r="F857" i="91"/>
  <c r="E857" i="91"/>
  <c r="D857" i="91"/>
  <c r="C857" i="91"/>
  <c r="Q856" i="91"/>
  <c r="P856" i="91"/>
  <c r="O856" i="91"/>
  <c r="M856" i="91"/>
  <c r="L856" i="91"/>
  <c r="K856" i="91"/>
  <c r="J856" i="91"/>
  <c r="I856" i="91"/>
  <c r="H856" i="91"/>
  <c r="G856" i="91"/>
  <c r="F856" i="91"/>
  <c r="E856" i="91"/>
  <c r="D856" i="91"/>
  <c r="C856" i="91"/>
  <c r="Q855" i="91"/>
  <c r="P855" i="91"/>
  <c r="O855" i="91"/>
  <c r="M855" i="91"/>
  <c r="L855" i="91"/>
  <c r="K855" i="91"/>
  <c r="J855" i="91"/>
  <c r="I855" i="91"/>
  <c r="H855" i="91"/>
  <c r="G855" i="91"/>
  <c r="F855" i="91"/>
  <c r="E855" i="91"/>
  <c r="D855" i="91"/>
  <c r="C855" i="91"/>
  <c r="Q854" i="91"/>
  <c r="P854" i="91"/>
  <c r="O854" i="91"/>
  <c r="M854" i="91"/>
  <c r="L854" i="91"/>
  <c r="K854" i="91"/>
  <c r="J854" i="91"/>
  <c r="I854" i="91"/>
  <c r="H854" i="91"/>
  <c r="G854" i="91"/>
  <c r="F854" i="91"/>
  <c r="E854" i="91"/>
  <c r="D854" i="91"/>
  <c r="C854" i="91"/>
  <c r="Q853" i="91"/>
  <c r="P853" i="91"/>
  <c r="O853" i="91"/>
  <c r="M853" i="91"/>
  <c r="L853" i="91"/>
  <c r="K853" i="91"/>
  <c r="J853" i="91"/>
  <c r="I853" i="91"/>
  <c r="H853" i="91"/>
  <c r="G853" i="91"/>
  <c r="F853" i="91"/>
  <c r="E853" i="91"/>
  <c r="D853" i="91"/>
  <c r="C853" i="91"/>
  <c r="Q852" i="91"/>
  <c r="P852" i="91"/>
  <c r="O852" i="91"/>
  <c r="M852" i="91"/>
  <c r="L852" i="91"/>
  <c r="K852" i="91"/>
  <c r="J852" i="91"/>
  <c r="I852" i="91"/>
  <c r="H852" i="91"/>
  <c r="G852" i="91"/>
  <c r="F852" i="91"/>
  <c r="E852" i="91"/>
  <c r="D852" i="91"/>
  <c r="C852" i="91"/>
  <c r="Q851" i="91"/>
  <c r="P851" i="91"/>
  <c r="O851" i="91"/>
  <c r="M851" i="91"/>
  <c r="L851" i="91"/>
  <c r="K851" i="91"/>
  <c r="J851" i="91"/>
  <c r="I851" i="91"/>
  <c r="H851" i="91"/>
  <c r="G851" i="91"/>
  <c r="F851" i="91"/>
  <c r="E851" i="91"/>
  <c r="D851" i="91"/>
  <c r="C851" i="91"/>
  <c r="Q850" i="91"/>
  <c r="P850" i="91"/>
  <c r="O850" i="91"/>
  <c r="M850" i="91"/>
  <c r="L850" i="91"/>
  <c r="K850" i="91"/>
  <c r="J850" i="91"/>
  <c r="I850" i="91"/>
  <c r="H850" i="91"/>
  <c r="G850" i="91"/>
  <c r="F850" i="91"/>
  <c r="E850" i="91"/>
  <c r="D850" i="91"/>
  <c r="C850" i="91"/>
  <c r="Q849" i="91"/>
  <c r="P849" i="91"/>
  <c r="O849" i="91"/>
  <c r="M849" i="91"/>
  <c r="L849" i="91"/>
  <c r="K849" i="91"/>
  <c r="J849" i="91"/>
  <c r="I849" i="91"/>
  <c r="H849" i="91"/>
  <c r="G849" i="91"/>
  <c r="F849" i="91"/>
  <c r="E849" i="91"/>
  <c r="D849" i="91"/>
  <c r="C849" i="91"/>
  <c r="Q848" i="91"/>
  <c r="P848" i="91"/>
  <c r="O848" i="91"/>
  <c r="M848" i="91"/>
  <c r="L848" i="91"/>
  <c r="K848" i="91"/>
  <c r="J848" i="91"/>
  <c r="I848" i="91"/>
  <c r="H848" i="91"/>
  <c r="G848" i="91"/>
  <c r="F848" i="91"/>
  <c r="E848" i="91"/>
  <c r="D848" i="91"/>
  <c r="C848" i="91"/>
  <c r="Q847" i="91"/>
  <c r="P847" i="91"/>
  <c r="O847" i="91"/>
  <c r="M847" i="91"/>
  <c r="L847" i="91"/>
  <c r="K847" i="91"/>
  <c r="J847" i="91"/>
  <c r="I847" i="91"/>
  <c r="H847" i="91"/>
  <c r="G847" i="91"/>
  <c r="F847" i="91"/>
  <c r="E847" i="91"/>
  <c r="D847" i="91"/>
  <c r="C847" i="91"/>
  <c r="Q846" i="91"/>
  <c r="P846" i="91"/>
  <c r="O846" i="91"/>
  <c r="M846" i="91"/>
  <c r="L846" i="91"/>
  <c r="K846" i="91"/>
  <c r="J846" i="91"/>
  <c r="I846" i="91"/>
  <c r="H846" i="91"/>
  <c r="G846" i="91"/>
  <c r="F846" i="91"/>
  <c r="E846" i="91"/>
  <c r="D846" i="91"/>
  <c r="C846" i="91"/>
  <c r="Q845" i="91"/>
  <c r="P845" i="91"/>
  <c r="O845" i="91"/>
  <c r="M845" i="91"/>
  <c r="L845" i="91"/>
  <c r="K845" i="91"/>
  <c r="J845" i="91"/>
  <c r="I845" i="91"/>
  <c r="H845" i="91"/>
  <c r="G845" i="91"/>
  <c r="F845" i="91"/>
  <c r="E845" i="91"/>
  <c r="D845" i="91"/>
  <c r="C845" i="91"/>
  <c r="Q844" i="91"/>
  <c r="P844" i="91"/>
  <c r="O844" i="91"/>
  <c r="M844" i="91"/>
  <c r="L844" i="91"/>
  <c r="K844" i="91"/>
  <c r="J844" i="91"/>
  <c r="I844" i="91"/>
  <c r="H844" i="91"/>
  <c r="G844" i="91"/>
  <c r="F844" i="91"/>
  <c r="E844" i="91"/>
  <c r="D844" i="91"/>
  <c r="C844" i="91"/>
  <c r="Q843" i="91"/>
  <c r="P843" i="91"/>
  <c r="O843" i="91"/>
  <c r="M843" i="91"/>
  <c r="L843" i="91"/>
  <c r="K843" i="91"/>
  <c r="J843" i="91"/>
  <c r="I843" i="91"/>
  <c r="H843" i="91"/>
  <c r="G843" i="91"/>
  <c r="F843" i="91"/>
  <c r="E843" i="91"/>
  <c r="D843" i="91"/>
  <c r="C843" i="91"/>
  <c r="Q842" i="91"/>
  <c r="P842" i="91"/>
  <c r="O842" i="91"/>
  <c r="M842" i="91"/>
  <c r="L842" i="91"/>
  <c r="K842" i="91"/>
  <c r="J842" i="91"/>
  <c r="I842" i="91"/>
  <c r="H842" i="91"/>
  <c r="G842" i="91"/>
  <c r="F842" i="91"/>
  <c r="E842" i="91"/>
  <c r="D842" i="91"/>
  <c r="C842" i="91"/>
  <c r="Q841" i="91"/>
  <c r="P841" i="91"/>
  <c r="O841" i="91"/>
  <c r="M841" i="91"/>
  <c r="L841" i="91"/>
  <c r="K841" i="91"/>
  <c r="J841" i="91"/>
  <c r="I841" i="91"/>
  <c r="H841" i="91"/>
  <c r="G841" i="91"/>
  <c r="F841" i="91"/>
  <c r="E841" i="91"/>
  <c r="D841" i="91"/>
  <c r="C841" i="91"/>
  <c r="Q840" i="91"/>
  <c r="P840" i="91"/>
  <c r="O840" i="91"/>
  <c r="M840" i="91"/>
  <c r="L840" i="91"/>
  <c r="K840" i="91"/>
  <c r="J840" i="91"/>
  <c r="I840" i="91"/>
  <c r="H840" i="91"/>
  <c r="G840" i="91"/>
  <c r="F840" i="91"/>
  <c r="E840" i="91"/>
  <c r="D840" i="91"/>
  <c r="C840" i="91"/>
  <c r="Q839" i="91"/>
  <c r="P839" i="91"/>
  <c r="O839" i="91"/>
  <c r="M839" i="91"/>
  <c r="L839" i="91"/>
  <c r="K839" i="91"/>
  <c r="J839" i="91"/>
  <c r="I839" i="91"/>
  <c r="H839" i="91"/>
  <c r="G839" i="91"/>
  <c r="F839" i="91"/>
  <c r="E839" i="91"/>
  <c r="D839" i="91"/>
  <c r="C839" i="91"/>
  <c r="Q838" i="91"/>
  <c r="P838" i="91"/>
  <c r="O838" i="91"/>
  <c r="M838" i="91"/>
  <c r="L838" i="91"/>
  <c r="K838" i="91"/>
  <c r="J838" i="91"/>
  <c r="I838" i="91"/>
  <c r="H838" i="91"/>
  <c r="G838" i="91"/>
  <c r="F838" i="91"/>
  <c r="E838" i="91"/>
  <c r="D838" i="91"/>
  <c r="C838" i="91"/>
  <c r="Q837" i="91"/>
  <c r="P837" i="91"/>
  <c r="O837" i="91"/>
  <c r="M837" i="91"/>
  <c r="L837" i="91"/>
  <c r="K837" i="91"/>
  <c r="J837" i="91"/>
  <c r="I837" i="91"/>
  <c r="H837" i="91"/>
  <c r="G837" i="91"/>
  <c r="F837" i="91"/>
  <c r="E837" i="91"/>
  <c r="D837" i="91"/>
  <c r="C837" i="91"/>
  <c r="Q836" i="91"/>
  <c r="P836" i="91"/>
  <c r="O836" i="91"/>
  <c r="M836" i="91"/>
  <c r="L836" i="91"/>
  <c r="K836" i="91"/>
  <c r="J836" i="91"/>
  <c r="I836" i="91"/>
  <c r="H836" i="91"/>
  <c r="G836" i="91"/>
  <c r="F836" i="91"/>
  <c r="E836" i="91"/>
  <c r="D836" i="91"/>
  <c r="C836" i="91"/>
  <c r="Q835" i="91"/>
  <c r="P835" i="91"/>
  <c r="O835" i="91"/>
  <c r="M835" i="91"/>
  <c r="L835" i="91"/>
  <c r="K835" i="91"/>
  <c r="J835" i="91"/>
  <c r="I835" i="91"/>
  <c r="H835" i="91"/>
  <c r="G835" i="91"/>
  <c r="F835" i="91"/>
  <c r="E835" i="91"/>
  <c r="D835" i="91"/>
  <c r="C835" i="91"/>
  <c r="Q834" i="91"/>
  <c r="P834" i="91"/>
  <c r="O834" i="91"/>
  <c r="M834" i="91"/>
  <c r="L834" i="91"/>
  <c r="K834" i="91"/>
  <c r="J834" i="91"/>
  <c r="I834" i="91"/>
  <c r="H834" i="91"/>
  <c r="G834" i="91"/>
  <c r="F834" i="91"/>
  <c r="E834" i="91"/>
  <c r="D834" i="91"/>
  <c r="C834" i="91"/>
  <c r="Q833" i="91"/>
  <c r="P833" i="91"/>
  <c r="O833" i="91"/>
  <c r="M833" i="91"/>
  <c r="L833" i="91"/>
  <c r="K833" i="91"/>
  <c r="J833" i="91"/>
  <c r="I833" i="91"/>
  <c r="H833" i="91"/>
  <c r="G833" i="91"/>
  <c r="F833" i="91"/>
  <c r="E833" i="91"/>
  <c r="D833" i="91"/>
  <c r="C833" i="91"/>
  <c r="Q832" i="91"/>
  <c r="P832" i="91"/>
  <c r="O832" i="91"/>
  <c r="M832" i="91"/>
  <c r="L832" i="91"/>
  <c r="K832" i="91"/>
  <c r="J832" i="91"/>
  <c r="I832" i="91"/>
  <c r="H832" i="91"/>
  <c r="G832" i="91"/>
  <c r="F832" i="91"/>
  <c r="E832" i="91"/>
  <c r="D832" i="91"/>
  <c r="C832" i="91"/>
  <c r="Q831" i="91"/>
  <c r="P831" i="91"/>
  <c r="O831" i="91"/>
  <c r="M831" i="91"/>
  <c r="L831" i="91"/>
  <c r="K831" i="91"/>
  <c r="J831" i="91"/>
  <c r="I831" i="91"/>
  <c r="H831" i="91"/>
  <c r="G831" i="91"/>
  <c r="F831" i="91"/>
  <c r="E831" i="91"/>
  <c r="D831" i="91"/>
  <c r="C831" i="91"/>
  <c r="Q830" i="91"/>
  <c r="P830" i="91"/>
  <c r="O830" i="91"/>
  <c r="M830" i="91"/>
  <c r="L830" i="91"/>
  <c r="K830" i="91"/>
  <c r="J830" i="91"/>
  <c r="I830" i="91"/>
  <c r="H830" i="91"/>
  <c r="G830" i="91"/>
  <c r="F830" i="91"/>
  <c r="E830" i="91"/>
  <c r="D830" i="91"/>
  <c r="C830" i="91"/>
  <c r="Q829" i="91"/>
  <c r="P829" i="91"/>
  <c r="O829" i="91"/>
  <c r="M829" i="91"/>
  <c r="L829" i="91"/>
  <c r="K829" i="91"/>
  <c r="J829" i="91"/>
  <c r="I829" i="91"/>
  <c r="H829" i="91"/>
  <c r="G829" i="91"/>
  <c r="F829" i="91"/>
  <c r="E829" i="91"/>
  <c r="D829" i="91"/>
  <c r="C829" i="91"/>
  <c r="Q828" i="91"/>
  <c r="P828" i="91"/>
  <c r="O828" i="91"/>
  <c r="M828" i="91"/>
  <c r="L828" i="91"/>
  <c r="K828" i="91"/>
  <c r="J828" i="91"/>
  <c r="I828" i="91"/>
  <c r="H828" i="91"/>
  <c r="G828" i="91"/>
  <c r="F828" i="91"/>
  <c r="E828" i="91"/>
  <c r="D828" i="91"/>
  <c r="C828" i="91"/>
  <c r="Q827" i="91"/>
  <c r="P827" i="91"/>
  <c r="O827" i="91"/>
  <c r="M827" i="91"/>
  <c r="L827" i="91"/>
  <c r="K827" i="91"/>
  <c r="J827" i="91"/>
  <c r="I827" i="91"/>
  <c r="H827" i="91"/>
  <c r="G827" i="91"/>
  <c r="F827" i="91"/>
  <c r="E827" i="91"/>
  <c r="D827" i="91"/>
  <c r="C827" i="91"/>
  <c r="Q826" i="91"/>
  <c r="P826" i="91"/>
  <c r="O826" i="91"/>
  <c r="M826" i="91"/>
  <c r="L826" i="91"/>
  <c r="K826" i="91"/>
  <c r="J826" i="91"/>
  <c r="I826" i="91"/>
  <c r="H826" i="91"/>
  <c r="G826" i="91"/>
  <c r="F826" i="91"/>
  <c r="E826" i="91"/>
  <c r="D826" i="91"/>
  <c r="C826" i="91"/>
  <c r="Q825" i="91"/>
  <c r="P825" i="91"/>
  <c r="O825" i="91"/>
  <c r="M825" i="91"/>
  <c r="L825" i="91"/>
  <c r="K825" i="91"/>
  <c r="J825" i="91"/>
  <c r="I825" i="91"/>
  <c r="H825" i="91"/>
  <c r="G825" i="91"/>
  <c r="F825" i="91"/>
  <c r="E825" i="91"/>
  <c r="D825" i="91"/>
  <c r="C825" i="91"/>
  <c r="Q824" i="91"/>
  <c r="P824" i="91"/>
  <c r="O824" i="91"/>
  <c r="M824" i="91"/>
  <c r="L824" i="91"/>
  <c r="K824" i="91"/>
  <c r="J824" i="91"/>
  <c r="I824" i="91"/>
  <c r="H824" i="91"/>
  <c r="G824" i="91"/>
  <c r="F824" i="91"/>
  <c r="E824" i="91"/>
  <c r="D824" i="91"/>
  <c r="C824" i="91"/>
  <c r="Q823" i="91"/>
  <c r="P823" i="91"/>
  <c r="O823" i="91"/>
  <c r="M823" i="91"/>
  <c r="L823" i="91"/>
  <c r="K823" i="91"/>
  <c r="J823" i="91"/>
  <c r="I823" i="91"/>
  <c r="H823" i="91"/>
  <c r="G823" i="91"/>
  <c r="F823" i="91"/>
  <c r="E823" i="91"/>
  <c r="D823" i="91"/>
  <c r="C823" i="91"/>
  <c r="Q822" i="91"/>
  <c r="P822" i="91"/>
  <c r="O822" i="91"/>
  <c r="M822" i="91"/>
  <c r="L822" i="91"/>
  <c r="K822" i="91"/>
  <c r="J822" i="91"/>
  <c r="I822" i="91"/>
  <c r="H822" i="91"/>
  <c r="G822" i="91"/>
  <c r="F822" i="91"/>
  <c r="E822" i="91"/>
  <c r="D822" i="91"/>
  <c r="C822" i="91"/>
  <c r="Q821" i="91"/>
  <c r="P821" i="91"/>
  <c r="O821" i="91"/>
  <c r="M821" i="91"/>
  <c r="L821" i="91"/>
  <c r="K821" i="91"/>
  <c r="J821" i="91"/>
  <c r="I821" i="91"/>
  <c r="H821" i="91"/>
  <c r="G821" i="91"/>
  <c r="F821" i="91"/>
  <c r="E821" i="91"/>
  <c r="D821" i="91"/>
  <c r="C821" i="91"/>
  <c r="Q820" i="91"/>
  <c r="P820" i="91"/>
  <c r="O820" i="91"/>
  <c r="M820" i="91"/>
  <c r="L820" i="91"/>
  <c r="K820" i="91"/>
  <c r="J820" i="91"/>
  <c r="I820" i="91"/>
  <c r="H820" i="91"/>
  <c r="G820" i="91"/>
  <c r="F820" i="91"/>
  <c r="E820" i="91"/>
  <c r="D820" i="91"/>
  <c r="C820" i="91"/>
  <c r="Q819" i="91"/>
  <c r="P819" i="91"/>
  <c r="O819" i="91"/>
  <c r="M819" i="91"/>
  <c r="L819" i="91"/>
  <c r="K819" i="91"/>
  <c r="J819" i="91"/>
  <c r="I819" i="91"/>
  <c r="H819" i="91"/>
  <c r="G819" i="91"/>
  <c r="F819" i="91"/>
  <c r="E819" i="91"/>
  <c r="D819" i="91"/>
  <c r="C819" i="91"/>
  <c r="Q818" i="91"/>
  <c r="P818" i="91"/>
  <c r="O818" i="91"/>
  <c r="M818" i="91"/>
  <c r="L818" i="91"/>
  <c r="K818" i="91"/>
  <c r="J818" i="91"/>
  <c r="I818" i="91"/>
  <c r="H818" i="91"/>
  <c r="G818" i="91"/>
  <c r="F818" i="91"/>
  <c r="E818" i="91"/>
  <c r="D818" i="91"/>
  <c r="C818" i="91"/>
  <c r="Q817" i="91"/>
  <c r="P817" i="91"/>
  <c r="O817" i="91"/>
  <c r="M817" i="91"/>
  <c r="L817" i="91"/>
  <c r="K817" i="91"/>
  <c r="J817" i="91"/>
  <c r="I817" i="91"/>
  <c r="H817" i="91"/>
  <c r="G817" i="91"/>
  <c r="F817" i="91"/>
  <c r="E817" i="91"/>
  <c r="D817" i="91"/>
  <c r="C817" i="91"/>
  <c r="Q816" i="91"/>
  <c r="P816" i="91"/>
  <c r="O816" i="91"/>
  <c r="M816" i="91"/>
  <c r="L816" i="91"/>
  <c r="K816" i="91"/>
  <c r="J816" i="91"/>
  <c r="I816" i="91"/>
  <c r="H816" i="91"/>
  <c r="G816" i="91"/>
  <c r="F816" i="91"/>
  <c r="E816" i="91"/>
  <c r="D816" i="91"/>
  <c r="C816" i="91"/>
  <c r="Q815" i="91"/>
  <c r="P815" i="91"/>
  <c r="O815" i="91"/>
  <c r="M815" i="91"/>
  <c r="L815" i="91"/>
  <c r="K815" i="91"/>
  <c r="J815" i="91"/>
  <c r="I815" i="91"/>
  <c r="H815" i="91"/>
  <c r="G815" i="91"/>
  <c r="F815" i="91"/>
  <c r="E815" i="91"/>
  <c r="D815" i="91"/>
  <c r="C815" i="91"/>
  <c r="Q814" i="91"/>
  <c r="P814" i="91"/>
  <c r="O814" i="91"/>
  <c r="M814" i="91"/>
  <c r="L814" i="91"/>
  <c r="K814" i="91"/>
  <c r="J814" i="91"/>
  <c r="I814" i="91"/>
  <c r="H814" i="91"/>
  <c r="G814" i="91"/>
  <c r="F814" i="91"/>
  <c r="E814" i="91"/>
  <c r="D814" i="91"/>
  <c r="C814" i="91"/>
  <c r="Q813" i="91"/>
  <c r="P813" i="91"/>
  <c r="O813" i="91"/>
  <c r="M813" i="91"/>
  <c r="L813" i="91"/>
  <c r="K813" i="91"/>
  <c r="J813" i="91"/>
  <c r="I813" i="91"/>
  <c r="H813" i="91"/>
  <c r="G813" i="91"/>
  <c r="F813" i="91"/>
  <c r="E813" i="91"/>
  <c r="D813" i="91"/>
  <c r="C813" i="91"/>
  <c r="Q812" i="91"/>
  <c r="P812" i="91"/>
  <c r="O812" i="91"/>
  <c r="M812" i="91"/>
  <c r="L812" i="91"/>
  <c r="K812" i="91"/>
  <c r="J812" i="91"/>
  <c r="I812" i="91"/>
  <c r="H812" i="91"/>
  <c r="G812" i="91"/>
  <c r="F812" i="91"/>
  <c r="E812" i="91"/>
  <c r="D812" i="91"/>
  <c r="C812" i="91"/>
  <c r="Q811" i="91"/>
  <c r="P811" i="91"/>
  <c r="O811" i="91"/>
  <c r="M811" i="91"/>
  <c r="L811" i="91"/>
  <c r="K811" i="91"/>
  <c r="J811" i="91"/>
  <c r="I811" i="91"/>
  <c r="H811" i="91"/>
  <c r="G811" i="91"/>
  <c r="F811" i="91"/>
  <c r="E811" i="91"/>
  <c r="D811" i="91"/>
  <c r="C811" i="91"/>
  <c r="Q810" i="91"/>
  <c r="P810" i="91"/>
  <c r="O810" i="91"/>
  <c r="M810" i="91"/>
  <c r="L810" i="91"/>
  <c r="K810" i="91"/>
  <c r="J810" i="91"/>
  <c r="I810" i="91"/>
  <c r="H810" i="91"/>
  <c r="G810" i="91"/>
  <c r="F810" i="91"/>
  <c r="E810" i="91"/>
  <c r="D810" i="91"/>
  <c r="C810" i="91"/>
  <c r="Q809" i="91"/>
  <c r="P809" i="91"/>
  <c r="O809" i="91"/>
  <c r="M809" i="91"/>
  <c r="L809" i="91"/>
  <c r="K809" i="91"/>
  <c r="J809" i="91"/>
  <c r="I809" i="91"/>
  <c r="H809" i="91"/>
  <c r="G809" i="91"/>
  <c r="F809" i="91"/>
  <c r="E809" i="91"/>
  <c r="D809" i="91"/>
  <c r="C809" i="91"/>
  <c r="Q808" i="91"/>
  <c r="P808" i="91"/>
  <c r="O808" i="91"/>
  <c r="M808" i="91"/>
  <c r="L808" i="91"/>
  <c r="K808" i="91"/>
  <c r="J808" i="91"/>
  <c r="I808" i="91"/>
  <c r="H808" i="91"/>
  <c r="G808" i="91"/>
  <c r="F808" i="91"/>
  <c r="E808" i="91"/>
  <c r="D808" i="91"/>
  <c r="C808" i="91"/>
  <c r="Q807" i="91"/>
  <c r="P807" i="91"/>
  <c r="O807" i="91"/>
  <c r="M807" i="91"/>
  <c r="L807" i="91"/>
  <c r="K807" i="91"/>
  <c r="J807" i="91"/>
  <c r="I807" i="91"/>
  <c r="H807" i="91"/>
  <c r="G807" i="91"/>
  <c r="F807" i="91"/>
  <c r="E807" i="91"/>
  <c r="D807" i="91"/>
  <c r="C807" i="91"/>
  <c r="Q806" i="91"/>
  <c r="P806" i="91"/>
  <c r="O806" i="91"/>
  <c r="M806" i="91"/>
  <c r="L806" i="91"/>
  <c r="K806" i="91"/>
  <c r="J806" i="91"/>
  <c r="I806" i="91"/>
  <c r="H806" i="91"/>
  <c r="G806" i="91"/>
  <c r="F806" i="91"/>
  <c r="E806" i="91"/>
  <c r="D806" i="91"/>
  <c r="C806" i="91"/>
  <c r="Q805" i="91"/>
  <c r="P805" i="91"/>
  <c r="O805" i="91"/>
  <c r="M805" i="91"/>
  <c r="L805" i="91"/>
  <c r="K805" i="91"/>
  <c r="J805" i="91"/>
  <c r="I805" i="91"/>
  <c r="H805" i="91"/>
  <c r="G805" i="91"/>
  <c r="F805" i="91"/>
  <c r="E805" i="91"/>
  <c r="D805" i="91"/>
  <c r="C805" i="91"/>
  <c r="Q804" i="91"/>
  <c r="P804" i="91"/>
  <c r="O804" i="91"/>
  <c r="M804" i="91"/>
  <c r="L804" i="91"/>
  <c r="K804" i="91"/>
  <c r="J804" i="91"/>
  <c r="I804" i="91"/>
  <c r="H804" i="91"/>
  <c r="G804" i="91"/>
  <c r="F804" i="91"/>
  <c r="E804" i="91"/>
  <c r="D804" i="91"/>
  <c r="C804" i="91"/>
  <c r="Q803" i="91"/>
  <c r="P803" i="91"/>
  <c r="O803" i="91"/>
  <c r="M803" i="91"/>
  <c r="L803" i="91"/>
  <c r="K803" i="91"/>
  <c r="J803" i="91"/>
  <c r="I803" i="91"/>
  <c r="H803" i="91"/>
  <c r="G803" i="91"/>
  <c r="F803" i="91"/>
  <c r="E803" i="91"/>
  <c r="D803" i="91"/>
  <c r="C803" i="91"/>
  <c r="Q802" i="91"/>
  <c r="P802" i="91"/>
  <c r="O802" i="91"/>
  <c r="M802" i="91"/>
  <c r="L802" i="91"/>
  <c r="K802" i="91"/>
  <c r="J802" i="91"/>
  <c r="I802" i="91"/>
  <c r="H802" i="91"/>
  <c r="G802" i="91"/>
  <c r="F802" i="91"/>
  <c r="E802" i="91"/>
  <c r="D802" i="91"/>
  <c r="C802" i="91"/>
  <c r="Q801" i="91"/>
  <c r="P801" i="91"/>
  <c r="O801" i="91"/>
  <c r="M801" i="91"/>
  <c r="L801" i="91"/>
  <c r="K801" i="91"/>
  <c r="J801" i="91"/>
  <c r="I801" i="91"/>
  <c r="H801" i="91"/>
  <c r="G801" i="91"/>
  <c r="F801" i="91"/>
  <c r="E801" i="91"/>
  <c r="D801" i="91"/>
  <c r="C801" i="91"/>
  <c r="Q800" i="91"/>
  <c r="P800" i="91"/>
  <c r="O800" i="91"/>
  <c r="M800" i="91"/>
  <c r="L800" i="91"/>
  <c r="K800" i="91"/>
  <c r="J800" i="91"/>
  <c r="I800" i="91"/>
  <c r="H800" i="91"/>
  <c r="G800" i="91"/>
  <c r="F800" i="91"/>
  <c r="E800" i="91"/>
  <c r="D800" i="91"/>
  <c r="C800" i="91"/>
  <c r="Q799" i="91"/>
  <c r="P799" i="91"/>
  <c r="O799" i="91"/>
  <c r="M799" i="91"/>
  <c r="L799" i="91"/>
  <c r="K799" i="91"/>
  <c r="J799" i="91"/>
  <c r="I799" i="91"/>
  <c r="H799" i="91"/>
  <c r="G799" i="91"/>
  <c r="F799" i="91"/>
  <c r="E799" i="91"/>
  <c r="D799" i="91"/>
  <c r="C799" i="91"/>
  <c r="Q798" i="91"/>
  <c r="P798" i="91"/>
  <c r="O798" i="91"/>
  <c r="M798" i="91"/>
  <c r="L798" i="91"/>
  <c r="K798" i="91"/>
  <c r="J798" i="91"/>
  <c r="I798" i="91"/>
  <c r="H798" i="91"/>
  <c r="G798" i="91"/>
  <c r="F798" i="91"/>
  <c r="E798" i="91"/>
  <c r="D798" i="91"/>
  <c r="C798" i="91"/>
  <c r="Q797" i="91"/>
  <c r="P797" i="91"/>
  <c r="O797" i="91"/>
  <c r="M797" i="91"/>
  <c r="L797" i="91"/>
  <c r="K797" i="91"/>
  <c r="J797" i="91"/>
  <c r="I797" i="91"/>
  <c r="H797" i="91"/>
  <c r="G797" i="91"/>
  <c r="F797" i="91"/>
  <c r="E797" i="91"/>
  <c r="D797" i="91"/>
  <c r="C797" i="91"/>
  <c r="Q796" i="91"/>
  <c r="P796" i="91"/>
  <c r="O796" i="91"/>
  <c r="M796" i="91"/>
  <c r="L796" i="91"/>
  <c r="K796" i="91"/>
  <c r="J796" i="91"/>
  <c r="I796" i="91"/>
  <c r="H796" i="91"/>
  <c r="G796" i="91"/>
  <c r="F796" i="91"/>
  <c r="E796" i="91"/>
  <c r="D796" i="91"/>
  <c r="C796" i="91"/>
  <c r="Q795" i="91"/>
  <c r="P795" i="91"/>
  <c r="O795" i="91"/>
  <c r="M795" i="91"/>
  <c r="L795" i="91"/>
  <c r="K795" i="91"/>
  <c r="J795" i="91"/>
  <c r="I795" i="91"/>
  <c r="H795" i="91"/>
  <c r="G795" i="91"/>
  <c r="F795" i="91"/>
  <c r="E795" i="91"/>
  <c r="D795" i="91"/>
  <c r="C795" i="91"/>
  <c r="Q794" i="91"/>
  <c r="P794" i="91"/>
  <c r="O794" i="91"/>
  <c r="M794" i="91"/>
  <c r="L794" i="91"/>
  <c r="K794" i="91"/>
  <c r="J794" i="91"/>
  <c r="I794" i="91"/>
  <c r="H794" i="91"/>
  <c r="G794" i="91"/>
  <c r="F794" i="91"/>
  <c r="E794" i="91"/>
  <c r="D794" i="91"/>
  <c r="C794" i="91"/>
  <c r="Q793" i="91"/>
  <c r="P793" i="91"/>
  <c r="O793" i="91"/>
  <c r="M793" i="91"/>
  <c r="L793" i="91"/>
  <c r="K793" i="91"/>
  <c r="J793" i="91"/>
  <c r="I793" i="91"/>
  <c r="H793" i="91"/>
  <c r="G793" i="91"/>
  <c r="F793" i="91"/>
  <c r="E793" i="91"/>
  <c r="D793" i="91"/>
  <c r="C793" i="91"/>
  <c r="Q792" i="91"/>
  <c r="P792" i="91"/>
  <c r="O792" i="91"/>
  <c r="M792" i="91"/>
  <c r="L792" i="91"/>
  <c r="K792" i="91"/>
  <c r="J792" i="91"/>
  <c r="I792" i="91"/>
  <c r="H792" i="91"/>
  <c r="G792" i="91"/>
  <c r="F792" i="91"/>
  <c r="E792" i="91"/>
  <c r="D792" i="91"/>
  <c r="C792" i="91"/>
  <c r="Q791" i="91"/>
  <c r="P791" i="91"/>
  <c r="O791" i="91"/>
  <c r="M791" i="91"/>
  <c r="L791" i="91"/>
  <c r="K791" i="91"/>
  <c r="J791" i="91"/>
  <c r="I791" i="91"/>
  <c r="H791" i="91"/>
  <c r="G791" i="91"/>
  <c r="F791" i="91"/>
  <c r="E791" i="91"/>
  <c r="D791" i="91"/>
  <c r="C791" i="91"/>
  <c r="Q790" i="91"/>
  <c r="P790" i="91"/>
  <c r="O790" i="91"/>
  <c r="M790" i="91"/>
  <c r="L790" i="91"/>
  <c r="K790" i="91"/>
  <c r="J790" i="91"/>
  <c r="I790" i="91"/>
  <c r="H790" i="91"/>
  <c r="G790" i="91"/>
  <c r="F790" i="91"/>
  <c r="E790" i="91"/>
  <c r="D790" i="91"/>
  <c r="C790" i="91"/>
  <c r="Q789" i="91"/>
  <c r="P789" i="91"/>
  <c r="O789" i="91"/>
  <c r="M789" i="91"/>
  <c r="L789" i="91"/>
  <c r="K789" i="91"/>
  <c r="J789" i="91"/>
  <c r="I789" i="91"/>
  <c r="H789" i="91"/>
  <c r="G789" i="91"/>
  <c r="F789" i="91"/>
  <c r="E789" i="91"/>
  <c r="D789" i="91"/>
  <c r="C789" i="91"/>
  <c r="Q788" i="91"/>
  <c r="P788" i="91"/>
  <c r="O788" i="91"/>
  <c r="M788" i="91"/>
  <c r="L788" i="91"/>
  <c r="K788" i="91"/>
  <c r="J788" i="91"/>
  <c r="I788" i="91"/>
  <c r="H788" i="91"/>
  <c r="G788" i="91"/>
  <c r="F788" i="91"/>
  <c r="E788" i="91"/>
  <c r="D788" i="91"/>
  <c r="C788" i="91"/>
  <c r="Q787" i="91"/>
  <c r="P787" i="91"/>
  <c r="O787" i="91"/>
  <c r="M787" i="91"/>
  <c r="L787" i="91"/>
  <c r="K787" i="91"/>
  <c r="J787" i="91"/>
  <c r="I787" i="91"/>
  <c r="H787" i="91"/>
  <c r="G787" i="91"/>
  <c r="F787" i="91"/>
  <c r="E787" i="91"/>
  <c r="D787" i="91"/>
  <c r="C787" i="91"/>
  <c r="Q786" i="91"/>
  <c r="P786" i="91"/>
  <c r="O786" i="91"/>
  <c r="M786" i="91"/>
  <c r="L786" i="91"/>
  <c r="K786" i="91"/>
  <c r="J786" i="91"/>
  <c r="I786" i="91"/>
  <c r="H786" i="91"/>
  <c r="G786" i="91"/>
  <c r="F786" i="91"/>
  <c r="E786" i="91"/>
  <c r="D786" i="91"/>
  <c r="C786" i="91"/>
  <c r="Q785" i="91"/>
  <c r="P785" i="91"/>
  <c r="O785" i="91"/>
  <c r="M785" i="91"/>
  <c r="L785" i="91"/>
  <c r="K785" i="91"/>
  <c r="J785" i="91"/>
  <c r="I785" i="91"/>
  <c r="H785" i="91"/>
  <c r="G785" i="91"/>
  <c r="F785" i="91"/>
  <c r="E785" i="91"/>
  <c r="D785" i="91"/>
  <c r="C785" i="91"/>
  <c r="Q784" i="91"/>
  <c r="P784" i="91"/>
  <c r="O784" i="91"/>
  <c r="M784" i="91"/>
  <c r="L784" i="91"/>
  <c r="K784" i="91"/>
  <c r="J784" i="91"/>
  <c r="I784" i="91"/>
  <c r="H784" i="91"/>
  <c r="G784" i="91"/>
  <c r="F784" i="91"/>
  <c r="E784" i="91"/>
  <c r="D784" i="91"/>
  <c r="C784" i="91"/>
  <c r="Q783" i="91"/>
  <c r="P783" i="91"/>
  <c r="O783" i="91"/>
  <c r="M783" i="91"/>
  <c r="L783" i="91"/>
  <c r="K783" i="91"/>
  <c r="J783" i="91"/>
  <c r="I783" i="91"/>
  <c r="H783" i="91"/>
  <c r="G783" i="91"/>
  <c r="F783" i="91"/>
  <c r="E783" i="91"/>
  <c r="D783" i="91"/>
  <c r="C783" i="91"/>
  <c r="Q782" i="91"/>
  <c r="P782" i="91"/>
  <c r="O782" i="91"/>
  <c r="M782" i="91"/>
  <c r="L782" i="91"/>
  <c r="K782" i="91"/>
  <c r="J782" i="91"/>
  <c r="I782" i="91"/>
  <c r="H782" i="91"/>
  <c r="G782" i="91"/>
  <c r="F782" i="91"/>
  <c r="E782" i="91"/>
  <c r="D782" i="91"/>
  <c r="C782" i="91"/>
  <c r="Q781" i="91"/>
  <c r="P781" i="91"/>
  <c r="O781" i="91"/>
  <c r="M781" i="91"/>
  <c r="L781" i="91"/>
  <c r="K781" i="91"/>
  <c r="J781" i="91"/>
  <c r="I781" i="91"/>
  <c r="H781" i="91"/>
  <c r="G781" i="91"/>
  <c r="F781" i="91"/>
  <c r="E781" i="91"/>
  <c r="D781" i="91"/>
  <c r="C781" i="91"/>
  <c r="Q780" i="91"/>
  <c r="P780" i="91"/>
  <c r="O780" i="91"/>
  <c r="M780" i="91"/>
  <c r="L780" i="91"/>
  <c r="K780" i="91"/>
  <c r="J780" i="91"/>
  <c r="I780" i="91"/>
  <c r="H780" i="91"/>
  <c r="G780" i="91"/>
  <c r="F780" i="91"/>
  <c r="E780" i="91"/>
  <c r="D780" i="91"/>
  <c r="C780" i="91"/>
  <c r="Q779" i="91"/>
  <c r="P779" i="91"/>
  <c r="O779" i="91"/>
  <c r="M779" i="91"/>
  <c r="L779" i="91"/>
  <c r="K779" i="91"/>
  <c r="J779" i="91"/>
  <c r="I779" i="91"/>
  <c r="H779" i="91"/>
  <c r="G779" i="91"/>
  <c r="F779" i="91"/>
  <c r="E779" i="91"/>
  <c r="D779" i="91"/>
  <c r="C779" i="91"/>
  <c r="Q778" i="91"/>
  <c r="P778" i="91"/>
  <c r="O778" i="91"/>
  <c r="M778" i="91"/>
  <c r="L778" i="91"/>
  <c r="K778" i="91"/>
  <c r="J778" i="91"/>
  <c r="I778" i="91"/>
  <c r="H778" i="91"/>
  <c r="G778" i="91"/>
  <c r="F778" i="91"/>
  <c r="E778" i="91"/>
  <c r="D778" i="91"/>
  <c r="C778" i="91"/>
  <c r="Q777" i="91"/>
  <c r="P777" i="91"/>
  <c r="O777" i="91"/>
  <c r="M777" i="91"/>
  <c r="L777" i="91"/>
  <c r="K777" i="91"/>
  <c r="J777" i="91"/>
  <c r="I777" i="91"/>
  <c r="H777" i="91"/>
  <c r="G777" i="91"/>
  <c r="F777" i="91"/>
  <c r="E777" i="91"/>
  <c r="D777" i="91"/>
  <c r="C777" i="91"/>
  <c r="Q776" i="91"/>
  <c r="P776" i="91"/>
  <c r="O776" i="91"/>
  <c r="M776" i="91"/>
  <c r="L776" i="91"/>
  <c r="K776" i="91"/>
  <c r="J776" i="91"/>
  <c r="I776" i="91"/>
  <c r="H776" i="91"/>
  <c r="G776" i="91"/>
  <c r="F776" i="91"/>
  <c r="E776" i="91"/>
  <c r="D776" i="91"/>
  <c r="C776" i="91"/>
  <c r="Q775" i="91"/>
  <c r="P775" i="91"/>
  <c r="O775" i="91"/>
  <c r="M775" i="91"/>
  <c r="L775" i="91"/>
  <c r="K775" i="91"/>
  <c r="J775" i="91"/>
  <c r="I775" i="91"/>
  <c r="H775" i="91"/>
  <c r="G775" i="91"/>
  <c r="F775" i="91"/>
  <c r="E775" i="91"/>
  <c r="D775" i="91"/>
  <c r="C775" i="91"/>
  <c r="Q774" i="91"/>
  <c r="P774" i="91"/>
  <c r="O774" i="91"/>
  <c r="M774" i="91"/>
  <c r="L774" i="91"/>
  <c r="K774" i="91"/>
  <c r="J774" i="91"/>
  <c r="I774" i="91"/>
  <c r="H774" i="91"/>
  <c r="G774" i="91"/>
  <c r="F774" i="91"/>
  <c r="E774" i="91"/>
  <c r="D774" i="91"/>
  <c r="C774" i="91"/>
  <c r="Q773" i="91"/>
  <c r="P773" i="91"/>
  <c r="O773" i="91"/>
  <c r="M773" i="91"/>
  <c r="L773" i="91"/>
  <c r="K773" i="91"/>
  <c r="J773" i="91"/>
  <c r="I773" i="91"/>
  <c r="H773" i="91"/>
  <c r="G773" i="91"/>
  <c r="F773" i="91"/>
  <c r="E773" i="91"/>
  <c r="D773" i="91"/>
  <c r="C773" i="91"/>
  <c r="Q772" i="91"/>
  <c r="P772" i="91"/>
  <c r="O772" i="91"/>
  <c r="M772" i="91"/>
  <c r="L772" i="91"/>
  <c r="K772" i="91"/>
  <c r="J772" i="91"/>
  <c r="I772" i="91"/>
  <c r="H772" i="91"/>
  <c r="G772" i="91"/>
  <c r="F772" i="91"/>
  <c r="E772" i="91"/>
  <c r="D772" i="91"/>
  <c r="C772" i="91"/>
  <c r="Q771" i="91"/>
  <c r="P771" i="91"/>
  <c r="O771" i="91"/>
  <c r="M771" i="91"/>
  <c r="L771" i="91"/>
  <c r="K771" i="91"/>
  <c r="J771" i="91"/>
  <c r="I771" i="91"/>
  <c r="H771" i="91"/>
  <c r="G771" i="91"/>
  <c r="F771" i="91"/>
  <c r="E771" i="91"/>
  <c r="D771" i="91"/>
  <c r="C771" i="91"/>
  <c r="Q770" i="91"/>
  <c r="P770" i="91"/>
  <c r="O770" i="91"/>
  <c r="M770" i="91"/>
  <c r="L770" i="91"/>
  <c r="K770" i="91"/>
  <c r="J770" i="91"/>
  <c r="I770" i="91"/>
  <c r="H770" i="91"/>
  <c r="G770" i="91"/>
  <c r="F770" i="91"/>
  <c r="E770" i="91"/>
  <c r="D770" i="91"/>
  <c r="C770" i="91"/>
  <c r="Q769" i="91"/>
  <c r="P769" i="91"/>
  <c r="O769" i="91"/>
  <c r="M769" i="91"/>
  <c r="L769" i="91"/>
  <c r="K769" i="91"/>
  <c r="J769" i="91"/>
  <c r="I769" i="91"/>
  <c r="H769" i="91"/>
  <c r="G769" i="91"/>
  <c r="F769" i="91"/>
  <c r="E769" i="91"/>
  <c r="D769" i="91"/>
  <c r="C769" i="91"/>
  <c r="Q768" i="91"/>
  <c r="P768" i="91"/>
  <c r="O768" i="91"/>
  <c r="M768" i="91"/>
  <c r="L768" i="91"/>
  <c r="K768" i="91"/>
  <c r="J768" i="91"/>
  <c r="I768" i="91"/>
  <c r="H768" i="91"/>
  <c r="G768" i="91"/>
  <c r="F768" i="91"/>
  <c r="E768" i="91"/>
  <c r="D768" i="91"/>
  <c r="C768" i="91"/>
  <c r="Q767" i="91"/>
  <c r="P767" i="91"/>
  <c r="O767" i="91"/>
  <c r="M767" i="91"/>
  <c r="L767" i="91"/>
  <c r="K767" i="91"/>
  <c r="J767" i="91"/>
  <c r="I767" i="91"/>
  <c r="H767" i="91"/>
  <c r="G767" i="91"/>
  <c r="F767" i="91"/>
  <c r="E767" i="91"/>
  <c r="D767" i="91"/>
  <c r="C767" i="91"/>
  <c r="Q766" i="91"/>
  <c r="P766" i="91"/>
  <c r="O766" i="91"/>
  <c r="M766" i="91"/>
  <c r="L766" i="91"/>
  <c r="K766" i="91"/>
  <c r="J766" i="91"/>
  <c r="I766" i="91"/>
  <c r="H766" i="91"/>
  <c r="G766" i="91"/>
  <c r="F766" i="91"/>
  <c r="E766" i="91"/>
  <c r="D766" i="91"/>
  <c r="C766" i="91"/>
  <c r="Q765" i="91"/>
  <c r="P765" i="91"/>
  <c r="O765" i="91"/>
  <c r="M765" i="91"/>
  <c r="L765" i="91"/>
  <c r="K765" i="91"/>
  <c r="J765" i="91"/>
  <c r="I765" i="91"/>
  <c r="H765" i="91"/>
  <c r="G765" i="91"/>
  <c r="F765" i="91"/>
  <c r="E765" i="91"/>
  <c r="D765" i="91"/>
  <c r="C765" i="91"/>
  <c r="Q764" i="91"/>
  <c r="P764" i="91"/>
  <c r="O764" i="91"/>
  <c r="M764" i="91"/>
  <c r="L764" i="91"/>
  <c r="K764" i="91"/>
  <c r="J764" i="91"/>
  <c r="I764" i="91"/>
  <c r="H764" i="91"/>
  <c r="G764" i="91"/>
  <c r="F764" i="91"/>
  <c r="E764" i="91"/>
  <c r="D764" i="91"/>
  <c r="C764" i="91"/>
  <c r="Q763" i="91"/>
  <c r="P763" i="91"/>
  <c r="O763" i="91"/>
  <c r="M763" i="91"/>
  <c r="L763" i="91"/>
  <c r="K763" i="91"/>
  <c r="J763" i="91"/>
  <c r="I763" i="91"/>
  <c r="H763" i="91"/>
  <c r="G763" i="91"/>
  <c r="F763" i="91"/>
  <c r="E763" i="91"/>
  <c r="D763" i="91"/>
  <c r="C763" i="91"/>
  <c r="Q762" i="91"/>
  <c r="P762" i="91"/>
  <c r="O762" i="91"/>
  <c r="M762" i="91"/>
  <c r="L762" i="91"/>
  <c r="K762" i="91"/>
  <c r="J762" i="91"/>
  <c r="I762" i="91"/>
  <c r="H762" i="91"/>
  <c r="G762" i="91"/>
  <c r="F762" i="91"/>
  <c r="E762" i="91"/>
  <c r="D762" i="91"/>
  <c r="C762" i="91"/>
  <c r="Q761" i="91"/>
  <c r="P761" i="91"/>
  <c r="O761" i="91"/>
  <c r="M761" i="91"/>
  <c r="L761" i="91"/>
  <c r="K761" i="91"/>
  <c r="J761" i="91"/>
  <c r="I761" i="91"/>
  <c r="H761" i="91"/>
  <c r="G761" i="91"/>
  <c r="F761" i="91"/>
  <c r="E761" i="91"/>
  <c r="D761" i="91"/>
  <c r="C761" i="91"/>
  <c r="Q760" i="91"/>
  <c r="P760" i="91"/>
  <c r="O760" i="91"/>
  <c r="M760" i="91"/>
  <c r="L760" i="91"/>
  <c r="K760" i="91"/>
  <c r="J760" i="91"/>
  <c r="I760" i="91"/>
  <c r="H760" i="91"/>
  <c r="G760" i="91"/>
  <c r="F760" i="91"/>
  <c r="E760" i="91"/>
  <c r="D760" i="91"/>
  <c r="C760" i="91"/>
  <c r="Q759" i="91"/>
  <c r="P759" i="91"/>
  <c r="O759" i="91"/>
  <c r="M759" i="91"/>
  <c r="L759" i="91"/>
  <c r="K759" i="91"/>
  <c r="J759" i="91"/>
  <c r="I759" i="91"/>
  <c r="H759" i="91"/>
  <c r="G759" i="91"/>
  <c r="F759" i="91"/>
  <c r="E759" i="91"/>
  <c r="D759" i="91"/>
  <c r="C759" i="91"/>
  <c r="Q758" i="91"/>
  <c r="P758" i="91"/>
  <c r="O758" i="91"/>
  <c r="M758" i="91"/>
  <c r="L758" i="91"/>
  <c r="K758" i="91"/>
  <c r="J758" i="91"/>
  <c r="I758" i="91"/>
  <c r="H758" i="91"/>
  <c r="G758" i="91"/>
  <c r="F758" i="91"/>
  <c r="E758" i="91"/>
  <c r="D758" i="91"/>
  <c r="C758" i="91"/>
  <c r="Q757" i="91"/>
  <c r="P757" i="91"/>
  <c r="O757" i="91"/>
  <c r="M757" i="91"/>
  <c r="L757" i="91"/>
  <c r="K757" i="91"/>
  <c r="J757" i="91"/>
  <c r="I757" i="91"/>
  <c r="H757" i="91"/>
  <c r="G757" i="91"/>
  <c r="F757" i="91"/>
  <c r="E757" i="91"/>
  <c r="D757" i="91"/>
  <c r="C757" i="91"/>
  <c r="Q756" i="91"/>
  <c r="P756" i="91"/>
  <c r="O756" i="91"/>
  <c r="M756" i="91"/>
  <c r="L756" i="91"/>
  <c r="K756" i="91"/>
  <c r="J756" i="91"/>
  <c r="I756" i="91"/>
  <c r="H756" i="91"/>
  <c r="G756" i="91"/>
  <c r="F756" i="91"/>
  <c r="E756" i="91"/>
  <c r="D756" i="91"/>
  <c r="C756" i="91"/>
  <c r="Q755" i="91"/>
  <c r="P755" i="91"/>
  <c r="O755" i="91"/>
  <c r="M755" i="91"/>
  <c r="L755" i="91"/>
  <c r="K755" i="91"/>
  <c r="J755" i="91"/>
  <c r="I755" i="91"/>
  <c r="H755" i="91"/>
  <c r="G755" i="91"/>
  <c r="F755" i="91"/>
  <c r="E755" i="91"/>
  <c r="D755" i="91"/>
  <c r="C755" i="91"/>
  <c r="Q754" i="91"/>
  <c r="P754" i="91"/>
  <c r="O754" i="91"/>
  <c r="M754" i="91"/>
  <c r="L754" i="91"/>
  <c r="K754" i="91"/>
  <c r="J754" i="91"/>
  <c r="I754" i="91"/>
  <c r="H754" i="91"/>
  <c r="G754" i="91"/>
  <c r="F754" i="91"/>
  <c r="E754" i="91"/>
  <c r="D754" i="91"/>
  <c r="C754" i="91"/>
  <c r="Q753" i="91"/>
  <c r="P753" i="91"/>
  <c r="O753" i="91"/>
  <c r="M753" i="91"/>
  <c r="L753" i="91"/>
  <c r="K753" i="91"/>
  <c r="J753" i="91"/>
  <c r="I753" i="91"/>
  <c r="H753" i="91"/>
  <c r="G753" i="91"/>
  <c r="F753" i="91"/>
  <c r="E753" i="91"/>
  <c r="D753" i="91"/>
  <c r="C753" i="91"/>
  <c r="Q752" i="91"/>
  <c r="P752" i="91"/>
  <c r="O752" i="91"/>
  <c r="M752" i="91"/>
  <c r="L752" i="91"/>
  <c r="K752" i="91"/>
  <c r="J752" i="91"/>
  <c r="I752" i="91"/>
  <c r="H752" i="91"/>
  <c r="G752" i="91"/>
  <c r="F752" i="91"/>
  <c r="E752" i="91"/>
  <c r="D752" i="91"/>
  <c r="C752" i="91"/>
  <c r="Q751" i="91"/>
  <c r="P751" i="91"/>
  <c r="O751" i="91"/>
  <c r="M751" i="91"/>
  <c r="L751" i="91"/>
  <c r="K751" i="91"/>
  <c r="J751" i="91"/>
  <c r="I751" i="91"/>
  <c r="H751" i="91"/>
  <c r="G751" i="91"/>
  <c r="F751" i="91"/>
  <c r="E751" i="91"/>
  <c r="D751" i="91"/>
  <c r="C751" i="91"/>
  <c r="Q750" i="91"/>
  <c r="P750" i="91"/>
  <c r="O750" i="91"/>
  <c r="M750" i="91"/>
  <c r="L750" i="91"/>
  <c r="K750" i="91"/>
  <c r="J750" i="91"/>
  <c r="I750" i="91"/>
  <c r="H750" i="91"/>
  <c r="G750" i="91"/>
  <c r="F750" i="91"/>
  <c r="E750" i="91"/>
  <c r="D750" i="91"/>
  <c r="C750" i="91"/>
  <c r="Q749" i="91"/>
  <c r="P749" i="91"/>
  <c r="O749" i="91"/>
  <c r="M749" i="91"/>
  <c r="L749" i="91"/>
  <c r="K749" i="91"/>
  <c r="J749" i="91"/>
  <c r="I749" i="91"/>
  <c r="H749" i="91"/>
  <c r="G749" i="91"/>
  <c r="F749" i="91"/>
  <c r="E749" i="91"/>
  <c r="D749" i="91"/>
  <c r="C749" i="91"/>
  <c r="Q748" i="91"/>
  <c r="P748" i="91"/>
  <c r="O748" i="91"/>
  <c r="M748" i="91"/>
  <c r="L748" i="91"/>
  <c r="K748" i="91"/>
  <c r="J748" i="91"/>
  <c r="I748" i="91"/>
  <c r="H748" i="91"/>
  <c r="G748" i="91"/>
  <c r="F748" i="91"/>
  <c r="E748" i="91"/>
  <c r="D748" i="91"/>
  <c r="C748" i="91"/>
  <c r="Q747" i="91"/>
  <c r="P747" i="91"/>
  <c r="O747" i="91"/>
  <c r="M747" i="91"/>
  <c r="L747" i="91"/>
  <c r="K747" i="91"/>
  <c r="J747" i="91"/>
  <c r="I747" i="91"/>
  <c r="H747" i="91"/>
  <c r="G747" i="91"/>
  <c r="F747" i="91"/>
  <c r="E747" i="91"/>
  <c r="D747" i="91"/>
  <c r="C747" i="91"/>
  <c r="Q746" i="91"/>
  <c r="P746" i="91"/>
  <c r="O746" i="91"/>
  <c r="M746" i="91"/>
  <c r="L746" i="91"/>
  <c r="K746" i="91"/>
  <c r="J746" i="91"/>
  <c r="I746" i="91"/>
  <c r="H746" i="91"/>
  <c r="G746" i="91"/>
  <c r="F746" i="91"/>
  <c r="E746" i="91"/>
  <c r="D746" i="91"/>
  <c r="C746" i="91"/>
  <c r="Q745" i="91"/>
  <c r="P745" i="91"/>
  <c r="O745" i="91"/>
  <c r="M745" i="91"/>
  <c r="L745" i="91"/>
  <c r="K745" i="91"/>
  <c r="J745" i="91"/>
  <c r="I745" i="91"/>
  <c r="H745" i="91"/>
  <c r="G745" i="91"/>
  <c r="F745" i="91"/>
  <c r="E745" i="91"/>
  <c r="D745" i="91"/>
  <c r="C745" i="91"/>
  <c r="Q744" i="91"/>
  <c r="P744" i="91"/>
  <c r="O744" i="91"/>
  <c r="M744" i="91"/>
  <c r="L744" i="91"/>
  <c r="K744" i="91"/>
  <c r="J744" i="91"/>
  <c r="I744" i="91"/>
  <c r="H744" i="91"/>
  <c r="G744" i="91"/>
  <c r="F744" i="91"/>
  <c r="E744" i="91"/>
  <c r="D744" i="91"/>
  <c r="C744" i="91"/>
  <c r="Q743" i="91"/>
  <c r="P743" i="91"/>
  <c r="O743" i="91"/>
  <c r="M743" i="91"/>
  <c r="L743" i="91"/>
  <c r="K743" i="91"/>
  <c r="J743" i="91"/>
  <c r="I743" i="91"/>
  <c r="H743" i="91"/>
  <c r="G743" i="91"/>
  <c r="F743" i="91"/>
  <c r="E743" i="91"/>
  <c r="D743" i="91"/>
  <c r="C743" i="91"/>
  <c r="Q742" i="91"/>
  <c r="P742" i="91"/>
  <c r="O742" i="91"/>
  <c r="M742" i="91"/>
  <c r="L742" i="91"/>
  <c r="K742" i="91"/>
  <c r="J742" i="91"/>
  <c r="I742" i="91"/>
  <c r="H742" i="91"/>
  <c r="G742" i="91"/>
  <c r="F742" i="91"/>
  <c r="E742" i="91"/>
  <c r="D742" i="91"/>
  <c r="C742" i="91"/>
  <c r="Q741" i="91"/>
  <c r="P741" i="91"/>
  <c r="O741" i="91"/>
  <c r="M741" i="91"/>
  <c r="L741" i="91"/>
  <c r="K741" i="91"/>
  <c r="J741" i="91"/>
  <c r="I741" i="91"/>
  <c r="H741" i="91"/>
  <c r="G741" i="91"/>
  <c r="F741" i="91"/>
  <c r="E741" i="91"/>
  <c r="D741" i="91"/>
  <c r="C741" i="91"/>
  <c r="Q740" i="91"/>
  <c r="P740" i="91"/>
  <c r="O740" i="91"/>
  <c r="M740" i="91"/>
  <c r="L740" i="91"/>
  <c r="K740" i="91"/>
  <c r="J740" i="91"/>
  <c r="I740" i="91"/>
  <c r="H740" i="91"/>
  <c r="G740" i="91"/>
  <c r="F740" i="91"/>
  <c r="E740" i="91"/>
  <c r="D740" i="91"/>
  <c r="C740" i="91"/>
  <c r="Q739" i="91"/>
  <c r="P739" i="91"/>
  <c r="O739" i="91"/>
  <c r="M739" i="91"/>
  <c r="L739" i="91"/>
  <c r="K739" i="91"/>
  <c r="J739" i="91"/>
  <c r="I739" i="91"/>
  <c r="H739" i="91"/>
  <c r="G739" i="91"/>
  <c r="F739" i="91"/>
  <c r="E739" i="91"/>
  <c r="D739" i="91"/>
  <c r="C739" i="91"/>
  <c r="Q738" i="91"/>
  <c r="P738" i="91"/>
  <c r="O738" i="91"/>
  <c r="M738" i="91"/>
  <c r="L738" i="91"/>
  <c r="K738" i="91"/>
  <c r="J738" i="91"/>
  <c r="I738" i="91"/>
  <c r="H738" i="91"/>
  <c r="G738" i="91"/>
  <c r="F738" i="91"/>
  <c r="E738" i="91"/>
  <c r="D738" i="91"/>
  <c r="C738" i="91"/>
  <c r="Q737" i="91"/>
  <c r="P737" i="91"/>
  <c r="O737" i="91"/>
  <c r="M737" i="91"/>
  <c r="L737" i="91"/>
  <c r="K737" i="91"/>
  <c r="J737" i="91"/>
  <c r="I737" i="91"/>
  <c r="H737" i="91"/>
  <c r="G737" i="91"/>
  <c r="F737" i="91"/>
  <c r="E737" i="91"/>
  <c r="D737" i="91"/>
  <c r="C737" i="91"/>
  <c r="Q736" i="91"/>
  <c r="P736" i="91"/>
  <c r="O736" i="91"/>
  <c r="M736" i="91"/>
  <c r="L736" i="91"/>
  <c r="K736" i="91"/>
  <c r="J736" i="91"/>
  <c r="I736" i="91"/>
  <c r="H736" i="91"/>
  <c r="G736" i="91"/>
  <c r="F736" i="91"/>
  <c r="E736" i="91"/>
  <c r="D736" i="91"/>
  <c r="C736" i="91"/>
  <c r="Q735" i="91"/>
  <c r="P735" i="91"/>
  <c r="O735" i="91"/>
  <c r="M735" i="91"/>
  <c r="L735" i="91"/>
  <c r="K735" i="91"/>
  <c r="J735" i="91"/>
  <c r="I735" i="91"/>
  <c r="H735" i="91"/>
  <c r="G735" i="91"/>
  <c r="F735" i="91"/>
  <c r="E735" i="91"/>
  <c r="D735" i="91"/>
  <c r="C735" i="91"/>
  <c r="Q734" i="91"/>
  <c r="P734" i="91"/>
  <c r="O734" i="91"/>
  <c r="M734" i="91"/>
  <c r="L734" i="91"/>
  <c r="K734" i="91"/>
  <c r="J734" i="91"/>
  <c r="I734" i="91"/>
  <c r="H734" i="91"/>
  <c r="G734" i="91"/>
  <c r="F734" i="91"/>
  <c r="E734" i="91"/>
  <c r="D734" i="91"/>
  <c r="C734" i="91"/>
  <c r="Q733" i="91"/>
  <c r="P733" i="91"/>
  <c r="O733" i="91"/>
  <c r="M733" i="91"/>
  <c r="L733" i="91"/>
  <c r="K733" i="91"/>
  <c r="J733" i="91"/>
  <c r="I733" i="91"/>
  <c r="H733" i="91"/>
  <c r="G733" i="91"/>
  <c r="F733" i="91"/>
  <c r="E733" i="91"/>
  <c r="D733" i="91"/>
  <c r="C733" i="91"/>
  <c r="Q732" i="91"/>
  <c r="P732" i="91"/>
  <c r="O732" i="91"/>
  <c r="M732" i="91"/>
  <c r="L732" i="91"/>
  <c r="K732" i="91"/>
  <c r="J732" i="91"/>
  <c r="I732" i="91"/>
  <c r="H732" i="91"/>
  <c r="G732" i="91"/>
  <c r="F732" i="91"/>
  <c r="E732" i="91"/>
  <c r="D732" i="91"/>
  <c r="C732" i="91"/>
  <c r="Q731" i="91"/>
  <c r="P731" i="91"/>
  <c r="O731" i="91"/>
  <c r="M731" i="91"/>
  <c r="L731" i="91"/>
  <c r="K731" i="91"/>
  <c r="J731" i="91"/>
  <c r="I731" i="91"/>
  <c r="H731" i="91"/>
  <c r="G731" i="91"/>
  <c r="F731" i="91"/>
  <c r="E731" i="91"/>
  <c r="D731" i="91"/>
  <c r="C731" i="91"/>
  <c r="Q730" i="91"/>
  <c r="P730" i="91"/>
  <c r="O730" i="91"/>
  <c r="M730" i="91"/>
  <c r="L730" i="91"/>
  <c r="K730" i="91"/>
  <c r="J730" i="91"/>
  <c r="I730" i="91"/>
  <c r="H730" i="91"/>
  <c r="G730" i="91"/>
  <c r="F730" i="91"/>
  <c r="E730" i="91"/>
  <c r="D730" i="91"/>
  <c r="C730" i="91"/>
  <c r="Q729" i="91"/>
  <c r="P729" i="91"/>
  <c r="O729" i="91"/>
  <c r="M729" i="91"/>
  <c r="L729" i="91"/>
  <c r="K729" i="91"/>
  <c r="J729" i="91"/>
  <c r="I729" i="91"/>
  <c r="H729" i="91"/>
  <c r="G729" i="91"/>
  <c r="F729" i="91"/>
  <c r="E729" i="91"/>
  <c r="D729" i="91"/>
  <c r="C729" i="91"/>
  <c r="Q728" i="91"/>
  <c r="P728" i="91"/>
  <c r="O728" i="91"/>
  <c r="M728" i="91"/>
  <c r="L728" i="91"/>
  <c r="K728" i="91"/>
  <c r="J728" i="91"/>
  <c r="I728" i="91"/>
  <c r="H728" i="91"/>
  <c r="G728" i="91"/>
  <c r="F728" i="91"/>
  <c r="E728" i="91"/>
  <c r="D728" i="91"/>
  <c r="C728" i="91"/>
  <c r="Q727" i="91"/>
  <c r="P727" i="91"/>
  <c r="O727" i="91"/>
  <c r="M727" i="91"/>
  <c r="L727" i="91"/>
  <c r="K727" i="91"/>
  <c r="J727" i="91"/>
  <c r="I727" i="91"/>
  <c r="H727" i="91"/>
  <c r="G727" i="91"/>
  <c r="F727" i="91"/>
  <c r="E727" i="91"/>
  <c r="D727" i="91"/>
  <c r="C727" i="91"/>
  <c r="Q726" i="91"/>
  <c r="P726" i="91"/>
  <c r="O726" i="91"/>
  <c r="M726" i="91"/>
  <c r="L726" i="91"/>
  <c r="K726" i="91"/>
  <c r="J726" i="91"/>
  <c r="I726" i="91"/>
  <c r="H726" i="91"/>
  <c r="G726" i="91"/>
  <c r="F726" i="91"/>
  <c r="E726" i="91"/>
  <c r="D726" i="91"/>
  <c r="C726" i="91"/>
  <c r="Q725" i="91"/>
  <c r="P725" i="91"/>
  <c r="O725" i="91"/>
  <c r="M725" i="91"/>
  <c r="L725" i="91"/>
  <c r="K725" i="91"/>
  <c r="J725" i="91"/>
  <c r="I725" i="91"/>
  <c r="H725" i="91"/>
  <c r="G725" i="91"/>
  <c r="F725" i="91"/>
  <c r="E725" i="91"/>
  <c r="D725" i="91"/>
  <c r="C725" i="91"/>
  <c r="Q724" i="91"/>
  <c r="P724" i="91"/>
  <c r="O724" i="91"/>
  <c r="M724" i="91"/>
  <c r="L724" i="91"/>
  <c r="K724" i="91"/>
  <c r="J724" i="91"/>
  <c r="I724" i="91"/>
  <c r="H724" i="91"/>
  <c r="G724" i="91"/>
  <c r="F724" i="91"/>
  <c r="E724" i="91"/>
  <c r="D724" i="91"/>
  <c r="C724" i="91"/>
  <c r="Q723" i="91"/>
  <c r="P723" i="91"/>
  <c r="O723" i="91"/>
  <c r="M723" i="91"/>
  <c r="L723" i="91"/>
  <c r="K723" i="91"/>
  <c r="J723" i="91"/>
  <c r="I723" i="91"/>
  <c r="H723" i="91"/>
  <c r="G723" i="91"/>
  <c r="F723" i="91"/>
  <c r="E723" i="91"/>
  <c r="D723" i="91"/>
  <c r="C723" i="91"/>
  <c r="Q722" i="91"/>
  <c r="P722" i="91"/>
  <c r="O722" i="91"/>
  <c r="M722" i="91"/>
  <c r="L722" i="91"/>
  <c r="K722" i="91"/>
  <c r="J722" i="91"/>
  <c r="I722" i="91"/>
  <c r="H722" i="91"/>
  <c r="G722" i="91"/>
  <c r="F722" i="91"/>
  <c r="E722" i="91"/>
  <c r="D722" i="91"/>
  <c r="C722" i="91"/>
  <c r="Q721" i="91"/>
  <c r="P721" i="91"/>
  <c r="O721" i="91"/>
  <c r="M721" i="91"/>
  <c r="L721" i="91"/>
  <c r="K721" i="91"/>
  <c r="J721" i="91"/>
  <c r="I721" i="91"/>
  <c r="H721" i="91"/>
  <c r="G721" i="91"/>
  <c r="F721" i="91"/>
  <c r="E721" i="91"/>
  <c r="D721" i="91"/>
  <c r="C721" i="91"/>
  <c r="Q720" i="91"/>
  <c r="P720" i="91"/>
  <c r="O720" i="91"/>
  <c r="M720" i="91"/>
  <c r="L720" i="91"/>
  <c r="K720" i="91"/>
  <c r="J720" i="91"/>
  <c r="I720" i="91"/>
  <c r="H720" i="91"/>
  <c r="G720" i="91"/>
  <c r="F720" i="91"/>
  <c r="E720" i="91"/>
  <c r="D720" i="91"/>
  <c r="C720" i="91"/>
  <c r="Q719" i="91"/>
  <c r="P719" i="91"/>
  <c r="O719" i="91"/>
  <c r="M719" i="91"/>
  <c r="L719" i="91"/>
  <c r="K719" i="91"/>
  <c r="J719" i="91"/>
  <c r="I719" i="91"/>
  <c r="H719" i="91"/>
  <c r="G719" i="91"/>
  <c r="F719" i="91"/>
  <c r="E719" i="91"/>
  <c r="D719" i="91"/>
  <c r="C719" i="91"/>
  <c r="Q718" i="91"/>
  <c r="P718" i="91"/>
  <c r="O718" i="91"/>
  <c r="M718" i="91"/>
  <c r="L718" i="91"/>
  <c r="K718" i="91"/>
  <c r="J718" i="91"/>
  <c r="I718" i="91"/>
  <c r="H718" i="91"/>
  <c r="G718" i="91"/>
  <c r="F718" i="91"/>
  <c r="E718" i="91"/>
  <c r="D718" i="91"/>
  <c r="C718" i="91"/>
  <c r="Q717" i="91"/>
  <c r="P717" i="91"/>
  <c r="O717" i="91"/>
  <c r="M717" i="91"/>
  <c r="L717" i="91"/>
  <c r="K717" i="91"/>
  <c r="J717" i="91"/>
  <c r="I717" i="91"/>
  <c r="H717" i="91"/>
  <c r="G717" i="91"/>
  <c r="F717" i="91"/>
  <c r="E717" i="91"/>
  <c r="D717" i="91"/>
  <c r="C717" i="91"/>
  <c r="Q716" i="91"/>
  <c r="P716" i="91"/>
  <c r="O716" i="91"/>
  <c r="M716" i="91"/>
  <c r="L716" i="91"/>
  <c r="K716" i="91"/>
  <c r="J716" i="91"/>
  <c r="I716" i="91"/>
  <c r="H716" i="91"/>
  <c r="G716" i="91"/>
  <c r="F716" i="91"/>
  <c r="E716" i="91"/>
  <c r="D716" i="91"/>
  <c r="C716" i="91"/>
  <c r="Q715" i="91"/>
  <c r="P715" i="91"/>
  <c r="O715" i="91"/>
  <c r="M715" i="91"/>
  <c r="L715" i="91"/>
  <c r="K715" i="91"/>
  <c r="J715" i="91"/>
  <c r="I715" i="91"/>
  <c r="H715" i="91"/>
  <c r="G715" i="91"/>
  <c r="F715" i="91"/>
  <c r="E715" i="91"/>
  <c r="D715" i="91"/>
  <c r="C715" i="91"/>
  <c r="Q714" i="91"/>
  <c r="P714" i="91"/>
  <c r="O714" i="91"/>
  <c r="M714" i="91"/>
  <c r="L714" i="91"/>
  <c r="K714" i="91"/>
  <c r="J714" i="91"/>
  <c r="I714" i="91"/>
  <c r="H714" i="91"/>
  <c r="G714" i="91"/>
  <c r="F714" i="91"/>
  <c r="E714" i="91"/>
  <c r="D714" i="91"/>
  <c r="C714" i="91"/>
  <c r="Q713" i="91"/>
  <c r="P713" i="91"/>
  <c r="O713" i="91"/>
  <c r="M713" i="91"/>
  <c r="L713" i="91"/>
  <c r="K713" i="91"/>
  <c r="J713" i="91"/>
  <c r="I713" i="91"/>
  <c r="H713" i="91"/>
  <c r="G713" i="91"/>
  <c r="F713" i="91"/>
  <c r="E713" i="91"/>
  <c r="D713" i="91"/>
  <c r="C713" i="91"/>
  <c r="Q712" i="91"/>
  <c r="P712" i="91"/>
  <c r="O712" i="91"/>
  <c r="M712" i="91"/>
  <c r="L712" i="91"/>
  <c r="K712" i="91"/>
  <c r="J712" i="91"/>
  <c r="I712" i="91"/>
  <c r="H712" i="91"/>
  <c r="G712" i="91"/>
  <c r="F712" i="91"/>
  <c r="E712" i="91"/>
  <c r="D712" i="91"/>
  <c r="C712" i="91"/>
  <c r="Q711" i="91"/>
  <c r="P711" i="91"/>
  <c r="O711" i="91"/>
  <c r="M711" i="91"/>
  <c r="L711" i="91"/>
  <c r="K711" i="91"/>
  <c r="J711" i="91"/>
  <c r="I711" i="91"/>
  <c r="H711" i="91"/>
  <c r="G711" i="91"/>
  <c r="F711" i="91"/>
  <c r="E711" i="91"/>
  <c r="D711" i="91"/>
  <c r="C711" i="91"/>
  <c r="Q710" i="91"/>
  <c r="P710" i="91"/>
  <c r="O710" i="91"/>
  <c r="M710" i="91"/>
  <c r="L710" i="91"/>
  <c r="K710" i="91"/>
  <c r="J710" i="91"/>
  <c r="I710" i="91"/>
  <c r="H710" i="91"/>
  <c r="G710" i="91"/>
  <c r="F710" i="91"/>
  <c r="E710" i="91"/>
  <c r="D710" i="91"/>
  <c r="C710" i="91"/>
  <c r="Q709" i="91"/>
  <c r="P709" i="91"/>
  <c r="O709" i="91"/>
  <c r="M709" i="91"/>
  <c r="L709" i="91"/>
  <c r="K709" i="91"/>
  <c r="J709" i="91"/>
  <c r="I709" i="91"/>
  <c r="H709" i="91"/>
  <c r="G709" i="91"/>
  <c r="F709" i="91"/>
  <c r="E709" i="91"/>
  <c r="D709" i="91"/>
  <c r="C709" i="91"/>
  <c r="Q708" i="91"/>
  <c r="P708" i="91"/>
  <c r="O708" i="91"/>
  <c r="M708" i="91"/>
  <c r="L708" i="91"/>
  <c r="K708" i="91"/>
  <c r="J708" i="91"/>
  <c r="I708" i="91"/>
  <c r="H708" i="91"/>
  <c r="G708" i="91"/>
  <c r="F708" i="91"/>
  <c r="E708" i="91"/>
  <c r="D708" i="91"/>
  <c r="C708" i="91"/>
  <c r="Q707" i="91"/>
  <c r="P707" i="91"/>
  <c r="O707" i="91"/>
  <c r="M707" i="91"/>
  <c r="L707" i="91"/>
  <c r="K707" i="91"/>
  <c r="J707" i="91"/>
  <c r="I707" i="91"/>
  <c r="H707" i="91"/>
  <c r="G707" i="91"/>
  <c r="F707" i="91"/>
  <c r="E707" i="91"/>
  <c r="D707" i="91"/>
  <c r="C707" i="91"/>
  <c r="Q706" i="91"/>
  <c r="P706" i="91"/>
  <c r="O706" i="91"/>
  <c r="M706" i="91"/>
  <c r="L706" i="91"/>
  <c r="K706" i="91"/>
  <c r="J706" i="91"/>
  <c r="I706" i="91"/>
  <c r="H706" i="91"/>
  <c r="G706" i="91"/>
  <c r="F706" i="91"/>
  <c r="E706" i="91"/>
  <c r="D706" i="91"/>
  <c r="C706" i="91"/>
  <c r="Q705" i="91"/>
  <c r="P705" i="91"/>
  <c r="O705" i="91"/>
  <c r="M705" i="91"/>
  <c r="L705" i="91"/>
  <c r="K705" i="91"/>
  <c r="J705" i="91"/>
  <c r="I705" i="91"/>
  <c r="H705" i="91"/>
  <c r="G705" i="91"/>
  <c r="F705" i="91"/>
  <c r="E705" i="91"/>
  <c r="D705" i="91"/>
  <c r="C705" i="91"/>
  <c r="Q704" i="91"/>
  <c r="P704" i="91"/>
  <c r="O704" i="91"/>
  <c r="M704" i="91"/>
  <c r="L704" i="91"/>
  <c r="K704" i="91"/>
  <c r="J704" i="91"/>
  <c r="I704" i="91"/>
  <c r="H704" i="91"/>
  <c r="G704" i="91"/>
  <c r="F704" i="91"/>
  <c r="E704" i="91"/>
  <c r="D704" i="91"/>
  <c r="C704" i="91"/>
  <c r="Q703" i="91"/>
  <c r="P703" i="91"/>
  <c r="O703" i="91"/>
  <c r="M703" i="91"/>
  <c r="L703" i="91"/>
  <c r="K703" i="91"/>
  <c r="J703" i="91"/>
  <c r="I703" i="91"/>
  <c r="H703" i="91"/>
  <c r="G703" i="91"/>
  <c r="F703" i="91"/>
  <c r="E703" i="91"/>
  <c r="D703" i="91"/>
  <c r="C703" i="91"/>
  <c r="Q702" i="91"/>
  <c r="P702" i="91"/>
  <c r="O702" i="91"/>
  <c r="M702" i="91"/>
  <c r="L702" i="91"/>
  <c r="K702" i="91"/>
  <c r="J702" i="91"/>
  <c r="I702" i="91"/>
  <c r="H702" i="91"/>
  <c r="G702" i="91"/>
  <c r="F702" i="91"/>
  <c r="E702" i="91"/>
  <c r="D702" i="91"/>
  <c r="C702" i="91"/>
  <c r="Q701" i="91"/>
  <c r="P701" i="91"/>
  <c r="O701" i="91"/>
  <c r="M701" i="91"/>
  <c r="L701" i="91"/>
  <c r="K701" i="91"/>
  <c r="J701" i="91"/>
  <c r="I701" i="91"/>
  <c r="H701" i="91"/>
  <c r="G701" i="91"/>
  <c r="F701" i="91"/>
  <c r="E701" i="91"/>
  <c r="D701" i="91"/>
  <c r="C701" i="91"/>
  <c r="Q700" i="91"/>
  <c r="P700" i="91"/>
  <c r="O700" i="91"/>
  <c r="M700" i="91"/>
  <c r="L700" i="91"/>
  <c r="K700" i="91"/>
  <c r="J700" i="91"/>
  <c r="I700" i="91"/>
  <c r="H700" i="91"/>
  <c r="G700" i="91"/>
  <c r="F700" i="91"/>
  <c r="E700" i="91"/>
  <c r="D700" i="91"/>
  <c r="C700" i="91"/>
  <c r="Q699" i="91"/>
  <c r="P699" i="91"/>
  <c r="O699" i="91"/>
  <c r="M699" i="91"/>
  <c r="L699" i="91"/>
  <c r="K699" i="91"/>
  <c r="J699" i="91"/>
  <c r="I699" i="91"/>
  <c r="H699" i="91"/>
  <c r="G699" i="91"/>
  <c r="F699" i="91"/>
  <c r="E699" i="91"/>
  <c r="D699" i="91"/>
  <c r="C699" i="91"/>
  <c r="Q698" i="91"/>
  <c r="P698" i="91"/>
  <c r="O698" i="91"/>
  <c r="M698" i="91"/>
  <c r="L698" i="91"/>
  <c r="K698" i="91"/>
  <c r="J698" i="91"/>
  <c r="I698" i="91"/>
  <c r="H698" i="91"/>
  <c r="G698" i="91"/>
  <c r="F698" i="91"/>
  <c r="E698" i="91"/>
  <c r="D698" i="91"/>
  <c r="C698" i="91"/>
  <c r="Q697" i="91"/>
  <c r="P697" i="91"/>
  <c r="O697" i="91"/>
  <c r="M697" i="91"/>
  <c r="L697" i="91"/>
  <c r="K697" i="91"/>
  <c r="J697" i="91"/>
  <c r="I697" i="91"/>
  <c r="H697" i="91"/>
  <c r="G697" i="91"/>
  <c r="F697" i="91"/>
  <c r="E697" i="91"/>
  <c r="D697" i="91"/>
  <c r="C697" i="91"/>
  <c r="Q696" i="91"/>
  <c r="P696" i="91"/>
  <c r="O696" i="91"/>
  <c r="M696" i="91"/>
  <c r="L696" i="91"/>
  <c r="K696" i="91"/>
  <c r="J696" i="91"/>
  <c r="I696" i="91"/>
  <c r="H696" i="91"/>
  <c r="G696" i="91"/>
  <c r="F696" i="91"/>
  <c r="E696" i="91"/>
  <c r="D696" i="91"/>
  <c r="C696" i="91"/>
  <c r="Q695" i="91"/>
  <c r="P695" i="91"/>
  <c r="O695" i="91"/>
  <c r="M695" i="91"/>
  <c r="L695" i="91"/>
  <c r="K695" i="91"/>
  <c r="J695" i="91"/>
  <c r="I695" i="91"/>
  <c r="H695" i="91"/>
  <c r="G695" i="91"/>
  <c r="F695" i="91"/>
  <c r="E695" i="91"/>
  <c r="D695" i="91"/>
  <c r="C695" i="91"/>
  <c r="Q694" i="91"/>
  <c r="P694" i="91"/>
  <c r="O694" i="91"/>
  <c r="M694" i="91"/>
  <c r="L694" i="91"/>
  <c r="K694" i="91"/>
  <c r="J694" i="91"/>
  <c r="I694" i="91"/>
  <c r="H694" i="91"/>
  <c r="G694" i="91"/>
  <c r="F694" i="91"/>
  <c r="E694" i="91"/>
  <c r="D694" i="91"/>
  <c r="C694" i="91"/>
  <c r="Q693" i="91"/>
  <c r="P693" i="91"/>
  <c r="O693" i="91"/>
  <c r="M693" i="91"/>
  <c r="L693" i="91"/>
  <c r="K693" i="91"/>
  <c r="J693" i="91"/>
  <c r="I693" i="91"/>
  <c r="H693" i="91"/>
  <c r="G693" i="91"/>
  <c r="F693" i="91"/>
  <c r="E693" i="91"/>
  <c r="D693" i="91"/>
  <c r="C693" i="91"/>
  <c r="Q692" i="91"/>
  <c r="P692" i="91"/>
  <c r="O692" i="91"/>
  <c r="M692" i="91"/>
  <c r="L692" i="91"/>
  <c r="K692" i="91"/>
  <c r="J692" i="91"/>
  <c r="I692" i="91"/>
  <c r="H692" i="91"/>
  <c r="G692" i="91"/>
  <c r="F692" i="91"/>
  <c r="E692" i="91"/>
  <c r="D692" i="91"/>
  <c r="C692" i="91"/>
  <c r="Q691" i="91"/>
  <c r="P691" i="91"/>
  <c r="O691" i="91"/>
  <c r="M691" i="91"/>
  <c r="L691" i="91"/>
  <c r="K691" i="91"/>
  <c r="J691" i="91"/>
  <c r="I691" i="91"/>
  <c r="H691" i="91"/>
  <c r="G691" i="91"/>
  <c r="F691" i="91"/>
  <c r="E691" i="91"/>
  <c r="D691" i="91"/>
  <c r="C691" i="91"/>
  <c r="Q690" i="91"/>
  <c r="P690" i="91"/>
  <c r="O690" i="91"/>
  <c r="M690" i="91"/>
  <c r="L690" i="91"/>
  <c r="K690" i="91"/>
  <c r="J690" i="91"/>
  <c r="I690" i="91"/>
  <c r="H690" i="91"/>
  <c r="G690" i="91"/>
  <c r="F690" i="91"/>
  <c r="E690" i="91"/>
  <c r="D690" i="91"/>
  <c r="C690" i="91"/>
  <c r="Q689" i="91"/>
  <c r="P689" i="91"/>
  <c r="O689" i="91"/>
  <c r="M689" i="91"/>
  <c r="L689" i="91"/>
  <c r="K689" i="91"/>
  <c r="J689" i="91"/>
  <c r="I689" i="91"/>
  <c r="H689" i="91"/>
  <c r="G689" i="91"/>
  <c r="F689" i="91"/>
  <c r="E689" i="91"/>
  <c r="D689" i="91"/>
  <c r="C689" i="91"/>
  <c r="Q688" i="91"/>
  <c r="P688" i="91"/>
  <c r="O688" i="91"/>
  <c r="M688" i="91"/>
  <c r="L688" i="91"/>
  <c r="K688" i="91"/>
  <c r="J688" i="91"/>
  <c r="I688" i="91"/>
  <c r="H688" i="91"/>
  <c r="G688" i="91"/>
  <c r="F688" i="91"/>
  <c r="E688" i="91"/>
  <c r="D688" i="91"/>
  <c r="C688" i="91"/>
  <c r="Q687" i="91"/>
  <c r="P687" i="91"/>
  <c r="O687" i="91"/>
  <c r="M687" i="91"/>
  <c r="L687" i="91"/>
  <c r="K687" i="91"/>
  <c r="J687" i="91"/>
  <c r="I687" i="91"/>
  <c r="H687" i="91"/>
  <c r="G687" i="91"/>
  <c r="F687" i="91"/>
  <c r="E687" i="91"/>
  <c r="D687" i="91"/>
  <c r="C687" i="91"/>
  <c r="Q686" i="91"/>
  <c r="P686" i="91"/>
  <c r="O686" i="91"/>
  <c r="M686" i="91"/>
  <c r="L686" i="91"/>
  <c r="K686" i="91"/>
  <c r="J686" i="91"/>
  <c r="I686" i="91"/>
  <c r="H686" i="91"/>
  <c r="G686" i="91"/>
  <c r="F686" i="91"/>
  <c r="E686" i="91"/>
  <c r="D686" i="91"/>
  <c r="C686" i="91"/>
  <c r="Q685" i="91"/>
  <c r="P685" i="91"/>
  <c r="O685" i="91"/>
  <c r="M685" i="91"/>
  <c r="L685" i="91"/>
  <c r="K685" i="91"/>
  <c r="J685" i="91"/>
  <c r="I685" i="91"/>
  <c r="H685" i="91"/>
  <c r="G685" i="91"/>
  <c r="F685" i="91"/>
  <c r="E685" i="91"/>
  <c r="D685" i="91"/>
  <c r="C685" i="91"/>
  <c r="Q684" i="91"/>
  <c r="P684" i="91"/>
  <c r="O684" i="91"/>
  <c r="M684" i="91"/>
  <c r="L684" i="91"/>
  <c r="K684" i="91"/>
  <c r="J684" i="91"/>
  <c r="I684" i="91"/>
  <c r="H684" i="91"/>
  <c r="G684" i="91"/>
  <c r="F684" i="91"/>
  <c r="E684" i="91"/>
  <c r="D684" i="91"/>
  <c r="C684" i="91"/>
  <c r="Q683" i="91"/>
  <c r="P683" i="91"/>
  <c r="O683" i="91"/>
  <c r="M683" i="91"/>
  <c r="L683" i="91"/>
  <c r="K683" i="91"/>
  <c r="J683" i="91"/>
  <c r="I683" i="91"/>
  <c r="H683" i="91"/>
  <c r="G683" i="91"/>
  <c r="F683" i="91"/>
  <c r="E683" i="91"/>
  <c r="D683" i="91"/>
  <c r="C683" i="91"/>
  <c r="Q682" i="91"/>
  <c r="P682" i="91"/>
  <c r="O682" i="91"/>
  <c r="M682" i="91"/>
  <c r="L682" i="91"/>
  <c r="K682" i="91"/>
  <c r="J682" i="91"/>
  <c r="I682" i="91"/>
  <c r="H682" i="91"/>
  <c r="G682" i="91"/>
  <c r="F682" i="91"/>
  <c r="E682" i="91"/>
  <c r="D682" i="91"/>
  <c r="C682" i="91"/>
  <c r="Q681" i="91"/>
  <c r="P681" i="91"/>
  <c r="O681" i="91"/>
  <c r="M681" i="91"/>
  <c r="L681" i="91"/>
  <c r="K681" i="91"/>
  <c r="J681" i="91"/>
  <c r="I681" i="91"/>
  <c r="H681" i="91"/>
  <c r="G681" i="91"/>
  <c r="F681" i="91"/>
  <c r="E681" i="91"/>
  <c r="D681" i="91"/>
  <c r="C681" i="91"/>
  <c r="Q680" i="91"/>
  <c r="P680" i="91"/>
  <c r="O680" i="91"/>
  <c r="M680" i="91"/>
  <c r="L680" i="91"/>
  <c r="K680" i="91"/>
  <c r="J680" i="91"/>
  <c r="I680" i="91"/>
  <c r="H680" i="91"/>
  <c r="G680" i="91"/>
  <c r="F680" i="91"/>
  <c r="E680" i="91"/>
  <c r="D680" i="91"/>
  <c r="C680" i="91"/>
  <c r="Q679" i="91"/>
  <c r="P679" i="91"/>
  <c r="O679" i="91"/>
  <c r="M679" i="91"/>
  <c r="L679" i="91"/>
  <c r="K679" i="91"/>
  <c r="J679" i="91"/>
  <c r="I679" i="91"/>
  <c r="H679" i="91"/>
  <c r="G679" i="91"/>
  <c r="F679" i="91"/>
  <c r="E679" i="91"/>
  <c r="D679" i="91"/>
  <c r="C679" i="91"/>
  <c r="Q678" i="91"/>
  <c r="P678" i="91"/>
  <c r="O678" i="91"/>
  <c r="M678" i="91"/>
  <c r="L678" i="91"/>
  <c r="K678" i="91"/>
  <c r="J678" i="91"/>
  <c r="I678" i="91"/>
  <c r="H678" i="91"/>
  <c r="G678" i="91"/>
  <c r="F678" i="91"/>
  <c r="E678" i="91"/>
  <c r="D678" i="91"/>
  <c r="C678" i="91"/>
  <c r="Q677" i="91"/>
  <c r="P677" i="91"/>
  <c r="O677" i="91"/>
  <c r="M677" i="91"/>
  <c r="L677" i="91"/>
  <c r="K677" i="91"/>
  <c r="J677" i="91"/>
  <c r="I677" i="91"/>
  <c r="H677" i="91"/>
  <c r="G677" i="91"/>
  <c r="F677" i="91"/>
  <c r="E677" i="91"/>
  <c r="D677" i="91"/>
  <c r="C677" i="91"/>
  <c r="Q676" i="91"/>
  <c r="P676" i="91"/>
  <c r="O676" i="91"/>
  <c r="M676" i="91"/>
  <c r="L676" i="91"/>
  <c r="K676" i="91"/>
  <c r="J676" i="91"/>
  <c r="I676" i="91"/>
  <c r="H676" i="91"/>
  <c r="G676" i="91"/>
  <c r="F676" i="91"/>
  <c r="E676" i="91"/>
  <c r="D676" i="91"/>
  <c r="C676" i="91"/>
  <c r="Q675" i="91"/>
  <c r="P675" i="91"/>
  <c r="O675" i="91"/>
  <c r="M675" i="91"/>
  <c r="L675" i="91"/>
  <c r="K675" i="91"/>
  <c r="J675" i="91"/>
  <c r="I675" i="91"/>
  <c r="H675" i="91"/>
  <c r="G675" i="91"/>
  <c r="F675" i="91"/>
  <c r="E675" i="91"/>
  <c r="D675" i="91"/>
  <c r="C675" i="91"/>
  <c r="Q674" i="91"/>
  <c r="P674" i="91"/>
  <c r="O674" i="91"/>
  <c r="M674" i="91"/>
  <c r="L674" i="91"/>
  <c r="K674" i="91"/>
  <c r="J674" i="91"/>
  <c r="I674" i="91"/>
  <c r="H674" i="91"/>
  <c r="G674" i="91"/>
  <c r="F674" i="91"/>
  <c r="E674" i="91"/>
  <c r="D674" i="91"/>
  <c r="C674" i="91"/>
  <c r="Q673" i="91"/>
  <c r="P673" i="91"/>
  <c r="O673" i="91"/>
  <c r="M673" i="91"/>
  <c r="L673" i="91"/>
  <c r="K673" i="91"/>
  <c r="J673" i="91"/>
  <c r="I673" i="91"/>
  <c r="H673" i="91"/>
  <c r="G673" i="91"/>
  <c r="F673" i="91"/>
  <c r="E673" i="91"/>
  <c r="D673" i="91"/>
  <c r="C673" i="91"/>
  <c r="Q672" i="91"/>
  <c r="P672" i="91"/>
  <c r="O672" i="91"/>
  <c r="M672" i="91"/>
  <c r="L672" i="91"/>
  <c r="K672" i="91"/>
  <c r="J672" i="91"/>
  <c r="I672" i="91"/>
  <c r="H672" i="91"/>
  <c r="G672" i="91"/>
  <c r="F672" i="91"/>
  <c r="E672" i="91"/>
  <c r="D672" i="91"/>
  <c r="C672" i="91"/>
  <c r="Q671" i="91"/>
  <c r="P671" i="91"/>
  <c r="O671" i="91"/>
  <c r="M671" i="91"/>
  <c r="L671" i="91"/>
  <c r="K671" i="91"/>
  <c r="J671" i="91"/>
  <c r="I671" i="91"/>
  <c r="H671" i="91"/>
  <c r="G671" i="91"/>
  <c r="F671" i="91"/>
  <c r="E671" i="91"/>
  <c r="D671" i="91"/>
  <c r="C671" i="91"/>
  <c r="Q670" i="91"/>
  <c r="P670" i="91"/>
  <c r="O670" i="91"/>
  <c r="M670" i="91"/>
  <c r="L670" i="91"/>
  <c r="K670" i="91"/>
  <c r="J670" i="91"/>
  <c r="I670" i="91"/>
  <c r="H670" i="91"/>
  <c r="G670" i="91"/>
  <c r="F670" i="91"/>
  <c r="E670" i="91"/>
  <c r="D670" i="91"/>
  <c r="C670" i="91"/>
  <c r="Q669" i="91"/>
  <c r="P669" i="91"/>
  <c r="O669" i="91"/>
  <c r="M669" i="91"/>
  <c r="L669" i="91"/>
  <c r="K669" i="91"/>
  <c r="J669" i="91"/>
  <c r="I669" i="91"/>
  <c r="H669" i="91"/>
  <c r="G669" i="91"/>
  <c r="F669" i="91"/>
  <c r="E669" i="91"/>
  <c r="D669" i="91"/>
  <c r="C669" i="91"/>
  <c r="Q668" i="91"/>
  <c r="P668" i="91"/>
  <c r="O668" i="91"/>
  <c r="M668" i="91"/>
  <c r="L668" i="91"/>
  <c r="K668" i="91"/>
  <c r="J668" i="91"/>
  <c r="I668" i="91"/>
  <c r="H668" i="91"/>
  <c r="G668" i="91"/>
  <c r="F668" i="91"/>
  <c r="E668" i="91"/>
  <c r="D668" i="91"/>
  <c r="C668" i="91"/>
  <c r="Q667" i="91"/>
  <c r="P667" i="91"/>
  <c r="O667" i="91"/>
  <c r="M667" i="91"/>
  <c r="L667" i="91"/>
  <c r="K667" i="91"/>
  <c r="J667" i="91"/>
  <c r="I667" i="91"/>
  <c r="H667" i="91"/>
  <c r="G667" i="91"/>
  <c r="F667" i="91"/>
  <c r="E667" i="91"/>
  <c r="D667" i="91"/>
  <c r="C667" i="91"/>
  <c r="Q666" i="91"/>
  <c r="P666" i="91"/>
  <c r="O666" i="91"/>
  <c r="M666" i="91"/>
  <c r="L666" i="91"/>
  <c r="K666" i="91"/>
  <c r="J666" i="91"/>
  <c r="I666" i="91"/>
  <c r="H666" i="91"/>
  <c r="G666" i="91"/>
  <c r="F666" i="91"/>
  <c r="E666" i="91"/>
  <c r="D666" i="91"/>
  <c r="C666" i="91"/>
  <c r="Q665" i="91"/>
  <c r="P665" i="91"/>
  <c r="O665" i="91"/>
  <c r="M665" i="91"/>
  <c r="L665" i="91"/>
  <c r="K665" i="91"/>
  <c r="J665" i="91"/>
  <c r="I665" i="91"/>
  <c r="H665" i="91"/>
  <c r="G665" i="91"/>
  <c r="F665" i="91"/>
  <c r="E665" i="91"/>
  <c r="D665" i="91"/>
  <c r="C665" i="91"/>
  <c r="Q664" i="91"/>
  <c r="P664" i="91"/>
  <c r="O664" i="91"/>
  <c r="M664" i="91"/>
  <c r="L664" i="91"/>
  <c r="K664" i="91"/>
  <c r="J664" i="91"/>
  <c r="I664" i="91"/>
  <c r="H664" i="91"/>
  <c r="G664" i="91"/>
  <c r="F664" i="91"/>
  <c r="E664" i="91"/>
  <c r="D664" i="91"/>
  <c r="C664" i="91"/>
  <c r="Q663" i="91"/>
  <c r="P663" i="91"/>
  <c r="O663" i="91"/>
  <c r="M663" i="91"/>
  <c r="L663" i="91"/>
  <c r="K663" i="91"/>
  <c r="J663" i="91"/>
  <c r="I663" i="91"/>
  <c r="H663" i="91"/>
  <c r="G663" i="91"/>
  <c r="F663" i="91"/>
  <c r="E663" i="91"/>
  <c r="D663" i="91"/>
  <c r="C663" i="91"/>
  <c r="Q662" i="91"/>
  <c r="P662" i="91"/>
  <c r="O662" i="91"/>
  <c r="M662" i="91"/>
  <c r="L662" i="91"/>
  <c r="K662" i="91"/>
  <c r="J662" i="91"/>
  <c r="I662" i="91"/>
  <c r="H662" i="91"/>
  <c r="G662" i="91"/>
  <c r="F662" i="91"/>
  <c r="E662" i="91"/>
  <c r="D662" i="91"/>
  <c r="C662" i="91"/>
  <c r="Q661" i="91"/>
  <c r="P661" i="91"/>
  <c r="O661" i="91"/>
  <c r="M661" i="91"/>
  <c r="L661" i="91"/>
  <c r="K661" i="91"/>
  <c r="J661" i="91"/>
  <c r="I661" i="91"/>
  <c r="H661" i="91"/>
  <c r="G661" i="91"/>
  <c r="F661" i="91"/>
  <c r="E661" i="91"/>
  <c r="D661" i="91"/>
  <c r="C661" i="91"/>
  <c r="Q660" i="91"/>
  <c r="P660" i="91"/>
  <c r="O660" i="91"/>
  <c r="M660" i="91"/>
  <c r="L660" i="91"/>
  <c r="K660" i="91"/>
  <c r="J660" i="91"/>
  <c r="I660" i="91"/>
  <c r="H660" i="91"/>
  <c r="G660" i="91"/>
  <c r="F660" i="91"/>
  <c r="E660" i="91"/>
  <c r="D660" i="91"/>
  <c r="C660" i="91"/>
  <c r="Q659" i="91"/>
  <c r="P659" i="91"/>
  <c r="O659" i="91"/>
  <c r="M659" i="91"/>
  <c r="L659" i="91"/>
  <c r="K659" i="91"/>
  <c r="J659" i="91"/>
  <c r="I659" i="91"/>
  <c r="H659" i="91"/>
  <c r="G659" i="91"/>
  <c r="F659" i="91"/>
  <c r="E659" i="91"/>
  <c r="D659" i="91"/>
  <c r="C659" i="91"/>
  <c r="Q658" i="91"/>
  <c r="P658" i="91"/>
  <c r="O658" i="91"/>
  <c r="M658" i="91"/>
  <c r="L658" i="91"/>
  <c r="K658" i="91"/>
  <c r="J658" i="91"/>
  <c r="I658" i="91"/>
  <c r="H658" i="91"/>
  <c r="G658" i="91"/>
  <c r="F658" i="91"/>
  <c r="E658" i="91"/>
  <c r="D658" i="91"/>
  <c r="C658" i="91"/>
  <c r="Q657" i="91"/>
  <c r="P657" i="91"/>
  <c r="O657" i="91"/>
  <c r="M657" i="91"/>
  <c r="L657" i="91"/>
  <c r="K657" i="91"/>
  <c r="J657" i="91"/>
  <c r="I657" i="91"/>
  <c r="H657" i="91"/>
  <c r="G657" i="91"/>
  <c r="F657" i="91"/>
  <c r="E657" i="91"/>
  <c r="D657" i="91"/>
  <c r="C657" i="91"/>
  <c r="Q656" i="91"/>
  <c r="P656" i="91"/>
  <c r="O656" i="91"/>
  <c r="M656" i="91"/>
  <c r="L656" i="91"/>
  <c r="K656" i="91"/>
  <c r="J656" i="91"/>
  <c r="I656" i="91"/>
  <c r="H656" i="91"/>
  <c r="G656" i="91"/>
  <c r="F656" i="91"/>
  <c r="E656" i="91"/>
  <c r="D656" i="91"/>
  <c r="C656" i="91"/>
  <c r="Q655" i="91"/>
  <c r="P655" i="91"/>
  <c r="O655" i="91"/>
  <c r="M655" i="91"/>
  <c r="L655" i="91"/>
  <c r="K655" i="91"/>
  <c r="J655" i="91"/>
  <c r="I655" i="91"/>
  <c r="H655" i="91"/>
  <c r="G655" i="91"/>
  <c r="F655" i="91"/>
  <c r="E655" i="91"/>
  <c r="D655" i="91"/>
  <c r="C655" i="91"/>
  <c r="Q654" i="91"/>
  <c r="P654" i="91"/>
  <c r="O654" i="91"/>
  <c r="M654" i="91"/>
  <c r="L654" i="91"/>
  <c r="K654" i="91"/>
  <c r="J654" i="91"/>
  <c r="I654" i="91"/>
  <c r="H654" i="91"/>
  <c r="G654" i="91"/>
  <c r="F654" i="91"/>
  <c r="E654" i="91"/>
  <c r="D654" i="91"/>
  <c r="C654" i="91"/>
  <c r="Q653" i="91"/>
  <c r="P653" i="91"/>
  <c r="O653" i="91"/>
  <c r="M653" i="91"/>
  <c r="L653" i="91"/>
  <c r="K653" i="91"/>
  <c r="J653" i="91"/>
  <c r="I653" i="91"/>
  <c r="H653" i="91"/>
  <c r="G653" i="91"/>
  <c r="F653" i="91"/>
  <c r="E653" i="91"/>
  <c r="D653" i="91"/>
  <c r="C653" i="91"/>
  <c r="Q652" i="91"/>
  <c r="P652" i="91"/>
  <c r="O652" i="91"/>
  <c r="M652" i="91"/>
  <c r="L652" i="91"/>
  <c r="K652" i="91"/>
  <c r="J652" i="91"/>
  <c r="I652" i="91"/>
  <c r="H652" i="91"/>
  <c r="G652" i="91"/>
  <c r="F652" i="91"/>
  <c r="E652" i="91"/>
  <c r="D652" i="91"/>
  <c r="C652" i="91"/>
  <c r="Q651" i="91"/>
  <c r="P651" i="91"/>
  <c r="O651" i="91"/>
  <c r="M651" i="91"/>
  <c r="L651" i="91"/>
  <c r="K651" i="91"/>
  <c r="J651" i="91"/>
  <c r="I651" i="91"/>
  <c r="H651" i="91"/>
  <c r="G651" i="91"/>
  <c r="F651" i="91"/>
  <c r="E651" i="91"/>
  <c r="D651" i="91"/>
  <c r="C651" i="91"/>
  <c r="Q650" i="91"/>
  <c r="P650" i="91"/>
  <c r="O650" i="91"/>
  <c r="M650" i="91"/>
  <c r="L650" i="91"/>
  <c r="K650" i="91"/>
  <c r="J650" i="91"/>
  <c r="I650" i="91"/>
  <c r="H650" i="91"/>
  <c r="G650" i="91"/>
  <c r="F650" i="91"/>
  <c r="E650" i="91"/>
  <c r="D650" i="91"/>
  <c r="C650" i="91"/>
  <c r="Q649" i="91"/>
  <c r="P649" i="91"/>
  <c r="O649" i="91"/>
  <c r="M649" i="91"/>
  <c r="L649" i="91"/>
  <c r="K649" i="91"/>
  <c r="J649" i="91"/>
  <c r="I649" i="91"/>
  <c r="H649" i="91"/>
  <c r="G649" i="91"/>
  <c r="F649" i="91"/>
  <c r="E649" i="91"/>
  <c r="D649" i="91"/>
  <c r="C649" i="91"/>
  <c r="Q648" i="91"/>
  <c r="P648" i="91"/>
  <c r="O648" i="91"/>
  <c r="M648" i="91"/>
  <c r="L648" i="91"/>
  <c r="K648" i="91"/>
  <c r="J648" i="91"/>
  <c r="I648" i="91"/>
  <c r="H648" i="91"/>
  <c r="G648" i="91"/>
  <c r="F648" i="91"/>
  <c r="E648" i="91"/>
  <c r="D648" i="91"/>
  <c r="C648" i="91"/>
  <c r="Q647" i="91"/>
  <c r="P647" i="91"/>
  <c r="O647" i="91"/>
  <c r="M647" i="91"/>
  <c r="L647" i="91"/>
  <c r="K647" i="91"/>
  <c r="J647" i="91"/>
  <c r="I647" i="91"/>
  <c r="H647" i="91"/>
  <c r="G647" i="91"/>
  <c r="F647" i="91"/>
  <c r="E647" i="91"/>
  <c r="D647" i="91"/>
  <c r="C647" i="91"/>
  <c r="Q646" i="91"/>
  <c r="P646" i="91"/>
  <c r="O646" i="91"/>
  <c r="M646" i="91"/>
  <c r="L646" i="91"/>
  <c r="K646" i="91"/>
  <c r="J646" i="91"/>
  <c r="I646" i="91"/>
  <c r="H646" i="91"/>
  <c r="G646" i="91"/>
  <c r="F646" i="91"/>
  <c r="E646" i="91"/>
  <c r="D646" i="91"/>
  <c r="C646" i="91"/>
  <c r="Q645" i="91"/>
  <c r="P645" i="91"/>
  <c r="O645" i="91"/>
  <c r="M645" i="91"/>
  <c r="L645" i="91"/>
  <c r="K645" i="91"/>
  <c r="J645" i="91"/>
  <c r="I645" i="91"/>
  <c r="H645" i="91"/>
  <c r="G645" i="91"/>
  <c r="F645" i="91"/>
  <c r="E645" i="91"/>
  <c r="D645" i="91"/>
  <c r="C645" i="91"/>
  <c r="Q644" i="91"/>
  <c r="P644" i="91"/>
  <c r="O644" i="91"/>
  <c r="M644" i="91"/>
  <c r="L644" i="91"/>
  <c r="K644" i="91"/>
  <c r="J644" i="91"/>
  <c r="I644" i="91"/>
  <c r="H644" i="91"/>
  <c r="G644" i="91"/>
  <c r="F644" i="91"/>
  <c r="E644" i="91"/>
  <c r="D644" i="91"/>
  <c r="C644" i="91"/>
  <c r="Q643" i="91"/>
  <c r="P643" i="91"/>
  <c r="O643" i="91"/>
  <c r="M643" i="91"/>
  <c r="L643" i="91"/>
  <c r="K643" i="91"/>
  <c r="J643" i="91"/>
  <c r="I643" i="91"/>
  <c r="H643" i="91"/>
  <c r="G643" i="91"/>
  <c r="F643" i="91"/>
  <c r="E643" i="91"/>
  <c r="D643" i="91"/>
  <c r="C643" i="91"/>
  <c r="Q642" i="91"/>
  <c r="P642" i="91"/>
  <c r="O642" i="91"/>
  <c r="M642" i="91"/>
  <c r="L642" i="91"/>
  <c r="K642" i="91"/>
  <c r="J642" i="91"/>
  <c r="I642" i="91"/>
  <c r="H642" i="91"/>
  <c r="G642" i="91"/>
  <c r="F642" i="91"/>
  <c r="E642" i="91"/>
  <c r="D642" i="91"/>
  <c r="C642" i="91"/>
  <c r="Q641" i="91"/>
  <c r="P641" i="91"/>
  <c r="O641" i="91"/>
  <c r="M641" i="91"/>
  <c r="L641" i="91"/>
  <c r="K641" i="91"/>
  <c r="J641" i="91"/>
  <c r="I641" i="91"/>
  <c r="H641" i="91"/>
  <c r="G641" i="91"/>
  <c r="F641" i="91"/>
  <c r="E641" i="91"/>
  <c r="D641" i="91"/>
  <c r="C641" i="91"/>
  <c r="Q640" i="91"/>
  <c r="P640" i="91"/>
  <c r="O640" i="91"/>
  <c r="M640" i="91"/>
  <c r="L640" i="91"/>
  <c r="K640" i="91"/>
  <c r="J640" i="91"/>
  <c r="I640" i="91"/>
  <c r="H640" i="91"/>
  <c r="G640" i="91"/>
  <c r="F640" i="91"/>
  <c r="E640" i="91"/>
  <c r="D640" i="91"/>
  <c r="C640" i="91"/>
  <c r="Q639" i="91"/>
  <c r="P639" i="91"/>
  <c r="O639" i="91"/>
  <c r="M639" i="91"/>
  <c r="L639" i="91"/>
  <c r="K639" i="91"/>
  <c r="J639" i="91"/>
  <c r="I639" i="91"/>
  <c r="H639" i="91"/>
  <c r="G639" i="91"/>
  <c r="F639" i="91"/>
  <c r="E639" i="91"/>
  <c r="D639" i="91"/>
  <c r="C639" i="91"/>
  <c r="Q638" i="91"/>
  <c r="P638" i="91"/>
  <c r="O638" i="91"/>
  <c r="M638" i="91"/>
  <c r="L638" i="91"/>
  <c r="K638" i="91"/>
  <c r="J638" i="91"/>
  <c r="I638" i="91"/>
  <c r="H638" i="91"/>
  <c r="G638" i="91"/>
  <c r="F638" i="91"/>
  <c r="E638" i="91"/>
  <c r="D638" i="91"/>
  <c r="C638" i="91"/>
  <c r="Q637" i="91"/>
  <c r="P637" i="91"/>
  <c r="O637" i="91"/>
  <c r="M637" i="91"/>
  <c r="L637" i="91"/>
  <c r="K637" i="91"/>
  <c r="J637" i="91"/>
  <c r="I637" i="91"/>
  <c r="H637" i="91"/>
  <c r="G637" i="91"/>
  <c r="F637" i="91"/>
  <c r="E637" i="91"/>
  <c r="D637" i="91"/>
  <c r="C637" i="91"/>
  <c r="Q636" i="91"/>
  <c r="P636" i="91"/>
  <c r="O636" i="91"/>
  <c r="M636" i="91"/>
  <c r="L636" i="91"/>
  <c r="K636" i="91"/>
  <c r="J636" i="91"/>
  <c r="I636" i="91"/>
  <c r="H636" i="91"/>
  <c r="G636" i="91"/>
  <c r="F636" i="91"/>
  <c r="E636" i="91"/>
  <c r="D636" i="91"/>
  <c r="C636" i="91"/>
  <c r="Q635" i="91"/>
  <c r="P635" i="91"/>
  <c r="O635" i="91"/>
  <c r="M635" i="91"/>
  <c r="L635" i="91"/>
  <c r="K635" i="91"/>
  <c r="J635" i="91"/>
  <c r="I635" i="91"/>
  <c r="H635" i="91"/>
  <c r="G635" i="91"/>
  <c r="F635" i="91"/>
  <c r="E635" i="91"/>
  <c r="D635" i="91"/>
  <c r="C635" i="91"/>
  <c r="Q634" i="91"/>
  <c r="P634" i="91"/>
  <c r="O634" i="91"/>
  <c r="M634" i="91"/>
  <c r="L634" i="91"/>
  <c r="K634" i="91"/>
  <c r="J634" i="91"/>
  <c r="I634" i="91"/>
  <c r="H634" i="91"/>
  <c r="G634" i="91"/>
  <c r="F634" i="91"/>
  <c r="E634" i="91"/>
  <c r="D634" i="91"/>
  <c r="C634" i="91"/>
  <c r="Q633" i="91"/>
  <c r="P633" i="91"/>
  <c r="O633" i="91"/>
  <c r="M633" i="91"/>
  <c r="L633" i="91"/>
  <c r="K633" i="91"/>
  <c r="J633" i="91"/>
  <c r="I633" i="91"/>
  <c r="H633" i="91"/>
  <c r="G633" i="91"/>
  <c r="F633" i="91"/>
  <c r="E633" i="91"/>
  <c r="D633" i="91"/>
  <c r="C633" i="91"/>
  <c r="Q632" i="91"/>
  <c r="P632" i="91"/>
  <c r="O632" i="91"/>
  <c r="M632" i="91"/>
  <c r="L632" i="91"/>
  <c r="K632" i="91"/>
  <c r="J632" i="91"/>
  <c r="I632" i="91"/>
  <c r="H632" i="91"/>
  <c r="G632" i="91"/>
  <c r="F632" i="91"/>
  <c r="E632" i="91"/>
  <c r="D632" i="91"/>
  <c r="C632" i="91"/>
  <c r="Q631" i="91"/>
  <c r="P631" i="91"/>
  <c r="O631" i="91"/>
  <c r="M631" i="91"/>
  <c r="L631" i="91"/>
  <c r="K631" i="91"/>
  <c r="J631" i="91"/>
  <c r="I631" i="91"/>
  <c r="H631" i="91"/>
  <c r="G631" i="91"/>
  <c r="F631" i="91"/>
  <c r="E631" i="91"/>
  <c r="D631" i="91"/>
  <c r="C631" i="91"/>
  <c r="Q630" i="91"/>
  <c r="P630" i="91"/>
  <c r="O630" i="91"/>
  <c r="M630" i="91"/>
  <c r="L630" i="91"/>
  <c r="K630" i="91"/>
  <c r="J630" i="91"/>
  <c r="I630" i="91"/>
  <c r="H630" i="91"/>
  <c r="G630" i="91"/>
  <c r="F630" i="91"/>
  <c r="E630" i="91"/>
  <c r="D630" i="91"/>
  <c r="C630" i="91"/>
  <c r="Q629" i="91"/>
  <c r="P629" i="91"/>
  <c r="O629" i="91"/>
  <c r="M629" i="91"/>
  <c r="L629" i="91"/>
  <c r="K629" i="91"/>
  <c r="J629" i="91"/>
  <c r="I629" i="91"/>
  <c r="H629" i="91"/>
  <c r="G629" i="91"/>
  <c r="F629" i="91"/>
  <c r="E629" i="91"/>
  <c r="D629" i="91"/>
  <c r="C629" i="91"/>
  <c r="Q628" i="91"/>
  <c r="P628" i="91"/>
  <c r="O628" i="91"/>
  <c r="M628" i="91"/>
  <c r="L628" i="91"/>
  <c r="K628" i="91"/>
  <c r="J628" i="91"/>
  <c r="I628" i="91"/>
  <c r="H628" i="91"/>
  <c r="G628" i="91"/>
  <c r="F628" i="91"/>
  <c r="E628" i="91"/>
  <c r="D628" i="91"/>
  <c r="C628" i="91"/>
  <c r="Q627" i="91"/>
  <c r="P627" i="91"/>
  <c r="O627" i="91"/>
  <c r="M627" i="91"/>
  <c r="L627" i="91"/>
  <c r="K627" i="91"/>
  <c r="J627" i="91"/>
  <c r="I627" i="91"/>
  <c r="H627" i="91"/>
  <c r="G627" i="91"/>
  <c r="F627" i="91"/>
  <c r="E627" i="91"/>
  <c r="D627" i="91"/>
  <c r="C627" i="91"/>
  <c r="Q626" i="91"/>
  <c r="P626" i="91"/>
  <c r="O626" i="91"/>
  <c r="M626" i="91"/>
  <c r="L626" i="91"/>
  <c r="K626" i="91"/>
  <c r="J626" i="91"/>
  <c r="I626" i="91"/>
  <c r="H626" i="91"/>
  <c r="G626" i="91"/>
  <c r="F626" i="91"/>
  <c r="E626" i="91"/>
  <c r="D626" i="91"/>
  <c r="C626" i="91"/>
  <c r="Q625" i="91"/>
  <c r="P625" i="91"/>
  <c r="O625" i="91"/>
  <c r="M625" i="91"/>
  <c r="L625" i="91"/>
  <c r="K625" i="91"/>
  <c r="J625" i="91"/>
  <c r="I625" i="91"/>
  <c r="H625" i="91"/>
  <c r="G625" i="91"/>
  <c r="F625" i="91"/>
  <c r="E625" i="91"/>
  <c r="D625" i="91"/>
  <c r="C625" i="91"/>
  <c r="Q624" i="91"/>
  <c r="P624" i="91"/>
  <c r="O624" i="91"/>
  <c r="M624" i="91"/>
  <c r="L624" i="91"/>
  <c r="K624" i="91"/>
  <c r="J624" i="91"/>
  <c r="I624" i="91"/>
  <c r="H624" i="91"/>
  <c r="G624" i="91"/>
  <c r="F624" i="91"/>
  <c r="E624" i="91"/>
  <c r="D624" i="91"/>
  <c r="C624" i="91"/>
  <c r="Q623" i="91"/>
  <c r="P623" i="91"/>
  <c r="O623" i="91"/>
  <c r="M623" i="91"/>
  <c r="L623" i="91"/>
  <c r="K623" i="91"/>
  <c r="J623" i="91"/>
  <c r="I623" i="91"/>
  <c r="H623" i="91"/>
  <c r="G623" i="91"/>
  <c r="F623" i="91"/>
  <c r="E623" i="91"/>
  <c r="D623" i="91"/>
  <c r="C623" i="91"/>
  <c r="Q622" i="91"/>
  <c r="P622" i="91"/>
  <c r="O622" i="91"/>
  <c r="M622" i="91"/>
  <c r="L622" i="91"/>
  <c r="K622" i="91"/>
  <c r="J622" i="91"/>
  <c r="I622" i="91"/>
  <c r="H622" i="91"/>
  <c r="G622" i="91"/>
  <c r="F622" i="91"/>
  <c r="E622" i="91"/>
  <c r="D622" i="91"/>
  <c r="C622" i="91"/>
  <c r="Q621" i="91"/>
  <c r="P621" i="91"/>
  <c r="O621" i="91"/>
  <c r="M621" i="91"/>
  <c r="L621" i="91"/>
  <c r="K621" i="91"/>
  <c r="J621" i="91"/>
  <c r="I621" i="91"/>
  <c r="H621" i="91"/>
  <c r="G621" i="91"/>
  <c r="F621" i="91"/>
  <c r="E621" i="91"/>
  <c r="D621" i="91"/>
  <c r="C621" i="91"/>
  <c r="Q620" i="91"/>
  <c r="P620" i="91"/>
  <c r="O620" i="91"/>
  <c r="M620" i="91"/>
  <c r="L620" i="91"/>
  <c r="K620" i="91"/>
  <c r="J620" i="91"/>
  <c r="I620" i="91"/>
  <c r="H620" i="91"/>
  <c r="G620" i="91"/>
  <c r="F620" i="91"/>
  <c r="E620" i="91"/>
  <c r="D620" i="91"/>
  <c r="C620" i="91"/>
  <c r="Q619" i="91"/>
  <c r="P619" i="91"/>
  <c r="O619" i="91"/>
  <c r="M619" i="91"/>
  <c r="L619" i="91"/>
  <c r="K619" i="91"/>
  <c r="J619" i="91"/>
  <c r="I619" i="91"/>
  <c r="H619" i="91"/>
  <c r="G619" i="91"/>
  <c r="F619" i="91"/>
  <c r="E619" i="91"/>
  <c r="D619" i="91"/>
  <c r="C619" i="91"/>
  <c r="Q618" i="91"/>
  <c r="P618" i="91"/>
  <c r="O618" i="91"/>
  <c r="M618" i="91"/>
  <c r="L618" i="91"/>
  <c r="K618" i="91"/>
  <c r="J618" i="91"/>
  <c r="I618" i="91"/>
  <c r="H618" i="91"/>
  <c r="G618" i="91"/>
  <c r="F618" i="91"/>
  <c r="E618" i="91"/>
  <c r="D618" i="91"/>
  <c r="C618" i="91"/>
  <c r="Q617" i="91"/>
  <c r="P617" i="91"/>
  <c r="O617" i="91"/>
  <c r="M617" i="91"/>
  <c r="L617" i="91"/>
  <c r="K617" i="91"/>
  <c r="J617" i="91"/>
  <c r="I617" i="91"/>
  <c r="H617" i="91"/>
  <c r="G617" i="91"/>
  <c r="F617" i="91"/>
  <c r="E617" i="91"/>
  <c r="D617" i="91"/>
  <c r="C617" i="91"/>
  <c r="Q616" i="91"/>
  <c r="P616" i="91"/>
  <c r="O616" i="91"/>
  <c r="M616" i="91"/>
  <c r="L616" i="91"/>
  <c r="K616" i="91"/>
  <c r="J616" i="91"/>
  <c r="I616" i="91"/>
  <c r="H616" i="91"/>
  <c r="G616" i="91"/>
  <c r="F616" i="91"/>
  <c r="E616" i="91"/>
  <c r="D616" i="91"/>
  <c r="C616" i="91"/>
  <c r="Q615" i="91"/>
  <c r="P615" i="91"/>
  <c r="O615" i="91"/>
  <c r="M615" i="91"/>
  <c r="L615" i="91"/>
  <c r="K615" i="91"/>
  <c r="J615" i="91"/>
  <c r="I615" i="91"/>
  <c r="H615" i="91"/>
  <c r="G615" i="91"/>
  <c r="F615" i="91"/>
  <c r="E615" i="91"/>
  <c r="D615" i="91"/>
  <c r="C615" i="91"/>
  <c r="Q614" i="91"/>
  <c r="P614" i="91"/>
  <c r="O614" i="91"/>
  <c r="M614" i="91"/>
  <c r="L614" i="91"/>
  <c r="K614" i="91"/>
  <c r="J614" i="91"/>
  <c r="I614" i="91"/>
  <c r="H614" i="91"/>
  <c r="G614" i="91"/>
  <c r="F614" i="91"/>
  <c r="E614" i="91"/>
  <c r="D614" i="91"/>
  <c r="C614" i="91"/>
  <c r="Q613" i="91"/>
  <c r="P613" i="91"/>
  <c r="O613" i="91"/>
  <c r="M613" i="91"/>
  <c r="L613" i="91"/>
  <c r="K613" i="91"/>
  <c r="J613" i="91"/>
  <c r="I613" i="91"/>
  <c r="H613" i="91"/>
  <c r="G613" i="91"/>
  <c r="F613" i="91"/>
  <c r="E613" i="91"/>
  <c r="D613" i="91"/>
  <c r="C613" i="91"/>
  <c r="Q612" i="91"/>
  <c r="P612" i="91"/>
  <c r="O612" i="91"/>
  <c r="M612" i="91"/>
  <c r="L612" i="91"/>
  <c r="K612" i="91"/>
  <c r="J612" i="91"/>
  <c r="I612" i="91"/>
  <c r="H612" i="91"/>
  <c r="G612" i="91"/>
  <c r="F612" i="91"/>
  <c r="E612" i="91"/>
  <c r="D612" i="91"/>
  <c r="C612" i="91"/>
  <c r="Q611" i="91"/>
  <c r="P611" i="91"/>
  <c r="O611" i="91"/>
  <c r="M611" i="91"/>
  <c r="L611" i="91"/>
  <c r="K611" i="91"/>
  <c r="J611" i="91"/>
  <c r="I611" i="91"/>
  <c r="H611" i="91"/>
  <c r="G611" i="91"/>
  <c r="F611" i="91"/>
  <c r="E611" i="91"/>
  <c r="D611" i="91"/>
  <c r="C611" i="91"/>
  <c r="Q610" i="91"/>
  <c r="P610" i="91"/>
  <c r="O610" i="91"/>
  <c r="M610" i="91"/>
  <c r="L610" i="91"/>
  <c r="K610" i="91"/>
  <c r="J610" i="91"/>
  <c r="I610" i="91"/>
  <c r="H610" i="91"/>
  <c r="G610" i="91"/>
  <c r="F610" i="91"/>
  <c r="E610" i="91"/>
  <c r="D610" i="91"/>
  <c r="C610" i="91"/>
  <c r="Q609" i="91"/>
  <c r="P609" i="91"/>
  <c r="O609" i="91"/>
  <c r="M609" i="91"/>
  <c r="L609" i="91"/>
  <c r="K609" i="91"/>
  <c r="J609" i="91"/>
  <c r="I609" i="91"/>
  <c r="H609" i="91"/>
  <c r="G609" i="91"/>
  <c r="F609" i="91"/>
  <c r="E609" i="91"/>
  <c r="D609" i="91"/>
  <c r="C609" i="91"/>
  <c r="Q608" i="91"/>
  <c r="P608" i="91"/>
  <c r="O608" i="91"/>
  <c r="M608" i="91"/>
  <c r="L608" i="91"/>
  <c r="K608" i="91"/>
  <c r="J608" i="91"/>
  <c r="I608" i="91"/>
  <c r="H608" i="91"/>
  <c r="G608" i="91"/>
  <c r="F608" i="91"/>
  <c r="E608" i="91"/>
  <c r="D608" i="91"/>
  <c r="C608" i="91"/>
  <c r="Q607" i="91"/>
  <c r="P607" i="91"/>
  <c r="O607" i="91"/>
  <c r="M607" i="91"/>
  <c r="L607" i="91"/>
  <c r="K607" i="91"/>
  <c r="J607" i="91"/>
  <c r="I607" i="91"/>
  <c r="H607" i="91"/>
  <c r="G607" i="91"/>
  <c r="F607" i="91"/>
  <c r="E607" i="91"/>
  <c r="D607" i="91"/>
  <c r="C607" i="91"/>
  <c r="Q606" i="91"/>
  <c r="P606" i="91"/>
  <c r="O606" i="91"/>
  <c r="M606" i="91"/>
  <c r="L606" i="91"/>
  <c r="K606" i="91"/>
  <c r="J606" i="91"/>
  <c r="I606" i="91"/>
  <c r="H606" i="91"/>
  <c r="G606" i="91"/>
  <c r="F606" i="91"/>
  <c r="E606" i="91"/>
  <c r="D606" i="91"/>
  <c r="C606" i="91"/>
  <c r="Q605" i="91"/>
  <c r="P605" i="91"/>
  <c r="O605" i="91"/>
  <c r="M605" i="91"/>
  <c r="L605" i="91"/>
  <c r="K605" i="91"/>
  <c r="J605" i="91"/>
  <c r="I605" i="91"/>
  <c r="H605" i="91"/>
  <c r="G605" i="91"/>
  <c r="F605" i="91"/>
  <c r="E605" i="91"/>
  <c r="D605" i="91"/>
  <c r="C605" i="91"/>
  <c r="Q604" i="91"/>
  <c r="P604" i="91"/>
  <c r="O604" i="91"/>
  <c r="M604" i="91"/>
  <c r="L604" i="91"/>
  <c r="K604" i="91"/>
  <c r="J604" i="91"/>
  <c r="I604" i="91"/>
  <c r="H604" i="91"/>
  <c r="G604" i="91"/>
  <c r="F604" i="91"/>
  <c r="E604" i="91"/>
  <c r="D604" i="91"/>
  <c r="C604" i="91"/>
  <c r="Q603" i="91"/>
  <c r="P603" i="91"/>
  <c r="O603" i="91"/>
  <c r="M603" i="91"/>
  <c r="L603" i="91"/>
  <c r="K603" i="91"/>
  <c r="J603" i="91"/>
  <c r="I603" i="91"/>
  <c r="H603" i="91"/>
  <c r="G603" i="91"/>
  <c r="F603" i="91"/>
  <c r="E603" i="91"/>
  <c r="D603" i="91"/>
  <c r="C603" i="91"/>
  <c r="Q602" i="91"/>
  <c r="P602" i="91"/>
  <c r="O602" i="91"/>
  <c r="M602" i="91"/>
  <c r="L602" i="91"/>
  <c r="K602" i="91"/>
  <c r="J602" i="91"/>
  <c r="I602" i="91"/>
  <c r="H602" i="91"/>
  <c r="G602" i="91"/>
  <c r="F602" i="91"/>
  <c r="E602" i="91"/>
  <c r="D602" i="91"/>
  <c r="C602" i="91"/>
  <c r="Q601" i="91"/>
  <c r="P601" i="91"/>
  <c r="O601" i="91"/>
  <c r="M601" i="91"/>
  <c r="L601" i="91"/>
  <c r="K601" i="91"/>
  <c r="J601" i="91"/>
  <c r="I601" i="91"/>
  <c r="H601" i="91"/>
  <c r="G601" i="91"/>
  <c r="F601" i="91"/>
  <c r="E601" i="91"/>
  <c r="D601" i="91"/>
  <c r="C601" i="91"/>
  <c r="Q600" i="91"/>
  <c r="P600" i="91"/>
  <c r="O600" i="91"/>
  <c r="M600" i="91"/>
  <c r="L600" i="91"/>
  <c r="K600" i="91"/>
  <c r="J600" i="91"/>
  <c r="I600" i="91"/>
  <c r="H600" i="91"/>
  <c r="G600" i="91"/>
  <c r="F600" i="91"/>
  <c r="E600" i="91"/>
  <c r="D600" i="91"/>
  <c r="C600" i="91"/>
  <c r="Q599" i="91"/>
  <c r="P599" i="91"/>
  <c r="O599" i="91"/>
  <c r="M599" i="91"/>
  <c r="L599" i="91"/>
  <c r="K599" i="91"/>
  <c r="J599" i="91"/>
  <c r="I599" i="91"/>
  <c r="H599" i="91"/>
  <c r="G599" i="91"/>
  <c r="F599" i="91"/>
  <c r="E599" i="91"/>
  <c r="D599" i="91"/>
  <c r="C599" i="91"/>
  <c r="Q598" i="91"/>
  <c r="P598" i="91"/>
  <c r="O598" i="91"/>
  <c r="M598" i="91"/>
  <c r="L598" i="91"/>
  <c r="K598" i="91"/>
  <c r="J598" i="91"/>
  <c r="I598" i="91"/>
  <c r="H598" i="91"/>
  <c r="G598" i="91"/>
  <c r="F598" i="91"/>
  <c r="E598" i="91"/>
  <c r="D598" i="91"/>
  <c r="C598" i="91"/>
  <c r="Q597" i="91"/>
  <c r="P597" i="91"/>
  <c r="O597" i="91"/>
  <c r="M597" i="91"/>
  <c r="L597" i="91"/>
  <c r="K597" i="91"/>
  <c r="J597" i="91"/>
  <c r="I597" i="91"/>
  <c r="H597" i="91"/>
  <c r="G597" i="91"/>
  <c r="F597" i="91"/>
  <c r="E597" i="91"/>
  <c r="D597" i="91"/>
  <c r="C597" i="91"/>
  <c r="Q596" i="91"/>
  <c r="P596" i="91"/>
  <c r="O596" i="91"/>
  <c r="M596" i="91"/>
  <c r="L596" i="91"/>
  <c r="K596" i="91"/>
  <c r="J596" i="91"/>
  <c r="I596" i="91"/>
  <c r="H596" i="91"/>
  <c r="G596" i="91"/>
  <c r="F596" i="91"/>
  <c r="E596" i="91"/>
  <c r="D596" i="91"/>
  <c r="C596" i="91"/>
  <c r="Q595" i="91"/>
  <c r="P595" i="91"/>
  <c r="O595" i="91"/>
  <c r="M595" i="91"/>
  <c r="L595" i="91"/>
  <c r="K595" i="91"/>
  <c r="J595" i="91"/>
  <c r="I595" i="91"/>
  <c r="H595" i="91"/>
  <c r="G595" i="91"/>
  <c r="F595" i="91"/>
  <c r="E595" i="91"/>
  <c r="D595" i="91"/>
  <c r="C595" i="91"/>
  <c r="Q594" i="91"/>
  <c r="P594" i="91"/>
  <c r="O594" i="91"/>
  <c r="M594" i="91"/>
  <c r="L594" i="91"/>
  <c r="K594" i="91"/>
  <c r="J594" i="91"/>
  <c r="I594" i="91"/>
  <c r="H594" i="91"/>
  <c r="G594" i="91"/>
  <c r="F594" i="91"/>
  <c r="E594" i="91"/>
  <c r="D594" i="91"/>
  <c r="C594" i="91"/>
  <c r="Q593" i="91"/>
  <c r="P593" i="91"/>
  <c r="O593" i="91"/>
  <c r="M593" i="91"/>
  <c r="L593" i="91"/>
  <c r="K593" i="91"/>
  <c r="J593" i="91"/>
  <c r="I593" i="91"/>
  <c r="H593" i="91"/>
  <c r="G593" i="91"/>
  <c r="F593" i="91"/>
  <c r="E593" i="91"/>
  <c r="D593" i="91"/>
  <c r="C593" i="91"/>
  <c r="Q592" i="91"/>
  <c r="P592" i="91"/>
  <c r="O592" i="91"/>
  <c r="M592" i="91"/>
  <c r="L592" i="91"/>
  <c r="K592" i="91"/>
  <c r="J592" i="91"/>
  <c r="I592" i="91"/>
  <c r="H592" i="91"/>
  <c r="G592" i="91"/>
  <c r="F592" i="91"/>
  <c r="E592" i="91"/>
  <c r="D592" i="91"/>
  <c r="C592" i="91"/>
  <c r="Q591" i="91"/>
  <c r="P591" i="91"/>
  <c r="O591" i="91"/>
  <c r="M591" i="91"/>
  <c r="L591" i="91"/>
  <c r="K591" i="91"/>
  <c r="J591" i="91"/>
  <c r="I591" i="91"/>
  <c r="H591" i="91"/>
  <c r="G591" i="91"/>
  <c r="F591" i="91"/>
  <c r="E591" i="91"/>
  <c r="D591" i="91"/>
  <c r="C591" i="91"/>
  <c r="Q590" i="91"/>
  <c r="P590" i="91"/>
  <c r="O590" i="91"/>
  <c r="M590" i="91"/>
  <c r="L590" i="91"/>
  <c r="K590" i="91"/>
  <c r="J590" i="91"/>
  <c r="I590" i="91"/>
  <c r="H590" i="91"/>
  <c r="G590" i="91"/>
  <c r="F590" i="91"/>
  <c r="E590" i="91"/>
  <c r="D590" i="91"/>
  <c r="C590" i="91"/>
  <c r="Q589" i="91"/>
  <c r="P589" i="91"/>
  <c r="O589" i="91"/>
  <c r="M589" i="91"/>
  <c r="L589" i="91"/>
  <c r="K589" i="91"/>
  <c r="J589" i="91"/>
  <c r="I589" i="91"/>
  <c r="H589" i="91"/>
  <c r="G589" i="91"/>
  <c r="F589" i="91"/>
  <c r="E589" i="91"/>
  <c r="D589" i="91"/>
  <c r="C589" i="91"/>
  <c r="Q588" i="91"/>
  <c r="P588" i="91"/>
  <c r="O588" i="91"/>
  <c r="M588" i="91"/>
  <c r="L588" i="91"/>
  <c r="K588" i="91"/>
  <c r="J588" i="91"/>
  <c r="I588" i="91"/>
  <c r="H588" i="91"/>
  <c r="G588" i="91"/>
  <c r="F588" i="91"/>
  <c r="E588" i="91"/>
  <c r="D588" i="91"/>
  <c r="C588" i="91"/>
  <c r="Q587" i="91"/>
  <c r="P587" i="91"/>
  <c r="O587" i="91"/>
  <c r="M587" i="91"/>
  <c r="L587" i="91"/>
  <c r="K587" i="91"/>
  <c r="J587" i="91"/>
  <c r="I587" i="91"/>
  <c r="H587" i="91"/>
  <c r="G587" i="91"/>
  <c r="F587" i="91"/>
  <c r="E587" i="91"/>
  <c r="D587" i="91"/>
  <c r="C587" i="91"/>
  <c r="Q586" i="91"/>
  <c r="P586" i="91"/>
  <c r="O586" i="91"/>
  <c r="M586" i="91"/>
  <c r="L586" i="91"/>
  <c r="K586" i="91"/>
  <c r="J586" i="91"/>
  <c r="I586" i="91"/>
  <c r="H586" i="91"/>
  <c r="G586" i="91"/>
  <c r="F586" i="91"/>
  <c r="E586" i="91"/>
  <c r="D586" i="91"/>
  <c r="C586" i="91"/>
  <c r="Q585" i="91"/>
  <c r="P585" i="91"/>
  <c r="O585" i="91"/>
  <c r="M585" i="91"/>
  <c r="L585" i="91"/>
  <c r="K585" i="91"/>
  <c r="J585" i="91"/>
  <c r="I585" i="91"/>
  <c r="H585" i="91"/>
  <c r="G585" i="91"/>
  <c r="F585" i="91"/>
  <c r="E585" i="91"/>
  <c r="D585" i="91"/>
  <c r="C585" i="91"/>
  <c r="Q584" i="91"/>
  <c r="P584" i="91"/>
  <c r="O584" i="91"/>
  <c r="M584" i="91"/>
  <c r="L584" i="91"/>
  <c r="K584" i="91"/>
  <c r="J584" i="91"/>
  <c r="I584" i="91"/>
  <c r="H584" i="91"/>
  <c r="G584" i="91"/>
  <c r="F584" i="91"/>
  <c r="E584" i="91"/>
  <c r="D584" i="91"/>
  <c r="C584" i="91"/>
  <c r="Q583" i="91"/>
  <c r="P583" i="91"/>
  <c r="O583" i="91"/>
  <c r="M583" i="91"/>
  <c r="L583" i="91"/>
  <c r="K583" i="91"/>
  <c r="J583" i="91"/>
  <c r="I583" i="91"/>
  <c r="H583" i="91"/>
  <c r="G583" i="91"/>
  <c r="F583" i="91"/>
  <c r="E583" i="91"/>
  <c r="D583" i="91"/>
  <c r="C583" i="91"/>
  <c r="Q582" i="91"/>
  <c r="P582" i="91"/>
  <c r="O582" i="91"/>
  <c r="M582" i="91"/>
  <c r="L582" i="91"/>
  <c r="K582" i="91"/>
  <c r="J582" i="91"/>
  <c r="I582" i="91"/>
  <c r="H582" i="91"/>
  <c r="G582" i="91"/>
  <c r="F582" i="91"/>
  <c r="E582" i="91"/>
  <c r="D582" i="91"/>
  <c r="C582" i="91"/>
  <c r="Q581" i="91"/>
  <c r="P581" i="91"/>
  <c r="O581" i="91"/>
  <c r="M581" i="91"/>
  <c r="L581" i="91"/>
  <c r="K581" i="91"/>
  <c r="J581" i="91"/>
  <c r="I581" i="91"/>
  <c r="H581" i="91"/>
  <c r="G581" i="91"/>
  <c r="F581" i="91"/>
  <c r="E581" i="91"/>
  <c r="D581" i="91"/>
  <c r="C581" i="91"/>
  <c r="Q580" i="91"/>
  <c r="P580" i="91"/>
  <c r="O580" i="91"/>
  <c r="M580" i="91"/>
  <c r="L580" i="91"/>
  <c r="K580" i="91"/>
  <c r="J580" i="91"/>
  <c r="I580" i="91"/>
  <c r="H580" i="91"/>
  <c r="G580" i="91"/>
  <c r="F580" i="91"/>
  <c r="E580" i="91"/>
  <c r="D580" i="91"/>
  <c r="C580" i="91"/>
  <c r="Q579" i="91"/>
  <c r="P579" i="91"/>
  <c r="O579" i="91"/>
  <c r="M579" i="91"/>
  <c r="L579" i="91"/>
  <c r="K579" i="91"/>
  <c r="J579" i="91"/>
  <c r="I579" i="91"/>
  <c r="H579" i="91"/>
  <c r="G579" i="91"/>
  <c r="F579" i="91"/>
  <c r="E579" i="91"/>
  <c r="D579" i="91"/>
  <c r="C579" i="91"/>
  <c r="Q578" i="91"/>
  <c r="P578" i="91"/>
  <c r="O578" i="91"/>
  <c r="M578" i="91"/>
  <c r="L578" i="91"/>
  <c r="K578" i="91"/>
  <c r="J578" i="91"/>
  <c r="I578" i="91"/>
  <c r="H578" i="91"/>
  <c r="G578" i="91"/>
  <c r="F578" i="91"/>
  <c r="E578" i="91"/>
  <c r="D578" i="91"/>
  <c r="C578" i="91"/>
  <c r="Q577" i="91"/>
  <c r="P577" i="91"/>
  <c r="O577" i="91"/>
  <c r="M577" i="91"/>
  <c r="L577" i="91"/>
  <c r="K577" i="91"/>
  <c r="J577" i="91"/>
  <c r="I577" i="91"/>
  <c r="H577" i="91"/>
  <c r="G577" i="91"/>
  <c r="F577" i="91"/>
  <c r="E577" i="91"/>
  <c r="D577" i="91"/>
  <c r="C577" i="91"/>
  <c r="Q576" i="91"/>
  <c r="P576" i="91"/>
  <c r="O576" i="91"/>
  <c r="M576" i="91"/>
  <c r="L576" i="91"/>
  <c r="K576" i="91"/>
  <c r="J576" i="91"/>
  <c r="I576" i="91"/>
  <c r="H576" i="91"/>
  <c r="G576" i="91"/>
  <c r="F576" i="91"/>
  <c r="E576" i="91"/>
  <c r="D576" i="91"/>
  <c r="C576" i="91"/>
  <c r="Q575" i="91"/>
  <c r="P575" i="91"/>
  <c r="O575" i="91"/>
  <c r="M575" i="91"/>
  <c r="L575" i="91"/>
  <c r="K575" i="91"/>
  <c r="J575" i="91"/>
  <c r="I575" i="91"/>
  <c r="H575" i="91"/>
  <c r="G575" i="91"/>
  <c r="F575" i="91"/>
  <c r="E575" i="91"/>
  <c r="D575" i="91"/>
  <c r="C575" i="91"/>
  <c r="Q574" i="91"/>
  <c r="P574" i="91"/>
  <c r="O574" i="91"/>
  <c r="M574" i="91"/>
  <c r="L574" i="91"/>
  <c r="K574" i="91"/>
  <c r="J574" i="91"/>
  <c r="I574" i="91"/>
  <c r="H574" i="91"/>
  <c r="G574" i="91"/>
  <c r="F574" i="91"/>
  <c r="E574" i="91"/>
  <c r="D574" i="91"/>
  <c r="C574" i="91"/>
  <c r="Q573" i="91"/>
  <c r="P573" i="91"/>
  <c r="O573" i="91"/>
  <c r="M573" i="91"/>
  <c r="L573" i="91"/>
  <c r="K573" i="91"/>
  <c r="J573" i="91"/>
  <c r="I573" i="91"/>
  <c r="H573" i="91"/>
  <c r="G573" i="91"/>
  <c r="F573" i="91"/>
  <c r="E573" i="91"/>
  <c r="D573" i="91"/>
  <c r="C573" i="91"/>
  <c r="Q572" i="91"/>
  <c r="P572" i="91"/>
  <c r="O572" i="91"/>
  <c r="M572" i="91"/>
  <c r="L572" i="91"/>
  <c r="K572" i="91"/>
  <c r="J572" i="91"/>
  <c r="I572" i="91"/>
  <c r="H572" i="91"/>
  <c r="G572" i="91"/>
  <c r="F572" i="91"/>
  <c r="E572" i="91"/>
  <c r="D572" i="91"/>
  <c r="C572" i="91"/>
  <c r="Q571" i="91"/>
  <c r="P571" i="91"/>
  <c r="O571" i="91"/>
  <c r="M571" i="91"/>
  <c r="L571" i="91"/>
  <c r="K571" i="91"/>
  <c r="J571" i="91"/>
  <c r="I571" i="91"/>
  <c r="H571" i="91"/>
  <c r="G571" i="91"/>
  <c r="F571" i="91"/>
  <c r="E571" i="91"/>
  <c r="D571" i="91"/>
  <c r="C571" i="91"/>
  <c r="Q570" i="91"/>
  <c r="P570" i="91"/>
  <c r="O570" i="91"/>
  <c r="M570" i="91"/>
  <c r="L570" i="91"/>
  <c r="K570" i="91"/>
  <c r="J570" i="91"/>
  <c r="I570" i="91"/>
  <c r="H570" i="91"/>
  <c r="G570" i="91"/>
  <c r="F570" i="91"/>
  <c r="E570" i="91"/>
  <c r="D570" i="91"/>
  <c r="C570" i="91"/>
  <c r="Q569" i="91"/>
  <c r="P569" i="91"/>
  <c r="O569" i="91"/>
  <c r="M569" i="91"/>
  <c r="L569" i="91"/>
  <c r="K569" i="91"/>
  <c r="J569" i="91"/>
  <c r="I569" i="91"/>
  <c r="H569" i="91"/>
  <c r="G569" i="91"/>
  <c r="F569" i="91"/>
  <c r="E569" i="91"/>
  <c r="D569" i="91"/>
  <c r="C569" i="91"/>
  <c r="Q568" i="91"/>
  <c r="P568" i="91"/>
  <c r="O568" i="91"/>
  <c r="M568" i="91"/>
  <c r="L568" i="91"/>
  <c r="K568" i="91"/>
  <c r="J568" i="91"/>
  <c r="I568" i="91"/>
  <c r="H568" i="91"/>
  <c r="G568" i="91"/>
  <c r="F568" i="91"/>
  <c r="E568" i="91"/>
  <c r="D568" i="91"/>
  <c r="C568" i="91"/>
  <c r="Q567" i="91"/>
  <c r="P567" i="91"/>
  <c r="O567" i="91"/>
  <c r="M567" i="91"/>
  <c r="L567" i="91"/>
  <c r="K567" i="91"/>
  <c r="J567" i="91"/>
  <c r="I567" i="91"/>
  <c r="H567" i="91"/>
  <c r="G567" i="91"/>
  <c r="F567" i="91"/>
  <c r="E567" i="91"/>
  <c r="D567" i="91"/>
  <c r="C567" i="91"/>
  <c r="Q566" i="91"/>
  <c r="P566" i="91"/>
  <c r="O566" i="91"/>
  <c r="M566" i="91"/>
  <c r="L566" i="91"/>
  <c r="K566" i="91"/>
  <c r="J566" i="91"/>
  <c r="I566" i="91"/>
  <c r="H566" i="91"/>
  <c r="G566" i="91"/>
  <c r="F566" i="91"/>
  <c r="E566" i="91"/>
  <c r="D566" i="91"/>
  <c r="C566" i="91"/>
  <c r="Q565" i="91"/>
  <c r="P565" i="91"/>
  <c r="O565" i="91"/>
  <c r="M565" i="91"/>
  <c r="L565" i="91"/>
  <c r="K565" i="91"/>
  <c r="J565" i="91"/>
  <c r="I565" i="91"/>
  <c r="H565" i="91"/>
  <c r="G565" i="91"/>
  <c r="F565" i="91"/>
  <c r="E565" i="91"/>
  <c r="D565" i="91"/>
  <c r="C565" i="91"/>
  <c r="Q564" i="91"/>
  <c r="P564" i="91"/>
  <c r="O564" i="91"/>
  <c r="M564" i="91"/>
  <c r="L564" i="91"/>
  <c r="K564" i="91"/>
  <c r="J564" i="91"/>
  <c r="I564" i="91"/>
  <c r="H564" i="91"/>
  <c r="G564" i="91"/>
  <c r="F564" i="91"/>
  <c r="E564" i="91"/>
  <c r="D564" i="91"/>
  <c r="C564" i="91"/>
  <c r="Q563" i="91"/>
  <c r="P563" i="91"/>
  <c r="O563" i="91"/>
  <c r="M563" i="91"/>
  <c r="L563" i="91"/>
  <c r="K563" i="91"/>
  <c r="J563" i="91"/>
  <c r="I563" i="91"/>
  <c r="H563" i="91"/>
  <c r="G563" i="91"/>
  <c r="F563" i="91"/>
  <c r="E563" i="91"/>
  <c r="D563" i="91"/>
  <c r="C563" i="91"/>
  <c r="Q562" i="91"/>
  <c r="P562" i="91"/>
  <c r="O562" i="91"/>
  <c r="M562" i="91"/>
  <c r="L562" i="91"/>
  <c r="K562" i="91"/>
  <c r="J562" i="91"/>
  <c r="I562" i="91"/>
  <c r="H562" i="91"/>
  <c r="G562" i="91"/>
  <c r="F562" i="91"/>
  <c r="E562" i="91"/>
  <c r="D562" i="91"/>
  <c r="C562" i="91"/>
  <c r="Q561" i="91"/>
  <c r="P561" i="91"/>
  <c r="O561" i="91"/>
  <c r="M561" i="91"/>
  <c r="L561" i="91"/>
  <c r="K561" i="91"/>
  <c r="J561" i="91"/>
  <c r="I561" i="91"/>
  <c r="H561" i="91"/>
  <c r="G561" i="91"/>
  <c r="F561" i="91"/>
  <c r="E561" i="91"/>
  <c r="D561" i="91"/>
  <c r="C561" i="91"/>
  <c r="Q560" i="91"/>
  <c r="P560" i="91"/>
  <c r="O560" i="91"/>
  <c r="M560" i="91"/>
  <c r="L560" i="91"/>
  <c r="K560" i="91"/>
  <c r="J560" i="91"/>
  <c r="I560" i="91"/>
  <c r="H560" i="91"/>
  <c r="G560" i="91"/>
  <c r="F560" i="91"/>
  <c r="E560" i="91"/>
  <c r="D560" i="91"/>
  <c r="C560" i="91"/>
  <c r="Q559" i="91"/>
  <c r="P559" i="91"/>
  <c r="O559" i="91"/>
  <c r="M559" i="91"/>
  <c r="L559" i="91"/>
  <c r="K559" i="91"/>
  <c r="J559" i="91"/>
  <c r="I559" i="91"/>
  <c r="H559" i="91"/>
  <c r="G559" i="91"/>
  <c r="F559" i="91"/>
  <c r="E559" i="91"/>
  <c r="D559" i="91"/>
  <c r="C559" i="91"/>
  <c r="Q558" i="91"/>
  <c r="P558" i="91"/>
  <c r="O558" i="91"/>
  <c r="M558" i="91"/>
  <c r="L558" i="91"/>
  <c r="K558" i="91"/>
  <c r="J558" i="91"/>
  <c r="I558" i="91"/>
  <c r="H558" i="91"/>
  <c r="G558" i="91"/>
  <c r="F558" i="91"/>
  <c r="E558" i="91"/>
  <c r="D558" i="91"/>
  <c r="C558" i="91"/>
  <c r="Q557" i="91"/>
  <c r="P557" i="91"/>
  <c r="O557" i="91"/>
  <c r="M557" i="91"/>
  <c r="L557" i="91"/>
  <c r="K557" i="91"/>
  <c r="J557" i="91"/>
  <c r="I557" i="91"/>
  <c r="H557" i="91"/>
  <c r="G557" i="91"/>
  <c r="F557" i="91"/>
  <c r="E557" i="91"/>
  <c r="D557" i="91"/>
  <c r="C557" i="91"/>
  <c r="Q556" i="91"/>
  <c r="P556" i="91"/>
  <c r="O556" i="91"/>
  <c r="M556" i="91"/>
  <c r="L556" i="91"/>
  <c r="K556" i="91"/>
  <c r="J556" i="91"/>
  <c r="I556" i="91"/>
  <c r="H556" i="91"/>
  <c r="G556" i="91"/>
  <c r="F556" i="91"/>
  <c r="E556" i="91"/>
  <c r="D556" i="91"/>
  <c r="C556" i="91"/>
  <c r="Q555" i="91"/>
  <c r="P555" i="91"/>
  <c r="O555" i="91"/>
  <c r="M555" i="91"/>
  <c r="L555" i="91"/>
  <c r="K555" i="91"/>
  <c r="J555" i="91"/>
  <c r="I555" i="91"/>
  <c r="H555" i="91"/>
  <c r="G555" i="91"/>
  <c r="F555" i="91"/>
  <c r="E555" i="91"/>
  <c r="D555" i="91"/>
  <c r="C555" i="91"/>
  <c r="Q554" i="91"/>
  <c r="P554" i="91"/>
  <c r="O554" i="91"/>
  <c r="M554" i="91"/>
  <c r="L554" i="91"/>
  <c r="K554" i="91"/>
  <c r="J554" i="91"/>
  <c r="I554" i="91"/>
  <c r="H554" i="91"/>
  <c r="G554" i="91"/>
  <c r="F554" i="91"/>
  <c r="E554" i="91"/>
  <c r="D554" i="91"/>
  <c r="C554" i="91"/>
  <c r="Q553" i="91"/>
  <c r="P553" i="91"/>
  <c r="O553" i="91"/>
  <c r="M553" i="91"/>
  <c r="L553" i="91"/>
  <c r="K553" i="91"/>
  <c r="J553" i="91"/>
  <c r="I553" i="91"/>
  <c r="H553" i="91"/>
  <c r="G553" i="91"/>
  <c r="F553" i="91"/>
  <c r="E553" i="91"/>
  <c r="D553" i="91"/>
  <c r="C553" i="91"/>
  <c r="Q552" i="91"/>
  <c r="P552" i="91"/>
  <c r="O552" i="91"/>
  <c r="M552" i="91"/>
  <c r="L552" i="91"/>
  <c r="K552" i="91"/>
  <c r="J552" i="91"/>
  <c r="I552" i="91"/>
  <c r="H552" i="91"/>
  <c r="G552" i="91"/>
  <c r="F552" i="91"/>
  <c r="E552" i="91"/>
  <c r="D552" i="91"/>
  <c r="C552" i="91"/>
  <c r="Q551" i="91"/>
  <c r="P551" i="91"/>
  <c r="O551" i="91"/>
  <c r="M551" i="91"/>
  <c r="L551" i="91"/>
  <c r="K551" i="91"/>
  <c r="J551" i="91"/>
  <c r="I551" i="91"/>
  <c r="H551" i="91"/>
  <c r="G551" i="91"/>
  <c r="F551" i="91"/>
  <c r="E551" i="91"/>
  <c r="D551" i="91"/>
  <c r="C551" i="91"/>
  <c r="Q550" i="91"/>
  <c r="P550" i="91"/>
  <c r="O550" i="91"/>
  <c r="M550" i="91"/>
  <c r="L550" i="91"/>
  <c r="K550" i="91"/>
  <c r="J550" i="91"/>
  <c r="I550" i="91"/>
  <c r="H550" i="91"/>
  <c r="G550" i="91"/>
  <c r="F550" i="91"/>
  <c r="E550" i="91"/>
  <c r="D550" i="91"/>
  <c r="C550" i="91"/>
  <c r="Q549" i="91"/>
  <c r="P549" i="91"/>
  <c r="O549" i="91"/>
  <c r="M549" i="91"/>
  <c r="L549" i="91"/>
  <c r="K549" i="91"/>
  <c r="J549" i="91"/>
  <c r="I549" i="91"/>
  <c r="H549" i="91"/>
  <c r="G549" i="91"/>
  <c r="F549" i="91"/>
  <c r="E549" i="91"/>
  <c r="D549" i="91"/>
  <c r="C549" i="91"/>
  <c r="Q548" i="91"/>
  <c r="P548" i="91"/>
  <c r="O548" i="91"/>
  <c r="M548" i="91"/>
  <c r="L548" i="91"/>
  <c r="K548" i="91"/>
  <c r="J548" i="91"/>
  <c r="I548" i="91"/>
  <c r="H548" i="91"/>
  <c r="G548" i="91"/>
  <c r="F548" i="91"/>
  <c r="E548" i="91"/>
  <c r="D548" i="91"/>
  <c r="C548" i="91"/>
  <c r="Q547" i="91"/>
  <c r="P547" i="91"/>
  <c r="O547" i="91"/>
  <c r="M547" i="91"/>
  <c r="L547" i="91"/>
  <c r="K547" i="91"/>
  <c r="J547" i="91"/>
  <c r="I547" i="91"/>
  <c r="H547" i="91"/>
  <c r="G547" i="91"/>
  <c r="F547" i="91"/>
  <c r="E547" i="91"/>
  <c r="D547" i="91"/>
  <c r="C547" i="91"/>
  <c r="Q546" i="91"/>
  <c r="P546" i="91"/>
  <c r="O546" i="91"/>
  <c r="M546" i="91"/>
  <c r="L546" i="91"/>
  <c r="K546" i="91"/>
  <c r="J546" i="91"/>
  <c r="I546" i="91"/>
  <c r="H546" i="91"/>
  <c r="G546" i="91"/>
  <c r="F546" i="91"/>
  <c r="E546" i="91"/>
  <c r="D546" i="91"/>
  <c r="C546" i="91"/>
  <c r="Q545" i="91"/>
  <c r="P545" i="91"/>
  <c r="O545" i="91"/>
  <c r="M545" i="91"/>
  <c r="L545" i="91"/>
  <c r="K545" i="91"/>
  <c r="J545" i="91"/>
  <c r="I545" i="91"/>
  <c r="H545" i="91"/>
  <c r="G545" i="91"/>
  <c r="F545" i="91"/>
  <c r="E545" i="91"/>
  <c r="D545" i="91"/>
  <c r="C545" i="91"/>
  <c r="Q544" i="91"/>
  <c r="P544" i="91"/>
  <c r="O544" i="91"/>
  <c r="M544" i="91"/>
  <c r="L544" i="91"/>
  <c r="K544" i="91"/>
  <c r="J544" i="91"/>
  <c r="I544" i="91"/>
  <c r="H544" i="91"/>
  <c r="G544" i="91"/>
  <c r="F544" i="91"/>
  <c r="E544" i="91"/>
  <c r="D544" i="91"/>
  <c r="C544" i="91"/>
  <c r="Q543" i="91"/>
  <c r="P543" i="91"/>
  <c r="O543" i="91"/>
  <c r="M543" i="91"/>
  <c r="L543" i="91"/>
  <c r="K543" i="91"/>
  <c r="J543" i="91"/>
  <c r="I543" i="91"/>
  <c r="H543" i="91"/>
  <c r="G543" i="91"/>
  <c r="F543" i="91"/>
  <c r="E543" i="91"/>
  <c r="D543" i="91"/>
  <c r="C543" i="91"/>
  <c r="Q542" i="91"/>
  <c r="P542" i="91"/>
  <c r="O542" i="91"/>
  <c r="M542" i="91"/>
  <c r="L542" i="91"/>
  <c r="K542" i="91"/>
  <c r="J542" i="91"/>
  <c r="I542" i="91"/>
  <c r="H542" i="91"/>
  <c r="G542" i="91"/>
  <c r="F542" i="91"/>
  <c r="E542" i="91"/>
  <c r="D542" i="91"/>
  <c r="C542" i="91"/>
  <c r="Q541" i="91"/>
  <c r="P541" i="91"/>
  <c r="O541" i="91"/>
  <c r="M541" i="91"/>
  <c r="L541" i="91"/>
  <c r="K541" i="91"/>
  <c r="J541" i="91"/>
  <c r="I541" i="91"/>
  <c r="H541" i="91"/>
  <c r="G541" i="91"/>
  <c r="F541" i="91"/>
  <c r="E541" i="91"/>
  <c r="D541" i="91"/>
  <c r="C541" i="91"/>
  <c r="Q540" i="91"/>
  <c r="P540" i="91"/>
  <c r="O540" i="91"/>
  <c r="M540" i="91"/>
  <c r="L540" i="91"/>
  <c r="K540" i="91"/>
  <c r="J540" i="91"/>
  <c r="I540" i="91"/>
  <c r="H540" i="91"/>
  <c r="G540" i="91"/>
  <c r="F540" i="91"/>
  <c r="E540" i="91"/>
  <c r="D540" i="91"/>
  <c r="C540" i="91"/>
  <c r="Q539" i="91"/>
  <c r="P539" i="91"/>
  <c r="O539" i="91"/>
  <c r="M539" i="91"/>
  <c r="L539" i="91"/>
  <c r="K539" i="91"/>
  <c r="J539" i="91"/>
  <c r="I539" i="91"/>
  <c r="H539" i="91"/>
  <c r="G539" i="91"/>
  <c r="F539" i="91"/>
  <c r="E539" i="91"/>
  <c r="D539" i="91"/>
  <c r="C539" i="91"/>
  <c r="Q538" i="91"/>
  <c r="P538" i="91"/>
  <c r="O538" i="91"/>
  <c r="M538" i="91"/>
  <c r="L538" i="91"/>
  <c r="K538" i="91"/>
  <c r="J538" i="91"/>
  <c r="I538" i="91"/>
  <c r="H538" i="91"/>
  <c r="G538" i="91"/>
  <c r="F538" i="91"/>
  <c r="E538" i="91"/>
  <c r="D538" i="91"/>
  <c r="C538" i="91"/>
  <c r="Q537" i="91"/>
  <c r="P537" i="91"/>
  <c r="O537" i="91"/>
  <c r="M537" i="91"/>
  <c r="L537" i="91"/>
  <c r="K537" i="91"/>
  <c r="J537" i="91"/>
  <c r="I537" i="91"/>
  <c r="H537" i="91"/>
  <c r="G537" i="91"/>
  <c r="F537" i="91"/>
  <c r="E537" i="91"/>
  <c r="D537" i="91"/>
  <c r="C537" i="91"/>
  <c r="Q536" i="91"/>
  <c r="P536" i="91"/>
  <c r="O536" i="91"/>
  <c r="M536" i="91"/>
  <c r="L536" i="91"/>
  <c r="K536" i="91"/>
  <c r="J536" i="91"/>
  <c r="I536" i="91"/>
  <c r="H536" i="91"/>
  <c r="G536" i="91"/>
  <c r="F536" i="91"/>
  <c r="E536" i="91"/>
  <c r="D536" i="91"/>
  <c r="C536" i="91"/>
  <c r="Q535" i="91"/>
  <c r="P535" i="91"/>
  <c r="O535" i="91"/>
  <c r="M535" i="91"/>
  <c r="L535" i="91"/>
  <c r="K535" i="91"/>
  <c r="J535" i="91"/>
  <c r="I535" i="91"/>
  <c r="H535" i="91"/>
  <c r="G535" i="91"/>
  <c r="F535" i="91"/>
  <c r="E535" i="91"/>
  <c r="D535" i="91"/>
  <c r="C535" i="91"/>
  <c r="Q534" i="91"/>
  <c r="P534" i="91"/>
  <c r="O534" i="91"/>
  <c r="M534" i="91"/>
  <c r="L534" i="91"/>
  <c r="K534" i="91"/>
  <c r="J534" i="91"/>
  <c r="I534" i="91"/>
  <c r="H534" i="91"/>
  <c r="G534" i="91"/>
  <c r="F534" i="91"/>
  <c r="E534" i="91"/>
  <c r="D534" i="91"/>
  <c r="C534" i="91"/>
  <c r="Q533" i="91"/>
  <c r="P533" i="91"/>
  <c r="O533" i="91"/>
  <c r="M533" i="91"/>
  <c r="L533" i="91"/>
  <c r="K533" i="91"/>
  <c r="J533" i="91"/>
  <c r="I533" i="91"/>
  <c r="H533" i="91"/>
  <c r="G533" i="91"/>
  <c r="F533" i="91"/>
  <c r="E533" i="91"/>
  <c r="D533" i="91"/>
  <c r="C533" i="91"/>
  <c r="Q532" i="91"/>
  <c r="P532" i="91"/>
  <c r="O532" i="91"/>
  <c r="M532" i="91"/>
  <c r="L532" i="91"/>
  <c r="K532" i="91"/>
  <c r="J532" i="91"/>
  <c r="I532" i="91"/>
  <c r="H532" i="91"/>
  <c r="G532" i="91"/>
  <c r="F532" i="91"/>
  <c r="E532" i="91"/>
  <c r="D532" i="91"/>
  <c r="C532" i="91"/>
  <c r="Q531" i="91"/>
  <c r="P531" i="91"/>
  <c r="O531" i="91"/>
  <c r="M531" i="91"/>
  <c r="L531" i="91"/>
  <c r="K531" i="91"/>
  <c r="J531" i="91"/>
  <c r="I531" i="91"/>
  <c r="H531" i="91"/>
  <c r="G531" i="91"/>
  <c r="F531" i="91"/>
  <c r="E531" i="91"/>
  <c r="D531" i="91"/>
  <c r="C531" i="91"/>
  <c r="Q530" i="91"/>
  <c r="P530" i="91"/>
  <c r="O530" i="91"/>
  <c r="M530" i="91"/>
  <c r="L530" i="91"/>
  <c r="K530" i="91"/>
  <c r="J530" i="91"/>
  <c r="I530" i="91"/>
  <c r="H530" i="91"/>
  <c r="G530" i="91"/>
  <c r="F530" i="91"/>
  <c r="E530" i="91"/>
  <c r="D530" i="91"/>
  <c r="C530" i="91"/>
  <c r="Q529" i="91"/>
  <c r="P529" i="91"/>
  <c r="O529" i="91"/>
  <c r="M529" i="91"/>
  <c r="L529" i="91"/>
  <c r="K529" i="91"/>
  <c r="J529" i="91"/>
  <c r="I529" i="91"/>
  <c r="H529" i="91"/>
  <c r="G529" i="91"/>
  <c r="F529" i="91"/>
  <c r="E529" i="91"/>
  <c r="D529" i="91"/>
  <c r="C529" i="91"/>
  <c r="Q528" i="91"/>
  <c r="P528" i="91"/>
  <c r="O528" i="91"/>
  <c r="M528" i="91"/>
  <c r="L528" i="91"/>
  <c r="K528" i="91"/>
  <c r="J528" i="91"/>
  <c r="I528" i="91"/>
  <c r="H528" i="91"/>
  <c r="G528" i="91"/>
  <c r="F528" i="91"/>
  <c r="E528" i="91"/>
  <c r="D528" i="91"/>
  <c r="C528" i="91"/>
  <c r="Q527" i="91"/>
  <c r="P527" i="91"/>
  <c r="O527" i="91"/>
  <c r="M527" i="91"/>
  <c r="L527" i="91"/>
  <c r="K527" i="91"/>
  <c r="J527" i="91"/>
  <c r="I527" i="91"/>
  <c r="H527" i="91"/>
  <c r="G527" i="91"/>
  <c r="F527" i="91"/>
  <c r="E527" i="91"/>
  <c r="D527" i="91"/>
  <c r="C527" i="91"/>
  <c r="Q526" i="91"/>
  <c r="P526" i="91"/>
  <c r="O526" i="91"/>
  <c r="M526" i="91"/>
  <c r="L526" i="91"/>
  <c r="K526" i="91"/>
  <c r="J526" i="91"/>
  <c r="I526" i="91"/>
  <c r="H526" i="91"/>
  <c r="G526" i="91"/>
  <c r="F526" i="91"/>
  <c r="E526" i="91"/>
  <c r="D526" i="91"/>
  <c r="C526" i="91"/>
  <c r="Q525" i="91"/>
  <c r="P525" i="91"/>
  <c r="O525" i="91"/>
  <c r="M525" i="91"/>
  <c r="L525" i="91"/>
  <c r="K525" i="91"/>
  <c r="J525" i="91"/>
  <c r="I525" i="91"/>
  <c r="H525" i="91"/>
  <c r="G525" i="91"/>
  <c r="F525" i="91"/>
  <c r="E525" i="91"/>
  <c r="D525" i="91"/>
  <c r="C525" i="91"/>
  <c r="Q524" i="91"/>
  <c r="P524" i="91"/>
  <c r="O524" i="91"/>
  <c r="M524" i="91"/>
  <c r="L524" i="91"/>
  <c r="K524" i="91"/>
  <c r="J524" i="91"/>
  <c r="I524" i="91"/>
  <c r="H524" i="91"/>
  <c r="G524" i="91"/>
  <c r="F524" i="91"/>
  <c r="E524" i="91"/>
  <c r="D524" i="91"/>
  <c r="C524" i="91"/>
  <c r="Q523" i="91"/>
  <c r="P523" i="91"/>
  <c r="O523" i="91"/>
  <c r="M523" i="91"/>
  <c r="L523" i="91"/>
  <c r="K523" i="91"/>
  <c r="J523" i="91"/>
  <c r="I523" i="91"/>
  <c r="H523" i="91"/>
  <c r="G523" i="91"/>
  <c r="F523" i="91"/>
  <c r="E523" i="91"/>
  <c r="D523" i="91"/>
  <c r="C523" i="91"/>
  <c r="Q522" i="91"/>
  <c r="P522" i="91"/>
  <c r="O522" i="91"/>
  <c r="M522" i="91"/>
  <c r="L522" i="91"/>
  <c r="K522" i="91"/>
  <c r="J522" i="91"/>
  <c r="I522" i="91"/>
  <c r="H522" i="91"/>
  <c r="G522" i="91"/>
  <c r="F522" i="91"/>
  <c r="E522" i="91"/>
  <c r="D522" i="91"/>
  <c r="C522" i="91"/>
  <c r="Q521" i="91"/>
  <c r="P521" i="91"/>
  <c r="O521" i="91"/>
  <c r="M521" i="91"/>
  <c r="L521" i="91"/>
  <c r="K521" i="91"/>
  <c r="J521" i="91"/>
  <c r="I521" i="91"/>
  <c r="H521" i="91"/>
  <c r="G521" i="91"/>
  <c r="F521" i="91"/>
  <c r="E521" i="91"/>
  <c r="D521" i="91"/>
  <c r="C521" i="91"/>
  <c r="Q520" i="91"/>
  <c r="P520" i="91"/>
  <c r="O520" i="91"/>
  <c r="M520" i="91"/>
  <c r="L520" i="91"/>
  <c r="K520" i="91"/>
  <c r="J520" i="91"/>
  <c r="I520" i="91"/>
  <c r="H520" i="91"/>
  <c r="G520" i="91"/>
  <c r="F520" i="91"/>
  <c r="E520" i="91"/>
  <c r="D520" i="91"/>
  <c r="C520" i="91"/>
  <c r="Q519" i="91"/>
  <c r="P519" i="91"/>
  <c r="O519" i="91"/>
  <c r="M519" i="91"/>
  <c r="L519" i="91"/>
  <c r="K519" i="91"/>
  <c r="J519" i="91"/>
  <c r="I519" i="91"/>
  <c r="H519" i="91"/>
  <c r="G519" i="91"/>
  <c r="F519" i="91"/>
  <c r="E519" i="91"/>
  <c r="D519" i="91"/>
  <c r="C519" i="91"/>
  <c r="Q518" i="91"/>
  <c r="P518" i="91"/>
  <c r="O518" i="91"/>
  <c r="M518" i="91"/>
  <c r="L518" i="91"/>
  <c r="K518" i="91"/>
  <c r="J518" i="91"/>
  <c r="I518" i="91"/>
  <c r="H518" i="91"/>
  <c r="G518" i="91"/>
  <c r="F518" i="91"/>
  <c r="E518" i="91"/>
  <c r="D518" i="91"/>
  <c r="C518" i="91"/>
  <c r="Q517" i="91"/>
  <c r="P517" i="91"/>
  <c r="O517" i="91"/>
  <c r="M517" i="91"/>
  <c r="L517" i="91"/>
  <c r="K517" i="91"/>
  <c r="J517" i="91"/>
  <c r="I517" i="91"/>
  <c r="H517" i="91"/>
  <c r="G517" i="91"/>
  <c r="F517" i="91"/>
  <c r="E517" i="91"/>
  <c r="D517" i="91"/>
  <c r="C517" i="91"/>
  <c r="Q516" i="91"/>
  <c r="P516" i="91"/>
  <c r="O516" i="91"/>
  <c r="M516" i="91"/>
  <c r="L516" i="91"/>
  <c r="K516" i="91"/>
  <c r="J516" i="91"/>
  <c r="I516" i="91"/>
  <c r="H516" i="91"/>
  <c r="G516" i="91"/>
  <c r="F516" i="91"/>
  <c r="E516" i="91"/>
  <c r="D516" i="91"/>
  <c r="C516" i="91"/>
  <c r="Q515" i="91"/>
  <c r="P515" i="91"/>
  <c r="O515" i="91"/>
  <c r="M515" i="91"/>
  <c r="L515" i="91"/>
  <c r="K515" i="91"/>
  <c r="J515" i="91"/>
  <c r="I515" i="91"/>
  <c r="H515" i="91"/>
  <c r="G515" i="91"/>
  <c r="F515" i="91"/>
  <c r="E515" i="91"/>
  <c r="D515" i="91"/>
  <c r="C515" i="91"/>
  <c r="Q514" i="91"/>
  <c r="P514" i="91"/>
  <c r="O514" i="91"/>
  <c r="M514" i="91"/>
  <c r="L514" i="91"/>
  <c r="K514" i="91"/>
  <c r="J514" i="91"/>
  <c r="I514" i="91"/>
  <c r="H514" i="91"/>
  <c r="G514" i="91"/>
  <c r="F514" i="91"/>
  <c r="E514" i="91"/>
  <c r="D514" i="91"/>
  <c r="C514" i="91"/>
  <c r="Q513" i="91"/>
  <c r="P513" i="91"/>
  <c r="O513" i="91"/>
  <c r="M513" i="91"/>
  <c r="L513" i="91"/>
  <c r="K513" i="91"/>
  <c r="J513" i="91"/>
  <c r="I513" i="91"/>
  <c r="H513" i="91"/>
  <c r="G513" i="91"/>
  <c r="F513" i="91"/>
  <c r="E513" i="91"/>
  <c r="D513" i="91"/>
  <c r="C513" i="91"/>
  <c r="Q512" i="91"/>
  <c r="P512" i="91"/>
  <c r="O512" i="91"/>
  <c r="M512" i="91"/>
  <c r="L512" i="91"/>
  <c r="K512" i="91"/>
  <c r="J512" i="91"/>
  <c r="I512" i="91"/>
  <c r="H512" i="91"/>
  <c r="G512" i="91"/>
  <c r="F512" i="91"/>
  <c r="E512" i="91"/>
  <c r="D512" i="91"/>
  <c r="C512" i="91"/>
  <c r="Q511" i="91"/>
  <c r="P511" i="91"/>
  <c r="O511" i="91"/>
  <c r="M511" i="91"/>
  <c r="L511" i="91"/>
  <c r="K511" i="91"/>
  <c r="J511" i="91"/>
  <c r="I511" i="91"/>
  <c r="H511" i="91"/>
  <c r="G511" i="91"/>
  <c r="F511" i="91"/>
  <c r="E511" i="91"/>
  <c r="D511" i="91"/>
  <c r="C511" i="91"/>
  <c r="Q510" i="91"/>
  <c r="P510" i="91"/>
  <c r="O510" i="91"/>
  <c r="M510" i="91"/>
  <c r="L510" i="91"/>
  <c r="K510" i="91"/>
  <c r="J510" i="91"/>
  <c r="I510" i="91"/>
  <c r="H510" i="91"/>
  <c r="G510" i="91"/>
  <c r="F510" i="91"/>
  <c r="E510" i="91"/>
  <c r="D510" i="91"/>
  <c r="C510" i="91"/>
  <c r="Q509" i="91"/>
  <c r="P509" i="91"/>
  <c r="O509" i="91"/>
  <c r="M509" i="91"/>
  <c r="L509" i="91"/>
  <c r="K509" i="91"/>
  <c r="J509" i="91"/>
  <c r="I509" i="91"/>
  <c r="H509" i="91"/>
  <c r="G509" i="91"/>
  <c r="F509" i="91"/>
  <c r="E509" i="91"/>
  <c r="D509" i="91"/>
  <c r="C509" i="91"/>
  <c r="Q508" i="91"/>
  <c r="P508" i="91"/>
  <c r="O508" i="91"/>
  <c r="M508" i="91"/>
  <c r="L508" i="91"/>
  <c r="K508" i="91"/>
  <c r="J508" i="91"/>
  <c r="I508" i="91"/>
  <c r="H508" i="91"/>
  <c r="G508" i="91"/>
  <c r="F508" i="91"/>
  <c r="E508" i="91"/>
  <c r="D508" i="91"/>
  <c r="C508" i="91"/>
  <c r="Q507" i="91"/>
  <c r="P507" i="91"/>
  <c r="O507" i="91"/>
  <c r="M507" i="91"/>
  <c r="L507" i="91"/>
  <c r="K507" i="91"/>
  <c r="J507" i="91"/>
  <c r="I507" i="91"/>
  <c r="H507" i="91"/>
  <c r="G507" i="91"/>
  <c r="F507" i="91"/>
  <c r="E507" i="91"/>
  <c r="D507" i="91"/>
  <c r="C507" i="91"/>
  <c r="Q506" i="91"/>
  <c r="P506" i="91"/>
  <c r="O506" i="91"/>
  <c r="M506" i="91"/>
  <c r="L506" i="91"/>
  <c r="K506" i="91"/>
  <c r="J506" i="91"/>
  <c r="I506" i="91"/>
  <c r="H506" i="91"/>
  <c r="G506" i="91"/>
  <c r="F506" i="91"/>
  <c r="E506" i="91"/>
  <c r="D506" i="91"/>
  <c r="C506" i="91"/>
  <c r="Q505" i="91"/>
  <c r="P505" i="91"/>
  <c r="O505" i="91"/>
  <c r="M505" i="91"/>
  <c r="L505" i="91"/>
  <c r="K505" i="91"/>
  <c r="J505" i="91"/>
  <c r="I505" i="91"/>
  <c r="H505" i="91"/>
  <c r="G505" i="91"/>
  <c r="F505" i="91"/>
  <c r="E505" i="91"/>
  <c r="D505" i="91"/>
  <c r="C505" i="91"/>
  <c r="Q504" i="91"/>
  <c r="P504" i="91"/>
  <c r="O504" i="91"/>
  <c r="M504" i="91"/>
  <c r="L504" i="91"/>
  <c r="K504" i="91"/>
  <c r="J504" i="91"/>
  <c r="I504" i="91"/>
  <c r="H504" i="91"/>
  <c r="G504" i="91"/>
  <c r="F504" i="91"/>
  <c r="E504" i="91"/>
  <c r="D504" i="91"/>
  <c r="C504" i="91"/>
  <c r="Q503" i="91"/>
  <c r="P503" i="91"/>
  <c r="O503" i="91"/>
  <c r="M503" i="91"/>
  <c r="L503" i="91"/>
  <c r="K503" i="91"/>
  <c r="J503" i="91"/>
  <c r="I503" i="91"/>
  <c r="H503" i="91"/>
  <c r="G503" i="91"/>
  <c r="F503" i="91"/>
  <c r="E503" i="91"/>
  <c r="D503" i="91"/>
  <c r="C503" i="91"/>
  <c r="Q502" i="91"/>
  <c r="P502" i="91"/>
  <c r="O502" i="91"/>
  <c r="M502" i="91"/>
  <c r="L502" i="91"/>
  <c r="K502" i="91"/>
  <c r="J502" i="91"/>
  <c r="I502" i="91"/>
  <c r="H502" i="91"/>
  <c r="G502" i="91"/>
  <c r="F502" i="91"/>
  <c r="E502" i="91"/>
  <c r="D502" i="91"/>
  <c r="C502" i="91"/>
  <c r="Q501" i="91"/>
  <c r="P501" i="91"/>
  <c r="O501" i="91"/>
  <c r="M501" i="91"/>
  <c r="L501" i="91"/>
  <c r="K501" i="91"/>
  <c r="J501" i="91"/>
  <c r="I501" i="91"/>
  <c r="H501" i="91"/>
  <c r="G501" i="91"/>
  <c r="F501" i="91"/>
  <c r="E501" i="91"/>
  <c r="D501" i="91"/>
  <c r="C501" i="91"/>
  <c r="Q500" i="91"/>
  <c r="P500" i="91"/>
  <c r="O500" i="91"/>
  <c r="M500" i="91"/>
  <c r="L500" i="91"/>
  <c r="K500" i="91"/>
  <c r="J500" i="91"/>
  <c r="I500" i="91"/>
  <c r="H500" i="91"/>
  <c r="G500" i="91"/>
  <c r="F500" i="91"/>
  <c r="E500" i="91"/>
  <c r="D500" i="91"/>
  <c r="C500" i="91"/>
  <c r="Q499" i="91"/>
  <c r="P499" i="91"/>
  <c r="O499" i="91"/>
  <c r="M499" i="91"/>
  <c r="L499" i="91"/>
  <c r="K499" i="91"/>
  <c r="J499" i="91"/>
  <c r="I499" i="91"/>
  <c r="H499" i="91"/>
  <c r="G499" i="91"/>
  <c r="F499" i="91"/>
  <c r="E499" i="91"/>
  <c r="D499" i="91"/>
  <c r="C499" i="91"/>
  <c r="Q498" i="91"/>
  <c r="P498" i="91"/>
  <c r="O498" i="91"/>
  <c r="M498" i="91"/>
  <c r="L498" i="91"/>
  <c r="K498" i="91"/>
  <c r="J498" i="91"/>
  <c r="I498" i="91"/>
  <c r="H498" i="91"/>
  <c r="G498" i="91"/>
  <c r="F498" i="91"/>
  <c r="E498" i="91"/>
  <c r="D498" i="91"/>
  <c r="C498" i="91"/>
  <c r="Q497" i="91"/>
  <c r="P497" i="91"/>
  <c r="O497" i="91"/>
  <c r="M497" i="91"/>
  <c r="L497" i="91"/>
  <c r="K497" i="91"/>
  <c r="J497" i="91"/>
  <c r="I497" i="91"/>
  <c r="H497" i="91"/>
  <c r="G497" i="91"/>
  <c r="F497" i="91"/>
  <c r="E497" i="91"/>
  <c r="D497" i="91"/>
  <c r="C497" i="91"/>
  <c r="Q496" i="91"/>
  <c r="P496" i="91"/>
  <c r="O496" i="91"/>
  <c r="M496" i="91"/>
  <c r="L496" i="91"/>
  <c r="K496" i="91"/>
  <c r="J496" i="91"/>
  <c r="I496" i="91"/>
  <c r="H496" i="91"/>
  <c r="G496" i="91"/>
  <c r="F496" i="91"/>
  <c r="E496" i="91"/>
  <c r="D496" i="91"/>
  <c r="C496" i="91"/>
  <c r="Q495" i="91"/>
  <c r="P495" i="91"/>
  <c r="O495" i="91"/>
  <c r="M495" i="91"/>
  <c r="L495" i="91"/>
  <c r="K495" i="91"/>
  <c r="J495" i="91"/>
  <c r="I495" i="91"/>
  <c r="H495" i="91"/>
  <c r="G495" i="91"/>
  <c r="F495" i="91"/>
  <c r="E495" i="91"/>
  <c r="D495" i="91"/>
  <c r="C495" i="91"/>
  <c r="Q494" i="91"/>
  <c r="P494" i="91"/>
  <c r="O494" i="91"/>
  <c r="M494" i="91"/>
  <c r="L494" i="91"/>
  <c r="K494" i="91"/>
  <c r="J494" i="91"/>
  <c r="I494" i="91"/>
  <c r="H494" i="91"/>
  <c r="G494" i="91"/>
  <c r="F494" i="91"/>
  <c r="E494" i="91"/>
  <c r="D494" i="91"/>
  <c r="C494" i="91"/>
  <c r="Q493" i="91"/>
  <c r="P493" i="91"/>
  <c r="O493" i="91"/>
  <c r="M493" i="91"/>
  <c r="L493" i="91"/>
  <c r="K493" i="91"/>
  <c r="J493" i="91"/>
  <c r="I493" i="91"/>
  <c r="H493" i="91"/>
  <c r="G493" i="91"/>
  <c r="F493" i="91"/>
  <c r="E493" i="91"/>
  <c r="D493" i="91"/>
  <c r="C493" i="91"/>
  <c r="Q492" i="91"/>
  <c r="P492" i="91"/>
  <c r="O492" i="91"/>
  <c r="M492" i="91"/>
  <c r="L492" i="91"/>
  <c r="K492" i="91"/>
  <c r="J492" i="91"/>
  <c r="I492" i="91"/>
  <c r="H492" i="91"/>
  <c r="G492" i="91"/>
  <c r="F492" i="91"/>
  <c r="E492" i="91"/>
  <c r="D492" i="91"/>
  <c r="C492" i="91"/>
  <c r="Q491" i="91"/>
  <c r="P491" i="91"/>
  <c r="O491" i="91"/>
  <c r="M491" i="91"/>
  <c r="L491" i="91"/>
  <c r="K491" i="91"/>
  <c r="J491" i="91"/>
  <c r="I491" i="91"/>
  <c r="H491" i="91"/>
  <c r="G491" i="91"/>
  <c r="F491" i="91"/>
  <c r="E491" i="91"/>
  <c r="D491" i="91"/>
  <c r="C491" i="91"/>
  <c r="Q490" i="91"/>
  <c r="P490" i="91"/>
  <c r="O490" i="91"/>
  <c r="M490" i="91"/>
  <c r="L490" i="91"/>
  <c r="K490" i="91"/>
  <c r="J490" i="91"/>
  <c r="I490" i="91"/>
  <c r="H490" i="91"/>
  <c r="G490" i="91"/>
  <c r="F490" i="91"/>
  <c r="E490" i="91"/>
  <c r="D490" i="91"/>
  <c r="C490" i="91"/>
  <c r="Q489" i="91"/>
  <c r="P489" i="91"/>
  <c r="O489" i="91"/>
  <c r="M489" i="91"/>
  <c r="L489" i="91"/>
  <c r="K489" i="91"/>
  <c r="J489" i="91"/>
  <c r="I489" i="91"/>
  <c r="H489" i="91"/>
  <c r="G489" i="91"/>
  <c r="F489" i="91"/>
  <c r="E489" i="91"/>
  <c r="D489" i="91"/>
  <c r="C489" i="91"/>
  <c r="Q488" i="91"/>
  <c r="P488" i="91"/>
  <c r="O488" i="91"/>
  <c r="M488" i="91"/>
  <c r="L488" i="91"/>
  <c r="K488" i="91"/>
  <c r="J488" i="91"/>
  <c r="I488" i="91"/>
  <c r="H488" i="91"/>
  <c r="G488" i="91"/>
  <c r="F488" i="91"/>
  <c r="E488" i="91"/>
  <c r="D488" i="91"/>
  <c r="C488" i="91"/>
  <c r="Q487" i="91"/>
  <c r="P487" i="91"/>
  <c r="O487" i="91"/>
  <c r="M487" i="91"/>
  <c r="L487" i="91"/>
  <c r="K487" i="91"/>
  <c r="J487" i="91"/>
  <c r="I487" i="91"/>
  <c r="H487" i="91"/>
  <c r="G487" i="91"/>
  <c r="F487" i="91"/>
  <c r="E487" i="91"/>
  <c r="D487" i="91"/>
  <c r="C487" i="91"/>
  <c r="Q486" i="91"/>
  <c r="P486" i="91"/>
  <c r="O486" i="91"/>
  <c r="M486" i="91"/>
  <c r="L486" i="91"/>
  <c r="K486" i="91"/>
  <c r="J486" i="91"/>
  <c r="I486" i="91"/>
  <c r="H486" i="91"/>
  <c r="G486" i="91"/>
  <c r="F486" i="91"/>
  <c r="E486" i="91"/>
  <c r="D486" i="91"/>
  <c r="C486" i="91"/>
  <c r="Q485" i="91"/>
  <c r="P485" i="91"/>
  <c r="O485" i="91"/>
  <c r="M485" i="91"/>
  <c r="L485" i="91"/>
  <c r="K485" i="91"/>
  <c r="J485" i="91"/>
  <c r="I485" i="91"/>
  <c r="H485" i="91"/>
  <c r="G485" i="91"/>
  <c r="F485" i="91"/>
  <c r="E485" i="91"/>
  <c r="D485" i="91"/>
  <c r="C485" i="91"/>
  <c r="Q484" i="91"/>
  <c r="P484" i="91"/>
  <c r="O484" i="91"/>
  <c r="M484" i="91"/>
  <c r="L484" i="91"/>
  <c r="K484" i="91"/>
  <c r="J484" i="91"/>
  <c r="I484" i="91"/>
  <c r="H484" i="91"/>
  <c r="G484" i="91"/>
  <c r="F484" i="91"/>
  <c r="E484" i="91"/>
  <c r="D484" i="91"/>
  <c r="C484" i="91"/>
  <c r="Q483" i="91"/>
  <c r="P483" i="91"/>
  <c r="O483" i="91"/>
  <c r="M483" i="91"/>
  <c r="L483" i="91"/>
  <c r="K483" i="91"/>
  <c r="J483" i="91"/>
  <c r="I483" i="91"/>
  <c r="H483" i="91"/>
  <c r="G483" i="91"/>
  <c r="F483" i="91"/>
  <c r="E483" i="91"/>
  <c r="D483" i="91"/>
  <c r="C483" i="91"/>
  <c r="Q482" i="91"/>
  <c r="P482" i="91"/>
  <c r="O482" i="91"/>
  <c r="M482" i="91"/>
  <c r="L482" i="91"/>
  <c r="K482" i="91"/>
  <c r="J482" i="91"/>
  <c r="I482" i="91"/>
  <c r="H482" i="91"/>
  <c r="G482" i="91"/>
  <c r="F482" i="91"/>
  <c r="E482" i="91"/>
  <c r="D482" i="91"/>
  <c r="C482" i="91"/>
  <c r="Q481" i="91"/>
  <c r="P481" i="91"/>
  <c r="O481" i="91"/>
  <c r="M481" i="91"/>
  <c r="L481" i="91"/>
  <c r="K481" i="91"/>
  <c r="J481" i="91"/>
  <c r="I481" i="91"/>
  <c r="H481" i="91"/>
  <c r="G481" i="91"/>
  <c r="F481" i="91"/>
  <c r="E481" i="91"/>
  <c r="D481" i="91"/>
  <c r="C481" i="91"/>
  <c r="Q480" i="91"/>
  <c r="P480" i="91"/>
  <c r="O480" i="91"/>
  <c r="M480" i="91"/>
  <c r="L480" i="91"/>
  <c r="K480" i="91"/>
  <c r="J480" i="91"/>
  <c r="I480" i="91"/>
  <c r="H480" i="91"/>
  <c r="G480" i="91"/>
  <c r="F480" i="91"/>
  <c r="E480" i="91"/>
  <c r="D480" i="91"/>
  <c r="C480" i="91"/>
  <c r="Q479" i="91"/>
  <c r="P479" i="91"/>
  <c r="O479" i="91"/>
  <c r="M479" i="91"/>
  <c r="L479" i="91"/>
  <c r="K479" i="91"/>
  <c r="J479" i="91"/>
  <c r="I479" i="91"/>
  <c r="H479" i="91"/>
  <c r="G479" i="91"/>
  <c r="F479" i="91"/>
  <c r="E479" i="91"/>
  <c r="D479" i="91"/>
  <c r="C479" i="91"/>
  <c r="Q478" i="91"/>
  <c r="P478" i="91"/>
  <c r="O478" i="91"/>
  <c r="M478" i="91"/>
  <c r="L478" i="91"/>
  <c r="K478" i="91"/>
  <c r="J478" i="91"/>
  <c r="I478" i="91"/>
  <c r="H478" i="91"/>
  <c r="G478" i="91"/>
  <c r="F478" i="91"/>
  <c r="E478" i="91"/>
  <c r="D478" i="91"/>
  <c r="C478" i="91"/>
  <c r="Q477" i="91"/>
  <c r="P477" i="91"/>
  <c r="O477" i="91"/>
  <c r="M477" i="91"/>
  <c r="L477" i="91"/>
  <c r="K477" i="91"/>
  <c r="J477" i="91"/>
  <c r="I477" i="91"/>
  <c r="H477" i="91"/>
  <c r="G477" i="91"/>
  <c r="F477" i="91"/>
  <c r="E477" i="91"/>
  <c r="D477" i="91"/>
  <c r="C477" i="91"/>
  <c r="Q476" i="91"/>
  <c r="P476" i="91"/>
  <c r="O476" i="91"/>
  <c r="M476" i="91"/>
  <c r="L476" i="91"/>
  <c r="K476" i="91"/>
  <c r="J476" i="91"/>
  <c r="I476" i="91"/>
  <c r="H476" i="91"/>
  <c r="G476" i="91"/>
  <c r="F476" i="91"/>
  <c r="E476" i="91"/>
  <c r="D476" i="91"/>
  <c r="C476" i="91"/>
  <c r="Q475" i="91"/>
  <c r="P475" i="91"/>
  <c r="O475" i="91"/>
  <c r="M475" i="91"/>
  <c r="L475" i="91"/>
  <c r="K475" i="91"/>
  <c r="J475" i="91"/>
  <c r="I475" i="91"/>
  <c r="H475" i="91"/>
  <c r="G475" i="91"/>
  <c r="F475" i="91"/>
  <c r="E475" i="91"/>
  <c r="D475" i="91"/>
  <c r="C475" i="91"/>
  <c r="Q474" i="91"/>
  <c r="P474" i="91"/>
  <c r="O474" i="91"/>
  <c r="M474" i="91"/>
  <c r="L474" i="91"/>
  <c r="K474" i="91"/>
  <c r="J474" i="91"/>
  <c r="I474" i="91"/>
  <c r="H474" i="91"/>
  <c r="G474" i="91"/>
  <c r="F474" i="91"/>
  <c r="E474" i="91"/>
  <c r="D474" i="91"/>
  <c r="C474" i="91"/>
  <c r="Q473" i="91"/>
  <c r="P473" i="91"/>
  <c r="O473" i="91"/>
  <c r="M473" i="91"/>
  <c r="L473" i="91"/>
  <c r="K473" i="91"/>
  <c r="J473" i="91"/>
  <c r="I473" i="91"/>
  <c r="H473" i="91"/>
  <c r="G473" i="91"/>
  <c r="F473" i="91"/>
  <c r="E473" i="91"/>
  <c r="D473" i="91"/>
  <c r="C473" i="91"/>
  <c r="Q472" i="91"/>
  <c r="P472" i="91"/>
  <c r="O472" i="91"/>
  <c r="M472" i="91"/>
  <c r="L472" i="91"/>
  <c r="K472" i="91"/>
  <c r="J472" i="91"/>
  <c r="I472" i="91"/>
  <c r="H472" i="91"/>
  <c r="G472" i="91"/>
  <c r="F472" i="91"/>
  <c r="E472" i="91"/>
  <c r="D472" i="91"/>
  <c r="C472" i="91"/>
  <c r="Q471" i="91"/>
  <c r="P471" i="91"/>
  <c r="O471" i="91"/>
  <c r="M471" i="91"/>
  <c r="L471" i="91"/>
  <c r="K471" i="91"/>
  <c r="J471" i="91"/>
  <c r="I471" i="91"/>
  <c r="H471" i="91"/>
  <c r="G471" i="91"/>
  <c r="F471" i="91"/>
  <c r="E471" i="91"/>
  <c r="D471" i="91"/>
  <c r="C471" i="91"/>
  <c r="Q470" i="91"/>
  <c r="P470" i="91"/>
  <c r="O470" i="91"/>
  <c r="M470" i="91"/>
  <c r="L470" i="91"/>
  <c r="K470" i="91"/>
  <c r="J470" i="91"/>
  <c r="I470" i="91"/>
  <c r="H470" i="91"/>
  <c r="G470" i="91"/>
  <c r="F470" i="91"/>
  <c r="E470" i="91"/>
  <c r="D470" i="91"/>
  <c r="C470" i="91"/>
  <c r="Q469" i="91"/>
  <c r="P469" i="91"/>
  <c r="O469" i="91"/>
  <c r="M469" i="91"/>
  <c r="L469" i="91"/>
  <c r="K469" i="91"/>
  <c r="J469" i="91"/>
  <c r="I469" i="91"/>
  <c r="H469" i="91"/>
  <c r="G469" i="91"/>
  <c r="F469" i="91"/>
  <c r="E469" i="91"/>
  <c r="D469" i="91"/>
  <c r="C469" i="91"/>
  <c r="Q468" i="91"/>
  <c r="P468" i="91"/>
  <c r="O468" i="91"/>
  <c r="M468" i="91"/>
  <c r="L468" i="91"/>
  <c r="K468" i="91"/>
  <c r="J468" i="91"/>
  <c r="I468" i="91"/>
  <c r="H468" i="91"/>
  <c r="G468" i="91"/>
  <c r="F468" i="91"/>
  <c r="E468" i="91"/>
  <c r="D468" i="91"/>
  <c r="C468" i="91"/>
  <c r="Q467" i="91"/>
  <c r="P467" i="91"/>
  <c r="O467" i="91"/>
  <c r="M467" i="91"/>
  <c r="L467" i="91"/>
  <c r="K467" i="91"/>
  <c r="J467" i="91"/>
  <c r="I467" i="91"/>
  <c r="H467" i="91"/>
  <c r="G467" i="91"/>
  <c r="F467" i="91"/>
  <c r="E467" i="91"/>
  <c r="D467" i="91"/>
  <c r="C467" i="91"/>
  <c r="Q466" i="91"/>
  <c r="P466" i="91"/>
  <c r="O466" i="91"/>
  <c r="M466" i="91"/>
  <c r="L466" i="91"/>
  <c r="K466" i="91"/>
  <c r="J466" i="91"/>
  <c r="I466" i="91"/>
  <c r="H466" i="91"/>
  <c r="G466" i="91"/>
  <c r="F466" i="91"/>
  <c r="E466" i="91"/>
  <c r="D466" i="91"/>
  <c r="C466" i="91"/>
  <c r="Q465" i="91"/>
  <c r="P465" i="91"/>
  <c r="O465" i="91"/>
  <c r="M465" i="91"/>
  <c r="L465" i="91"/>
  <c r="K465" i="91"/>
  <c r="J465" i="91"/>
  <c r="I465" i="91"/>
  <c r="H465" i="91"/>
  <c r="G465" i="91"/>
  <c r="F465" i="91"/>
  <c r="E465" i="91"/>
  <c r="D465" i="91"/>
  <c r="C465" i="91"/>
  <c r="Q464" i="91"/>
  <c r="P464" i="91"/>
  <c r="O464" i="91"/>
  <c r="M464" i="91"/>
  <c r="L464" i="91"/>
  <c r="K464" i="91"/>
  <c r="J464" i="91"/>
  <c r="I464" i="91"/>
  <c r="H464" i="91"/>
  <c r="G464" i="91"/>
  <c r="F464" i="91"/>
  <c r="E464" i="91"/>
  <c r="D464" i="91"/>
  <c r="C464" i="91"/>
  <c r="Q463" i="91"/>
  <c r="P463" i="91"/>
  <c r="O463" i="91"/>
  <c r="M463" i="91"/>
  <c r="L463" i="91"/>
  <c r="K463" i="91"/>
  <c r="J463" i="91"/>
  <c r="I463" i="91"/>
  <c r="H463" i="91"/>
  <c r="G463" i="91"/>
  <c r="F463" i="91"/>
  <c r="E463" i="91"/>
  <c r="D463" i="91"/>
  <c r="C463" i="91"/>
  <c r="Q462" i="91"/>
  <c r="P462" i="91"/>
  <c r="O462" i="91"/>
  <c r="M462" i="91"/>
  <c r="L462" i="91"/>
  <c r="K462" i="91"/>
  <c r="J462" i="91"/>
  <c r="I462" i="91"/>
  <c r="H462" i="91"/>
  <c r="G462" i="91"/>
  <c r="F462" i="91"/>
  <c r="E462" i="91"/>
  <c r="D462" i="91"/>
  <c r="C462" i="91"/>
  <c r="Q461" i="91"/>
  <c r="P461" i="91"/>
  <c r="O461" i="91"/>
  <c r="M461" i="91"/>
  <c r="L461" i="91"/>
  <c r="K461" i="91"/>
  <c r="J461" i="91"/>
  <c r="I461" i="91"/>
  <c r="H461" i="91"/>
  <c r="G461" i="91"/>
  <c r="F461" i="91"/>
  <c r="E461" i="91"/>
  <c r="D461" i="91"/>
  <c r="C461" i="91"/>
  <c r="Q460" i="91"/>
  <c r="P460" i="91"/>
  <c r="O460" i="91"/>
  <c r="M460" i="91"/>
  <c r="L460" i="91"/>
  <c r="K460" i="91"/>
  <c r="J460" i="91"/>
  <c r="I460" i="91"/>
  <c r="H460" i="91"/>
  <c r="G460" i="91"/>
  <c r="F460" i="91"/>
  <c r="E460" i="91"/>
  <c r="D460" i="91"/>
  <c r="C460" i="91"/>
  <c r="Q459" i="91"/>
  <c r="P459" i="91"/>
  <c r="O459" i="91"/>
  <c r="M459" i="91"/>
  <c r="L459" i="91"/>
  <c r="K459" i="91"/>
  <c r="J459" i="91"/>
  <c r="I459" i="91"/>
  <c r="H459" i="91"/>
  <c r="G459" i="91"/>
  <c r="F459" i="91"/>
  <c r="E459" i="91"/>
  <c r="D459" i="91"/>
  <c r="C459" i="91"/>
  <c r="Q458" i="91"/>
  <c r="P458" i="91"/>
  <c r="O458" i="91"/>
  <c r="M458" i="91"/>
  <c r="L458" i="91"/>
  <c r="K458" i="91"/>
  <c r="J458" i="91"/>
  <c r="I458" i="91"/>
  <c r="H458" i="91"/>
  <c r="G458" i="91"/>
  <c r="F458" i="91"/>
  <c r="E458" i="91"/>
  <c r="D458" i="91"/>
  <c r="C458" i="91"/>
  <c r="Q457" i="91"/>
  <c r="P457" i="91"/>
  <c r="O457" i="91"/>
  <c r="M457" i="91"/>
  <c r="L457" i="91"/>
  <c r="K457" i="91"/>
  <c r="J457" i="91"/>
  <c r="I457" i="91"/>
  <c r="H457" i="91"/>
  <c r="G457" i="91"/>
  <c r="F457" i="91"/>
  <c r="E457" i="91"/>
  <c r="D457" i="91"/>
  <c r="C457" i="91"/>
  <c r="Q456" i="91"/>
  <c r="P456" i="91"/>
  <c r="O456" i="91"/>
  <c r="M456" i="91"/>
  <c r="L456" i="91"/>
  <c r="K456" i="91"/>
  <c r="J456" i="91"/>
  <c r="I456" i="91"/>
  <c r="H456" i="91"/>
  <c r="G456" i="91"/>
  <c r="F456" i="91"/>
  <c r="E456" i="91"/>
  <c r="D456" i="91"/>
  <c r="C456" i="91"/>
  <c r="Q455" i="91"/>
  <c r="P455" i="91"/>
  <c r="O455" i="91"/>
  <c r="M455" i="91"/>
  <c r="L455" i="91"/>
  <c r="K455" i="91"/>
  <c r="J455" i="91"/>
  <c r="I455" i="91"/>
  <c r="H455" i="91"/>
  <c r="G455" i="91"/>
  <c r="F455" i="91"/>
  <c r="E455" i="91"/>
  <c r="D455" i="91"/>
  <c r="C455" i="91"/>
  <c r="Q454" i="91"/>
  <c r="P454" i="91"/>
  <c r="O454" i="91"/>
  <c r="M454" i="91"/>
  <c r="L454" i="91"/>
  <c r="K454" i="91"/>
  <c r="J454" i="91"/>
  <c r="I454" i="91"/>
  <c r="H454" i="91"/>
  <c r="G454" i="91"/>
  <c r="F454" i="91"/>
  <c r="E454" i="91"/>
  <c r="D454" i="91"/>
  <c r="C454" i="91"/>
  <c r="Q453" i="91"/>
  <c r="P453" i="91"/>
  <c r="O453" i="91"/>
  <c r="M453" i="91"/>
  <c r="L453" i="91"/>
  <c r="K453" i="91"/>
  <c r="J453" i="91"/>
  <c r="I453" i="91"/>
  <c r="H453" i="91"/>
  <c r="G453" i="91"/>
  <c r="F453" i="91"/>
  <c r="E453" i="91"/>
  <c r="D453" i="91"/>
  <c r="C453" i="91"/>
  <c r="Q452" i="91"/>
  <c r="P452" i="91"/>
  <c r="O452" i="91"/>
  <c r="M452" i="91"/>
  <c r="L452" i="91"/>
  <c r="K452" i="91"/>
  <c r="J452" i="91"/>
  <c r="I452" i="91"/>
  <c r="H452" i="91"/>
  <c r="G452" i="91"/>
  <c r="F452" i="91"/>
  <c r="E452" i="91"/>
  <c r="D452" i="91"/>
  <c r="C452" i="91"/>
  <c r="Q451" i="91"/>
  <c r="P451" i="91"/>
  <c r="O451" i="91"/>
  <c r="M451" i="91"/>
  <c r="L451" i="91"/>
  <c r="K451" i="91"/>
  <c r="J451" i="91"/>
  <c r="I451" i="91"/>
  <c r="H451" i="91"/>
  <c r="G451" i="91"/>
  <c r="F451" i="91"/>
  <c r="E451" i="91"/>
  <c r="D451" i="91"/>
  <c r="C451" i="91"/>
  <c r="Q450" i="91"/>
  <c r="P450" i="91"/>
  <c r="O450" i="91"/>
  <c r="M450" i="91"/>
  <c r="L450" i="91"/>
  <c r="K450" i="91"/>
  <c r="J450" i="91"/>
  <c r="I450" i="91"/>
  <c r="H450" i="91"/>
  <c r="G450" i="91"/>
  <c r="F450" i="91"/>
  <c r="E450" i="91"/>
  <c r="D450" i="91"/>
  <c r="C450" i="91"/>
  <c r="Q449" i="91"/>
  <c r="P449" i="91"/>
  <c r="O449" i="91"/>
  <c r="M449" i="91"/>
  <c r="L449" i="91"/>
  <c r="K449" i="91"/>
  <c r="J449" i="91"/>
  <c r="I449" i="91"/>
  <c r="H449" i="91"/>
  <c r="G449" i="91"/>
  <c r="F449" i="91"/>
  <c r="E449" i="91"/>
  <c r="D449" i="91"/>
  <c r="C449" i="91"/>
  <c r="Q448" i="91"/>
  <c r="P448" i="91"/>
  <c r="O448" i="91"/>
  <c r="M448" i="91"/>
  <c r="L448" i="91"/>
  <c r="K448" i="91"/>
  <c r="J448" i="91"/>
  <c r="I448" i="91"/>
  <c r="H448" i="91"/>
  <c r="G448" i="91"/>
  <c r="F448" i="91"/>
  <c r="E448" i="91"/>
  <c r="D448" i="91"/>
  <c r="C448" i="91"/>
  <c r="Q447" i="91"/>
  <c r="P447" i="91"/>
  <c r="O447" i="91"/>
  <c r="M447" i="91"/>
  <c r="L447" i="91"/>
  <c r="K447" i="91"/>
  <c r="J447" i="91"/>
  <c r="I447" i="91"/>
  <c r="H447" i="91"/>
  <c r="G447" i="91"/>
  <c r="F447" i="91"/>
  <c r="E447" i="91"/>
  <c r="D447" i="91"/>
  <c r="C447" i="91"/>
  <c r="Q446" i="91"/>
  <c r="P446" i="91"/>
  <c r="O446" i="91"/>
  <c r="M446" i="91"/>
  <c r="L446" i="91"/>
  <c r="K446" i="91"/>
  <c r="J446" i="91"/>
  <c r="I446" i="91"/>
  <c r="H446" i="91"/>
  <c r="G446" i="91"/>
  <c r="F446" i="91"/>
  <c r="E446" i="91"/>
  <c r="D446" i="91"/>
  <c r="C446" i="91"/>
  <c r="Q445" i="91"/>
  <c r="P445" i="91"/>
  <c r="O445" i="91"/>
  <c r="M445" i="91"/>
  <c r="L445" i="91"/>
  <c r="K445" i="91"/>
  <c r="J445" i="91"/>
  <c r="I445" i="91"/>
  <c r="H445" i="91"/>
  <c r="G445" i="91"/>
  <c r="F445" i="91"/>
  <c r="E445" i="91"/>
  <c r="D445" i="91"/>
  <c r="C445" i="91"/>
  <c r="Q444" i="91"/>
  <c r="P444" i="91"/>
  <c r="O444" i="91"/>
  <c r="M444" i="91"/>
  <c r="L444" i="91"/>
  <c r="K444" i="91"/>
  <c r="J444" i="91"/>
  <c r="I444" i="91"/>
  <c r="H444" i="91"/>
  <c r="G444" i="91"/>
  <c r="F444" i="91"/>
  <c r="E444" i="91"/>
  <c r="D444" i="91"/>
  <c r="C444" i="91"/>
  <c r="Q443" i="91"/>
  <c r="P443" i="91"/>
  <c r="O443" i="91"/>
  <c r="M443" i="91"/>
  <c r="L443" i="91"/>
  <c r="K443" i="91"/>
  <c r="J443" i="91"/>
  <c r="I443" i="91"/>
  <c r="H443" i="91"/>
  <c r="G443" i="91"/>
  <c r="F443" i="91"/>
  <c r="E443" i="91"/>
  <c r="D443" i="91"/>
  <c r="C443" i="91"/>
  <c r="Q442" i="91"/>
  <c r="P442" i="91"/>
  <c r="O442" i="91"/>
  <c r="M442" i="91"/>
  <c r="L442" i="91"/>
  <c r="K442" i="91"/>
  <c r="J442" i="91"/>
  <c r="I442" i="91"/>
  <c r="H442" i="91"/>
  <c r="G442" i="91"/>
  <c r="F442" i="91"/>
  <c r="E442" i="91"/>
  <c r="D442" i="91"/>
  <c r="C442" i="91"/>
  <c r="Q441" i="91"/>
  <c r="P441" i="91"/>
  <c r="O441" i="91"/>
  <c r="M441" i="91"/>
  <c r="L441" i="91"/>
  <c r="K441" i="91"/>
  <c r="J441" i="91"/>
  <c r="I441" i="91"/>
  <c r="H441" i="91"/>
  <c r="G441" i="91"/>
  <c r="F441" i="91"/>
  <c r="E441" i="91"/>
  <c r="D441" i="91"/>
  <c r="C441" i="91"/>
  <c r="Q440" i="91"/>
  <c r="P440" i="91"/>
  <c r="O440" i="91"/>
  <c r="M440" i="91"/>
  <c r="L440" i="91"/>
  <c r="K440" i="91"/>
  <c r="J440" i="91"/>
  <c r="I440" i="91"/>
  <c r="H440" i="91"/>
  <c r="G440" i="91"/>
  <c r="F440" i="91"/>
  <c r="E440" i="91"/>
  <c r="D440" i="91"/>
  <c r="C440" i="91"/>
  <c r="Q439" i="91"/>
  <c r="P439" i="91"/>
  <c r="O439" i="91"/>
  <c r="M439" i="91"/>
  <c r="L439" i="91"/>
  <c r="K439" i="91"/>
  <c r="J439" i="91"/>
  <c r="I439" i="91"/>
  <c r="H439" i="91"/>
  <c r="G439" i="91"/>
  <c r="F439" i="91"/>
  <c r="E439" i="91"/>
  <c r="D439" i="91"/>
  <c r="C439" i="91"/>
  <c r="Q438" i="91"/>
  <c r="P438" i="91"/>
  <c r="O438" i="91"/>
  <c r="M438" i="91"/>
  <c r="L438" i="91"/>
  <c r="K438" i="91"/>
  <c r="J438" i="91"/>
  <c r="I438" i="91"/>
  <c r="H438" i="91"/>
  <c r="G438" i="91"/>
  <c r="F438" i="91"/>
  <c r="E438" i="91"/>
  <c r="D438" i="91"/>
  <c r="C438" i="91"/>
  <c r="Q437" i="91"/>
  <c r="P437" i="91"/>
  <c r="O437" i="91"/>
  <c r="M437" i="91"/>
  <c r="L437" i="91"/>
  <c r="K437" i="91"/>
  <c r="J437" i="91"/>
  <c r="I437" i="91"/>
  <c r="H437" i="91"/>
  <c r="G437" i="91"/>
  <c r="F437" i="91"/>
  <c r="E437" i="91"/>
  <c r="D437" i="91"/>
  <c r="C437" i="91"/>
  <c r="Q436" i="91"/>
  <c r="P436" i="91"/>
  <c r="O436" i="91"/>
  <c r="M436" i="91"/>
  <c r="L436" i="91"/>
  <c r="K436" i="91"/>
  <c r="J436" i="91"/>
  <c r="I436" i="91"/>
  <c r="H436" i="91"/>
  <c r="G436" i="91"/>
  <c r="F436" i="91"/>
  <c r="E436" i="91"/>
  <c r="D436" i="91"/>
  <c r="C436" i="91"/>
  <c r="Q435" i="91"/>
  <c r="P435" i="91"/>
  <c r="O435" i="91"/>
  <c r="M435" i="91"/>
  <c r="L435" i="91"/>
  <c r="K435" i="91"/>
  <c r="J435" i="91"/>
  <c r="I435" i="91"/>
  <c r="H435" i="91"/>
  <c r="G435" i="91"/>
  <c r="F435" i="91"/>
  <c r="E435" i="91"/>
  <c r="D435" i="91"/>
  <c r="C435" i="91"/>
  <c r="Q434" i="91"/>
  <c r="P434" i="91"/>
  <c r="O434" i="91"/>
  <c r="M434" i="91"/>
  <c r="L434" i="91"/>
  <c r="K434" i="91"/>
  <c r="J434" i="91"/>
  <c r="I434" i="91"/>
  <c r="H434" i="91"/>
  <c r="G434" i="91"/>
  <c r="F434" i="91"/>
  <c r="E434" i="91"/>
  <c r="D434" i="91"/>
  <c r="C434" i="91"/>
  <c r="Q433" i="91"/>
  <c r="P433" i="91"/>
  <c r="O433" i="91"/>
  <c r="M433" i="91"/>
  <c r="L433" i="91"/>
  <c r="K433" i="91"/>
  <c r="J433" i="91"/>
  <c r="I433" i="91"/>
  <c r="H433" i="91"/>
  <c r="G433" i="91"/>
  <c r="F433" i="91"/>
  <c r="E433" i="91"/>
  <c r="D433" i="91"/>
  <c r="C433" i="91"/>
  <c r="Q432" i="91"/>
  <c r="P432" i="91"/>
  <c r="O432" i="91"/>
  <c r="M432" i="91"/>
  <c r="L432" i="91"/>
  <c r="K432" i="91"/>
  <c r="J432" i="91"/>
  <c r="I432" i="91"/>
  <c r="H432" i="91"/>
  <c r="G432" i="91"/>
  <c r="F432" i="91"/>
  <c r="E432" i="91"/>
  <c r="D432" i="91"/>
  <c r="C432" i="91"/>
  <c r="Q431" i="91"/>
  <c r="P431" i="91"/>
  <c r="O431" i="91"/>
  <c r="M431" i="91"/>
  <c r="L431" i="91"/>
  <c r="K431" i="91"/>
  <c r="J431" i="91"/>
  <c r="I431" i="91"/>
  <c r="H431" i="91"/>
  <c r="G431" i="91"/>
  <c r="F431" i="91"/>
  <c r="E431" i="91"/>
  <c r="D431" i="91"/>
  <c r="C431" i="91"/>
  <c r="Q430" i="91"/>
  <c r="P430" i="91"/>
  <c r="O430" i="91"/>
  <c r="M430" i="91"/>
  <c r="L430" i="91"/>
  <c r="K430" i="91"/>
  <c r="J430" i="91"/>
  <c r="I430" i="91"/>
  <c r="H430" i="91"/>
  <c r="G430" i="91"/>
  <c r="F430" i="91"/>
  <c r="E430" i="91"/>
  <c r="D430" i="91"/>
  <c r="C430" i="91"/>
  <c r="Q429" i="91"/>
  <c r="P429" i="91"/>
  <c r="O429" i="91"/>
  <c r="M429" i="91"/>
  <c r="L429" i="91"/>
  <c r="K429" i="91"/>
  <c r="J429" i="91"/>
  <c r="I429" i="91"/>
  <c r="H429" i="91"/>
  <c r="G429" i="91"/>
  <c r="F429" i="91"/>
  <c r="E429" i="91"/>
  <c r="D429" i="91"/>
  <c r="C429" i="91"/>
  <c r="Q428" i="91"/>
  <c r="P428" i="91"/>
  <c r="O428" i="91"/>
  <c r="M428" i="91"/>
  <c r="L428" i="91"/>
  <c r="K428" i="91"/>
  <c r="J428" i="91"/>
  <c r="I428" i="91"/>
  <c r="H428" i="91"/>
  <c r="G428" i="91"/>
  <c r="F428" i="91"/>
  <c r="E428" i="91"/>
  <c r="D428" i="91"/>
  <c r="C428" i="91"/>
  <c r="Q427" i="91"/>
  <c r="P427" i="91"/>
  <c r="O427" i="91"/>
  <c r="M427" i="91"/>
  <c r="L427" i="91"/>
  <c r="K427" i="91"/>
  <c r="J427" i="91"/>
  <c r="I427" i="91"/>
  <c r="H427" i="91"/>
  <c r="G427" i="91"/>
  <c r="F427" i="91"/>
  <c r="E427" i="91"/>
  <c r="D427" i="91"/>
  <c r="C427" i="91"/>
  <c r="Q426" i="91"/>
  <c r="P426" i="91"/>
  <c r="O426" i="91"/>
  <c r="M426" i="91"/>
  <c r="L426" i="91"/>
  <c r="K426" i="91"/>
  <c r="J426" i="91"/>
  <c r="I426" i="91"/>
  <c r="H426" i="91"/>
  <c r="G426" i="91"/>
  <c r="F426" i="91"/>
  <c r="E426" i="91"/>
  <c r="D426" i="91"/>
  <c r="C426" i="91"/>
  <c r="Q425" i="91"/>
  <c r="P425" i="91"/>
  <c r="O425" i="91"/>
  <c r="M425" i="91"/>
  <c r="L425" i="91"/>
  <c r="K425" i="91"/>
  <c r="J425" i="91"/>
  <c r="I425" i="91"/>
  <c r="H425" i="91"/>
  <c r="G425" i="91"/>
  <c r="F425" i="91"/>
  <c r="E425" i="91"/>
  <c r="D425" i="91"/>
  <c r="C425" i="91"/>
  <c r="Q424" i="91"/>
  <c r="P424" i="91"/>
  <c r="O424" i="91"/>
  <c r="M424" i="91"/>
  <c r="L424" i="91"/>
  <c r="K424" i="91"/>
  <c r="J424" i="91"/>
  <c r="I424" i="91"/>
  <c r="H424" i="91"/>
  <c r="G424" i="91"/>
  <c r="F424" i="91"/>
  <c r="E424" i="91"/>
  <c r="D424" i="91"/>
  <c r="C424" i="91"/>
  <c r="Q423" i="91"/>
  <c r="P423" i="91"/>
  <c r="O423" i="91"/>
  <c r="M423" i="91"/>
  <c r="L423" i="91"/>
  <c r="K423" i="91"/>
  <c r="J423" i="91"/>
  <c r="I423" i="91"/>
  <c r="H423" i="91"/>
  <c r="G423" i="91"/>
  <c r="F423" i="91"/>
  <c r="E423" i="91"/>
  <c r="D423" i="91"/>
  <c r="C423" i="91"/>
  <c r="Q422" i="91"/>
  <c r="P422" i="91"/>
  <c r="O422" i="91"/>
  <c r="M422" i="91"/>
  <c r="L422" i="91"/>
  <c r="K422" i="91"/>
  <c r="J422" i="91"/>
  <c r="I422" i="91"/>
  <c r="H422" i="91"/>
  <c r="G422" i="91"/>
  <c r="F422" i="91"/>
  <c r="E422" i="91"/>
  <c r="D422" i="91"/>
  <c r="C422" i="91"/>
  <c r="Q421" i="91"/>
  <c r="P421" i="91"/>
  <c r="O421" i="91"/>
  <c r="M421" i="91"/>
  <c r="L421" i="91"/>
  <c r="K421" i="91"/>
  <c r="J421" i="91"/>
  <c r="I421" i="91"/>
  <c r="H421" i="91"/>
  <c r="G421" i="91"/>
  <c r="F421" i="91"/>
  <c r="E421" i="91"/>
  <c r="D421" i="91"/>
  <c r="C421" i="91"/>
  <c r="Q420" i="91"/>
  <c r="P420" i="91"/>
  <c r="O420" i="91"/>
  <c r="M420" i="91"/>
  <c r="L420" i="91"/>
  <c r="K420" i="91"/>
  <c r="J420" i="91"/>
  <c r="I420" i="91"/>
  <c r="H420" i="91"/>
  <c r="G420" i="91"/>
  <c r="F420" i="91"/>
  <c r="E420" i="91"/>
  <c r="D420" i="91"/>
  <c r="C420" i="91"/>
  <c r="Q419" i="91"/>
  <c r="P419" i="91"/>
  <c r="O419" i="91"/>
  <c r="M419" i="91"/>
  <c r="L419" i="91"/>
  <c r="K419" i="91"/>
  <c r="J419" i="91"/>
  <c r="I419" i="91"/>
  <c r="H419" i="91"/>
  <c r="G419" i="91"/>
  <c r="F419" i="91"/>
  <c r="E419" i="91"/>
  <c r="D419" i="91"/>
  <c r="C419" i="91"/>
  <c r="Q418" i="91"/>
  <c r="P418" i="91"/>
  <c r="O418" i="91"/>
  <c r="M418" i="91"/>
  <c r="L418" i="91"/>
  <c r="K418" i="91"/>
  <c r="J418" i="91"/>
  <c r="I418" i="91"/>
  <c r="H418" i="91"/>
  <c r="G418" i="91"/>
  <c r="F418" i="91"/>
  <c r="E418" i="91"/>
  <c r="D418" i="91"/>
  <c r="C418" i="91"/>
  <c r="Q417" i="91"/>
  <c r="P417" i="91"/>
  <c r="O417" i="91"/>
  <c r="M417" i="91"/>
  <c r="L417" i="91"/>
  <c r="K417" i="91"/>
  <c r="J417" i="91"/>
  <c r="I417" i="91"/>
  <c r="H417" i="91"/>
  <c r="G417" i="91"/>
  <c r="F417" i="91"/>
  <c r="E417" i="91"/>
  <c r="D417" i="91"/>
  <c r="C417" i="91"/>
  <c r="Q416" i="91"/>
  <c r="P416" i="91"/>
  <c r="O416" i="91"/>
  <c r="M416" i="91"/>
  <c r="L416" i="91"/>
  <c r="K416" i="91"/>
  <c r="J416" i="91"/>
  <c r="I416" i="91"/>
  <c r="H416" i="91"/>
  <c r="G416" i="91"/>
  <c r="F416" i="91"/>
  <c r="E416" i="91"/>
  <c r="D416" i="91"/>
  <c r="C416" i="91"/>
  <c r="Q415" i="91"/>
  <c r="P415" i="91"/>
  <c r="O415" i="91"/>
  <c r="M415" i="91"/>
  <c r="L415" i="91"/>
  <c r="K415" i="91"/>
  <c r="J415" i="91"/>
  <c r="I415" i="91"/>
  <c r="H415" i="91"/>
  <c r="G415" i="91"/>
  <c r="F415" i="91"/>
  <c r="E415" i="91"/>
  <c r="D415" i="91"/>
  <c r="C415" i="91"/>
  <c r="Q414" i="91"/>
  <c r="P414" i="91"/>
  <c r="O414" i="91"/>
  <c r="M414" i="91"/>
  <c r="L414" i="91"/>
  <c r="K414" i="91"/>
  <c r="J414" i="91"/>
  <c r="I414" i="91"/>
  <c r="H414" i="91"/>
  <c r="G414" i="91"/>
  <c r="F414" i="91"/>
  <c r="E414" i="91"/>
  <c r="D414" i="91"/>
  <c r="C414" i="91"/>
  <c r="Q413" i="91"/>
  <c r="P413" i="91"/>
  <c r="O413" i="91"/>
  <c r="M413" i="91"/>
  <c r="L413" i="91"/>
  <c r="K413" i="91"/>
  <c r="J413" i="91"/>
  <c r="I413" i="91"/>
  <c r="H413" i="91"/>
  <c r="G413" i="91"/>
  <c r="F413" i="91"/>
  <c r="E413" i="91"/>
  <c r="D413" i="91"/>
  <c r="C413" i="91"/>
  <c r="Q412" i="91"/>
  <c r="P412" i="91"/>
  <c r="O412" i="91"/>
  <c r="M412" i="91"/>
  <c r="L412" i="91"/>
  <c r="K412" i="91"/>
  <c r="J412" i="91"/>
  <c r="I412" i="91"/>
  <c r="H412" i="91"/>
  <c r="G412" i="91"/>
  <c r="F412" i="91"/>
  <c r="E412" i="91"/>
  <c r="D412" i="91"/>
  <c r="C412" i="91"/>
  <c r="Q411" i="91"/>
  <c r="P411" i="91"/>
  <c r="O411" i="91"/>
  <c r="M411" i="91"/>
  <c r="L411" i="91"/>
  <c r="K411" i="91"/>
  <c r="J411" i="91"/>
  <c r="I411" i="91"/>
  <c r="H411" i="91"/>
  <c r="G411" i="91"/>
  <c r="F411" i="91"/>
  <c r="E411" i="91"/>
  <c r="D411" i="91"/>
  <c r="C411" i="91"/>
  <c r="Q410" i="91"/>
  <c r="P410" i="91"/>
  <c r="O410" i="91"/>
  <c r="M410" i="91"/>
  <c r="L410" i="91"/>
  <c r="K410" i="91"/>
  <c r="J410" i="91"/>
  <c r="I410" i="91"/>
  <c r="H410" i="91"/>
  <c r="G410" i="91"/>
  <c r="F410" i="91"/>
  <c r="E410" i="91"/>
  <c r="D410" i="91"/>
  <c r="C410" i="91"/>
  <c r="Q409" i="91"/>
  <c r="P409" i="91"/>
  <c r="O409" i="91"/>
  <c r="M409" i="91"/>
  <c r="L409" i="91"/>
  <c r="K409" i="91"/>
  <c r="J409" i="91"/>
  <c r="I409" i="91"/>
  <c r="H409" i="91"/>
  <c r="G409" i="91"/>
  <c r="F409" i="91"/>
  <c r="E409" i="91"/>
  <c r="D409" i="91"/>
  <c r="C409" i="91"/>
  <c r="Q408" i="91"/>
  <c r="P408" i="91"/>
  <c r="O408" i="91"/>
  <c r="M408" i="91"/>
  <c r="L408" i="91"/>
  <c r="K408" i="91"/>
  <c r="J408" i="91"/>
  <c r="I408" i="91"/>
  <c r="H408" i="91"/>
  <c r="G408" i="91"/>
  <c r="F408" i="91"/>
  <c r="E408" i="91"/>
  <c r="D408" i="91"/>
  <c r="C408" i="91"/>
  <c r="Q407" i="91"/>
  <c r="P407" i="91"/>
  <c r="O407" i="91"/>
  <c r="M407" i="91"/>
  <c r="L407" i="91"/>
  <c r="K407" i="91"/>
  <c r="J407" i="91"/>
  <c r="I407" i="91"/>
  <c r="H407" i="91"/>
  <c r="G407" i="91"/>
  <c r="F407" i="91"/>
  <c r="E407" i="91"/>
  <c r="D407" i="91"/>
  <c r="C407" i="91"/>
  <c r="Q406" i="91"/>
  <c r="P406" i="91"/>
  <c r="O406" i="91"/>
  <c r="M406" i="91"/>
  <c r="L406" i="91"/>
  <c r="K406" i="91"/>
  <c r="J406" i="91"/>
  <c r="I406" i="91"/>
  <c r="H406" i="91"/>
  <c r="G406" i="91"/>
  <c r="F406" i="91"/>
  <c r="E406" i="91"/>
  <c r="D406" i="91"/>
  <c r="C406" i="91"/>
  <c r="Q405" i="91"/>
  <c r="P405" i="91"/>
  <c r="O405" i="91"/>
  <c r="M405" i="91"/>
  <c r="L405" i="91"/>
  <c r="K405" i="91"/>
  <c r="J405" i="91"/>
  <c r="I405" i="91"/>
  <c r="H405" i="91"/>
  <c r="G405" i="91"/>
  <c r="F405" i="91"/>
  <c r="E405" i="91"/>
  <c r="D405" i="91"/>
  <c r="C405" i="91"/>
  <c r="Q404" i="91"/>
  <c r="P404" i="91"/>
  <c r="O404" i="91"/>
  <c r="M404" i="91"/>
  <c r="L404" i="91"/>
  <c r="K404" i="91"/>
  <c r="J404" i="91"/>
  <c r="I404" i="91"/>
  <c r="H404" i="91"/>
  <c r="G404" i="91"/>
  <c r="F404" i="91"/>
  <c r="E404" i="91"/>
  <c r="D404" i="91"/>
  <c r="C404" i="91"/>
  <c r="Q403" i="91"/>
  <c r="P403" i="91"/>
  <c r="O403" i="91"/>
  <c r="M403" i="91"/>
  <c r="L403" i="91"/>
  <c r="K403" i="91"/>
  <c r="J403" i="91"/>
  <c r="I403" i="91"/>
  <c r="H403" i="91"/>
  <c r="G403" i="91"/>
  <c r="F403" i="91"/>
  <c r="E403" i="91"/>
  <c r="D403" i="91"/>
  <c r="C403" i="91"/>
  <c r="Q402" i="91"/>
  <c r="P402" i="91"/>
  <c r="O402" i="91"/>
  <c r="M402" i="91"/>
  <c r="L402" i="91"/>
  <c r="K402" i="91"/>
  <c r="J402" i="91"/>
  <c r="I402" i="91"/>
  <c r="H402" i="91"/>
  <c r="G402" i="91"/>
  <c r="F402" i="91"/>
  <c r="E402" i="91"/>
  <c r="D402" i="91"/>
  <c r="C402" i="91"/>
  <c r="Q401" i="91"/>
  <c r="P401" i="91"/>
  <c r="O401" i="91"/>
  <c r="M401" i="91"/>
  <c r="L401" i="91"/>
  <c r="K401" i="91"/>
  <c r="J401" i="91"/>
  <c r="I401" i="91"/>
  <c r="H401" i="91"/>
  <c r="G401" i="91"/>
  <c r="F401" i="91"/>
  <c r="E401" i="91"/>
  <c r="D401" i="91"/>
  <c r="C401" i="91"/>
  <c r="Q400" i="91"/>
  <c r="P400" i="91"/>
  <c r="O400" i="91"/>
  <c r="M400" i="91"/>
  <c r="L400" i="91"/>
  <c r="K400" i="91"/>
  <c r="J400" i="91"/>
  <c r="I400" i="91"/>
  <c r="H400" i="91"/>
  <c r="G400" i="91"/>
  <c r="F400" i="91"/>
  <c r="E400" i="91"/>
  <c r="D400" i="91"/>
  <c r="C400" i="91"/>
  <c r="Q399" i="91"/>
  <c r="P399" i="91"/>
  <c r="O399" i="91"/>
  <c r="M399" i="91"/>
  <c r="L399" i="91"/>
  <c r="K399" i="91"/>
  <c r="J399" i="91"/>
  <c r="I399" i="91"/>
  <c r="H399" i="91"/>
  <c r="G399" i="91"/>
  <c r="F399" i="91"/>
  <c r="E399" i="91"/>
  <c r="D399" i="91"/>
  <c r="C399" i="91"/>
  <c r="Q398" i="91"/>
  <c r="P398" i="91"/>
  <c r="O398" i="91"/>
  <c r="M398" i="91"/>
  <c r="L398" i="91"/>
  <c r="K398" i="91"/>
  <c r="J398" i="91"/>
  <c r="I398" i="91"/>
  <c r="H398" i="91"/>
  <c r="G398" i="91"/>
  <c r="F398" i="91"/>
  <c r="E398" i="91"/>
  <c r="D398" i="91"/>
  <c r="C398" i="91"/>
  <c r="Q397" i="91"/>
  <c r="P397" i="91"/>
  <c r="O397" i="91"/>
  <c r="M397" i="91"/>
  <c r="L397" i="91"/>
  <c r="K397" i="91"/>
  <c r="J397" i="91"/>
  <c r="I397" i="91"/>
  <c r="H397" i="91"/>
  <c r="G397" i="91"/>
  <c r="F397" i="91"/>
  <c r="E397" i="91"/>
  <c r="D397" i="91"/>
  <c r="C397" i="91"/>
  <c r="Q396" i="91"/>
  <c r="P396" i="91"/>
  <c r="O396" i="91"/>
  <c r="M396" i="91"/>
  <c r="L396" i="91"/>
  <c r="K396" i="91"/>
  <c r="J396" i="91"/>
  <c r="I396" i="91"/>
  <c r="H396" i="91"/>
  <c r="G396" i="91"/>
  <c r="F396" i="91"/>
  <c r="E396" i="91"/>
  <c r="D396" i="91"/>
  <c r="C396" i="91"/>
  <c r="Q395" i="91"/>
  <c r="P395" i="91"/>
  <c r="O395" i="91"/>
  <c r="M395" i="91"/>
  <c r="L395" i="91"/>
  <c r="K395" i="91"/>
  <c r="J395" i="91"/>
  <c r="I395" i="91"/>
  <c r="H395" i="91"/>
  <c r="G395" i="91"/>
  <c r="F395" i="91"/>
  <c r="E395" i="91"/>
  <c r="D395" i="91"/>
  <c r="C395" i="91"/>
  <c r="Q394" i="91"/>
  <c r="P394" i="91"/>
  <c r="O394" i="91"/>
  <c r="M394" i="91"/>
  <c r="L394" i="91"/>
  <c r="K394" i="91"/>
  <c r="J394" i="91"/>
  <c r="I394" i="91"/>
  <c r="H394" i="91"/>
  <c r="G394" i="91"/>
  <c r="F394" i="91"/>
  <c r="E394" i="91"/>
  <c r="D394" i="91"/>
  <c r="C394" i="91"/>
  <c r="Q393" i="91"/>
  <c r="P393" i="91"/>
  <c r="O393" i="91"/>
  <c r="M393" i="91"/>
  <c r="L393" i="91"/>
  <c r="K393" i="91"/>
  <c r="J393" i="91"/>
  <c r="I393" i="91"/>
  <c r="H393" i="91"/>
  <c r="G393" i="91"/>
  <c r="F393" i="91"/>
  <c r="E393" i="91"/>
  <c r="D393" i="91"/>
  <c r="C393" i="91"/>
  <c r="Q392" i="91"/>
  <c r="P392" i="91"/>
  <c r="O392" i="91"/>
  <c r="M392" i="91"/>
  <c r="L392" i="91"/>
  <c r="K392" i="91"/>
  <c r="J392" i="91"/>
  <c r="I392" i="91"/>
  <c r="H392" i="91"/>
  <c r="G392" i="91"/>
  <c r="F392" i="91"/>
  <c r="E392" i="91"/>
  <c r="D392" i="91"/>
  <c r="C392" i="91"/>
  <c r="Q391" i="91"/>
  <c r="P391" i="91"/>
  <c r="O391" i="91"/>
  <c r="M391" i="91"/>
  <c r="L391" i="91"/>
  <c r="K391" i="91"/>
  <c r="J391" i="91"/>
  <c r="I391" i="91"/>
  <c r="H391" i="91"/>
  <c r="G391" i="91"/>
  <c r="F391" i="91"/>
  <c r="E391" i="91"/>
  <c r="D391" i="91"/>
  <c r="C391" i="91"/>
  <c r="Q390" i="91"/>
  <c r="P390" i="91"/>
  <c r="O390" i="91"/>
  <c r="M390" i="91"/>
  <c r="L390" i="91"/>
  <c r="K390" i="91"/>
  <c r="J390" i="91"/>
  <c r="I390" i="91"/>
  <c r="H390" i="91"/>
  <c r="G390" i="91"/>
  <c r="F390" i="91"/>
  <c r="E390" i="91"/>
  <c r="D390" i="91"/>
  <c r="C390" i="91"/>
  <c r="Q389" i="91"/>
  <c r="P389" i="91"/>
  <c r="O389" i="91"/>
  <c r="M389" i="91"/>
  <c r="L389" i="91"/>
  <c r="K389" i="91"/>
  <c r="J389" i="91"/>
  <c r="I389" i="91"/>
  <c r="H389" i="91"/>
  <c r="G389" i="91"/>
  <c r="F389" i="91"/>
  <c r="E389" i="91"/>
  <c r="D389" i="91"/>
  <c r="C389" i="91"/>
  <c r="Q388" i="91"/>
  <c r="P388" i="91"/>
  <c r="O388" i="91"/>
  <c r="M388" i="91"/>
  <c r="L388" i="91"/>
  <c r="K388" i="91"/>
  <c r="J388" i="91"/>
  <c r="I388" i="91"/>
  <c r="H388" i="91"/>
  <c r="G388" i="91"/>
  <c r="F388" i="91"/>
  <c r="E388" i="91"/>
  <c r="D388" i="91"/>
  <c r="C388" i="91"/>
  <c r="Q387" i="91"/>
  <c r="P387" i="91"/>
  <c r="O387" i="91"/>
  <c r="M387" i="91"/>
  <c r="L387" i="91"/>
  <c r="K387" i="91"/>
  <c r="J387" i="91"/>
  <c r="I387" i="91"/>
  <c r="H387" i="91"/>
  <c r="G387" i="91"/>
  <c r="F387" i="91"/>
  <c r="E387" i="91"/>
  <c r="D387" i="91"/>
  <c r="C387" i="91"/>
  <c r="Q386" i="91"/>
  <c r="P386" i="91"/>
  <c r="O386" i="91"/>
  <c r="M386" i="91"/>
  <c r="L386" i="91"/>
  <c r="K386" i="91"/>
  <c r="J386" i="91"/>
  <c r="I386" i="91"/>
  <c r="H386" i="91"/>
  <c r="G386" i="91"/>
  <c r="F386" i="91"/>
  <c r="E386" i="91"/>
  <c r="D386" i="91"/>
  <c r="C386" i="91"/>
  <c r="Q385" i="91"/>
  <c r="P385" i="91"/>
  <c r="O385" i="91"/>
  <c r="M385" i="91"/>
  <c r="L385" i="91"/>
  <c r="K385" i="91"/>
  <c r="J385" i="91"/>
  <c r="I385" i="91"/>
  <c r="H385" i="91"/>
  <c r="G385" i="91"/>
  <c r="F385" i="91"/>
  <c r="E385" i="91"/>
  <c r="D385" i="91"/>
  <c r="C385" i="91"/>
  <c r="Q384" i="91"/>
  <c r="P384" i="91"/>
  <c r="O384" i="91"/>
  <c r="M384" i="91"/>
  <c r="L384" i="91"/>
  <c r="K384" i="91"/>
  <c r="J384" i="91"/>
  <c r="I384" i="91"/>
  <c r="H384" i="91"/>
  <c r="G384" i="91"/>
  <c r="F384" i="91"/>
  <c r="E384" i="91"/>
  <c r="D384" i="91"/>
  <c r="C384" i="91"/>
  <c r="Q383" i="91"/>
  <c r="P383" i="91"/>
  <c r="O383" i="91"/>
  <c r="M383" i="91"/>
  <c r="L383" i="91"/>
  <c r="K383" i="91"/>
  <c r="J383" i="91"/>
  <c r="I383" i="91"/>
  <c r="H383" i="91"/>
  <c r="G383" i="91"/>
  <c r="F383" i="91"/>
  <c r="E383" i="91"/>
  <c r="D383" i="91"/>
  <c r="C383" i="91"/>
  <c r="Q382" i="91"/>
  <c r="P382" i="91"/>
  <c r="O382" i="91"/>
  <c r="M382" i="91"/>
  <c r="L382" i="91"/>
  <c r="K382" i="91"/>
  <c r="J382" i="91"/>
  <c r="I382" i="91"/>
  <c r="H382" i="91"/>
  <c r="G382" i="91"/>
  <c r="F382" i="91"/>
  <c r="E382" i="91"/>
  <c r="D382" i="91"/>
  <c r="C382" i="91"/>
  <c r="Q381" i="91"/>
  <c r="P381" i="91"/>
  <c r="O381" i="91"/>
  <c r="M381" i="91"/>
  <c r="L381" i="91"/>
  <c r="K381" i="91"/>
  <c r="J381" i="91"/>
  <c r="I381" i="91"/>
  <c r="H381" i="91"/>
  <c r="G381" i="91"/>
  <c r="F381" i="91"/>
  <c r="E381" i="91"/>
  <c r="D381" i="91"/>
  <c r="C381" i="91"/>
  <c r="Q380" i="91"/>
  <c r="P380" i="91"/>
  <c r="O380" i="91"/>
  <c r="M380" i="91"/>
  <c r="L380" i="91"/>
  <c r="K380" i="91"/>
  <c r="J380" i="91"/>
  <c r="I380" i="91"/>
  <c r="H380" i="91"/>
  <c r="G380" i="91"/>
  <c r="F380" i="91"/>
  <c r="E380" i="91"/>
  <c r="D380" i="91"/>
  <c r="C380" i="91"/>
  <c r="Q379" i="91"/>
  <c r="P379" i="91"/>
  <c r="O379" i="91"/>
  <c r="M379" i="91"/>
  <c r="L379" i="91"/>
  <c r="K379" i="91"/>
  <c r="J379" i="91"/>
  <c r="I379" i="91"/>
  <c r="H379" i="91"/>
  <c r="G379" i="91"/>
  <c r="F379" i="91"/>
  <c r="E379" i="91"/>
  <c r="D379" i="91"/>
  <c r="C379" i="91"/>
  <c r="Q378" i="91"/>
  <c r="P378" i="91"/>
  <c r="O378" i="91"/>
  <c r="M378" i="91"/>
  <c r="L378" i="91"/>
  <c r="K378" i="91"/>
  <c r="J378" i="91"/>
  <c r="I378" i="91"/>
  <c r="H378" i="91"/>
  <c r="G378" i="91"/>
  <c r="F378" i="91"/>
  <c r="E378" i="91"/>
  <c r="D378" i="91"/>
  <c r="C378" i="91"/>
  <c r="Q377" i="91"/>
  <c r="P377" i="91"/>
  <c r="O377" i="91"/>
  <c r="M377" i="91"/>
  <c r="L377" i="91"/>
  <c r="K377" i="91"/>
  <c r="J377" i="91"/>
  <c r="I377" i="91"/>
  <c r="H377" i="91"/>
  <c r="G377" i="91"/>
  <c r="F377" i="91"/>
  <c r="E377" i="91"/>
  <c r="D377" i="91"/>
  <c r="C377" i="91"/>
  <c r="Q376" i="91"/>
  <c r="P376" i="91"/>
  <c r="O376" i="91"/>
  <c r="M376" i="91"/>
  <c r="L376" i="91"/>
  <c r="K376" i="91"/>
  <c r="J376" i="91"/>
  <c r="I376" i="91"/>
  <c r="H376" i="91"/>
  <c r="G376" i="91"/>
  <c r="F376" i="91"/>
  <c r="E376" i="91"/>
  <c r="D376" i="91"/>
  <c r="C376" i="91"/>
  <c r="Q375" i="91"/>
  <c r="P375" i="91"/>
  <c r="O375" i="91"/>
  <c r="M375" i="91"/>
  <c r="L375" i="91"/>
  <c r="K375" i="91"/>
  <c r="J375" i="91"/>
  <c r="I375" i="91"/>
  <c r="H375" i="91"/>
  <c r="G375" i="91"/>
  <c r="F375" i="91"/>
  <c r="E375" i="91"/>
  <c r="D375" i="91"/>
  <c r="C375" i="91"/>
  <c r="Q374" i="91"/>
  <c r="P374" i="91"/>
  <c r="O374" i="91"/>
  <c r="M374" i="91"/>
  <c r="L374" i="91"/>
  <c r="K374" i="91"/>
  <c r="J374" i="91"/>
  <c r="I374" i="91"/>
  <c r="H374" i="91"/>
  <c r="G374" i="91"/>
  <c r="F374" i="91"/>
  <c r="E374" i="91"/>
  <c r="D374" i="91"/>
  <c r="C374" i="91"/>
  <c r="Q373" i="91"/>
  <c r="P373" i="91"/>
  <c r="O373" i="91"/>
  <c r="M373" i="91"/>
  <c r="L373" i="91"/>
  <c r="K373" i="91"/>
  <c r="J373" i="91"/>
  <c r="I373" i="91"/>
  <c r="H373" i="91"/>
  <c r="G373" i="91"/>
  <c r="F373" i="91"/>
  <c r="E373" i="91"/>
  <c r="D373" i="91"/>
  <c r="C373" i="91"/>
  <c r="Q372" i="91"/>
  <c r="P372" i="91"/>
  <c r="O372" i="91"/>
  <c r="M372" i="91"/>
  <c r="L372" i="91"/>
  <c r="K372" i="91"/>
  <c r="J372" i="91"/>
  <c r="I372" i="91"/>
  <c r="H372" i="91"/>
  <c r="G372" i="91"/>
  <c r="F372" i="91"/>
  <c r="E372" i="91"/>
  <c r="D372" i="91"/>
  <c r="C372" i="91"/>
  <c r="Q371" i="91"/>
  <c r="P371" i="91"/>
  <c r="O371" i="91"/>
  <c r="M371" i="91"/>
  <c r="L371" i="91"/>
  <c r="K371" i="91"/>
  <c r="J371" i="91"/>
  <c r="I371" i="91"/>
  <c r="H371" i="91"/>
  <c r="G371" i="91"/>
  <c r="F371" i="91"/>
  <c r="E371" i="91"/>
  <c r="D371" i="91"/>
  <c r="C371" i="91"/>
  <c r="Q370" i="91"/>
  <c r="P370" i="91"/>
  <c r="O370" i="91"/>
  <c r="M370" i="91"/>
  <c r="L370" i="91"/>
  <c r="K370" i="91"/>
  <c r="J370" i="91"/>
  <c r="I370" i="91"/>
  <c r="H370" i="91"/>
  <c r="G370" i="91"/>
  <c r="F370" i="91"/>
  <c r="E370" i="91"/>
  <c r="D370" i="91"/>
  <c r="C370" i="91"/>
  <c r="Q369" i="91"/>
  <c r="P369" i="91"/>
  <c r="O369" i="91"/>
  <c r="M369" i="91"/>
  <c r="L369" i="91"/>
  <c r="K369" i="91"/>
  <c r="J369" i="91"/>
  <c r="I369" i="91"/>
  <c r="H369" i="91"/>
  <c r="G369" i="91"/>
  <c r="F369" i="91"/>
  <c r="E369" i="91"/>
  <c r="D369" i="91"/>
  <c r="C369" i="91"/>
  <c r="Q368" i="91"/>
  <c r="P368" i="91"/>
  <c r="O368" i="91"/>
  <c r="M368" i="91"/>
  <c r="L368" i="91"/>
  <c r="K368" i="91"/>
  <c r="J368" i="91"/>
  <c r="I368" i="91"/>
  <c r="H368" i="91"/>
  <c r="G368" i="91"/>
  <c r="F368" i="91"/>
  <c r="E368" i="91"/>
  <c r="D368" i="91"/>
  <c r="C368" i="91"/>
  <c r="Q367" i="91"/>
  <c r="P367" i="91"/>
  <c r="O367" i="91"/>
  <c r="M367" i="91"/>
  <c r="L367" i="91"/>
  <c r="K367" i="91"/>
  <c r="J367" i="91"/>
  <c r="I367" i="91"/>
  <c r="H367" i="91"/>
  <c r="G367" i="91"/>
  <c r="F367" i="91"/>
  <c r="E367" i="91"/>
  <c r="D367" i="91"/>
  <c r="C367" i="91"/>
  <c r="Q366" i="91"/>
  <c r="P366" i="91"/>
  <c r="O366" i="91"/>
  <c r="M366" i="91"/>
  <c r="L366" i="91"/>
  <c r="K366" i="91"/>
  <c r="J366" i="91"/>
  <c r="I366" i="91"/>
  <c r="H366" i="91"/>
  <c r="G366" i="91"/>
  <c r="F366" i="91"/>
  <c r="E366" i="91"/>
  <c r="D366" i="91"/>
  <c r="C366" i="91"/>
  <c r="Q365" i="91"/>
  <c r="P365" i="91"/>
  <c r="O365" i="91"/>
  <c r="M365" i="91"/>
  <c r="L365" i="91"/>
  <c r="K365" i="91"/>
  <c r="J365" i="91"/>
  <c r="I365" i="91"/>
  <c r="H365" i="91"/>
  <c r="G365" i="91"/>
  <c r="F365" i="91"/>
  <c r="E365" i="91"/>
  <c r="D365" i="91"/>
  <c r="C365" i="91"/>
  <c r="Q364" i="91"/>
  <c r="P364" i="91"/>
  <c r="O364" i="91"/>
  <c r="M364" i="91"/>
  <c r="L364" i="91"/>
  <c r="K364" i="91"/>
  <c r="J364" i="91"/>
  <c r="I364" i="91"/>
  <c r="H364" i="91"/>
  <c r="G364" i="91"/>
  <c r="F364" i="91"/>
  <c r="E364" i="91"/>
  <c r="D364" i="91"/>
  <c r="C364" i="91"/>
  <c r="Q363" i="91"/>
  <c r="P363" i="91"/>
  <c r="O363" i="91"/>
  <c r="M363" i="91"/>
  <c r="L363" i="91"/>
  <c r="K363" i="91"/>
  <c r="J363" i="91"/>
  <c r="I363" i="91"/>
  <c r="H363" i="91"/>
  <c r="G363" i="91"/>
  <c r="F363" i="91"/>
  <c r="E363" i="91"/>
  <c r="D363" i="91"/>
  <c r="C363" i="91"/>
  <c r="Q362" i="91"/>
  <c r="P362" i="91"/>
  <c r="O362" i="91"/>
  <c r="M362" i="91"/>
  <c r="L362" i="91"/>
  <c r="K362" i="91"/>
  <c r="J362" i="91"/>
  <c r="I362" i="91"/>
  <c r="H362" i="91"/>
  <c r="G362" i="91"/>
  <c r="F362" i="91"/>
  <c r="E362" i="91"/>
  <c r="D362" i="91"/>
  <c r="C362" i="91"/>
  <c r="Q361" i="91"/>
  <c r="P361" i="91"/>
  <c r="O361" i="91"/>
  <c r="M361" i="91"/>
  <c r="L361" i="91"/>
  <c r="K361" i="91"/>
  <c r="J361" i="91"/>
  <c r="I361" i="91"/>
  <c r="H361" i="91"/>
  <c r="G361" i="91"/>
  <c r="F361" i="91"/>
  <c r="E361" i="91"/>
  <c r="D361" i="91"/>
  <c r="C361" i="91"/>
  <c r="Q360" i="91"/>
  <c r="P360" i="91"/>
  <c r="O360" i="91"/>
  <c r="M360" i="91"/>
  <c r="L360" i="91"/>
  <c r="K360" i="91"/>
  <c r="J360" i="91"/>
  <c r="I360" i="91"/>
  <c r="H360" i="91"/>
  <c r="G360" i="91"/>
  <c r="F360" i="91"/>
  <c r="E360" i="91"/>
  <c r="D360" i="91"/>
  <c r="C360" i="91"/>
  <c r="Q359" i="91"/>
  <c r="P359" i="91"/>
  <c r="O359" i="91"/>
  <c r="M359" i="91"/>
  <c r="L359" i="91"/>
  <c r="K359" i="91"/>
  <c r="J359" i="91"/>
  <c r="I359" i="91"/>
  <c r="H359" i="91"/>
  <c r="G359" i="91"/>
  <c r="F359" i="91"/>
  <c r="E359" i="91"/>
  <c r="D359" i="91"/>
  <c r="C359" i="91"/>
  <c r="Q358" i="91"/>
  <c r="P358" i="91"/>
  <c r="O358" i="91"/>
  <c r="M358" i="91"/>
  <c r="L358" i="91"/>
  <c r="K358" i="91"/>
  <c r="J358" i="91"/>
  <c r="I358" i="91"/>
  <c r="H358" i="91"/>
  <c r="G358" i="91"/>
  <c r="F358" i="91"/>
  <c r="E358" i="91"/>
  <c r="D358" i="91"/>
  <c r="C358" i="91"/>
  <c r="Q357" i="91"/>
  <c r="P357" i="91"/>
  <c r="O357" i="91"/>
  <c r="M357" i="91"/>
  <c r="L357" i="91"/>
  <c r="K357" i="91"/>
  <c r="J357" i="91"/>
  <c r="I357" i="91"/>
  <c r="H357" i="91"/>
  <c r="G357" i="91"/>
  <c r="F357" i="91"/>
  <c r="E357" i="91"/>
  <c r="D357" i="91"/>
  <c r="C357" i="91"/>
  <c r="Q356" i="91"/>
  <c r="P356" i="91"/>
  <c r="O356" i="91"/>
  <c r="M356" i="91"/>
  <c r="L356" i="91"/>
  <c r="K356" i="91"/>
  <c r="J356" i="91"/>
  <c r="I356" i="91"/>
  <c r="H356" i="91"/>
  <c r="G356" i="91"/>
  <c r="F356" i="91"/>
  <c r="E356" i="91"/>
  <c r="D356" i="91"/>
  <c r="C356" i="91"/>
  <c r="Q355" i="91"/>
  <c r="P355" i="91"/>
  <c r="O355" i="91"/>
  <c r="M355" i="91"/>
  <c r="L355" i="91"/>
  <c r="K355" i="91"/>
  <c r="J355" i="91"/>
  <c r="I355" i="91"/>
  <c r="H355" i="91"/>
  <c r="G355" i="91"/>
  <c r="F355" i="91"/>
  <c r="E355" i="91"/>
  <c r="D355" i="91"/>
  <c r="C355" i="91"/>
  <c r="Q354" i="91"/>
  <c r="P354" i="91"/>
  <c r="O354" i="91"/>
  <c r="M354" i="91"/>
  <c r="L354" i="91"/>
  <c r="K354" i="91"/>
  <c r="J354" i="91"/>
  <c r="I354" i="91"/>
  <c r="H354" i="91"/>
  <c r="G354" i="91"/>
  <c r="F354" i="91"/>
  <c r="E354" i="91"/>
  <c r="D354" i="91"/>
  <c r="C354" i="91"/>
  <c r="Q353" i="91"/>
  <c r="P353" i="91"/>
  <c r="O353" i="91"/>
  <c r="M353" i="91"/>
  <c r="L353" i="91"/>
  <c r="K353" i="91"/>
  <c r="J353" i="91"/>
  <c r="I353" i="91"/>
  <c r="H353" i="91"/>
  <c r="G353" i="91"/>
  <c r="F353" i="91"/>
  <c r="E353" i="91"/>
  <c r="D353" i="91"/>
  <c r="C353" i="91"/>
  <c r="Q352" i="91"/>
  <c r="P352" i="91"/>
  <c r="O352" i="91"/>
  <c r="M352" i="91"/>
  <c r="L352" i="91"/>
  <c r="K352" i="91"/>
  <c r="J352" i="91"/>
  <c r="I352" i="91"/>
  <c r="H352" i="91"/>
  <c r="G352" i="91"/>
  <c r="F352" i="91"/>
  <c r="E352" i="91"/>
  <c r="D352" i="91"/>
  <c r="C352" i="91"/>
  <c r="Q351" i="91"/>
  <c r="P351" i="91"/>
  <c r="O351" i="91"/>
  <c r="M351" i="91"/>
  <c r="L351" i="91"/>
  <c r="K351" i="91"/>
  <c r="J351" i="91"/>
  <c r="I351" i="91"/>
  <c r="H351" i="91"/>
  <c r="G351" i="91"/>
  <c r="F351" i="91"/>
  <c r="E351" i="91"/>
  <c r="D351" i="91"/>
  <c r="C351" i="91"/>
  <c r="Q350" i="91"/>
  <c r="P350" i="91"/>
  <c r="O350" i="91"/>
  <c r="M350" i="91"/>
  <c r="L350" i="91"/>
  <c r="K350" i="91"/>
  <c r="J350" i="91"/>
  <c r="I350" i="91"/>
  <c r="H350" i="91"/>
  <c r="G350" i="91"/>
  <c r="F350" i="91"/>
  <c r="E350" i="91"/>
  <c r="D350" i="91"/>
  <c r="C350" i="91"/>
  <c r="Q349" i="91"/>
  <c r="P349" i="91"/>
  <c r="O349" i="91"/>
  <c r="M349" i="91"/>
  <c r="L349" i="91"/>
  <c r="K349" i="91"/>
  <c r="J349" i="91"/>
  <c r="I349" i="91"/>
  <c r="H349" i="91"/>
  <c r="G349" i="91"/>
  <c r="F349" i="91"/>
  <c r="E349" i="91"/>
  <c r="D349" i="91"/>
  <c r="C349" i="91"/>
  <c r="Q348" i="91"/>
  <c r="P348" i="91"/>
  <c r="O348" i="91"/>
  <c r="M348" i="91"/>
  <c r="L348" i="91"/>
  <c r="K348" i="91"/>
  <c r="J348" i="91"/>
  <c r="I348" i="91"/>
  <c r="H348" i="91"/>
  <c r="G348" i="91"/>
  <c r="F348" i="91"/>
  <c r="E348" i="91"/>
  <c r="D348" i="91"/>
  <c r="C348" i="91"/>
  <c r="Q347" i="91"/>
  <c r="P347" i="91"/>
  <c r="O347" i="91"/>
  <c r="M347" i="91"/>
  <c r="L347" i="91"/>
  <c r="K347" i="91"/>
  <c r="J347" i="91"/>
  <c r="I347" i="91"/>
  <c r="H347" i="91"/>
  <c r="G347" i="91"/>
  <c r="F347" i="91"/>
  <c r="E347" i="91"/>
  <c r="D347" i="91"/>
  <c r="C347" i="91"/>
  <c r="Q346" i="91"/>
  <c r="P346" i="91"/>
  <c r="O346" i="91"/>
  <c r="M346" i="91"/>
  <c r="L346" i="91"/>
  <c r="K346" i="91"/>
  <c r="J346" i="91"/>
  <c r="I346" i="91"/>
  <c r="H346" i="91"/>
  <c r="G346" i="91"/>
  <c r="F346" i="91"/>
  <c r="E346" i="91"/>
  <c r="D346" i="91"/>
  <c r="C346" i="91"/>
  <c r="Q345" i="91"/>
  <c r="P345" i="91"/>
  <c r="O345" i="91"/>
  <c r="M345" i="91"/>
  <c r="L345" i="91"/>
  <c r="K345" i="91"/>
  <c r="J345" i="91"/>
  <c r="I345" i="91"/>
  <c r="H345" i="91"/>
  <c r="G345" i="91"/>
  <c r="F345" i="91"/>
  <c r="E345" i="91"/>
  <c r="D345" i="91"/>
  <c r="C345" i="91"/>
  <c r="Q344" i="91"/>
  <c r="P344" i="91"/>
  <c r="O344" i="91"/>
  <c r="M344" i="91"/>
  <c r="L344" i="91"/>
  <c r="K344" i="91"/>
  <c r="J344" i="91"/>
  <c r="I344" i="91"/>
  <c r="H344" i="91"/>
  <c r="G344" i="91"/>
  <c r="F344" i="91"/>
  <c r="E344" i="91"/>
  <c r="D344" i="91"/>
  <c r="C344" i="91"/>
  <c r="Q343" i="91"/>
  <c r="P343" i="91"/>
  <c r="O343" i="91"/>
  <c r="M343" i="91"/>
  <c r="L343" i="91"/>
  <c r="K343" i="91"/>
  <c r="J343" i="91"/>
  <c r="I343" i="91"/>
  <c r="H343" i="91"/>
  <c r="G343" i="91"/>
  <c r="F343" i="91"/>
  <c r="E343" i="91"/>
  <c r="D343" i="91"/>
  <c r="C343" i="91"/>
  <c r="Q342" i="91"/>
  <c r="P342" i="91"/>
  <c r="O342" i="91"/>
  <c r="M342" i="91"/>
  <c r="L342" i="91"/>
  <c r="K342" i="91"/>
  <c r="J342" i="91"/>
  <c r="I342" i="91"/>
  <c r="H342" i="91"/>
  <c r="G342" i="91"/>
  <c r="F342" i="91"/>
  <c r="E342" i="91"/>
  <c r="D342" i="91"/>
  <c r="C342" i="91"/>
  <c r="Q341" i="91"/>
  <c r="P341" i="91"/>
  <c r="O341" i="91"/>
  <c r="M341" i="91"/>
  <c r="L341" i="91"/>
  <c r="K341" i="91"/>
  <c r="J341" i="91"/>
  <c r="I341" i="91"/>
  <c r="H341" i="91"/>
  <c r="G341" i="91"/>
  <c r="F341" i="91"/>
  <c r="E341" i="91"/>
  <c r="D341" i="91"/>
  <c r="C341" i="91"/>
  <c r="Q340" i="91"/>
  <c r="P340" i="91"/>
  <c r="O340" i="91"/>
  <c r="M340" i="91"/>
  <c r="L340" i="91"/>
  <c r="K340" i="91"/>
  <c r="J340" i="91"/>
  <c r="I340" i="91"/>
  <c r="H340" i="91"/>
  <c r="G340" i="91"/>
  <c r="F340" i="91"/>
  <c r="E340" i="91"/>
  <c r="D340" i="91"/>
  <c r="C340" i="91"/>
  <c r="Q339" i="91"/>
  <c r="P339" i="91"/>
  <c r="O339" i="91"/>
  <c r="M339" i="91"/>
  <c r="L339" i="91"/>
  <c r="K339" i="91"/>
  <c r="J339" i="91"/>
  <c r="I339" i="91"/>
  <c r="H339" i="91"/>
  <c r="G339" i="91"/>
  <c r="F339" i="91"/>
  <c r="E339" i="91"/>
  <c r="D339" i="91"/>
  <c r="C339" i="91"/>
  <c r="Q338" i="91"/>
  <c r="P338" i="91"/>
  <c r="O338" i="91"/>
  <c r="M338" i="91"/>
  <c r="L338" i="91"/>
  <c r="K338" i="91"/>
  <c r="J338" i="91"/>
  <c r="I338" i="91"/>
  <c r="H338" i="91"/>
  <c r="G338" i="91"/>
  <c r="F338" i="91"/>
  <c r="E338" i="91"/>
  <c r="D338" i="91"/>
  <c r="C338" i="91"/>
  <c r="Q337" i="91"/>
  <c r="P337" i="91"/>
  <c r="O337" i="91"/>
  <c r="M337" i="91"/>
  <c r="L337" i="91"/>
  <c r="K337" i="91"/>
  <c r="J337" i="91"/>
  <c r="I337" i="91"/>
  <c r="H337" i="91"/>
  <c r="G337" i="91"/>
  <c r="F337" i="91"/>
  <c r="E337" i="91"/>
  <c r="D337" i="91"/>
  <c r="C337" i="91"/>
  <c r="Q336" i="91"/>
  <c r="P336" i="91"/>
  <c r="O336" i="91"/>
  <c r="M336" i="91"/>
  <c r="L336" i="91"/>
  <c r="K336" i="91"/>
  <c r="J336" i="91"/>
  <c r="I336" i="91"/>
  <c r="H336" i="91"/>
  <c r="G336" i="91"/>
  <c r="F336" i="91"/>
  <c r="E336" i="91"/>
  <c r="D336" i="91"/>
  <c r="C336" i="91"/>
  <c r="Q335" i="91"/>
  <c r="P335" i="91"/>
  <c r="O335" i="91"/>
  <c r="M335" i="91"/>
  <c r="L335" i="91"/>
  <c r="K335" i="91"/>
  <c r="J335" i="91"/>
  <c r="I335" i="91"/>
  <c r="H335" i="91"/>
  <c r="G335" i="91"/>
  <c r="F335" i="91"/>
  <c r="E335" i="91"/>
  <c r="D335" i="91"/>
  <c r="C335" i="91"/>
  <c r="Q334" i="91"/>
  <c r="P334" i="91"/>
  <c r="O334" i="91"/>
  <c r="M334" i="91"/>
  <c r="L334" i="91"/>
  <c r="K334" i="91"/>
  <c r="J334" i="91"/>
  <c r="I334" i="91"/>
  <c r="H334" i="91"/>
  <c r="G334" i="91"/>
  <c r="F334" i="91"/>
  <c r="E334" i="91"/>
  <c r="D334" i="91"/>
  <c r="C334" i="91"/>
  <c r="Q333" i="91"/>
  <c r="P333" i="91"/>
  <c r="O333" i="91"/>
  <c r="M333" i="91"/>
  <c r="L333" i="91"/>
  <c r="K333" i="91"/>
  <c r="J333" i="91"/>
  <c r="I333" i="91"/>
  <c r="H333" i="91"/>
  <c r="G333" i="91"/>
  <c r="F333" i="91"/>
  <c r="E333" i="91"/>
  <c r="D333" i="91"/>
  <c r="C333" i="91"/>
  <c r="Q332" i="91"/>
  <c r="P332" i="91"/>
  <c r="O332" i="91"/>
  <c r="M332" i="91"/>
  <c r="L332" i="91"/>
  <c r="K332" i="91"/>
  <c r="J332" i="91"/>
  <c r="I332" i="91"/>
  <c r="H332" i="91"/>
  <c r="G332" i="91"/>
  <c r="F332" i="91"/>
  <c r="E332" i="91"/>
  <c r="D332" i="91"/>
  <c r="C332" i="91"/>
  <c r="Q331" i="91"/>
  <c r="P331" i="91"/>
  <c r="O331" i="91"/>
  <c r="M331" i="91"/>
  <c r="L331" i="91"/>
  <c r="K331" i="91"/>
  <c r="J331" i="91"/>
  <c r="I331" i="91"/>
  <c r="H331" i="91"/>
  <c r="G331" i="91"/>
  <c r="F331" i="91"/>
  <c r="E331" i="91"/>
  <c r="D331" i="91"/>
  <c r="C331" i="91"/>
  <c r="Q330" i="91"/>
  <c r="P330" i="91"/>
  <c r="O330" i="91"/>
  <c r="M330" i="91"/>
  <c r="L330" i="91"/>
  <c r="K330" i="91"/>
  <c r="J330" i="91"/>
  <c r="I330" i="91"/>
  <c r="H330" i="91"/>
  <c r="G330" i="91"/>
  <c r="F330" i="91"/>
  <c r="E330" i="91"/>
  <c r="D330" i="91"/>
  <c r="C330" i="91"/>
  <c r="Q329" i="91"/>
  <c r="P329" i="91"/>
  <c r="O329" i="91"/>
  <c r="M329" i="91"/>
  <c r="L329" i="91"/>
  <c r="K329" i="91"/>
  <c r="J329" i="91"/>
  <c r="I329" i="91"/>
  <c r="H329" i="91"/>
  <c r="G329" i="91"/>
  <c r="F329" i="91"/>
  <c r="E329" i="91"/>
  <c r="D329" i="91"/>
  <c r="C329" i="91"/>
  <c r="Q328" i="91"/>
  <c r="P328" i="91"/>
  <c r="O328" i="91"/>
  <c r="M328" i="91"/>
  <c r="L328" i="91"/>
  <c r="K328" i="91"/>
  <c r="J328" i="91"/>
  <c r="I328" i="91"/>
  <c r="H328" i="91"/>
  <c r="G328" i="91"/>
  <c r="F328" i="91"/>
  <c r="E328" i="91"/>
  <c r="D328" i="91"/>
  <c r="C328" i="91"/>
  <c r="Q327" i="91"/>
  <c r="P327" i="91"/>
  <c r="O327" i="91"/>
  <c r="M327" i="91"/>
  <c r="L327" i="91"/>
  <c r="K327" i="91"/>
  <c r="J327" i="91"/>
  <c r="I327" i="91"/>
  <c r="H327" i="91"/>
  <c r="G327" i="91"/>
  <c r="F327" i="91"/>
  <c r="E327" i="91"/>
  <c r="D327" i="91"/>
  <c r="C327" i="91"/>
  <c r="Q326" i="91"/>
  <c r="P326" i="91"/>
  <c r="O326" i="91"/>
  <c r="M326" i="91"/>
  <c r="L326" i="91"/>
  <c r="K326" i="91"/>
  <c r="J326" i="91"/>
  <c r="I326" i="91"/>
  <c r="H326" i="91"/>
  <c r="G326" i="91"/>
  <c r="F326" i="91"/>
  <c r="E326" i="91"/>
  <c r="D326" i="91"/>
  <c r="C326" i="91"/>
  <c r="Q325" i="91"/>
  <c r="P325" i="91"/>
  <c r="O325" i="91"/>
  <c r="M325" i="91"/>
  <c r="L325" i="91"/>
  <c r="K325" i="91"/>
  <c r="J325" i="91"/>
  <c r="I325" i="91"/>
  <c r="H325" i="91"/>
  <c r="G325" i="91"/>
  <c r="F325" i="91"/>
  <c r="E325" i="91"/>
  <c r="D325" i="91"/>
  <c r="C325" i="91"/>
  <c r="Q324" i="91"/>
  <c r="P324" i="91"/>
  <c r="O324" i="91"/>
  <c r="M324" i="91"/>
  <c r="L324" i="91"/>
  <c r="K324" i="91"/>
  <c r="J324" i="91"/>
  <c r="I324" i="91"/>
  <c r="H324" i="91"/>
  <c r="G324" i="91"/>
  <c r="F324" i="91"/>
  <c r="E324" i="91"/>
  <c r="D324" i="91"/>
  <c r="C324" i="91"/>
  <c r="Q323" i="91"/>
  <c r="P323" i="91"/>
  <c r="O323" i="91"/>
  <c r="M323" i="91"/>
  <c r="L323" i="91"/>
  <c r="K323" i="91"/>
  <c r="J323" i="91"/>
  <c r="I323" i="91"/>
  <c r="H323" i="91"/>
  <c r="G323" i="91"/>
  <c r="F323" i="91"/>
  <c r="E323" i="91"/>
  <c r="D323" i="91"/>
  <c r="C323" i="91"/>
  <c r="Q322" i="91"/>
  <c r="P322" i="91"/>
  <c r="O322" i="91"/>
  <c r="M322" i="91"/>
  <c r="L322" i="91"/>
  <c r="K322" i="91"/>
  <c r="J322" i="91"/>
  <c r="I322" i="91"/>
  <c r="H322" i="91"/>
  <c r="G322" i="91"/>
  <c r="F322" i="91"/>
  <c r="E322" i="91"/>
  <c r="D322" i="91"/>
  <c r="C322" i="91"/>
  <c r="Q321" i="91"/>
  <c r="P321" i="91"/>
  <c r="O321" i="91"/>
  <c r="M321" i="91"/>
  <c r="L321" i="91"/>
  <c r="K321" i="91"/>
  <c r="J321" i="91"/>
  <c r="I321" i="91"/>
  <c r="H321" i="91"/>
  <c r="G321" i="91"/>
  <c r="F321" i="91"/>
  <c r="E321" i="91"/>
  <c r="D321" i="91"/>
  <c r="C321" i="91"/>
  <c r="Q320" i="91"/>
  <c r="P320" i="91"/>
  <c r="O320" i="91"/>
  <c r="M320" i="91"/>
  <c r="L320" i="91"/>
  <c r="K320" i="91"/>
  <c r="J320" i="91"/>
  <c r="I320" i="91"/>
  <c r="H320" i="91"/>
  <c r="G320" i="91"/>
  <c r="F320" i="91"/>
  <c r="E320" i="91"/>
  <c r="D320" i="91"/>
  <c r="C320" i="91"/>
  <c r="Q319" i="91"/>
  <c r="P319" i="91"/>
  <c r="O319" i="91"/>
  <c r="M319" i="91"/>
  <c r="L319" i="91"/>
  <c r="K319" i="91"/>
  <c r="J319" i="91"/>
  <c r="I319" i="91"/>
  <c r="H319" i="91"/>
  <c r="G319" i="91"/>
  <c r="F319" i="91"/>
  <c r="E319" i="91"/>
  <c r="D319" i="91"/>
  <c r="C319" i="91"/>
  <c r="Q318" i="91"/>
  <c r="P318" i="91"/>
  <c r="O318" i="91"/>
  <c r="M318" i="91"/>
  <c r="L318" i="91"/>
  <c r="K318" i="91"/>
  <c r="J318" i="91"/>
  <c r="I318" i="91"/>
  <c r="H318" i="91"/>
  <c r="G318" i="91"/>
  <c r="F318" i="91"/>
  <c r="E318" i="91"/>
  <c r="D318" i="91"/>
  <c r="C318" i="91"/>
  <c r="Q317" i="91"/>
  <c r="P317" i="91"/>
  <c r="O317" i="91"/>
  <c r="M317" i="91"/>
  <c r="L317" i="91"/>
  <c r="K317" i="91"/>
  <c r="J317" i="91"/>
  <c r="I317" i="91"/>
  <c r="H317" i="91"/>
  <c r="G317" i="91"/>
  <c r="F317" i="91"/>
  <c r="E317" i="91"/>
  <c r="D317" i="91"/>
  <c r="C317" i="91"/>
  <c r="Q316" i="91"/>
  <c r="P316" i="91"/>
  <c r="O316" i="91"/>
  <c r="M316" i="91"/>
  <c r="L316" i="91"/>
  <c r="K316" i="91"/>
  <c r="J316" i="91"/>
  <c r="I316" i="91"/>
  <c r="H316" i="91"/>
  <c r="G316" i="91"/>
  <c r="F316" i="91"/>
  <c r="E316" i="91"/>
  <c r="D316" i="91"/>
  <c r="C316" i="91"/>
  <c r="Q315" i="91"/>
  <c r="P315" i="91"/>
  <c r="O315" i="91"/>
  <c r="M315" i="91"/>
  <c r="L315" i="91"/>
  <c r="K315" i="91"/>
  <c r="J315" i="91"/>
  <c r="I315" i="91"/>
  <c r="H315" i="91"/>
  <c r="G315" i="91"/>
  <c r="F315" i="91"/>
  <c r="E315" i="91"/>
  <c r="D315" i="91"/>
  <c r="C315" i="91"/>
  <c r="Q314" i="91"/>
  <c r="P314" i="91"/>
  <c r="O314" i="91"/>
  <c r="M314" i="91"/>
  <c r="L314" i="91"/>
  <c r="K314" i="91"/>
  <c r="J314" i="91"/>
  <c r="I314" i="91"/>
  <c r="H314" i="91"/>
  <c r="G314" i="91"/>
  <c r="F314" i="91"/>
  <c r="E314" i="91"/>
  <c r="D314" i="91"/>
  <c r="C314" i="91"/>
  <c r="Q313" i="91"/>
  <c r="P313" i="91"/>
  <c r="O313" i="91"/>
  <c r="M313" i="91"/>
  <c r="L313" i="91"/>
  <c r="K313" i="91"/>
  <c r="J313" i="91"/>
  <c r="I313" i="91"/>
  <c r="H313" i="91"/>
  <c r="G313" i="91"/>
  <c r="F313" i="91"/>
  <c r="E313" i="91"/>
  <c r="D313" i="91"/>
  <c r="C313" i="91"/>
  <c r="Q312" i="91"/>
  <c r="P312" i="91"/>
  <c r="O312" i="91"/>
  <c r="M312" i="91"/>
  <c r="L312" i="91"/>
  <c r="K312" i="91"/>
  <c r="J312" i="91"/>
  <c r="I312" i="91"/>
  <c r="H312" i="91"/>
  <c r="G312" i="91"/>
  <c r="F312" i="91"/>
  <c r="E312" i="91"/>
  <c r="D312" i="91"/>
  <c r="C312" i="91"/>
  <c r="Q311" i="91"/>
  <c r="P311" i="91"/>
  <c r="O311" i="91"/>
  <c r="M311" i="91"/>
  <c r="L311" i="91"/>
  <c r="K311" i="91"/>
  <c r="J311" i="91"/>
  <c r="I311" i="91"/>
  <c r="H311" i="91"/>
  <c r="G311" i="91"/>
  <c r="F311" i="91"/>
  <c r="E311" i="91"/>
  <c r="D311" i="91"/>
  <c r="C311" i="91"/>
  <c r="Q310" i="91"/>
  <c r="P310" i="91"/>
  <c r="O310" i="91"/>
  <c r="M310" i="91"/>
  <c r="L310" i="91"/>
  <c r="K310" i="91"/>
  <c r="J310" i="91"/>
  <c r="I310" i="91"/>
  <c r="H310" i="91"/>
  <c r="G310" i="91"/>
  <c r="F310" i="91"/>
  <c r="E310" i="91"/>
  <c r="D310" i="91"/>
  <c r="C310" i="91"/>
  <c r="Q309" i="91"/>
  <c r="P309" i="91"/>
  <c r="O309" i="91"/>
  <c r="M309" i="91"/>
  <c r="L309" i="91"/>
  <c r="K309" i="91"/>
  <c r="J309" i="91"/>
  <c r="I309" i="91"/>
  <c r="H309" i="91"/>
  <c r="G309" i="91"/>
  <c r="F309" i="91"/>
  <c r="E309" i="91"/>
  <c r="D309" i="91"/>
  <c r="C309" i="91"/>
  <c r="Q308" i="91"/>
  <c r="P308" i="91"/>
  <c r="O308" i="91"/>
  <c r="M308" i="91"/>
  <c r="L308" i="91"/>
  <c r="K308" i="91"/>
  <c r="J308" i="91"/>
  <c r="I308" i="91"/>
  <c r="H308" i="91"/>
  <c r="G308" i="91"/>
  <c r="F308" i="91"/>
  <c r="E308" i="91"/>
  <c r="D308" i="91"/>
  <c r="C308" i="91"/>
  <c r="Q307" i="91"/>
  <c r="P307" i="91"/>
  <c r="O307" i="91"/>
  <c r="M307" i="91"/>
  <c r="L307" i="91"/>
  <c r="K307" i="91"/>
  <c r="J307" i="91"/>
  <c r="I307" i="91"/>
  <c r="H307" i="91"/>
  <c r="G307" i="91"/>
  <c r="F307" i="91"/>
  <c r="E307" i="91"/>
  <c r="D307" i="91"/>
  <c r="C307" i="91"/>
  <c r="Q306" i="91"/>
  <c r="P306" i="91"/>
  <c r="O306" i="91"/>
  <c r="M306" i="91"/>
  <c r="L306" i="91"/>
  <c r="K306" i="91"/>
  <c r="J306" i="91"/>
  <c r="I306" i="91"/>
  <c r="H306" i="91"/>
  <c r="G306" i="91"/>
  <c r="F306" i="91"/>
  <c r="E306" i="91"/>
  <c r="D306" i="91"/>
  <c r="C306" i="91"/>
  <c r="Q305" i="91"/>
  <c r="P305" i="91"/>
  <c r="O305" i="91"/>
  <c r="M305" i="91"/>
  <c r="L305" i="91"/>
  <c r="K305" i="91"/>
  <c r="J305" i="91"/>
  <c r="I305" i="91"/>
  <c r="H305" i="91"/>
  <c r="G305" i="91"/>
  <c r="F305" i="91"/>
  <c r="E305" i="91"/>
  <c r="D305" i="91"/>
  <c r="C305" i="91"/>
  <c r="Q304" i="91"/>
  <c r="P304" i="91"/>
  <c r="O304" i="91"/>
  <c r="M304" i="91"/>
  <c r="L304" i="91"/>
  <c r="K304" i="91"/>
  <c r="J304" i="91"/>
  <c r="I304" i="91"/>
  <c r="H304" i="91"/>
  <c r="G304" i="91"/>
  <c r="F304" i="91"/>
  <c r="E304" i="91"/>
  <c r="D304" i="91"/>
  <c r="C304" i="91"/>
  <c r="Q303" i="91"/>
  <c r="P303" i="91"/>
  <c r="O303" i="91"/>
  <c r="M303" i="91"/>
  <c r="L303" i="91"/>
  <c r="K303" i="91"/>
  <c r="J303" i="91"/>
  <c r="I303" i="91"/>
  <c r="H303" i="91"/>
  <c r="G303" i="91"/>
  <c r="F303" i="91"/>
  <c r="E303" i="91"/>
  <c r="D303" i="91"/>
  <c r="C303" i="91"/>
  <c r="Q302" i="91"/>
  <c r="P302" i="91"/>
  <c r="O302" i="91"/>
  <c r="M302" i="91"/>
  <c r="L302" i="91"/>
  <c r="K302" i="91"/>
  <c r="J302" i="91"/>
  <c r="I302" i="91"/>
  <c r="H302" i="91"/>
  <c r="G302" i="91"/>
  <c r="F302" i="91"/>
  <c r="E302" i="91"/>
  <c r="D302" i="91"/>
  <c r="C302" i="91"/>
  <c r="Q301" i="91"/>
  <c r="P301" i="91"/>
  <c r="O301" i="91"/>
  <c r="M301" i="91"/>
  <c r="L301" i="91"/>
  <c r="K301" i="91"/>
  <c r="J301" i="91"/>
  <c r="I301" i="91"/>
  <c r="H301" i="91"/>
  <c r="G301" i="91"/>
  <c r="F301" i="91"/>
  <c r="E301" i="91"/>
  <c r="D301" i="91"/>
  <c r="C301" i="91"/>
  <c r="Q300" i="91"/>
  <c r="P300" i="91"/>
  <c r="O300" i="91"/>
  <c r="M300" i="91"/>
  <c r="L300" i="91"/>
  <c r="K300" i="91"/>
  <c r="J300" i="91"/>
  <c r="I300" i="91"/>
  <c r="H300" i="91"/>
  <c r="G300" i="91"/>
  <c r="F300" i="91"/>
  <c r="E300" i="91"/>
  <c r="D300" i="91"/>
  <c r="C300" i="91"/>
  <c r="Q299" i="91"/>
  <c r="P299" i="91"/>
  <c r="O299" i="91"/>
  <c r="M299" i="91"/>
  <c r="L299" i="91"/>
  <c r="K299" i="91"/>
  <c r="J299" i="91"/>
  <c r="I299" i="91"/>
  <c r="H299" i="91"/>
  <c r="G299" i="91"/>
  <c r="F299" i="91"/>
  <c r="E299" i="91"/>
  <c r="D299" i="91"/>
  <c r="C299" i="91"/>
  <c r="Q298" i="91"/>
  <c r="P298" i="91"/>
  <c r="O298" i="91"/>
  <c r="M298" i="91"/>
  <c r="L298" i="91"/>
  <c r="K298" i="91"/>
  <c r="J298" i="91"/>
  <c r="I298" i="91"/>
  <c r="H298" i="91"/>
  <c r="G298" i="91"/>
  <c r="F298" i="91"/>
  <c r="E298" i="91"/>
  <c r="D298" i="91"/>
  <c r="C298" i="91"/>
  <c r="Q297" i="91"/>
  <c r="P297" i="91"/>
  <c r="O297" i="91"/>
  <c r="M297" i="91"/>
  <c r="L297" i="91"/>
  <c r="K297" i="91"/>
  <c r="J297" i="91"/>
  <c r="I297" i="91"/>
  <c r="H297" i="91"/>
  <c r="G297" i="91"/>
  <c r="F297" i="91"/>
  <c r="E297" i="91"/>
  <c r="D297" i="91"/>
  <c r="C297" i="91"/>
  <c r="Q296" i="91"/>
  <c r="P296" i="91"/>
  <c r="O296" i="91"/>
  <c r="M296" i="91"/>
  <c r="L296" i="91"/>
  <c r="K296" i="91"/>
  <c r="J296" i="91"/>
  <c r="I296" i="91"/>
  <c r="H296" i="91"/>
  <c r="G296" i="91"/>
  <c r="F296" i="91"/>
  <c r="E296" i="91"/>
  <c r="D296" i="91"/>
  <c r="C296" i="91"/>
  <c r="Q295" i="91"/>
  <c r="P295" i="91"/>
  <c r="O295" i="91"/>
  <c r="M295" i="91"/>
  <c r="L295" i="91"/>
  <c r="K295" i="91"/>
  <c r="J295" i="91"/>
  <c r="I295" i="91"/>
  <c r="H295" i="91"/>
  <c r="G295" i="91"/>
  <c r="F295" i="91"/>
  <c r="E295" i="91"/>
  <c r="D295" i="91"/>
  <c r="C295" i="91"/>
  <c r="Q294" i="91"/>
  <c r="P294" i="91"/>
  <c r="O294" i="91"/>
  <c r="M294" i="91"/>
  <c r="L294" i="91"/>
  <c r="K294" i="91"/>
  <c r="J294" i="91"/>
  <c r="I294" i="91"/>
  <c r="H294" i="91"/>
  <c r="G294" i="91"/>
  <c r="F294" i="91"/>
  <c r="E294" i="91"/>
  <c r="D294" i="91"/>
  <c r="C294" i="91"/>
  <c r="Q293" i="91"/>
  <c r="P293" i="91"/>
  <c r="O293" i="91"/>
  <c r="M293" i="91"/>
  <c r="L293" i="91"/>
  <c r="K293" i="91"/>
  <c r="J293" i="91"/>
  <c r="I293" i="91"/>
  <c r="H293" i="91"/>
  <c r="G293" i="91"/>
  <c r="F293" i="91"/>
  <c r="E293" i="91"/>
  <c r="D293" i="91"/>
  <c r="C293" i="91"/>
  <c r="Q292" i="91"/>
  <c r="P292" i="91"/>
  <c r="O292" i="91"/>
  <c r="M292" i="91"/>
  <c r="L292" i="91"/>
  <c r="K292" i="91"/>
  <c r="J292" i="91"/>
  <c r="I292" i="91"/>
  <c r="H292" i="91"/>
  <c r="G292" i="91"/>
  <c r="F292" i="91"/>
  <c r="E292" i="91"/>
  <c r="D292" i="91"/>
  <c r="C292" i="91"/>
  <c r="Q291" i="91"/>
  <c r="P291" i="91"/>
  <c r="O291" i="91"/>
  <c r="M291" i="91"/>
  <c r="L291" i="91"/>
  <c r="K291" i="91"/>
  <c r="J291" i="91"/>
  <c r="I291" i="91"/>
  <c r="H291" i="91"/>
  <c r="G291" i="91"/>
  <c r="F291" i="91"/>
  <c r="E291" i="91"/>
  <c r="D291" i="91"/>
  <c r="C291" i="91"/>
  <c r="Q290" i="91"/>
  <c r="P290" i="91"/>
  <c r="O290" i="91"/>
  <c r="M290" i="91"/>
  <c r="L290" i="91"/>
  <c r="K290" i="91"/>
  <c r="J290" i="91"/>
  <c r="I290" i="91"/>
  <c r="H290" i="91"/>
  <c r="G290" i="91"/>
  <c r="F290" i="91"/>
  <c r="E290" i="91"/>
  <c r="D290" i="91"/>
  <c r="C290" i="91"/>
  <c r="Q289" i="91"/>
  <c r="P289" i="91"/>
  <c r="O289" i="91"/>
  <c r="M289" i="91"/>
  <c r="L289" i="91"/>
  <c r="K289" i="91"/>
  <c r="J289" i="91"/>
  <c r="I289" i="91"/>
  <c r="H289" i="91"/>
  <c r="G289" i="91"/>
  <c r="F289" i="91"/>
  <c r="E289" i="91"/>
  <c r="D289" i="91"/>
  <c r="C289" i="91"/>
  <c r="Q288" i="91"/>
  <c r="P288" i="91"/>
  <c r="O288" i="91"/>
  <c r="M288" i="91"/>
  <c r="L288" i="91"/>
  <c r="K288" i="91"/>
  <c r="J288" i="91"/>
  <c r="I288" i="91"/>
  <c r="H288" i="91"/>
  <c r="G288" i="91"/>
  <c r="F288" i="91"/>
  <c r="E288" i="91"/>
  <c r="D288" i="91"/>
  <c r="C288" i="91"/>
  <c r="Q287" i="91"/>
  <c r="P287" i="91"/>
  <c r="O287" i="91"/>
  <c r="M287" i="91"/>
  <c r="L287" i="91"/>
  <c r="K287" i="91"/>
  <c r="J287" i="91"/>
  <c r="I287" i="91"/>
  <c r="H287" i="91"/>
  <c r="G287" i="91"/>
  <c r="F287" i="91"/>
  <c r="E287" i="91"/>
  <c r="D287" i="91"/>
  <c r="C287" i="91"/>
  <c r="Q286" i="91"/>
  <c r="P286" i="91"/>
  <c r="O286" i="91"/>
  <c r="M286" i="91"/>
  <c r="L286" i="91"/>
  <c r="K286" i="91"/>
  <c r="J286" i="91"/>
  <c r="I286" i="91"/>
  <c r="H286" i="91"/>
  <c r="G286" i="91"/>
  <c r="F286" i="91"/>
  <c r="E286" i="91"/>
  <c r="D286" i="91"/>
  <c r="C286" i="91"/>
  <c r="Q285" i="91"/>
  <c r="P285" i="91"/>
  <c r="O285" i="91"/>
  <c r="M285" i="91"/>
  <c r="L285" i="91"/>
  <c r="K285" i="91"/>
  <c r="J285" i="91"/>
  <c r="I285" i="91"/>
  <c r="H285" i="91"/>
  <c r="G285" i="91"/>
  <c r="F285" i="91"/>
  <c r="E285" i="91"/>
  <c r="D285" i="91"/>
  <c r="C285" i="91"/>
  <c r="Q284" i="91"/>
  <c r="P284" i="91"/>
  <c r="O284" i="91"/>
  <c r="M284" i="91"/>
  <c r="L284" i="91"/>
  <c r="K284" i="91"/>
  <c r="J284" i="91"/>
  <c r="I284" i="91"/>
  <c r="H284" i="91"/>
  <c r="G284" i="91"/>
  <c r="F284" i="91"/>
  <c r="E284" i="91"/>
  <c r="D284" i="91"/>
  <c r="C284" i="91"/>
  <c r="Q283" i="91"/>
  <c r="P283" i="91"/>
  <c r="O283" i="91"/>
  <c r="M283" i="91"/>
  <c r="L283" i="91"/>
  <c r="K283" i="91"/>
  <c r="J283" i="91"/>
  <c r="I283" i="91"/>
  <c r="H283" i="91"/>
  <c r="G283" i="91"/>
  <c r="F283" i="91"/>
  <c r="E283" i="91"/>
  <c r="D283" i="91"/>
  <c r="C283" i="91"/>
  <c r="Q282" i="91"/>
  <c r="P282" i="91"/>
  <c r="O282" i="91"/>
  <c r="M282" i="91"/>
  <c r="L282" i="91"/>
  <c r="K282" i="91"/>
  <c r="J282" i="91"/>
  <c r="I282" i="91"/>
  <c r="H282" i="91"/>
  <c r="G282" i="91"/>
  <c r="F282" i="91"/>
  <c r="E282" i="91"/>
  <c r="D282" i="91"/>
  <c r="C282" i="91"/>
  <c r="Q281" i="91"/>
  <c r="P281" i="91"/>
  <c r="O281" i="91"/>
  <c r="M281" i="91"/>
  <c r="L281" i="91"/>
  <c r="K281" i="91"/>
  <c r="J281" i="91"/>
  <c r="I281" i="91"/>
  <c r="H281" i="91"/>
  <c r="G281" i="91"/>
  <c r="F281" i="91"/>
  <c r="E281" i="91"/>
  <c r="D281" i="91"/>
  <c r="C281" i="91"/>
  <c r="Q280" i="91"/>
  <c r="P280" i="91"/>
  <c r="O280" i="91"/>
  <c r="M280" i="91"/>
  <c r="L280" i="91"/>
  <c r="K280" i="91"/>
  <c r="J280" i="91"/>
  <c r="I280" i="91"/>
  <c r="H280" i="91"/>
  <c r="G280" i="91"/>
  <c r="F280" i="91"/>
  <c r="E280" i="91"/>
  <c r="D280" i="91"/>
  <c r="C280" i="91"/>
  <c r="Q279" i="91"/>
  <c r="P279" i="91"/>
  <c r="O279" i="91"/>
  <c r="M279" i="91"/>
  <c r="L279" i="91"/>
  <c r="K279" i="91"/>
  <c r="J279" i="91"/>
  <c r="I279" i="91"/>
  <c r="H279" i="91"/>
  <c r="G279" i="91"/>
  <c r="F279" i="91"/>
  <c r="E279" i="91"/>
  <c r="D279" i="91"/>
  <c r="C279" i="91"/>
  <c r="Q278" i="91"/>
  <c r="P278" i="91"/>
  <c r="O278" i="91"/>
  <c r="M278" i="91"/>
  <c r="L278" i="91"/>
  <c r="K278" i="91"/>
  <c r="J278" i="91"/>
  <c r="I278" i="91"/>
  <c r="H278" i="91"/>
  <c r="G278" i="91"/>
  <c r="F278" i="91"/>
  <c r="E278" i="91"/>
  <c r="D278" i="91"/>
  <c r="C278" i="91"/>
  <c r="Q277" i="91"/>
  <c r="P277" i="91"/>
  <c r="O277" i="91"/>
  <c r="M277" i="91"/>
  <c r="L277" i="91"/>
  <c r="K277" i="91"/>
  <c r="J277" i="91"/>
  <c r="I277" i="91"/>
  <c r="H277" i="91"/>
  <c r="G277" i="91"/>
  <c r="F277" i="91"/>
  <c r="E277" i="91"/>
  <c r="D277" i="91"/>
  <c r="C277" i="91"/>
  <c r="Q276" i="91"/>
  <c r="P276" i="91"/>
  <c r="O276" i="91"/>
  <c r="M276" i="91"/>
  <c r="L276" i="91"/>
  <c r="K276" i="91"/>
  <c r="J276" i="91"/>
  <c r="I276" i="91"/>
  <c r="H276" i="91"/>
  <c r="G276" i="91"/>
  <c r="F276" i="91"/>
  <c r="E276" i="91"/>
  <c r="D276" i="91"/>
  <c r="C276" i="91"/>
  <c r="Q275" i="91"/>
  <c r="P275" i="91"/>
  <c r="O275" i="91"/>
  <c r="M275" i="91"/>
  <c r="L275" i="91"/>
  <c r="K275" i="91"/>
  <c r="J275" i="91"/>
  <c r="I275" i="91"/>
  <c r="H275" i="91"/>
  <c r="G275" i="91"/>
  <c r="F275" i="91"/>
  <c r="E275" i="91"/>
  <c r="D275" i="91"/>
  <c r="C275" i="91"/>
  <c r="Q274" i="91"/>
  <c r="P274" i="91"/>
  <c r="O274" i="91"/>
  <c r="M274" i="91"/>
  <c r="L274" i="91"/>
  <c r="K274" i="91"/>
  <c r="J274" i="91"/>
  <c r="I274" i="91"/>
  <c r="H274" i="91"/>
  <c r="G274" i="91"/>
  <c r="F274" i="91"/>
  <c r="E274" i="91"/>
  <c r="D274" i="91"/>
  <c r="C274" i="91"/>
  <c r="Q273" i="91"/>
  <c r="P273" i="91"/>
  <c r="O273" i="91"/>
  <c r="M273" i="91"/>
  <c r="L273" i="91"/>
  <c r="K273" i="91"/>
  <c r="J273" i="91"/>
  <c r="I273" i="91"/>
  <c r="H273" i="91"/>
  <c r="G273" i="91"/>
  <c r="F273" i="91"/>
  <c r="E273" i="91"/>
  <c r="D273" i="91"/>
  <c r="C273" i="91"/>
  <c r="Q272" i="91"/>
  <c r="P272" i="91"/>
  <c r="O272" i="91"/>
  <c r="M272" i="91"/>
  <c r="L272" i="91"/>
  <c r="K272" i="91"/>
  <c r="J272" i="91"/>
  <c r="I272" i="91"/>
  <c r="H272" i="91"/>
  <c r="G272" i="91"/>
  <c r="F272" i="91"/>
  <c r="E272" i="91"/>
  <c r="D272" i="91"/>
  <c r="C272" i="91"/>
  <c r="Q271" i="91"/>
  <c r="P271" i="91"/>
  <c r="O271" i="91"/>
  <c r="M271" i="91"/>
  <c r="L271" i="91"/>
  <c r="K271" i="91"/>
  <c r="J271" i="91"/>
  <c r="I271" i="91"/>
  <c r="H271" i="91"/>
  <c r="G271" i="91"/>
  <c r="F271" i="91"/>
  <c r="E271" i="91"/>
  <c r="D271" i="91"/>
  <c r="C271" i="91"/>
  <c r="Q270" i="91"/>
  <c r="P270" i="91"/>
  <c r="O270" i="91"/>
  <c r="M270" i="91"/>
  <c r="L270" i="91"/>
  <c r="K270" i="91"/>
  <c r="J270" i="91"/>
  <c r="I270" i="91"/>
  <c r="H270" i="91"/>
  <c r="G270" i="91"/>
  <c r="F270" i="91"/>
  <c r="E270" i="91"/>
  <c r="D270" i="91"/>
  <c r="C270" i="91"/>
  <c r="Q269" i="91"/>
  <c r="P269" i="91"/>
  <c r="O269" i="91"/>
  <c r="M269" i="91"/>
  <c r="L269" i="91"/>
  <c r="K269" i="91"/>
  <c r="J269" i="91"/>
  <c r="I269" i="91"/>
  <c r="H269" i="91"/>
  <c r="G269" i="91"/>
  <c r="F269" i="91"/>
  <c r="E269" i="91"/>
  <c r="D269" i="91"/>
  <c r="C269" i="91"/>
  <c r="Q268" i="91"/>
  <c r="P268" i="91"/>
  <c r="O268" i="91"/>
  <c r="M268" i="91"/>
  <c r="L268" i="91"/>
  <c r="K268" i="91"/>
  <c r="J268" i="91"/>
  <c r="I268" i="91"/>
  <c r="H268" i="91"/>
  <c r="G268" i="91"/>
  <c r="F268" i="91"/>
  <c r="E268" i="91"/>
  <c r="D268" i="91"/>
  <c r="C268" i="91"/>
  <c r="Q267" i="91"/>
  <c r="P267" i="91"/>
  <c r="O267" i="91"/>
  <c r="M267" i="91"/>
  <c r="L267" i="91"/>
  <c r="K267" i="91"/>
  <c r="J267" i="91"/>
  <c r="I267" i="91"/>
  <c r="H267" i="91"/>
  <c r="G267" i="91"/>
  <c r="F267" i="91"/>
  <c r="E267" i="91"/>
  <c r="D267" i="91"/>
  <c r="C267" i="91"/>
  <c r="Q266" i="91"/>
  <c r="P266" i="91"/>
  <c r="O266" i="91"/>
  <c r="M266" i="91"/>
  <c r="L266" i="91"/>
  <c r="K266" i="91"/>
  <c r="J266" i="91"/>
  <c r="I266" i="91"/>
  <c r="H266" i="91"/>
  <c r="G266" i="91"/>
  <c r="F266" i="91"/>
  <c r="E266" i="91"/>
  <c r="D266" i="91"/>
  <c r="C266" i="91"/>
  <c r="Q265" i="91"/>
  <c r="P265" i="91"/>
  <c r="O265" i="91"/>
  <c r="M265" i="91"/>
  <c r="L265" i="91"/>
  <c r="K265" i="91"/>
  <c r="J265" i="91"/>
  <c r="I265" i="91"/>
  <c r="H265" i="91"/>
  <c r="G265" i="91"/>
  <c r="F265" i="91"/>
  <c r="E265" i="91"/>
  <c r="D265" i="91"/>
  <c r="C265" i="91"/>
  <c r="Q264" i="91"/>
  <c r="P264" i="91"/>
  <c r="O264" i="91"/>
  <c r="M264" i="91"/>
  <c r="L264" i="91"/>
  <c r="K264" i="91"/>
  <c r="J264" i="91"/>
  <c r="I264" i="91"/>
  <c r="H264" i="91"/>
  <c r="G264" i="91"/>
  <c r="F264" i="91"/>
  <c r="E264" i="91"/>
  <c r="D264" i="91"/>
  <c r="C264" i="91"/>
  <c r="Q263" i="91"/>
  <c r="P263" i="91"/>
  <c r="O263" i="91"/>
  <c r="M263" i="91"/>
  <c r="L263" i="91"/>
  <c r="K263" i="91"/>
  <c r="J263" i="91"/>
  <c r="I263" i="91"/>
  <c r="H263" i="91"/>
  <c r="G263" i="91"/>
  <c r="F263" i="91"/>
  <c r="E263" i="91"/>
  <c r="D263" i="91"/>
  <c r="C263" i="91"/>
  <c r="Q262" i="91"/>
  <c r="P262" i="91"/>
  <c r="O262" i="91"/>
  <c r="M262" i="91"/>
  <c r="L262" i="91"/>
  <c r="K262" i="91"/>
  <c r="J262" i="91"/>
  <c r="I262" i="91"/>
  <c r="H262" i="91"/>
  <c r="G262" i="91"/>
  <c r="F262" i="91"/>
  <c r="E262" i="91"/>
  <c r="D262" i="91"/>
  <c r="C262" i="91"/>
  <c r="Q261" i="91"/>
  <c r="P261" i="91"/>
  <c r="O261" i="91"/>
  <c r="M261" i="91"/>
  <c r="L261" i="91"/>
  <c r="K261" i="91"/>
  <c r="J261" i="91"/>
  <c r="I261" i="91"/>
  <c r="H261" i="91"/>
  <c r="G261" i="91"/>
  <c r="F261" i="91"/>
  <c r="E261" i="91"/>
  <c r="D261" i="91"/>
  <c r="C261" i="91"/>
  <c r="Q260" i="91"/>
  <c r="P260" i="91"/>
  <c r="O260" i="91"/>
  <c r="M260" i="91"/>
  <c r="L260" i="91"/>
  <c r="K260" i="91"/>
  <c r="J260" i="91"/>
  <c r="I260" i="91"/>
  <c r="H260" i="91"/>
  <c r="G260" i="91"/>
  <c r="F260" i="91"/>
  <c r="E260" i="91"/>
  <c r="D260" i="91"/>
  <c r="C260" i="91"/>
  <c r="Q259" i="91"/>
  <c r="P259" i="91"/>
  <c r="O259" i="91"/>
  <c r="M259" i="91"/>
  <c r="L259" i="91"/>
  <c r="K259" i="91"/>
  <c r="J259" i="91"/>
  <c r="I259" i="91"/>
  <c r="H259" i="91"/>
  <c r="G259" i="91"/>
  <c r="F259" i="91"/>
  <c r="E259" i="91"/>
  <c r="D259" i="91"/>
  <c r="C259" i="91"/>
  <c r="Q258" i="91"/>
  <c r="P258" i="91"/>
  <c r="O258" i="91"/>
  <c r="M258" i="91"/>
  <c r="L258" i="91"/>
  <c r="K258" i="91"/>
  <c r="J258" i="91"/>
  <c r="I258" i="91"/>
  <c r="H258" i="91"/>
  <c r="G258" i="91"/>
  <c r="F258" i="91"/>
  <c r="E258" i="91"/>
  <c r="D258" i="91"/>
  <c r="C258" i="91"/>
  <c r="Q257" i="91"/>
  <c r="P257" i="91"/>
  <c r="O257" i="91"/>
  <c r="M257" i="91"/>
  <c r="L257" i="91"/>
  <c r="K257" i="91"/>
  <c r="J257" i="91"/>
  <c r="I257" i="91"/>
  <c r="H257" i="91"/>
  <c r="G257" i="91"/>
  <c r="F257" i="91"/>
  <c r="E257" i="91"/>
  <c r="D257" i="91"/>
  <c r="C257" i="91"/>
  <c r="Q256" i="91"/>
  <c r="P256" i="91"/>
  <c r="O256" i="91"/>
  <c r="M256" i="91"/>
  <c r="L256" i="91"/>
  <c r="K256" i="91"/>
  <c r="J256" i="91"/>
  <c r="I256" i="91"/>
  <c r="H256" i="91"/>
  <c r="G256" i="91"/>
  <c r="F256" i="91"/>
  <c r="E256" i="91"/>
  <c r="D256" i="91"/>
  <c r="C256" i="91"/>
  <c r="Q255" i="91"/>
  <c r="P255" i="91"/>
  <c r="O255" i="91"/>
  <c r="M255" i="91"/>
  <c r="L255" i="91"/>
  <c r="K255" i="91"/>
  <c r="J255" i="91"/>
  <c r="I255" i="91"/>
  <c r="H255" i="91"/>
  <c r="G255" i="91"/>
  <c r="F255" i="91"/>
  <c r="E255" i="91"/>
  <c r="D255" i="91"/>
  <c r="C255" i="91"/>
  <c r="Q254" i="91"/>
  <c r="P254" i="91"/>
  <c r="O254" i="91"/>
  <c r="M254" i="91"/>
  <c r="L254" i="91"/>
  <c r="K254" i="91"/>
  <c r="J254" i="91"/>
  <c r="I254" i="91"/>
  <c r="H254" i="91"/>
  <c r="G254" i="91"/>
  <c r="F254" i="91"/>
  <c r="E254" i="91"/>
  <c r="D254" i="91"/>
  <c r="C254" i="91"/>
  <c r="Q253" i="91"/>
  <c r="P253" i="91"/>
  <c r="O253" i="91"/>
  <c r="M253" i="91"/>
  <c r="L253" i="91"/>
  <c r="K253" i="91"/>
  <c r="J253" i="91"/>
  <c r="I253" i="91"/>
  <c r="H253" i="91"/>
  <c r="G253" i="91"/>
  <c r="F253" i="91"/>
  <c r="E253" i="91"/>
  <c r="D253" i="91"/>
  <c r="C253" i="91"/>
  <c r="Q252" i="91"/>
  <c r="P252" i="91"/>
  <c r="O252" i="91"/>
  <c r="M252" i="91"/>
  <c r="L252" i="91"/>
  <c r="K252" i="91"/>
  <c r="J252" i="91"/>
  <c r="I252" i="91"/>
  <c r="H252" i="91"/>
  <c r="G252" i="91"/>
  <c r="F252" i="91"/>
  <c r="E252" i="91"/>
  <c r="D252" i="91"/>
  <c r="C252" i="91"/>
  <c r="Q251" i="91"/>
  <c r="P251" i="91"/>
  <c r="O251" i="91"/>
  <c r="M251" i="91"/>
  <c r="L251" i="91"/>
  <c r="K251" i="91"/>
  <c r="J251" i="91"/>
  <c r="I251" i="91"/>
  <c r="H251" i="91"/>
  <c r="G251" i="91"/>
  <c r="F251" i="91"/>
  <c r="E251" i="91"/>
  <c r="D251" i="91"/>
  <c r="C251" i="91"/>
  <c r="Q250" i="91"/>
  <c r="P250" i="91"/>
  <c r="O250" i="91"/>
  <c r="M250" i="91"/>
  <c r="L250" i="91"/>
  <c r="K250" i="91"/>
  <c r="J250" i="91"/>
  <c r="I250" i="91"/>
  <c r="H250" i="91"/>
  <c r="G250" i="91"/>
  <c r="F250" i="91"/>
  <c r="E250" i="91"/>
  <c r="D250" i="91"/>
  <c r="C250" i="91"/>
  <c r="Q249" i="91"/>
  <c r="P249" i="91"/>
  <c r="O249" i="91"/>
  <c r="M249" i="91"/>
  <c r="L249" i="91"/>
  <c r="K249" i="91"/>
  <c r="J249" i="91"/>
  <c r="I249" i="91"/>
  <c r="H249" i="91"/>
  <c r="G249" i="91"/>
  <c r="F249" i="91"/>
  <c r="E249" i="91"/>
  <c r="D249" i="91"/>
  <c r="C249" i="91"/>
  <c r="Q248" i="91"/>
  <c r="P248" i="91"/>
  <c r="O248" i="91"/>
  <c r="M248" i="91"/>
  <c r="L248" i="91"/>
  <c r="K248" i="91"/>
  <c r="J248" i="91"/>
  <c r="I248" i="91"/>
  <c r="H248" i="91"/>
  <c r="G248" i="91"/>
  <c r="F248" i="91"/>
  <c r="E248" i="91"/>
  <c r="D248" i="91"/>
  <c r="C248" i="91"/>
  <c r="Q247" i="91"/>
  <c r="P247" i="91"/>
  <c r="O247" i="91"/>
  <c r="M247" i="91"/>
  <c r="L247" i="91"/>
  <c r="K247" i="91"/>
  <c r="J247" i="91"/>
  <c r="I247" i="91"/>
  <c r="H247" i="91"/>
  <c r="G247" i="91"/>
  <c r="F247" i="91"/>
  <c r="E247" i="91"/>
  <c r="D247" i="91"/>
  <c r="C247" i="91"/>
  <c r="Q246" i="91"/>
  <c r="P246" i="91"/>
  <c r="O246" i="91"/>
  <c r="M246" i="91"/>
  <c r="L246" i="91"/>
  <c r="K246" i="91"/>
  <c r="J246" i="91"/>
  <c r="I246" i="91"/>
  <c r="H246" i="91"/>
  <c r="G246" i="91"/>
  <c r="F246" i="91"/>
  <c r="E246" i="91"/>
  <c r="D246" i="91"/>
  <c r="C246" i="91"/>
  <c r="Q245" i="91"/>
  <c r="P245" i="91"/>
  <c r="O245" i="91"/>
  <c r="M245" i="91"/>
  <c r="L245" i="91"/>
  <c r="K245" i="91"/>
  <c r="J245" i="91"/>
  <c r="I245" i="91"/>
  <c r="H245" i="91"/>
  <c r="G245" i="91"/>
  <c r="F245" i="91"/>
  <c r="E245" i="91"/>
  <c r="D245" i="91"/>
  <c r="C245" i="91"/>
  <c r="Q244" i="91"/>
  <c r="P244" i="91"/>
  <c r="O244" i="91"/>
  <c r="M244" i="91"/>
  <c r="L244" i="91"/>
  <c r="K244" i="91"/>
  <c r="J244" i="91"/>
  <c r="I244" i="91"/>
  <c r="H244" i="91"/>
  <c r="G244" i="91"/>
  <c r="F244" i="91"/>
  <c r="E244" i="91"/>
  <c r="D244" i="91"/>
  <c r="C244" i="91"/>
  <c r="Q243" i="91"/>
  <c r="P243" i="91"/>
  <c r="O243" i="91"/>
  <c r="M243" i="91"/>
  <c r="L243" i="91"/>
  <c r="K243" i="91"/>
  <c r="J243" i="91"/>
  <c r="I243" i="91"/>
  <c r="H243" i="91"/>
  <c r="G243" i="91"/>
  <c r="F243" i="91"/>
  <c r="E243" i="91"/>
  <c r="D243" i="91"/>
  <c r="C243" i="91"/>
  <c r="Q242" i="91"/>
  <c r="P242" i="91"/>
  <c r="O242" i="91"/>
  <c r="M242" i="91"/>
  <c r="L242" i="91"/>
  <c r="K242" i="91"/>
  <c r="J242" i="91"/>
  <c r="I242" i="91"/>
  <c r="H242" i="91"/>
  <c r="G242" i="91"/>
  <c r="F242" i="91"/>
  <c r="E242" i="91"/>
  <c r="D242" i="91"/>
  <c r="C242" i="91"/>
  <c r="Q241" i="91"/>
  <c r="P241" i="91"/>
  <c r="O241" i="91"/>
  <c r="M241" i="91"/>
  <c r="L241" i="91"/>
  <c r="K241" i="91"/>
  <c r="J241" i="91"/>
  <c r="I241" i="91"/>
  <c r="H241" i="91"/>
  <c r="G241" i="91"/>
  <c r="F241" i="91"/>
  <c r="E241" i="91"/>
  <c r="D241" i="91"/>
  <c r="C241" i="91"/>
  <c r="Q240" i="91"/>
  <c r="P240" i="91"/>
  <c r="O240" i="91"/>
  <c r="M240" i="91"/>
  <c r="L240" i="91"/>
  <c r="K240" i="91"/>
  <c r="J240" i="91"/>
  <c r="I240" i="91"/>
  <c r="H240" i="91"/>
  <c r="G240" i="91"/>
  <c r="F240" i="91"/>
  <c r="E240" i="91"/>
  <c r="D240" i="91"/>
  <c r="C240" i="91"/>
  <c r="Q239" i="91"/>
  <c r="P239" i="91"/>
  <c r="O239" i="91"/>
  <c r="M239" i="91"/>
  <c r="L239" i="91"/>
  <c r="K239" i="91"/>
  <c r="J239" i="91"/>
  <c r="I239" i="91"/>
  <c r="H239" i="91"/>
  <c r="G239" i="91"/>
  <c r="F239" i="91"/>
  <c r="E239" i="91"/>
  <c r="D239" i="91"/>
  <c r="C239" i="91"/>
  <c r="Q238" i="91"/>
  <c r="P238" i="91"/>
  <c r="O238" i="91"/>
  <c r="M238" i="91"/>
  <c r="L238" i="91"/>
  <c r="K238" i="91"/>
  <c r="J238" i="91"/>
  <c r="I238" i="91"/>
  <c r="H238" i="91"/>
  <c r="G238" i="91"/>
  <c r="F238" i="91"/>
  <c r="E238" i="91"/>
  <c r="D238" i="91"/>
  <c r="C238" i="91"/>
  <c r="Q237" i="91"/>
  <c r="P237" i="91"/>
  <c r="O237" i="91"/>
  <c r="M237" i="91"/>
  <c r="L237" i="91"/>
  <c r="K237" i="91"/>
  <c r="J237" i="91"/>
  <c r="I237" i="91"/>
  <c r="H237" i="91"/>
  <c r="G237" i="91"/>
  <c r="F237" i="91"/>
  <c r="E237" i="91"/>
  <c r="D237" i="91"/>
  <c r="C237" i="91"/>
  <c r="Q236" i="91"/>
  <c r="P236" i="91"/>
  <c r="O236" i="91"/>
  <c r="M236" i="91"/>
  <c r="L236" i="91"/>
  <c r="K236" i="91"/>
  <c r="J236" i="91"/>
  <c r="I236" i="91"/>
  <c r="H236" i="91"/>
  <c r="G236" i="91"/>
  <c r="F236" i="91"/>
  <c r="E236" i="91"/>
  <c r="D236" i="91"/>
  <c r="C236" i="91"/>
  <c r="Q235" i="91"/>
  <c r="P235" i="91"/>
  <c r="O235" i="91"/>
  <c r="M235" i="91"/>
  <c r="L235" i="91"/>
  <c r="K235" i="91"/>
  <c r="J235" i="91"/>
  <c r="I235" i="91"/>
  <c r="H235" i="91"/>
  <c r="G235" i="91"/>
  <c r="F235" i="91"/>
  <c r="E235" i="91"/>
  <c r="D235" i="91"/>
  <c r="C235" i="91"/>
  <c r="Q234" i="91"/>
  <c r="P234" i="91"/>
  <c r="O234" i="91"/>
  <c r="M234" i="91"/>
  <c r="L234" i="91"/>
  <c r="K234" i="91"/>
  <c r="J234" i="91"/>
  <c r="I234" i="91"/>
  <c r="H234" i="91"/>
  <c r="G234" i="91"/>
  <c r="F234" i="91"/>
  <c r="E234" i="91"/>
  <c r="D234" i="91"/>
  <c r="C234" i="91"/>
  <c r="Q233" i="91"/>
  <c r="P233" i="91"/>
  <c r="O233" i="91"/>
  <c r="M233" i="91"/>
  <c r="L233" i="91"/>
  <c r="K233" i="91"/>
  <c r="J233" i="91"/>
  <c r="I233" i="91"/>
  <c r="H233" i="91"/>
  <c r="G233" i="91"/>
  <c r="F233" i="91"/>
  <c r="E233" i="91"/>
  <c r="D233" i="91"/>
  <c r="C233" i="91"/>
  <c r="Q232" i="91"/>
  <c r="P232" i="91"/>
  <c r="O232" i="91"/>
  <c r="M232" i="91"/>
  <c r="L232" i="91"/>
  <c r="K232" i="91"/>
  <c r="J232" i="91"/>
  <c r="I232" i="91"/>
  <c r="H232" i="91"/>
  <c r="G232" i="91"/>
  <c r="F232" i="91"/>
  <c r="E232" i="91"/>
  <c r="D232" i="91"/>
  <c r="C232" i="91"/>
  <c r="Q231" i="91"/>
  <c r="P231" i="91"/>
  <c r="O231" i="91"/>
  <c r="M231" i="91"/>
  <c r="L231" i="91"/>
  <c r="K231" i="91"/>
  <c r="J231" i="91"/>
  <c r="I231" i="91"/>
  <c r="H231" i="91"/>
  <c r="G231" i="91"/>
  <c r="F231" i="91"/>
  <c r="E231" i="91"/>
  <c r="D231" i="91"/>
  <c r="C231" i="91"/>
  <c r="Q230" i="91"/>
  <c r="P230" i="91"/>
  <c r="O230" i="91"/>
  <c r="M230" i="91"/>
  <c r="L230" i="91"/>
  <c r="K230" i="91"/>
  <c r="J230" i="91"/>
  <c r="I230" i="91"/>
  <c r="H230" i="91"/>
  <c r="G230" i="91"/>
  <c r="F230" i="91"/>
  <c r="E230" i="91"/>
  <c r="D230" i="91"/>
  <c r="C230" i="91"/>
  <c r="Q229" i="91"/>
  <c r="P229" i="91"/>
  <c r="O229" i="91"/>
  <c r="M229" i="91"/>
  <c r="L229" i="91"/>
  <c r="K229" i="91"/>
  <c r="J229" i="91"/>
  <c r="I229" i="91"/>
  <c r="H229" i="91"/>
  <c r="G229" i="91"/>
  <c r="F229" i="91"/>
  <c r="E229" i="91"/>
  <c r="D229" i="91"/>
  <c r="C229" i="91"/>
  <c r="Q228" i="91"/>
  <c r="P228" i="91"/>
  <c r="O228" i="91"/>
  <c r="M228" i="91"/>
  <c r="L228" i="91"/>
  <c r="K228" i="91"/>
  <c r="J228" i="91"/>
  <c r="I228" i="91"/>
  <c r="H228" i="91"/>
  <c r="G228" i="91"/>
  <c r="F228" i="91"/>
  <c r="E228" i="91"/>
  <c r="D228" i="91"/>
  <c r="C228" i="91"/>
  <c r="Q227" i="91"/>
  <c r="P227" i="91"/>
  <c r="O227" i="91"/>
  <c r="M227" i="91"/>
  <c r="L227" i="91"/>
  <c r="K227" i="91"/>
  <c r="J227" i="91"/>
  <c r="I227" i="91"/>
  <c r="H227" i="91"/>
  <c r="G227" i="91"/>
  <c r="F227" i="91"/>
  <c r="E227" i="91"/>
  <c r="D227" i="91"/>
  <c r="C227" i="91"/>
  <c r="Q226" i="91"/>
  <c r="P226" i="91"/>
  <c r="O226" i="91"/>
  <c r="M226" i="91"/>
  <c r="L226" i="91"/>
  <c r="K226" i="91"/>
  <c r="J226" i="91"/>
  <c r="I226" i="91"/>
  <c r="H226" i="91"/>
  <c r="G226" i="91"/>
  <c r="F226" i="91"/>
  <c r="E226" i="91"/>
  <c r="D226" i="91"/>
  <c r="C226" i="91"/>
  <c r="Q225" i="91"/>
  <c r="P225" i="91"/>
  <c r="O225" i="91"/>
  <c r="M225" i="91"/>
  <c r="L225" i="91"/>
  <c r="K225" i="91"/>
  <c r="J225" i="91"/>
  <c r="I225" i="91"/>
  <c r="H225" i="91"/>
  <c r="G225" i="91"/>
  <c r="F225" i="91"/>
  <c r="E225" i="91"/>
  <c r="D225" i="91"/>
  <c r="C225" i="91"/>
  <c r="Q224" i="91"/>
  <c r="P224" i="91"/>
  <c r="O224" i="91"/>
  <c r="M224" i="91"/>
  <c r="L224" i="91"/>
  <c r="K224" i="91"/>
  <c r="J224" i="91"/>
  <c r="I224" i="91"/>
  <c r="H224" i="91"/>
  <c r="G224" i="91"/>
  <c r="F224" i="91"/>
  <c r="E224" i="91"/>
  <c r="D224" i="91"/>
  <c r="C224" i="91"/>
  <c r="Q223" i="91"/>
  <c r="P223" i="91"/>
  <c r="O223" i="91"/>
  <c r="M223" i="91"/>
  <c r="L223" i="91"/>
  <c r="K223" i="91"/>
  <c r="J223" i="91"/>
  <c r="I223" i="91"/>
  <c r="H223" i="91"/>
  <c r="G223" i="91"/>
  <c r="F223" i="91"/>
  <c r="E223" i="91"/>
  <c r="D223" i="91"/>
  <c r="C223" i="91"/>
  <c r="Q222" i="91"/>
  <c r="P222" i="91"/>
  <c r="O222" i="91"/>
  <c r="M222" i="91"/>
  <c r="L222" i="91"/>
  <c r="K222" i="91"/>
  <c r="J222" i="91"/>
  <c r="I222" i="91"/>
  <c r="H222" i="91"/>
  <c r="G222" i="91"/>
  <c r="F222" i="91"/>
  <c r="E222" i="91"/>
  <c r="D222" i="91"/>
  <c r="C222" i="91"/>
  <c r="Q221" i="91"/>
  <c r="P221" i="91"/>
  <c r="O221" i="91"/>
  <c r="M221" i="91"/>
  <c r="L221" i="91"/>
  <c r="K221" i="91"/>
  <c r="J221" i="91"/>
  <c r="I221" i="91"/>
  <c r="H221" i="91"/>
  <c r="G221" i="91"/>
  <c r="F221" i="91"/>
  <c r="E221" i="91"/>
  <c r="D221" i="91"/>
  <c r="C221" i="91"/>
  <c r="Q220" i="91"/>
  <c r="P220" i="91"/>
  <c r="O220" i="91"/>
  <c r="M220" i="91"/>
  <c r="L220" i="91"/>
  <c r="K220" i="91"/>
  <c r="J220" i="91"/>
  <c r="I220" i="91"/>
  <c r="H220" i="91"/>
  <c r="G220" i="91"/>
  <c r="F220" i="91"/>
  <c r="E220" i="91"/>
  <c r="D220" i="91"/>
  <c r="C220" i="91"/>
  <c r="Q219" i="91"/>
  <c r="P219" i="91"/>
  <c r="O219" i="91"/>
  <c r="M219" i="91"/>
  <c r="L219" i="91"/>
  <c r="K219" i="91"/>
  <c r="J219" i="91"/>
  <c r="I219" i="91"/>
  <c r="H219" i="91"/>
  <c r="G219" i="91"/>
  <c r="F219" i="91"/>
  <c r="E219" i="91"/>
  <c r="D219" i="91"/>
  <c r="C219" i="91"/>
  <c r="Q218" i="91"/>
  <c r="P218" i="91"/>
  <c r="O218" i="91"/>
  <c r="M218" i="91"/>
  <c r="L218" i="91"/>
  <c r="K218" i="91"/>
  <c r="J218" i="91"/>
  <c r="I218" i="91"/>
  <c r="H218" i="91"/>
  <c r="G218" i="91"/>
  <c r="F218" i="91"/>
  <c r="E218" i="91"/>
  <c r="D218" i="91"/>
  <c r="C218" i="91"/>
  <c r="Q217" i="91"/>
  <c r="P217" i="91"/>
  <c r="O217" i="91"/>
  <c r="M217" i="91"/>
  <c r="L217" i="91"/>
  <c r="K217" i="91"/>
  <c r="J217" i="91"/>
  <c r="I217" i="91"/>
  <c r="H217" i="91"/>
  <c r="G217" i="91"/>
  <c r="F217" i="91"/>
  <c r="E217" i="91"/>
  <c r="D217" i="91"/>
  <c r="C217" i="91"/>
  <c r="Q216" i="91"/>
  <c r="P216" i="91"/>
  <c r="O216" i="91"/>
  <c r="M216" i="91"/>
  <c r="L216" i="91"/>
  <c r="K216" i="91"/>
  <c r="J216" i="91"/>
  <c r="I216" i="91"/>
  <c r="H216" i="91"/>
  <c r="G216" i="91"/>
  <c r="F216" i="91"/>
  <c r="E216" i="91"/>
  <c r="D216" i="91"/>
  <c r="C216" i="91"/>
  <c r="Q215" i="91"/>
  <c r="P215" i="91"/>
  <c r="O215" i="91"/>
  <c r="M215" i="91"/>
  <c r="L215" i="91"/>
  <c r="K215" i="91"/>
  <c r="J215" i="91"/>
  <c r="I215" i="91"/>
  <c r="H215" i="91"/>
  <c r="G215" i="91"/>
  <c r="F215" i="91"/>
  <c r="E215" i="91"/>
  <c r="D215" i="91"/>
  <c r="C215" i="91"/>
  <c r="Q214" i="91"/>
  <c r="P214" i="91"/>
  <c r="O214" i="91"/>
  <c r="M214" i="91"/>
  <c r="L214" i="91"/>
  <c r="K214" i="91"/>
  <c r="J214" i="91"/>
  <c r="I214" i="91"/>
  <c r="H214" i="91"/>
  <c r="G214" i="91"/>
  <c r="F214" i="91"/>
  <c r="E214" i="91"/>
  <c r="D214" i="91"/>
  <c r="C214" i="91"/>
  <c r="Q213" i="91"/>
  <c r="P213" i="91"/>
  <c r="O213" i="91"/>
  <c r="M213" i="91"/>
  <c r="L213" i="91"/>
  <c r="K213" i="91"/>
  <c r="J213" i="91"/>
  <c r="I213" i="91"/>
  <c r="H213" i="91"/>
  <c r="G213" i="91"/>
  <c r="F213" i="91"/>
  <c r="E213" i="91"/>
  <c r="D213" i="91"/>
  <c r="C213" i="91"/>
  <c r="Q212" i="91"/>
  <c r="P212" i="91"/>
  <c r="O212" i="91"/>
  <c r="M212" i="91"/>
  <c r="L212" i="91"/>
  <c r="K212" i="91"/>
  <c r="J212" i="91"/>
  <c r="I212" i="91"/>
  <c r="H212" i="91"/>
  <c r="G212" i="91"/>
  <c r="F212" i="91"/>
  <c r="E212" i="91"/>
  <c r="D212" i="91"/>
  <c r="C212" i="91"/>
  <c r="Q211" i="91"/>
  <c r="P211" i="91"/>
  <c r="O211" i="91"/>
  <c r="M211" i="91"/>
  <c r="L211" i="91"/>
  <c r="K211" i="91"/>
  <c r="J211" i="91"/>
  <c r="I211" i="91"/>
  <c r="H211" i="91"/>
  <c r="G211" i="91"/>
  <c r="F211" i="91"/>
  <c r="E211" i="91"/>
  <c r="D211" i="91"/>
  <c r="C211" i="91"/>
  <c r="Q210" i="91"/>
  <c r="P210" i="91"/>
  <c r="O210" i="91"/>
  <c r="M210" i="91"/>
  <c r="L210" i="91"/>
  <c r="K210" i="91"/>
  <c r="J210" i="91"/>
  <c r="I210" i="91"/>
  <c r="H210" i="91"/>
  <c r="G210" i="91"/>
  <c r="F210" i="91"/>
  <c r="E210" i="91"/>
  <c r="D210" i="91"/>
  <c r="C210" i="91"/>
  <c r="Q209" i="91"/>
  <c r="P209" i="91"/>
  <c r="O209" i="91"/>
  <c r="M209" i="91"/>
  <c r="L209" i="91"/>
  <c r="K209" i="91"/>
  <c r="J209" i="91"/>
  <c r="I209" i="91"/>
  <c r="H209" i="91"/>
  <c r="G209" i="91"/>
  <c r="F209" i="91"/>
  <c r="E209" i="91"/>
  <c r="D209" i="91"/>
  <c r="C209" i="91"/>
  <c r="Q208" i="91"/>
  <c r="P208" i="91"/>
  <c r="O208" i="91"/>
  <c r="M208" i="91"/>
  <c r="L208" i="91"/>
  <c r="K208" i="91"/>
  <c r="J208" i="91"/>
  <c r="I208" i="91"/>
  <c r="H208" i="91"/>
  <c r="G208" i="91"/>
  <c r="F208" i="91"/>
  <c r="E208" i="91"/>
  <c r="D208" i="91"/>
  <c r="C208" i="91"/>
  <c r="Q207" i="91"/>
  <c r="P207" i="91"/>
  <c r="O207" i="91"/>
  <c r="M207" i="91"/>
  <c r="L207" i="91"/>
  <c r="K207" i="91"/>
  <c r="J207" i="91"/>
  <c r="I207" i="91"/>
  <c r="H207" i="91"/>
  <c r="G207" i="91"/>
  <c r="F207" i="91"/>
  <c r="E207" i="91"/>
  <c r="D207" i="91"/>
  <c r="C207" i="91"/>
  <c r="Q206" i="91"/>
  <c r="P206" i="91"/>
  <c r="O206" i="91"/>
  <c r="M206" i="91"/>
  <c r="L206" i="91"/>
  <c r="K206" i="91"/>
  <c r="J206" i="91"/>
  <c r="I206" i="91"/>
  <c r="H206" i="91"/>
  <c r="G206" i="91"/>
  <c r="F206" i="91"/>
  <c r="E206" i="91"/>
  <c r="D206" i="91"/>
  <c r="C206" i="91"/>
  <c r="Q205" i="91"/>
  <c r="P205" i="91"/>
  <c r="O205" i="91"/>
  <c r="M205" i="91"/>
  <c r="L205" i="91"/>
  <c r="K205" i="91"/>
  <c r="J205" i="91"/>
  <c r="I205" i="91"/>
  <c r="H205" i="91"/>
  <c r="G205" i="91"/>
  <c r="F205" i="91"/>
  <c r="E205" i="91"/>
  <c r="D205" i="91"/>
  <c r="C205" i="91"/>
  <c r="Q204" i="91"/>
  <c r="P204" i="91"/>
  <c r="O204" i="91"/>
  <c r="M204" i="91"/>
  <c r="L204" i="91"/>
  <c r="K204" i="91"/>
  <c r="J204" i="91"/>
  <c r="I204" i="91"/>
  <c r="H204" i="91"/>
  <c r="G204" i="91"/>
  <c r="F204" i="91"/>
  <c r="E204" i="91"/>
  <c r="D204" i="91"/>
  <c r="C204" i="91"/>
  <c r="Q203" i="91"/>
  <c r="P203" i="91"/>
  <c r="O203" i="91"/>
  <c r="M203" i="91"/>
  <c r="L203" i="91"/>
  <c r="K203" i="91"/>
  <c r="J203" i="91"/>
  <c r="I203" i="91"/>
  <c r="H203" i="91"/>
  <c r="G203" i="91"/>
  <c r="F203" i="91"/>
  <c r="E203" i="91"/>
  <c r="D203" i="91"/>
  <c r="C203" i="91"/>
  <c r="Q202" i="91"/>
  <c r="P202" i="91"/>
  <c r="O202" i="91"/>
  <c r="M202" i="91"/>
  <c r="L202" i="91"/>
  <c r="K202" i="91"/>
  <c r="J202" i="91"/>
  <c r="I202" i="91"/>
  <c r="H202" i="91"/>
  <c r="G202" i="91"/>
  <c r="F202" i="91"/>
  <c r="E202" i="91"/>
  <c r="D202" i="91"/>
  <c r="C202" i="91"/>
  <c r="Q201" i="91"/>
  <c r="P201" i="91"/>
  <c r="O201" i="91"/>
  <c r="M201" i="91"/>
  <c r="L201" i="91"/>
  <c r="K201" i="91"/>
  <c r="J201" i="91"/>
  <c r="I201" i="91"/>
  <c r="H201" i="91"/>
  <c r="G201" i="91"/>
  <c r="F201" i="91"/>
  <c r="E201" i="91"/>
  <c r="D201" i="91"/>
  <c r="C201" i="91"/>
  <c r="Q200" i="91"/>
  <c r="P200" i="91"/>
  <c r="O200" i="91"/>
  <c r="M200" i="91"/>
  <c r="L200" i="91"/>
  <c r="K200" i="91"/>
  <c r="J200" i="91"/>
  <c r="I200" i="91"/>
  <c r="H200" i="91"/>
  <c r="G200" i="91"/>
  <c r="F200" i="91"/>
  <c r="E200" i="91"/>
  <c r="D200" i="91"/>
  <c r="C200" i="91"/>
  <c r="Q199" i="91"/>
  <c r="P199" i="91"/>
  <c r="O199" i="91"/>
  <c r="M199" i="91"/>
  <c r="L199" i="91"/>
  <c r="K199" i="91"/>
  <c r="J199" i="91"/>
  <c r="I199" i="91"/>
  <c r="H199" i="91"/>
  <c r="G199" i="91"/>
  <c r="F199" i="91"/>
  <c r="E199" i="91"/>
  <c r="D199" i="91"/>
  <c r="C199" i="91"/>
  <c r="Q198" i="91"/>
  <c r="P198" i="91"/>
  <c r="O198" i="91"/>
  <c r="M198" i="91"/>
  <c r="L198" i="91"/>
  <c r="K198" i="91"/>
  <c r="J198" i="91"/>
  <c r="I198" i="91"/>
  <c r="H198" i="91"/>
  <c r="G198" i="91"/>
  <c r="F198" i="91"/>
  <c r="E198" i="91"/>
  <c r="D198" i="91"/>
  <c r="C198" i="91"/>
  <c r="Q197" i="91"/>
  <c r="P197" i="91"/>
  <c r="O197" i="91"/>
  <c r="M197" i="91"/>
  <c r="L197" i="91"/>
  <c r="K197" i="91"/>
  <c r="J197" i="91"/>
  <c r="I197" i="91"/>
  <c r="H197" i="91"/>
  <c r="G197" i="91"/>
  <c r="F197" i="91"/>
  <c r="E197" i="91"/>
  <c r="D197" i="91"/>
  <c r="C197" i="91"/>
  <c r="Q196" i="91"/>
  <c r="P196" i="91"/>
  <c r="O196" i="91"/>
  <c r="M196" i="91"/>
  <c r="L196" i="91"/>
  <c r="K196" i="91"/>
  <c r="J196" i="91"/>
  <c r="I196" i="91"/>
  <c r="H196" i="91"/>
  <c r="G196" i="91"/>
  <c r="F196" i="91"/>
  <c r="E196" i="91"/>
  <c r="D196" i="91"/>
  <c r="C196" i="91"/>
  <c r="Q195" i="91"/>
  <c r="P195" i="91"/>
  <c r="O195" i="91"/>
  <c r="M195" i="91"/>
  <c r="L195" i="91"/>
  <c r="K195" i="91"/>
  <c r="J195" i="91"/>
  <c r="I195" i="91"/>
  <c r="H195" i="91"/>
  <c r="G195" i="91"/>
  <c r="F195" i="91"/>
  <c r="E195" i="91"/>
  <c r="D195" i="91"/>
  <c r="C195" i="91"/>
  <c r="Q194" i="91"/>
  <c r="P194" i="91"/>
  <c r="O194" i="91"/>
  <c r="M194" i="91"/>
  <c r="L194" i="91"/>
  <c r="K194" i="91"/>
  <c r="J194" i="91"/>
  <c r="I194" i="91"/>
  <c r="H194" i="91"/>
  <c r="G194" i="91"/>
  <c r="F194" i="91"/>
  <c r="E194" i="91"/>
  <c r="D194" i="91"/>
  <c r="C194" i="91"/>
  <c r="Q193" i="91"/>
  <c r="P193" i="91"/>
  <c r="O193" i="91"/>
  <c r="M193" i="91"/>
  <c r="L193" i="91"/>
  <c r="K193" i="91"/>
  <c r="J193" i="91"/>
  <c r="I193" i="91"/>
  <c r="H193" i="91"/>
  <c r="G193" i="91"/>
  <c r="F193" i="91"/>
  <c r="E193" i="91"/>
  <c r="D193" i="91"/>
  <c r="C193" i="91"/>
  <c r="Q192" i="91"/>
  <c r="P192" i="91"/>
  <c r="O192" i="91"/>
  <c r="M192" i="91"/>
  <c r="L192" i="91"/>
  <c r="K192" i="91"/>
  <c r="J192" i="91"/>
  <c r="I192" i="91"/>
  <c r="H192" i="91"/>
  <c r="G192" i="91"/>
  <c r="F192" i="91"/>
  <c r="E192" i="91"/>
  <c r="D192" i="91"/>
  <c r="C192" i="91"/>
  <c r="Q191" i="91"/>
  <c r="P191" i="91"/>
  <c r="O191" i="91"/>
  <c r="M191" i="91"/>
  <c r="L191" i="91"/>
  <c r="K191" i="91"/>
  <c r="J191" i="91"/>
  <c r="I191" i="91"/>
  <c r="H191" i="91"/>
  <c r="G191" i="91"/>
  <c r="F191" i="91"/>
  <c r="E191" i="91"/>
  <c r="D191" i="91"/>
  <c r="C191" i="91"/>
  <c r="Q190" i="91"/>
  <c r="P190" i="91"/>
  <c r="O190" i="91"/>
  <c r="M190" i="91"/>
  <c r="L190" i="91"/>
  <c r="K190" i="91"/>
  <c r="J190" i="91"/>
  <c r="I190" i="91"/>
  <c r="H190" i="91"/>
  <c r="G190" i="91"/>
  <c r="F190" i="91"/>
  <c r="E190" i="91"/>
  <c r="D190" i="91"/>
  <c r="C190" i="91"/>
  <c r="Q189" i="91"/>
  <c r="P189" i="91"/>
  <c r="O189" i="91"/>
  <c r="M189" i="91"/>
  <c r="L189" i="91"/>
  <c r="K189" i="91"/>
  <c r="J189" i="91"/>
  <c r="I189" i="91"/>
  <c r="H189" i="91"/>
  <c r="G189" i="91"/>
  <c r="F189" i="91"/>
  <c r="E189" i="91"/>
  <c r="D189" i="91"/>
  <c r="C189" i="91"/>
  <c r="Q188" i="91"/>
  <c r="P188" i="91"/>
  <c r="O188" i="91"/>
  <c r="M188" i="91"/>
  <c r="L188" i="91"/>
  <c r="K188" i="91"/>
  <c r="J188" i="91"/>
  <c r="I188" i="91"/>
  <c r="H188" i="91"/>
  <c r="G188" i="91"/>
  <c r="F188" i="91"/>
  <c r="E188" i="91"/>
  <c r="D188" i="91"/>
  <c r="C188" i="91"/>
  <c r="Q187" i="91"/>
  <c r="P187" i="91"/>
  <c r="O187" i="91"/>
  <c r="M187" i="91"/>
  <c r="L187" i="91"/>
  <c r="K187" i="91"/>
  <c r="J187" i="91"/>
  <c r="I187" i="91"/>
  <c r="H187" i="91"/>
  <c r="G187" i="91"/>
  <c r="F187" i="91"/>
  <c r="E187" i="91"/>
  <c r="D187" i="91"/>
  <c r="C187" i="91"/>
  <c r="Q186" i="91"/>
  <c r="P186" i="91"/>
  <c r="O186" i="91"/>
  <c r="M186" i="91"/>
  <c r="L186" i="91"/>
  <c r="K186" i="91"/>
  <c r="J186" i="91"/>
  <c r="I186" i="91"/>
  <c r="H186" i="91"/>
  <c r="G186" i="91"/>
  <c r="F186" i="91"/>
  <c r="E186" i="91"/>
  <c r="D186" i="91"/>
  <c r="C186" i="91"/>
  <c r="Q185" i="91"/>
  <c r="P185" i="91"/>
  <c r="O185" i="91"/>
  <c r="M185" i="91"/>
  <c r="L185" i="91"/>
  <c r="K185" i="91"/>
  <c r="J185" i="91"/>
  <c r="I185" i="91"/>
  <c r="H185" i="91"/>
  <c r="G185" i="91"/>
  <c r="F185" i="91"/>
  <c r="E185" i="91"/>
  <c r="D185" i="91"/>
  <c r="C185" i="91"/>
  <c r="Q184" i="91"/>
  <c r="P184" i="91"/>
  <c r="O184" i="91"/>
  <c r="M184" i="91"/>
  <c r="L184" i="91"/>
  <c r="K184" i="91"/>
  <c r="J184" i="91"/>
  <c r="I184" i="91"/>
  <c r="H184" i="91"/>
  <c r="G184" i="91"/>
  <c r="F184" i="91"/>
  <c r="E184" i="91"/>
  <c r="D184" i="91"/>
  <c r="C184" i="91"/>
  <c r="Q183" i="91"/>
  <c r="P183" i="91"/>
  <c r="O183" i="91"/>
  <c r="M183" i="91"/>
  <c r="L183" i="91"/>
  <c r="K183" i="91"/>
  <c r="J183" i="91"/>
  <c r="I183" i="91"/>
  <c r="H183" i="91"/>
  <c r="G183" i="91"/>
  <c r="F183" i="91"/>
  <c r="E183" i="91"/>
  <c r="D183" i="91"/>
  <c r="C183" i="91"/>
  <c r="Q182" i="91"/>
  <c r="P182" i="91"/>
  <c r="O182" i="91"/>
  <c r="M182" i="91"/>
  <c r="L182" i="91"/>
  <c r="K182" i="91"/>
  <c r="J182" i="91"/>
  <c r="I182" i="91"/>
  <c r="H182" i="91"/>
  <c r="G182" i="91"/>
  <c r="F182" i="91"/>
  <c r="E182" i="91"/>
  <c r="D182" i="91"/>
  <c r="C182" i="91"/>
  <c r="Q181" i="91"/>
  <c r="P181" i="91"/>
  <c r="O181" i="91"/>
  <c r="M181" i="91"/>
  <c r="L181" i="91"/>
  <c r="K181" i="91"/>
  <c r="J181" i="91"/>
  <c r="I181" i="91"/>
  <c r="H181" i="91"/>
  <c r="G181" i="91"/>
  <c r="F181" i="91"/>
  <c r="E181" i="91"/>
  <c r="D181" i="91"/>
  <c r="C181" i="91"/>
  <c r="Q180" i="91"/>
  <c r="P180" i="91"/>
  <c r="O180" i="91"/>
  <c r="M180" i="91"/>
  <c r="L180" i="91"/>
  <c r="K180" i="91"/>
  <c r="J180" i="91"/>
  <c r="I180" i="91"/>
  <c r="H180" i="91"/>
  <c r="G180" i="91"/>
  <c r="F180" i="91"/>
  <c r="E180" i="91"/>
  <c r="D180" i="91"/>
  <c r="C180" i="91"/>
  <c r="Q179" i="91"/>
  <c r="P179" i="91"/>
  <c r="O179" i="91"/>
  <c r="M179" i="91"/>
  <c r="L179" i="91"/>
  <c r="K179" i="91"/>
  <c r="J179" i="91"/>
  <c r="I179" i="91"/>
  <c r="H179" i="91"/>
  <c r="G179" i="91"/>
  <c r="F179" i="91"/>
  <c r="E179" i="91"/>
  <c r="D179" i="91"/>
  <c r="C179" i="91"/>
  <c r="Q178" i="91"/>
  <c r="P178" i="91"/>
  <c r="O178" i="91"/>
  <c r="M178" i="91"/>
  <c r="L178" i="91"/>
  <c r="K178" i="91"/>
  <c r="J178" i="91"/>
  <c r="I178" i="91"/>
  <c r="H178" i="91"/>
  <c r="G178" i="91"/>
  <c r="F178" i="91"/>
  <c r="E178" i="91"/>
  <c r="D178" i="91"/>
  <c r="C178" i="91"/>
  <c r="Q177" i="91"/>
  <c r="P177" i="91"/>
  <c r="O177" i="91"/>
  <c r="M177" i="91"/>
  <c r="L177" i="91"/>
  <c r="K177" i="91"/>
  <c r="J177" i="91"/>
  <c r="I177" i="91"/>
  <c r="H177" i="91"/>
  <c r="G177" i="91"/>
  <c r="F177" i="91"/>
  <c r="E177" i="91"/>
  <c r="D177" i="91"/>
  <c r="C177" i="91"/>
  <c r="Q176" i="91"/>
  <c r="P176" i="91"/>
  <c r="O176" i="91"/>
  <c r="M176" i="91"/>
  <c r="L176" i="91"/>
  <c r="K176" i="91"/>
  <c r="J176" i="91"/>
  <c r="I176" i="91"/>
  <c r="H176" i="91"/>
  <c r="G176" i="91"/>
  <c r="F176" i="91"/>
  <c r="E176" i="91"/>
  <c r="D176" i="91"/>
  <c r="C176" i="91"/>
  <c r="Q175" i="91"/>
  <c r="P175" i="91"/>
  <c r="O175" i="91"/>
  <c r="M175" i="91"/>
  <c r="L175" i="91"/>
  <c r="K175" i="91"/>
  <c r="J175" i="91"/>
  <c r="I175" i="91"/>
  <c r="H175" i="91"/>
  <c r="G175" i="91"/>
  <c r="F175" i="91"/>
  <c r="E175" i="91"/>
  <c r="D175" i="91"/>
  <c r="C175" i="91"/>
  <c r="Q174" i="91"/>
  <c r="P174" i="91"/>
  <c r="O174" i="91"/>
  <c r="M174" i="91"/>
  <c r="L174" i="91"/>
  <c r="K174" i="91"/>
  <c r="J174" i="91"/>
  <c r="I174" i="91"/>
  <c r="H174" i="91"/>
  <c r="G174" i="91"/>
  <c r="F174" i="91"/>
  <c r="E174" i="91"/>
  <c r="D174" i="91"/>
  <c r="C174" i="91"/>
  <c r="Q173" i="91"/>
  <c r="P173" i="91"/>
  <c r="O173" i="91"/>
  <c r="M173" i="91"/>
  <c r="L173" i="91"/>
  <c r="K173" i="91"/>
  <c r="J173" i="91"/>
  <c r="I173" i="91"/>
  <c r="H173" i="91"/>
  <c r="G173" i="91"/>
  <c r="F173" i="91"/>
  <c r="E173" i="91"/>
  <c r="D173" i="91"/>
  <c r="C173" i="91"/>
  <c r="Q172" i="91"/>
  <c r="P172" i="91"/>
  <c r="O172" i="91"/>
  <c r="M172" i="91"/>
  <c r="L172" i="91"/>
  <c r="K172" i="91"/>
  <c r="J172" i="91"/>
  <c r="I172" i="91"/>
  <c r="H172" i="91"/>
  <c r="G172" i="91"/>
  <c r="F172" i="91"/>
  <c r="E172" i="91"/>
  <c r="D172" i="91"/>
  <c r="C172" i="91"/>
  <c r="Q171" i="91"/>
  <c r="P171" i="91"/>
  <c r="O171" i="91"/>
  <c r="M171" i="91"/>
  <c r="L171" i="91"/>
  <c r="K171" i="91"/>
  <c r="J171" i="91"/>
  <c r="I171" i="91"/>
  <c r="H171" i="91"/>
  <c r="G171" i="91"/>
  <c r="F171" i="91"/>
  <c r="E171" i="91"/>
  <c r="D171" i="91"/>
  <c r="C171" i="91"/>
  <c r="Q170" i="91"/>
  <c r="P170" i="91"/>
  <c r="O170" i="91"/>
  <c r="M170" i="91"/>
  <c r="L170" i="91"/>
  <c r="K170" i="91"/>
  <c r="J170" i="91"/>
  <c r="I170" i="91"/>
  <c r="H170" i="91"/>
  <c r="G170" i="91"/>
  <c r="F170" i="91"/>
  <c r="E170" i="91"/>
  <c r="D170" i="91"/>
  <c r="C170" i="91"/>
  <c r="Q169" i="91"/>
  <c r="P169" i="91"/>
  <c r="O169" i="91"/>
  <c r="M169" i="91"/>
  <c r="L169" i="91"/>
  <c r="K169" i="91"/>
  <c r="J169" i="91"/>
  <c r="I169" i="91"/>
  <c r="H169" i="91"/>
  <c r="G169" i="91"/>
  <c r="F169" i="91"/>
  <c r="E169" i="91"/>
  <c r="D169" i="91"/>
  <c r="C169" i="91"/>
  <c r="Q168" i="91"/>
  <c r="P168" i="91"/>
  <c r="O168" i="91"/>
  <c r="M168" i="91"/>
  <c r="L168" i="91"/>
  <c r="K168" i="91"/>
  <c r="J168" i="91"/>
  <c r="I168" i="91"/>
  <c r="H168" i="91"/>
  <c r="G168" i="91"/>
  <c r="F168" i="91"/>
  <c r="E168" i="91"/>
  <c r="D168" i="91"/>
  <c r="C168" i="91"/>
  <c r="Q167" i="91"/>
  <c r="P167" i="91"/>
  <c r="O167" i="91"/>
  <c r="M167" i="91"/>
  <c r="L167" i="91"/>
  <c r="K167" i="91"/>
  <c r="J167" i="91"/>
  <c r="I167" i="91"/>
  <c r="H167" i="91"/>
  <c r="G167" i="91"/>
  <c r="F167" i="91"/>
  <c r="E167" i="91"/>
  <c r="D167" i="91"/>
  <c r="C167" i="91"/>
  <c r="Q166" i="91"/>
  <c r="P166" i="91"/>
  <c r="O166" i="91"/>
  <c r="M166" i="91"/>
  <c r="L166" i="91"/>
  <c r="K166" i="91"/>
  <c r="J166" i="91"/>
  <c r="I166" i="91"/>
  <c r="H166" i="91"/>
  <c r="G166" i="91"/>
  <c r="F166" i="91"/>
  <c r="E166" i="91"/>
  <c r="D166" i="91"/>
  <c r="C166" i="91"/>
  <c r="Q165" i="91"/>
  <c r="P165" i="91"/>
  <c r="O165" i="91"/>
  <c r="M165" i="91"/>
  <c r="L165" i="91"/>
  <c r="K165" i="91"/>
  <c r="J165" i="91"/>
  <c r="I165" i="91"/>
  <c r="H165" i="91"/>
  <c r="G165" i="91"/>
  <c r="F165" i="91"/>
  <c r="E165" i="91"/>
  <c r="D165" i="91"/>
  <c r="C165" i="91"/>
  <c r="Q164" i="91"/>
  <c r="P164" i="91"/>
  <c r="O164" i="91"/>
  <c r="M164" i="91"/>
  <c r="L164" i="91"/>
  <c r="K164" i="91"/>
  <c r="J164" i="91"/>
  <c r="I164" i="91"/>
  <c r="H164" i="91"/>
  <c r="G164" i="91"/>
  <c r="F164" i="91"/>
  <c r="E164" i="91"/>
  <c r="D164" i="91"/>
  <c r="C164" i="91"/>
  <c r="Q163" i="91"/>
  <c r="P163" i="91"/>
  <c r="O163" i="91"/>
  <c r="M163" i="91"/>
  <c r="L163" i="91"/>
  <c r="K163" i="91"/>
  <c r="J163" i="91"/>
  <c r="I163" i="91"/>
  <c r="H163" i="91"/>
  <c r="G163" i="91"/>
  <c r="F163" i="91"/>
  <c r="E163" i="91"/>
  <c r="D163" i="91"/>
  <c r="C163" i="91"/>
  <c r="Q162" i="91"/>
  <c r="P162" i="91"/>
  <c r="O162" i="91"/>
  <c r="M162" i="91"/>
  <c r="L162" i="91"/>
  <c r="K162" i="91"/>
  <c r="J162" i="91"/>
  <c r="I162" i="91"/>
  <c r="H162" i="91"/>
  <c r="G162" i="91"/>
  <c r="F162" i="91"/>
  <c r="E162" i="91"/>
  <c r="D162" i="91"/>
  <c r="C162" i="91"/>
  <c r="Q161" i="91"/>
  <c r="P161" i="91"/>
  <c r="O161" i="91"/>
  <c r="M161" i="91"/>
  <c r="L161" i="91"/>
  <c r="K161" i="91"/>
  <c r="J161" i="91"/>
  <c r="I161" i="91"/>
  <c r="H161" i="91"/>
  <c r="G161" i="91"/>
  <c r="F161" i="91"/>
  <c r="E161" i="91"/>
  <c r="D161" i="91"/>
  <c r="C161" i="91"/>
  <c r="Q160" i="91"/>
  <c r="P160" i="91"/>
  <c r="O160" i="91"/>
  <c r="M160" i="91"/>
  <c r="L160" i="91"/>
  <c r="K160" i="91"/>
  <c r="J160" i="91"/>
  <c r="I160" i="91"/>
  <c r="H160" i="91"/>
  <c r="G160" i="91"/>
  <c r="F160" i="91"/>
  <c r="E160" i="91"/>
  <c r="D160" i="91"/>
  <c r="C160" i="91"/>
  <c r="Q159" i="91"/>
  <c r="P159" i="91"/>
  <c r="O159" i="91"/>
  <c r="M159" i="91"/>
  <c r="L159" i="91"/>
  <c r="K159" i="91"/>
  <c r="J159" i="91"/>
  <c r="I159" i="91"/>
  <c r="H159" i="91"/>
  <c r="G159" i="91"/>
  <c r="F159" i="91"/>
  <c r="E159" i="91"/>
  <c r="D159" i="91"/>
  <c r="C159" i="91"/>
  <c r="Q158" i="91"/>
  <c r="P158" i="91"/>
  <c r="O158" i="91"/>
  <c r="M158" i="91"/>
  <c r="L158" i="91"/>
  <c r="K158" i="91"/>
  <c r="J158" i="91"/>
  <c r="I158" i="91"/>
  <c r="H158" i="91"/>
  <c r="G158" i="91"/>
  <c r="F158" i="91"/>
  <c r="E158" i="91"/>
  <c r="D158" i="91"/>
  <c r="C158" i="91"/>
  <c r="Q157" i="91"/>
  <c r="P157" i="91"/>
  <c r="O157" i="91"/>
  <c r="M157" i="91"/>
  <c r="L157" i="91"/>
  <c r="K157" i="91"/>
  <c r="J157" i="91"/>
  <c r="I157" i="91"/>
  <c r="H157" i="91"/>
  <c r="G157" i="91"/>
  <c r="F157" i="91"/>
  <c r="E157" i="91"/>
  <c r="D157" i="91"/>
  <c r="C157" i="91"/>
  <c r="Q156" i="91"/>
  <c r="P156" i="91"/>
  <c r="O156" i="91"/>
  <c r="M156" i="91"/>
  <c r="L156" i="91"/>
  <c r="K156" i="91"/>
  <c r="J156" i="91"/>
  <c r="I156" i="91"/>
  <c r="H156" i="91"/>
  <c r="G156" i="91"/>
  <c r="F156" i="91"/>
  <c r="E156" i="91"/>
  <c r="D156" i="91"/>
  <c r="C156" i="91"/>
  <c r="Q155" i="91"/>
  <c r="P155" i="91"/>
  <c r="O155" i="91"/>
  <c r="M155" i="91"/>
  <c r="L155" i="91"/>
  <c r="K155" i="91"/>
  <c r="J155" i="91"/>
  <c r="I155" i="91"/>
  <c r="H155" i="91"/>
  <c r="G155" i="91"/>
  <c r="F155" i="91"/>
  <c r="E155" i="91"/>
  <c r="D155" i="91"/>
  <c r="C155" i="91"/>
  <c r="Q154" i="91"/>
  <c r="P154" i="91"/>
  <c r="O154" i="91"/>
  <c r="M154" i="91"/>
  <c r="L154" i="91"/>
  <c r="K154" i="91"/>
  <c r="J154" i="91"/>
  <c r="I154" i="91"/>
  <c r="H154" i="91"/>
  <c r="G154" i="91"/>
  <c r="F154" i="91"/>
  <c r="E154" i="91"/>
  <c r="D154" i="91"/>
  <c r="C154" i="91"/>
  <c r="Q153" i="91"/>
  <c r="P153" i="91"/>
  <c r="O153" i="91"/>
  <c r="M153" i="91"/>
  <c r="L153" i="91"/>
  <c r="K153" i="91"/>
  <c r="J153" i="91"/>
  <c r="I153" i="91"/>
  <c r="H153" i="91"/>
  <c r="G153" i="91"/>
  <c r="F153" i="91"/>
  <c r="E153" i="91"/>
  <c r="D153" i="91"/>
  <c r="C153" i="91"/>
  <c r="Q152" i="91"/>
  <c r="P152" i="91"/>
  <c r="O152" i="91"/>
  <c r="M152" i="91"/>
  <c r="L152" i="91"/>
  <c r="K152" i="91"/>
  <c r="J152" i="91"/>
  <c r="I152" i="91"/>
  <c r="H152" i="91"/>
  <c r="G152" i="91"/>
  <c r="F152" i="91"/>
  <c r="E152" i="91"/>
  <c r="D152" i="91"/>
  <c r="C152" i="91"/>
  <c r="Q151" i="91"/>
  <c r="P151" i="91"/>
  <c r="O151" i="91"/>
  <c r="M151" i="91"/>
  <c r="L151" i="91"/>
  <c r="K151" i="91"/>
  <c r="J151" i="91"/>
  <c r="I151" i="91"/>
  <c r="H151" i="91"/>
  <c r="G151" i="91"/>
  <c r="F151" i="91"/>
  <c r="E151" i="91"/>
  <c r="D151" i="91"/>
  <c r="C151" i="91"/>
  <c r="Q150" i="91"/>
  <c r="P150" i="91"/>
  <c r="O150" i="91"/>
  <c r="M150" i="91"/>
  <c r="L150" i="91"/>
  <c r="K150" i="91"/>
  <c r="J150" i="91"/>
  <c r="I150" i="91"/>
  <c r="H150" i="91"/>
  <c r="G150" i="91"/>
  <c r="F150" i="91"/>
  <c r="E150" i="91"/>
  <c r="D150" i="91"/>
  <c r="C150" i="91"/>
  <c r="Q149" i="91"/>
  <c r="P149" i="91"/>
  <c r="O149" i="91"/>
  <c r="M149" i="91"/>
  <c r="L149" i="91"/>
  <c r="K149" i="91"/>
  <c r="J149" i="91"/>
  <c r="I149" i="91"/>
  <c r="H149" i="91"/>
  <c r="G149" i="91"/>
  <c r="F149" i="91"/>
  <c r="E149" i="91"/>
  <c r="D149" i="91"/>
  <c r="C149" i="91"/>
  <c r="Q148" i="91"/>
  <c r="P148" i="91"/>
  <c r="O148" i="91"/>
  <c r="M148" i="91"/>
  <c r="L148" i="91"/>
  <c r="K148" i="91"/>
  <c r="J148" i="91"/>
  <c r="I148" i="91"/>
  <c r="H148" i="91"/>
  <c r="G148" i="91"/>
  <c r="F148" i="91"/>
  <c r="E148" i="91"/>
  <c r="D148" i="91"/>
  <c r="C148" i="91"/>
  <c r="Q147" i="91"/>
  <c r="P147" i="91"/>
  <c r="O147" i="91"/>
  <c r="M147" i="91"/>
  <c r="L147" i="91"/>
  <c r="K147" i="91"/>
  <c r="J147" i="91"/>
  <c r="I147" i="91"/>
  <c r="H147" i="91"/>
  <c r="G147" i="91"/>
  <c r="F147" i="91"/>
  <c r="E147" i="91"/>
  <c r="D147" i="91"/>
  <c r="C147" i="91"/>
  <c r="Q146" i="91"/>
  <c r="P146" i="91"/>
  <c r="O146" i="91"/>
  <c r="M146" i="91"/>
  <c r="L146" i="91"/>
  <c r="K146" i="91"/>
  <c r="J146" i="91"/>
  <c r="I146" i="91"/>
  <c r="H146" i="91"/>
  <c r="G146" i="91"/>
  <c r="F146" i="91"/>
  <c r="E146" i="91"/>
  <c r="D146" i="91"/>
  <c r="C146" i="91"/>
  <c r="Q145" i="91"/>
  <c r="P145" i="91"/>
  <c r="O145" i="91"/>
  <c r="M145" i="91"/>
  <c r="L145" i="91"/>
  <c r="K145" i="91"/>
  <c r="J145" i="91"/>
  <c r="I145" i="91"/>
  <c r="H145" i="91"/>
  <c r="G145" i="91"/>
  <c r="F145" i="91"/>
  <c r="E145" i="91"/>
  <c r="D145" i="91"/>
  <c r="C145" i="91"/>
  <c r="Q144" i="91"/>
  <c r="P144" i="91"/>
  <c r="O144" i="91"/>
  <c r="M144" i="91"/>
  <c r="L144" i="91"/>
  <c r="K144" i="91"/>
  <c r="J144" i="91"/>
  <c r="I144" i="91"/>
  <c r="H144" i="91"/>
  <c r="G144" i="91"/>
  <c r="F144" i="91"/>
  <c r="E144" i="91"/>
  <c r="D144" i="91"/>
  <c r="C144" i="91"/>
  <c r="Q143" i="91"/>
  <c r="P143" i="91"/>
  <c r="O143" i="91"/>
  <c r="M143" i="91"/>
  <c r="L143" i="91"/>
  <c r="K143" i="91"/>
  <c r="J143" i="91"/>
  <c r="I143" i="91"/>
  <c r="H143" i="91"/>
  <c r="G143" i="91"/>
  <c r="F143" i="91"/>
  <c r="E143" i="91"/>
  <c r="D143" i="91"/>
  <c r="C143" i="91"/>
  <c r="Q142" i="91"/>
  <c r="P142" i="91"/>
  <c r="O142" i="91"/>
  <c r="M142" i="91"/>
  <c r="L142" i="91"/>
  <c r="K142" i="91"/>
  <c r="J142" i="91"/>
  <c r="I142" i="91"/>
  <c r="H142" i="91"/>
  <c r="G142" i="91"/>
  <c r="F142" i="91"/>
  <c r="E142" i="91"/>
  <c r="D142" i="91"/>
  <c r="C142" i="91"/>
  <c r="Q141" i="91"/>
  <c r="P141" i="91"/>
  <c r="O141" i="91"/>
  <c r="M141" i="91"/>
  <c r="L141" i="91"/>
  <c r="K141" i="91"/>
  <c r="J141" i="91"/>
  <c r="I141" i="91"/>
  <c r="H141" i="91"/>
  <c r="G141" i="91"/>
  <c r="F141" i="91"/>
  <c r="E141" i="91"/>
  <c r="D141" i="91"/>
  <c r="C141" i="91"/>
  <c r="Q140" i="91"/>
  <c r="P140" i="91"/>
  <c r="O140" i="91"/>
  <c r="M140" i="91"/>
  <c r="L140" i="91"/>
  <c r="K140" i="91"/>
  <c r="J140" i="91"/>
  <c r="I140" i="91"/>
  <c r="H140" i="91"/>
  <c r="G140" i="91"/>
  <c r="F140" i="91"/>
  <c r="E140" i="91"/>
  <c r="D140" i="91"/>
  <c r="C140" i="91"/>
  <c r="Q139" i="91"/>
  <c r="P139" i="91"/>
  <c r="O139" i="91"/>
  <c r="M139" i="91"/>
  <c r="L139" i="91"/>
  <c r="K139" i="91"/>
  <c r="J139" i="91"/>
  <c r="I139" i="91"/>
  <c r="H139" i="91"/>
  <c r="G139" i="91"/>
  <c r="F139" i="91"/>
  <c r="E139" i="91"/>
  <c r="D139" i="91"/>
  <c r="C139" i="91"/>
  <c r="Q138" i="91"/>
  <c r="P138" i="91"/>
  <c r="O138" i="91"/>
  <c r="M138" i="91"/>
  <c r="L138" i="91"/>
  <c r="K138" i="91"/>
  <c r="J138" i="91"/>
  <c r="I138" i="91"/>
  <c r="H138" i="91"/>
  <c r="G138" i="91"/>
  <c r="F138" i="91"/>
  <c r="E138" i="91"/>
  <c r="D138" i="91"/>
  <c r="C138" i="91"/>
  <c r="Q137" i="91"/>
  <c r="P137" i="91"/>
  <c r="O137" i="91"/>
  <c r="M137" i="91"/>
  <c r="L137" i="91"/>
  <c r="K137" i="91"/>
  <c r="J137" i="91"/>
  <c r="I137" i="91"/>
  <c r="H137" i="91"/>
  <c r="G137" i="91"/>
  <c r="F137" i="91"/>
  <c r="E137" i="91"/>
  <c r="D137" i="91"/>
  <c r="C137" i="91"/>
  <c r="Q136" i="91"/>
  <c r="P136" i="91"/>
  <c r="O136" i="91"/>
  <c r="M136" i="91"/>
  <c r="L136" i="91"/>
  <c r="K136" i="91"/>
  <c r="J136" i="91"/>
  <c r="I136" i="91"/>
  <c r="H136" i="91"/>
  <c r="G136" i="91"/>
  <c r="F136" i="91"/>
  <c r="E136" i="91"/>
  <c r="D136" i="91"/>
  <c r="C136" i="91"/>
  <c r="Q135" i="91"/>
  <c r="P135" i="91"/>
  <c r="O135" i="91"/>
  <c r="M135" i="91"/>
  <c r="L135" i="91"/>
  <c r="K135" i="91"/>
  <c r="J135" i="91"/>
  <c r="I135" i="91"/>
  <c r="H135" i="91"/>
  <c r="G135" i="91"/>
  <c r="F135" i="91"/>
  <c r="E135" i="91"/>
  <c r="D135" i="91"/>
  <c r="C135" i="91"/>
  <c r="Q134" i="91"/>
  <c r="P134" i="91"/>
  <c r="O134" i="91"/>
  <c r="M134" i="91"/>
  <c r="L134" i="91"/>
  <c r="K134" i="91"/>
  <c r="J134" i="91"/>
  <c r="I134" i="91"/>
  <c r="H134" i="91"/>
  <c r="G134" i="91"/>
  <c r="F134" i="91"/>
  <c r="E134" i="91"/>
  <c r="D134" i="91"/>
  <c r="C134" i="91"/>
  <c r="Q133" i="91"/>
  <c r="P133" i="91"/>
  <c r="O133" i="91"/>
  <c r="M133" i="91"/>
  <c r="L133" i="91"/>
  <c r="K133" i="91"/>
  <c r="J133" i="91"/>
  <c r="I133" i="91"/>
  <c r="H133" i="91"/>
  <c r="G133" i="91"/>
  <c r="F133" i="91"/>
  <c r="E133" i="91"/>
  <c r="D133" i="91"/>
  <c r="C133" i="91"/>
  <c r="Q132" i="91"/>
  <c r="P132" i="91"/>
  <c r="O132" i="91"/>
  <c r="M132" i="91"/>
  <c r="L132" i="91"/>
  <c r="K132" i="91"/>
  <c r="J132" i="91"/>
  <c r="I132" i="91"/>
  <c r="H132" i="91"/>
  <c r="G132" i="91"/>
  <c r="F132" i="91"/>
  <c r="E132" i="91"/>
  <c r="D132" i="91"/>
  <c r="C132" i="91"/>
  <c r="Q131" i="91"/>
  <c r="P131" i="91"/>
  <c r="O131" i="91"/>
  <c r="M131" i="91"/>
  <c r="L131" i="91"/>
  <c r="K131" i="91"/>
  <c r="J131" i="91"/>
  <c r="I131" i="91"/>
  <c r="H131" i="91"/>
  <c r="G131" i="91"/>
  <c r="F131" i="91"/>
  <c r="E131" i="91"/>
  <c r="D131" i="91"/>
  <c r="C131" i="91"/>
  <c r="Q130" i="91"/>
  <c r="P130" i="91"/>
  <c r="O130" i="91"/>
  <c r="M130" i="91"/>
  <c r="L130" i="91"/>
  <c r="K130" i="91"/>
  <c r="J130" i="91"/>
  <c r="I130" i="91"/>
  <c r="H130" i="91"/>
  <c r="G130" i="91"/>
  <c r="F130" i="91"/>
  <c r="E130" i="91"/>
  <c r="D130" i="91"/>
  <c r="C130" i="91"/>
  <c r="Q129" i="91"/>
  <c r="P129" i="91"/>
  <c r="O129" i="91"/>
  <c r="M129" i="91"/>
  <c r="L129" i="91"/>
  <c r="K129" i="91"/>
  <c r="J129" i="91"/>
  <c r="I129" i="91"/>
  <c r="H129" i="91"/>
  <c r="G129" i="91"/>
  <c r="F129" i="91"/>
  <c r="E129" i="91"/>
  <c r="D129" i="91"/>
  <c r="C129" i="91"/>
  <c r="Q128" i="91"/>
  <c r="P128" i="91"/>
  <c r="O128" i="91"/>
  <c r="M128" i="91"/>
  <c r="L128" i="91"/>
  <c r="K128" i="91"/>
  <c r="J128" i="91"/>
  <c r="I128" i="91"/>
  <c r="H128" i="91"/>
  <c r="G128" i="91"/>
  <c r="F128" i="91"/>
  <c r="E128" i="91"/>
  <c r="D128" i="91"/>
  <c r="C128" i="91"/>
  <c r="Q127" i="91"/>
  <c r="P127" i="91"/>
  <c r="O127" i="91"/>
  <c r="M127" i="91"/>
  <c r="L127" i="91"/>
  <c r="K127" i="91"/>
  <c r="J127" i="91"/>
  <c r="I127" i="91"/>
  <c r="H127" i="91"/>
  <c r="G127" i="91"/>
  <c r="F127" i="91"/>
  <c r="E127" i="91"/>
  <c r="D127" i="91"/>
  <c r="C127" i="91"/>
  <c r="Q126" i="91"/>
  <c r="P126" i="91"/>
  <c r="O126" i="91"/>
  <c r="M126" i="91"/>
  <c r="L126" i="91"/>
  <c r="K126" i="91"/>
  <c r="J126" i="91"/>
  <c r="I126" i="91"/>
  <c r="H126" i="91"/>
  <c r="G126" i="91"/>
  <c r="F126" i="91"/>
  <c r="E126" i="91"/>
  <c r="D126" i="91"/>
  <c r="C126" i="91"/>
  <c r="Q125" i="91"/>
  <c r="P125" i="91"/>
  <c r="O125" i="91"/>
  <c r="M125" i="91"/>
  <c r="L125" i="91"/>
  <c r="K125" i="91"/>
  <c r="J125" i="91"/>
  <c r="I125" i="91"/>
  <c r="H125" i="91"/>
  <c r="G125" i="91"/>
  <c r="F125" i="91"/>
  <c r="E125" i="91"/>
  <c r="D125" i="91"/>
  <c r="C125" i="91"/>
  <c r="Q124" i="91"/>
  <c r="P124" i="91"/>
  <c r="O124" i="91"/>
  <c r="M124" i="91"/>
  <c r="L124" i="91"/>
  <c r="K124" i="91"/>
  <c r="J124" i="91"/>
  <c r="I124" i="91"/>
  <c r="H124" i="91"/>
  <c r="G124" i="91"/>
  <c r="F124" i="91"/>
  <c r="E124" i="91"/>
  <c r="D124" i="91"/>
  <c r="C124" i="91"/>
  <c r="Q123" i="91"/>
  <c r="P123" i="91"/>
  <c r="O123" i="91"/>
  <c r="M123" i="91"/>
  <c r="L123" i="91"/>
  <c r="K123" i="91"/>
  <c r="J123" i="91"/>
  <c r="I123" i="91"/>
  <c r="H123" i="91"/>
  <c r="G123" i="91"/>
  <c r="F123" i="91"/>
  <c r="E123" i="91"/>
  <c r="D123" i="91"/>
  <c r="C123" i="91"/>
  <c r="Q122" i="91"/>
  <c r="P122" i="91"/>
  <c r="O122" i="91"/>
  <c r="M122" i="91"/>
  <c r="L122" i="91"/>
  <c r="K122" i="91"/>
  <c r="J122" i="91"/>
  <c r="I122" i="91"/>
  <c r="H122" i="91"/>
  <c r="G122" i="91"/>
  <c r="F122" i="91"/>
  <c r="E122" i="91"/>
  <c r="D122" i="91"/>
  <c r="C122" i="91"/>
  <c r="Q121" i="91"/>
  <c r="P121" i="91"/>
  <c r="O121" i="91"/>
  <c r="M121" i="91"/>
  <c r="L121" i="91"/>
  <c r="K121" i="91"/>
  <c r="J121" i="91"/>
  <c r="I121" i="91"/>
  <c r="H121" i="91"/>
  <c r="G121" i="91"/>
  <c r="F121" i="91"/>
  <c r="E121" i="91"/>
  <c r="D121" i="91"/>
  <c r="C121" i="91"/>
  <c r="Q120" i="91"/>
  <c r="P120" i="91"/>
  <c r="O120" i="91"/>
  <c r="M120" i="91"/>
  <c r="L120" i="91"/>
  <c r="K120" i="91"/>
  <c r="J120" i="91"/>
  <c r="I120" i="91"/>
  <c r="H120" i="91"/>
  <c r="G120" i="91"/>
  <c r="F120" i="91"/>
  <c r="E120" i="91"/>
  <c r="D120" i="91"/>
  <c r="C120" i="91"/>
  <c r="Q119" i="91"/>
  <c r="P119" i="91"/>
  <c r="O119" i="91"/>
  <c r="M119" i="91"/>
  <c r="L119" i="91"/>
  <c r="K119" i="91"/>
  <c r="J119" i="91"/>
  <c r="I119" i="91"/>
  <c r="H119" i="91"/>
  <c r="G119" i="91"/>
  <c r="F119" i="91"/>
  <c r="E119" i="91"/>
  <c r="D119" i="91"/>
  <c r="C119" i="91"/>
  <c r="Q118" i="91"/>
  <c r="P118" i="91"/>
  <c r="O118" i="91"/>
  <c r="M118" i="91"/>
  <c r="L118" i="91"/>
  <c r="K118" i="91"/>
  <c r="J118" i="91"/>
  <c r="I118" i="91"/>
  <c r="H118" i="91"/>
  <c r="G118" i="91"/>
  <c r="F118" i="91"/>
  <c r="E118" i="91"/>
  <c r="D118" i="91"/>
  <c r="C118" i="91"/>
  <c r="Q117" i="91"/>
  <c r="P117" i="91"/>
  <c r="O117" i="91"/>
  <c r="M117" i="91"/>
  <c r="L117" i="91"/>
  <c r="K117" i="91"/>
  <c r="J117" i="91"/>
  <c r="I117" i="91"/>
  <c r="H117" i="91"/>
  <c r="G117" i="91"/>
  <c r="F117" i="91"/>
  <c r="E117" i="91"/>
  <c r="D117" i="91"/>
  <c r="C117" i="91"/>
  <c r="Q116" i="91"/>
  <c r="P116" i="91"/>
  <c r="O116" i="91"/>
  <c r="M116" i="91"/>
  <c r="L116" i="91"/>
  <c r="K116" i="91"/>
  <c r="J116" i="91"/>
  <c r="I116" i="91"/>
  <c r="H116" i="91"/>
  <c r="G116" i="91"/>
  <c r="F116" i="91"/>
  <c r="E116" i="91"/>
  <c r="D116" i="91"/>
  <c r="C116" i="91"/>
  <c r="Q115" i="91"/>
  <c r="P115" i="91"/>
  <c r="O115" i="91"/>
  <c r="M115" i="91"/>
  <c r="L115" i="91"/>
  <c r="K115" i="91"/>
  <c r="J115" i="91"/>
  <c r="I115" i="91"/>
  <c r="H115" i="91"/>
  <c r="G115" i="91"/>
  <c r="F115" i="91"/>
  <c r="E115" i="91"/>
  <c r="D115" i="91"/>
  <c r="C115" i="91"/>
  <c r="Q114" i="91"/>
  <c r="P114" i="91"/>
  <c r="O114" i="91"/>
  <c r="M114" i="91"/>
  <c r="L114" i="91"/>
  <c r="K114" i="91"/>
  <c r="J114" i="91"/>
  <c r="I114" i="91"/>
  <c r="H114" i="91"/>
  <c r="G114" i="91"/>
  <c r="F114" i="91"/>
  <c r="E114" i="91"/>
  <c r="D114" i="91"/>
  <c r="C114" i="91"/>
  <c r="Q113" i="91"/>
  <c r="P113" i="91"/>
  <c r="O113" i="91"/>
  <c r="M113" i="91"/>
  <c r="L113" i="91"/>
  <c r="K113" i="91"/>
  <c r="J113" i="91"/>
  <c r="I113" i="91"/>
  <c r="H113" i="91"/>
  <c r="G113" i="91"/>
  <c r="F113" i="91"/>
  <c r="E113" i="91"/>
  <c r="D113" i="91"/>
  <c r="C113" i="91"/>
  <c r="Q112" i="91"/>
  <c r="P112" i="91"/>
  <c r="O112" i="91"/>
  <c r="M112" i="91"/>
  <c r="L112" i="91"/>
  <c r="K112" i="91"/>
  <c r="J112" i="91"/>
  <c r="I112" i="91"/>
  <c r="H112" i="91"/>
  <c r="G112" i="91"/>
  <c r="F112" i="91"/>
  <c r="E112" i="91"/>
  <c r="D112" i="91"/>
  <c r="C112" i="91"/>
  <c r="Q111" i="91"/>
  <c r="P111" i="91"/>
  <c r="O111" i="91"/>
  <c r="M111" i="91"/>
  <c r="L111" i="91"/>
  <c r="K111" i="91"/>
  <c r="J111" i="91"/>
  <c r="I111" i="91"/>
  <c r="H111" i="91"/>
  <c r="G111" i="91"/>
  <c r="F111" i="91"/>
  <c r="E111" i="91"/>
  <c r="D111" i="91"/>
  <c r="C111" i="91"/>
  <c r="Q110" i="91"/>
  <c r="P110" i="91"/>
  <c r="O110" i="91"/>
  <c r="M110" i="91"/>
  <c r="L110" i="91"/>
  <c r="K110" i="91"/>
  <c r="J110" i="91"/>
  <c r="I110" i="91"/>
  <c r="H110" i="91"/>
  <c r="G110" i="91"/>
  <c r="F110" i="91"/>
  <c r="E110" i="91"/>
  <c r="D110" i="91"/>
  <c r="C110" i="91"/>
  <c r="Q109" i="91"/>
  <c r="P109" i="91"/>
  <c r="O109" i="91"/>
  <c r="M109" i="91"/>
  <c r="L109" i="91"/>
  <c r="K109" i="91"/>
  <c r="J109" i="91"/>
  <c r="I109" i="91"/>
  <c r="H109" i="91"/>
  <c r="G109" i="91"/>
  <c r="F109" i="91"/>
  <c r="E109" i="91"/>
  <c r="D109" i="91"/>
  <c r="C109" i="91"/>
  <c r="Q108" i="91"/>
  <c r="P108" i="91"/>
  <c r="O108" i="91"/>
  <c r="M108" i="91"/>
  <c r="L108" i="91"/>
  <c r="K108" i="91"/>
  <c r="J108" i="91"/>
  <c r="I108" i="91"/>
  <c r="H108" i="91"/>
  <c r="G108" i="91"/>
  <c r="F108" i="91"/>
  <c r="E108" i="91"/>
  <c r="D108" i="91"/>
  <c r="C108" i="91"/>
  <c r="Q107" i="91"/>
  <c r="P107" i="91"/>
  <c r="O107" i="91"/>
  <c r="M107" i="91"/>
  <c r="L107" i="91"/>
  <c r="K107" i="91"/>
  <c r="J107" i="91"/>
  <c r="I107" i="91"/>
  <c r="H107" i="91"/>
  <c r="G107" i="91"/>
  <c r="F107" i="91"/>
  <c r="E107" i="91"/>
  <c r="D107" i="91"/>
  <c r="C107" i="91"/>
  <c r="Q106" i="91"/>
  <c r="P106" i="91"/>
  <c r="O106" i="91"/>
  <c r="M106" i="91"/>
  <c r="L106" i="91"/>
  <c r="K106" i="91"/>
  <c r="J106" i="91"/>
  <c r="I106" i="91"/>
  <c r="H106" i="91"/>
  <c r="G106" i="91"/>
  <c r="F106" i="91"/>
  <c r="E106" i="91"/>
  <c r="D106" i="91"/>
  <c r="C106" i="91"/>
  <c r="Q105" i="91"/>
  <c r="P105" i="91"/>
  <c r="O105" i="91"/>
  <c r="M105" i="91"/>
  <c r="L105" i="91"/>
  <c r="K105" i="91"/>
  <c r="J105" i="91"/>
  <c r="I105" i="91"/>
  <c r="H105" i="91"/>
  <c r="G105" i="91"/>
  <c r="F105" i="91"/>
  <c r="E105" i="91"/>
  <c r="D105" i="91"/>
  <c r="C105" i="91"/>
  <c r="Q104" i="91"/>
  <c r="P104" i="91"/>
  <c r="O104" i="91"/>
  <c r="M104" i="91"/>
  <c r="L104" i="91"/>
  <c r="K104" i="91"/>
  <c r="J104" i="91"/>
  <c r="I104" i="91"/>
  <c r="H104" i="91"/>
  <c r="G104" i="91"/>
  <c r="F104" i="91"/>
  <c r="E104" i="91"/>
  <c r="D104" i="91"/>
  <c r="C104" i="91"/>
  <c r="Q103" i="91"/>
  <c r="P103" i="91"/>
  <c r="O103" i="91"/>
  <c r="M103" i="91"/>
  <c r="L103" i="91"/>
  <c r="K103" i="91"/>
  <c r="J103" i="91"/>
  <c r="I103" i="91"/>
  <c r="H103" i="91"/>
  <c r="G103" i="91"/>
  <c r="F103" i="91"/>
  <c r="E103" i="91"/>
  <c r="D103" i="91"/>
  <c r="C103" i="91"/>
  <c r="Q102" i="91"/>
  <c r="P102" i="91"/>
  <c r="O102" i="91"/>
  <c r="M102" i="91"/>
  <c r="L102" i="91"/>
  <c r="K102" i="91"/>
  <c r="J102" i="91"/>
  <c r="I102" i="91"/>
  <c r="H102" i="91"/>
  <c r="G102" i="91"/>
  <c r="F102" i="91"/>
  <c r="E102" i="91"/>
  <c r="D102" i="91"/>
  <c r="C102" i="91"/>
  <c r="Q101" i="91"/>
  <c r="P101" i="91"/>
  <c r="O101" i="91"/>
  <c r="M101" i="91"/>
  <c r="L101" i="91"/>
  <c r="K101" i="91"/>
  <c r="J101" i="91"/>
  <c r="I101" i="91"/>
  <c r="H101" i="91"/>
  <c r="G101" i="91"/>
  <c r="F101" i="91"/>
  <c r="E101" i="91"/>
  <c r="D101" i="91"/>
  <c r="C101" i="91"/>
  <c r="Q100" i="91"/>
  <c r="P100" i="91"/>
  <c r="O100" i="91"/>
  <c r="M100" i="91"/>
  <c r="L100" i="91"/>
  <c r="K100" i="91"/>
  <c r="J100" i="91"/>
  <c r="I100" i="91"/>
  <c r="H100" i="91"/>
  <c r="G100" i="91"/>
  <c r="F100" i="91"/>
  <c r="E100" i="91"/>
  <c r="D100" i="91"/>
  <c r="C100" i="91"/>
  <c r="Q99" i="91"/>
  <c r="P99" i="91"/>
  <c r="O99" i="91"/>
  <c r="M99" i="91"/>
  <c r="L99" i="91"/>
  <c r="K99" i="91"/>
  <c r="J99" i="91"/>
  <c r="I99" i="91"/>
  <c r="H99" i="91"/>
  <c r="G99" i="91"/>
  <c r="F99" i="91"/>
  <c r="E99" i="91"/>
  <c r="D99" i="91"/>
  <c r="C99" i="91"/>
  <c r="Q98" i="91"/>
  <c r="P98" i="91"/>
  <c r="O98" i="91"/>
  <c r="M98" i="91"/>
  <c r="L98" i="91"/>
  <c r="K98" i="91"/>
  <c r="J98" i="91"/>
  <c r="I98" i="91"/>
  <c r="H98" i="91"/>
  <c r="G98" i="91"/>
  <c r="F98" i="91"/>
  <c r="E98" i="91"/>
  <c r="D98" i="91"/>
  <c r="C98" i="91"/>
  <c r="Q97" i="91"/>
  <c r="P97" i="91"/>
  <c r="O97" i="91"/>
  <c r="M97" i="91"/>
  <c r="L97" i="91"/>
  <c r="K97" i="91"/>
  <c r="J97" i="91"/>
  <c r="I97" i="91"/>
  <c r="H97" i="91"/>
  <c r="G97" i="91"/>
  <c r="F97" i="91"/>
  <c r="E97" i="91"/>
  <c r="D97" i="91"/>
  <c r="C97" i="91"/>
  <c r="Q96" i="91"/>
  <c r="P96" i="91"/>
  <c r="O96" i="91"/>
  <c r="M96" i="91"/>
  <c r="L96" i="91"/>
  <c r="K96" i="91"/>
  <c r="J96" i="91"/>
  <c r="I96" i="91"/>
  <c r="H96" i="91"/>
  <c r="G96" i="91"/>
  <c r="F96" i="91"/>
  <c r="E96" i="91"/>
  <c r="D96" i="91"/>
  <c r="C96" i="91"/>
  <c r="Q95" i="91"/>
  <c r="P95" i="91"/>
  <c r="O95" i="91"/>
  <c r="M95" i="91"/>
  <c r="L95" i="91"/>
  <c r="K95" i="91"/>
  <c r="J95" i="91"/>
  <c r="I95" i="91"/>
  <c r="H95" i="91"/>
  <c r="G95" i="91"/>
  <c r="F95" i="91"/>
  <c r="E95" i="91"/>
  <c r="D95" i="91"/>
  <c r="C95" i="91"/>
  <c r="Q94" i="91"/>
  <c r="P94" i="91"/>
  <c r="O94" i="91"/>
  <c r="M94" i="91"/>
  <c r="L94" i="91"/>
  <c r="K94" i="91"/>
  <c r="J94" i="91"/>
  <c r="I94" i="91"/>
  <c r="H94" i="91"/>
  <c r="G94" i="91"/>
  <c r="F94" i="91"/>
  <c r="E94" i="91"/>
  <c r="D94" i="91"/>
  <c r="C94" i="91"/>
  <c r="Q93" i="91"/>
  <c r="P93" i="91"/>
  <c r="O93" i="91"/>
  <c r="M93" i="91"/>
  <c r="L93" i="91"/>
  <c r="K93" i="91"/>
  <c r="J93" i="91"/>
  <c r="I93" i="91"/>
  <c r="H93" i="91"/>
  <c r="G93" i="91"/>
  <c r="F93" i="91"/>
  <c r="E93" i="91"/>
  <c r="D93" i="91"/>
  <c r="C93" i="91"/>
  <c r="Q92" i="91"/>
  <c r="P92" i="91"/>
  <c r="O92" i="91"/>
  <c r="M92" i="91"/>
  <c r="L92" i="91"/>
  <c r="K92" i="91"/>
  <c r="J92" i="91"/>
  <c r="I92" i="91"/>
  <c r="H92" i="91"/>
  <c r="G92" i="91"/>
  <c r="F92" i="91"/>
  <c r="E92" i="91"/>
  <c r="D92" i="91"/>
  <c r="C92" i="91"/>
  <c r="Q91" i="91"/>
  <c r="P91" i="91"/>
  <c r="O91" i="91"/>
  <c r="M91" i="91"/>
  <c r="L91" i="91"/>
  <c r="K91" i="91"/>
  <c r="J91" i="91"/>
  <c r="I91" i="91"/>
  <c r="H91" i="91"/>
  <c r="G91" i="91"/>
  <c r="F91" i="91"/>
  <c r="E91" i="91"/>
  <c r="D91" i="91"/>
  <c r="C91" i="91"/>
  <c r="Q90" i="91"/>
  <c r="P90" i="91"/>
  <c r="O90" i="91"/>
  <c r="M90" i="91"/>
  <c r="L90" i="91"/>
  <c r="K90" i="91"/>
  <c r="J90" i="91"/>
  <c r="I90" i="91"/>
  <c r="H90" i="91"/>
  <c r="G90" i="91"/>
  <c r="F90" i="91"/>
  <c r="E90" i="91"/>
  <c r="D90" i="91"/>
  <c r="C90" i="91"/>
  <c r="Q89" i="91"/>
  <c r="P89" i="91"/>
  <c r="O89" i="91"/>
  <c r="M89" i="91"/>
  <c r="L89" i="91"/>
  <c r="K89" i="91"/>
  <c r="J89" i="91"/>
  <c r="I89" i="91"/>
  <c r="H89" i="91"/>
  <c r="G89" i="91"/>
  <c r="F89" i="91"/>
  <c r="E89" i="91"/>
  <c r="D89" i="91"/>
  <c r="C89" i="91"/>
  <c r="Q88" i="91"/>
  <c r="P88" i="91"/>
  <c r="O88" i="91"/>
  <c r="M88" i="91"/>
  <c r="L88" i="91"/>
  <c r="K88" i="91"/>
  <c r="J88" i="91"/>
  <c r="I88" i="91"/>
  <c r="H88" i="91"/>
  <c r="G88" i="91"/>
  <c r="F88" i="91"/>
  <c r="E88" i="91"/>
  <c r="D88" i="91"/>
  <c r="C88" i="91"/>
  <c r="Q87" i="91"/>
  <c r="P87" i="91"/>
  <c r="O87" i="91"/>
  <c r="M87" i="91"/>
  <c r="L87" i="91"/>
  <c r="K87" i="91"/>
  <c r="J87" i="91"/>
  <c r="I87" i="91"/>
  <c r="H87" i="91"/>
  <c r="G87" i="91"/>
  <c r="F87" i="91"/>
  <c r="E87" i="91"/>
  <c r="D87" i="91"/>
  <c r="C87" i="91"/>
  <c r="Q86" i="91"/>
  <c r="P86" i="91"/>
  <c r="O86" i="91"/>
  <c r="M86" i="91"/>
  <c r="L86" i="91"/>
  <c r="K86" i="91"/>
  <c r="J86" i="91"/>
  <c r="I86" i="91"/>
  <c r="H86" i="91"/>
  <c r="G86" i="91"/>
  <c r="F86" i="91"/>
  <c r="E86" i="91"/>
  <c r="D86" i="91"/>
  <c r="C86" i="91"/>
  <c r="Q85" i="91"/>
  <c r="P85" i="91"/>
  <c r="O85" i="91"/>
  <c r="M85" i="91"/>
  <c r="L85" i="91"/>
  <c r="K85" i="91"/>
  <c r="J85" i="91"/>
  <c r="I85" i="91"/>
  <c r="H85" i="91"/>
  <c r="G85" i="91"/>
  <c r="F85" i="91"/>
  <c r="E85" i="91"/>
  <c r="D85" i="91"/>
  <c r="C85" i="91"/>
  <c r="Q84" i="91"/>
  <c r="P84" i="91"/>
  <c r="O84" i="91"/>
  <c r="M84" i="91"/>
  <c r="L84" i="91"/>
  <c r="K84" i="91"/>
  <c r="J84" i="91"/>
  <c r="I84" i="91"/>
  <c r="H84" i="91"/>
  <c r="G84" i="91"/>
  <c r="F84" i="91"/>
  <c r="E84" i="91"/>
  <c r="D84" i="91"/>
  <c r="C84" i="91"/>
  <c r="Q83" i="91"/>
  <c r="P83" i="91"/>
  <c r="O83" i="91"/>
  <c r="M83" i="91"/>
  <c r="L83" i="91"/>
  <c r="K83" i="91"/>
  <c r="J83" i="91"/>
  <c r="I83" i="91"/>
  <c r="H83" i="91"/>
  <c r="G83" i="91"/>
  <c r="F83" i="91"/>
  <c r="E83" i="91"/>
  <c r="D83" i="91"/>
  <c r="C83" i="91"/>
  <c r="Q82" i="91"/>
  <c r="P82" i="91"/>
  <c r="O82" i="91"/>
  <c r="M82" i="91"/>
  <c r="L82" i="91"/>
  <c r="K82" i="91"/>
  <c r="J82" i="91"/>
  <c r="I82" i="91"/>
  <c r="H82" i="91"/>
  <c r="G82" i="91"/>
  <c r="F82" i="91"/>
  <c r="E82" i="91"/>
  <c r="D82" i="91"/>
  <c r="C82" i="91"/>
  <c r="Q81" i="91"/>
  <c r="P81" i="91"/>
  <c r="O81" i="91"/>
  <c r="M81" i="91"/>
  <c r="L81" i="91"/>
  <c r="K81" i="91"/>
  <c r="J81" i="91"/>
  <c r="I81" i="91"/>
  <c r="H81" i="91"/>
  <c r="G81" i="91"/>
  <c r="F81" i="91"/>
  <c r="E81" i="91"/>
  <c r="D81" i="91"/>
  <c r="C81" i="91"/>
  <c r="Q80" i="91"/>
  <c r="P80" i="91"/>
  <c r="O80" i="91"/>
  <c r="M80" i="91"/>
  <c r="L80" i="91"/>
  <c r="K80" i="91"/>
  <c r="J80" i="91"/>
  <c r="I80" i="91"/>
  <c r="H80" i="91"/>
  <c r="G80" i="91"/>
  <c r="F80" i="91"/>
  <c r="E80" i="91"/>
  <c r="D80" i="91"/>
  <c r="C80" i="91"/>
  <c r="Q79" i="91"/>
  <c r="P79" i="91"/>
  <c r="O79" i="91"/>
  <c r="M79" i="91"/>
  <c r="L79" i="91"/>
  <c r="K79" i="91"/>
  <c r="J79" i="91"/>
  <c r="I79" i="91"/>
  <c r="H79" i="91"/>
  <c r="G79" i="91"/>
  <c r="F79" i="91"/>
  <c r="E79" i="91"/>
  <c r="D79" i="91"/>
  <c r="C79" i="91"/>
  <c r="Q78" i="91"/>
  <c r="P78" i="91"/>
  <c r="O78" i="91"/>
  <c r="M78" i="91"/>
  <c r="L78" i="91"/>
  <c r="K78" i="91"/>
  <c r="J78" i="91"/>
  <c r="I78" i="91"/>
  <c r="H78" i="91"/>
  <c r="G78" i="91"/>
  <c r="F78" i="91"/>
  <c r="E78" i="91"/>
  <c r="D78" i="91"/>
  <c r="C78" i="91"/>
  <c r="Q77" i="91"/>
  <c r="P77" i="91"/>
  <c r="O77" i="91"/>
  <c r="M77" i="91"/>
  <c r="L77" i="91"/>
  <c r="K77" i="91"/>
  <c r="J77" i="91"/>
  <c r="I77" i="91"/>
  <c r="H77" i="91"/>
  <c r="G77" i="91"/>
  <c r="F77" i="91"/>
  <c r="E77" i="91"/>
  <c r="D77" i="91"/>
  <c r="C77" i="91"/>
  <c r="Q76" i="91"/>
  <c r="P76" i="91"/>
  <c r="O76" i="91"/>
  <c r="M76" i="91"/>
  <c r="L76" i="91"/>
  <c r="K76" i="91"/>
  <c r="J76" i="91"/>
  <c r="I76" i="91"/>
  <c r="H76" i="91"/>
  <c r="G76" i="91"/>
  <c r="F76" i="91"/>
  <c r="E76" i="91"/>
  <c r="D76" i="91"/>
  <c r="C76" i="91"/>
  <c r="Q75" i="91"/>
  <c r="P75" i="91"/>
  <c r="O75" i="91"/>
  <c r="M75" i="91"/>
  <c r="L75" i="91"/>
  <c r="K75" i="91"/>
  <c r="J75" i="91"/>
  <c r="I75" i="91"/>
  <c r="H75" i="91"/>
  <c r="G75" i="91"/>
  <c r="F75" i="91"/>
  <c r="E75" i="91"/>
  <c r="D75" i="91"/>
  <c r="C75" i="91"/>
  <c r="Q74" i="91"/>
  <c r="P74" i="91"/>
  <c r="O74" i="91"/>
  <c r="M74" i="91"/>
  <c r="L74" i="91"/>
  <c r="K74" i="91"/>
  <c r="J74" i="91"/>
  <c r="I74" i="91"/>
  <c r="H74" i="91"/>
  <c r="G74" i="91"/>
  <c r="F74" i="91"/>
  <c r="E74" i="91"/>
  <c r="D74" i="91"/>
  <c r="C74" i="91"/>
  <c r="Q73" i="91"/>
  <c r="P73" i="91"/>
  <c r="O73" i="91"/>
  <c r="M73" i="91"/>
  <c r="L73" i="91"/>
  <c r="K73" i="91"/>
  <c r="J73" i="91"/>
  <c r="I73" i="91"/>
  <c r="H73" i="91"/>
  <c r="G73" i="91"/>
  <c r="F73" i="91"/>
  <c r="E73" i="91"/>
  <c r="D73" i="91"/>
  <c r="C73" i="91"/>
  <c r="Q72" i="91"/>
  <c r="P72" i="91"/>
  <c r="O72" i="91"/>
  <c r="M72" i="91"/>
  <c r="L72" i="91"/>
  <c r="K72" i="91"/>
  <c r="J72" i="91"/>
  <c r="I72" i="91"/>
  <c r="H72" i="91"/>
  <c r="G72" i="91"/>
  <c r="F72" i="91"/>
  <c r="E72" i="91"/>
  <c r="D72" i="91"/>
  <c r="C72" i="91"/>
  <c r="Q71" i="91"/>
  <c r="P71" i="91"/>
  <c r="O71" i="91"/>
  <c r="M71" i="91"/>
  <c r="L71" i="91"/>
  <c r="K71" i="91"/>
  <c r="J71" i="91"/>
  <c r="I71" i="91"/>
  <c r="H71" i="91"/>
  <c r="G71" i="91"/>
  <c r="F71" i="91"/>
  <c r="E71" i="91"/>
  <c r="D71" i="91"/>
  <c r="C71" i="91"/>
  <c r="Q70" i="91"/>
  <c r="P70" i="91"/>
  <c r="O70" i="91"/>
  <c r="M70" i="91"/>
  <c r="L70" i="91"/>
  <c r="K70" i="91"/>
  <c r="J70" i="91"/>
  <c r="I70" i="91"/>
  <c r="H70" i="91"/>
  <c r="G70" i="91"/>
  <c r="F70" i="91"/>
  <c r="E70" i="91"/>
  <c r="D70" i="91"/>
  <c r="C70" i="91"/>
  <c r="Q69" i="91"/>
  <c r="P69" i="91"/>
  <c r="O69" i="91"/>
  <c r="M69" i="91"/>
  <c r="L69" i="91"/>
  <c r="K69" i="91"/>
  <c r="J69" i="91"/>
  <c r="I69" i="91"/>
  <c r="H69" i="91"/>
  <c r="G69" i="91"/>
  <c r="F69" i="91"/>
  <c r="E69" i="91"/>
  <c r="D69" i="91"/>
  <c r="C69" i="91"/>
  <c r="Q68" i="91"/>
  <c r="P68" i="91"/>
  <c r="O68" i="91"/>
  <c r="M68" i="91"/>
  <c r="L68" i="91"/>
  <c r="K68" i="91"/>
  <c r="J68" i="91"/>
  <c r="I68" i="91"/>
  <c r="H68" i="91"/>
  <c r="G68" i="91"/>
  <c r="F68" i="91"/>
  <c r="E68" i="91"/>
  <c r="D68" i="91"/>
  <c r="C68" i="91"/>
  <c r="Q67" i="91"/>
  <c r="P67" i="91"/>
  <c r="O67" i="91"/>
  <c r="M67" i="91"/>
  <c r="L67" i="91"/>
  <c r="K67" i="91"/>
  <c r="J67" i="91"/>
  <c r="I67" i="91"/>
  <c r="H67" i="91"/>
  <c r="G67" i="91"/>
  <c r="F67" i="91"/>
  <c r="E67" i="91"/>
  <c r="D67" i="91"/>
  <c r="C67" i="91"/>
  <c r="Q66" i="91"/>
  <c r="P66" i="91"/>
  <c r="O66" i="91"/>
  <c r="M66" i="91"/>
  <c r="L66" i="91"/>
  <c r="K66" i="91"/>
  <c r="J66" i="91"/>
  <c r="I66" i="91"/>
  <c r="H66" i="91"/>
  <c r="G66" i="91"/>
  <c r="F66" i="91"/>
  <c r="E66" i="91"/>
  <c r="D66" i="91"/>
  <c r="C66" i="91"/>
  <c r="Q65" i="91"/>
  <c r="P65" i="91"/>
  <c r="O65" i="91"/>
  <c r="M65" i="91"/>
  <c r="L65" i="91"/>
  <c r="K65" i="91"/>
  <c r="J65" i="91"/>
  <c r="I65" i="91"/>
  <c r="H65" i="91"/>
  <c r="G65" i="91"/>
  <c r="F65" i="91"/>
  <c r="E65" i="91"/>
  <c r="D65" i="91"/>
  <c r="C65" i="91"/>
  <c r="Q64" i="91"/>
  <c r="P64" i="91"/>
  <c r="O64" i="91"/>
  <c r="M64" i="91"/>
  <c r="L64" i="91"/>
  <c r="K64" i="91"/>
  <c r="J64" i="91"/>
  <c r="I64" i="91"/>
  <c r="H64" i="91"/>
  <c r="G64" i="91"/>
  <c r="F64" i="91"/>
  <c r="E64" i="91"/>
  <c r="D64" i="91"/>
  <c r="C64" i="91"/>
  <c r="Q63" i="91"/>
  <c r="P63" i="91"/>
  <c r="O63" i="91"/>
  <c r="M63" i="91"/>
  <c r="L63" i="91"/>
  <c r="K63" i="91"/>
  <c r="J63" i="91"/>
  <c r="I63" i="91"/>
  <c r="H63" i="91"/>
  <c r="G63" i="91"/>
  <c r="F63" i="91"/>
  <c r="E63" i="91"/>
  <c r="D63" i="91"/>
  <c r="C63" i="91"/>
  <c r="Q62" i="91"/>
  <c r="P62" i="91"/>
  <c r="O62" i="91"/>
  <c r="M62" i="91"/>
  <c r="L62" i="91"/>
  <c r="K62" i="91"/>
  <c r="J62" i="91"/>
  <c r="I62" i="91"/>
  <c r="H62" i="91"/>
  <c r="G62" i="91"/>
  <c r="F62" i="91"/>
  <c r="E62" i="91"/>
  <c r="D62" i="91"/>
  <c r="C62" i="91"/>
  <c r="Q61" i="91"/>
  <c r="P61" i="91"/>
  <c r="O61" i="91"/>
  <c r="M61" i="91"/>
  <c r="L61" i="91"/>
  <c r="K61" i="91"/>
  <c r="J61" i="91"/>
  <c r="I61" i="91"/>
  <c r="H61" i="91"/>
  <c r="G61" i="91"/>
  <c r="F61" i="91"/>
  <c r="E61" i="91"/>
  <c r="D61" i="91"/>
  <c r="C61" i="91"/>
  <c r="Q60" i="91"/>
  <c r="P60" i="91"/>
  <c r="O60" i="91"/>
  <c r="M60" i="91"/>
  <c r="L60" i="91"/>
  <c r="K60" i="91"/>
  <c r="J60" i="91"/>
  <c r="I60" i="91"/>
  <c r="H60" i="91"/>
  <c r="G60" i="91"/>
  <c r="F60" i="91"/>
  <c r="E60" i="91"/>
  <c r="D60" i="91"/>
  <c r="C60" i="91"/>
  <c r="Q59" i="91"/>
  <c r="P59" i="91"/>
  <c r="O59" i="91"/>
  <c r="M59" i="91"/>
  <c r="L59" i="91"/>
  <c r="K59" i="91"/>
  <c r="J59" i="91"/>
  <c r="I59" i="91"/>
  <c r="H59" i="91"/>
  <c r="G59" i="91"/>
  <c r="F59" i="91"/>
  <c r="E59" i="91"/>
  <c r="D59" i="91"/>
  <c r="C59" i="91"/>
  <c r="Q58" i="91"/>
  <c r="P58" i="91"/>
  <c r="O58" i="91"/>
  <c r="M58" i="91"/>
  <c r="L58" i="91"/>
  <c r="K58" i="91"/>
  <c r="J58" i="91"/>
  <c r="I58" i="91"/>
  <c r="H58" i="91"/>
  <c r="G58" i="91"/>
  <c r="F58" i="91"/>
  <c r="E58" i="91"/>
  <c r="D58" i="91"/>
  <c r="C58" i="91"/>
  <c r="Q57" i="91"/>
  <c r="P57" i="91"/>
  <c r="O57" i="91"/>
  <c r="M57" i="91"/>
  <c r="L57" i="91"/>
  <c r="K57" i="91"/>
  <c r="J57" i="91"/>
  <c r="I57" i="91"/>
  <c r="H57" i="91"/>
  <c r="G57" i="91"/>
  <c r="F57" i="91"/>
  <c r="E57" i="91"/>
  <c r="D57" i="91"/>
  <c r="C57" i="91"/>
  <c r="Q56" i="91"/>
  <c r="P56" i="91"/>
  <c r="O56" i="91"/>
  <c r="M56" i="91"/>
  <c r="L56" i="91"/>
  <c r="K56" i="91"/>
  <c r="J56" i="91"/>
  <c r="I56" i="91"/>
  <c r="H56" i="91"/>
  <c r="G56" i="91"/>
  <c r="F56" i="91"/>
  <c r="E56" i="91"/>
  <c r="D56" i="91"/>
  <c r="C56" i="91"/>
  <c r="Q55" i="91"/>
  <c r="P55" i="91"/>
  <c r="O55" i="91"/>
  <c r="M55" i="91"/>
  <c r="L55" i="91"/>
  <c r="K55" i="91"/>
  <c r="J55" i="91"/>
  <c r="I55" i="91"/>
  <c r="H55" i="91"/>
  <c r="G55" i="91"/>
  <c r="F55" i="91"/>
  <c r="E55" i="91"/>
  <c r="D55" i="91"/>
  <c r="C55" i="91"/>
  <c r="Q54" i="91"/>
  <c r="P54" i="91"/>
  <c r="O54" i="91"/>
  <c r="M54" i="91"/>
  <c r="L54" i="91"/>
  <c r="K54" i="91"/>
  <c r="J54" i="91"/>
  <c r="I54" i="91"/>
  <c r="H54" i="91"/>
  <c r="G54" i="91"/>
  <c r="F54" i="91"/>
  <c r="E54" i="91"/>
  <c r="D54" i="91"/>
  <c r="C54" i="91"/>
  <c r="Q53" i="91"/>
  <c r="P53" i="91"/>
  <c r="O53" i="91"/>
  <c r="M53" i="91"/>
  <c r="L53" i="91"/>
  <c r="K53" i="91"/>
  <c r="J53" i="91"/>
  <c r="I53" i="91"/>
  <c r="H53" i="91"/>
  <c r="G53" i="91"/>
  <c r="F53" i="91"/>
  <c r="E53" i="91"/>
  <c r="D53" i="91"/>
  <c r="C53" i="91"/>
  <c r="Q52" i="91"/>
  <c r="P52" i="91"/>
  <c r="O52" i="91"/>
  <c r="M52" i="91"/>
  <c r="L52" i="91"/>
  <c r="K52" i="91"/>
  <c r="J52" i="91"/>
  <c r="I52" i="91"/>
  <c r="H52" i="91"/>
  <c r="G52" i="91"/>
  <c r="F52" i="91"/>
  <c r="E52" i="91"/>
  <c r="D52" i="91"/>
  <c r="C52" i="91"/>
  <c r="Q51" i="91"/>
  <c r="P51" i="91"/>
  <c r="O51" i="91"/>
  <c r="M51" i="91"/>
  <c r="L51" i="91"/>
  <c r="K51" i="91"/>
  <c r="J51" i="91"/>
  <c r="I51" i="91"/>
  <c r="H51" i="91"/>
  <c r="G51" i="91"/>
  <c r="F51" i="91"/>
  <c r="E51" i="91"/>
  <c r="D51" i="91"/>
  <c r="C51" i="91"/>
  <c r="Q50" i="91"/>
  <c r="P50" i="91"/>
  <c r="O50" i="91"/>
  <c r="M50" i="91"/>
  <c r="L50" i="91"/>
  <c r="K50" i="91"/>
  <c r="J50" i="91"/>
  <c r="I50" i="91"/>
  <c r="H50" i="91"/>
  <c r="G50" i="91"/>
  <c r="F50" i="91"/>
  <c r="E50" i="91"/>
  <c r="D50" i="91"/>
  <c r="C50" i="91"/>
  <c r="Q49" i="91"/>
  <c r="P49" i="91"/>
  <c r="O49" i="91"/>
  <c r="M49" i="91"/>
  <c r="L49" i="91"/>
  <c r="K49" i="91"/>
  <c r="J49" i="91"/>
  <c r="I49" i="91"/>
  <c r="H49" i="91"/>
  <c r="G49" i="91"/>
  <c r="F49" i="91"/>
  <c r="E49" i="91"/>
  <c r="D49" i="91"/>
  <c r="C49" i="91"/>
  <c r="Q48" i="91"/>
  <c r="P48" i="91"/>
  <c r="O48" i="91"/>
  <c r="M48" i="91"/>
  <c r="L48" i="91"/>
  <c r="K48" i="91"/>
  <c r="J48" i="91"/>
  <c r="I48" i="91"/>
  <c r="H48" i="91"/>
  <c r="G48" i="91"/>
  <c r="F48" i="91"/>
  <c r="E48" i="91"/>
  <c r="D48" i="91"/>
  <c r="C48" i="91"/>
  <c r="Q47" i="91"/>
  <c r="P47" i="91"/>
  <c r="O47" i="91"/>
  <c r="M47" i="91"/>
  <c r="L47" i="91"/>
  <c r="K47" i="91"/>
  <c r="J47" i="91"/>
  <c r="I47" i="91"/>
  <c r="H47" i="91"/>
  <c r="G47" i="91"/>
  <c r="F47" i="91"/>
  <c r="E47" i="91"/>
  <c r="D47" i="91"/>
  <c r="C47" i="91"/>
  <c r="Q46" i="91"/>
  <c r="P46" i="91"/>
  <c r="O46" i="91"/>
  <c r="M46" i="91"/>
  <c r="L46" i="91"/>
  <c r="K46" i="91"/>
  <c r="J46" i="91"/>
  <c r="I46" i="91"/>
  <c r="H46" i="91"/>
  <c r="G46" i="91"/>
  <c r="F46" i="91"/>
  <c r="E46" i="91"/>
  <c r="D46" i="91"/>
  <c r="C46" i="91"/>
  <c r="Q45" i="91"/>
  <c r="P45" i="91"/>
  <c r="O45" i="91"/>
  <c r="M45" i="91"/>
  <c r="L45" i="91"/>
  <c r="K45" i="91"/>
  <c r="J45" i="91"/>
  <c r="I45" i="91"/>
  <c r="H45" i="91"/>
  <c r="G45" i="91"/>
  <c r="F45" i="91"/>
  <c r="E45" i="91"/>
  <c r="D45" i="91"/>
  <c r="C45" i="91"/>
  <c r="Q44" i="91"/>
  <c r="P44" i="91"/>
  <c r="O44" i="91"/>
  <c r="M44" i="91"/>
  <c r="L44" i="91"/>
  <c r="K44" i="91"/>
  <c r="J44" i="91"/>
  <c r="I44" i="91"/>
  <c r="H44" i="91"/>
  <c r="G44" i="91"/>
  <c r="F44" i="91"/>
  <c r="E44" i="91"/>
  <c r="D44" i="91"/>
  <c r="C44" i="91"/>
  <c r="Q43" i="91"/>
  <c r="P43" i="91"/>
  <c r="O43" i="91"/>
  <c r="M43" i="91"/>
  <c r="L43" i="91"/>
  <c r="K43" i="91"/>
  <c r="J43" i="91"/>
  <c r="I43" i="91"/>
  <c r="H43" i="91"/>
  <c r="G43" i="91"/>
  <c r="F43" i="91"/>
  <c r="E43" i="91"/>
  <c r="D43" i="91"/>
  <c r="C43" i="91"/>
  <c r="Q42" i="91"/>
  <c r="P42" i="91"/>
  <c r="O42" i="91"/>
  <c r="M42" i="91"/>
  <c r="L42" i="91"/>
  <c r="K42" i="91"/>
  <c r="J42" i="91"/>
  <c r="I42" i="91"/>
  <c r="H42" i="91"/>
  <c r="G42" i="91"/>
  <c r="F42" i="91"/>
  <c r="E42" i="91"/>
  <c r="D42" i="91"/>
  <c r="C42" i="91"/>
  <c r="Q41" i="91"/>
  <c r="P41" i="91"/>
  <c r="O41" i="91"/>
  <c r="M41" i="91"/>
  <c r="L41" i="91"/>
  <c r="K41" i="91"/>
  <c r="J41" i="91"/>
  <c r="I41" i="91"/>
  <c r="H41" i="91"/>
  <c r="G41" i="91"/>
  <c r="F41" i="91"/>
  <c r="E41" i="91"/>
  <c r="D41" i="91"/>
  <c r="C41" i="91"/>
  <c r="Q40" i="91"/>
  <c r="P40" i="91"/>
  <c r="O40" i="91"/>
  <c r="M40" i="91"/>
  <c r="L40" i="91"/>
  <c r="K40" i="91"/>
  <c r="J40" i="91"/>
  <c r="I40" i="91"/>
  <c r="H40" i="91"/>
  <c r="G40" i="91"/>
  <c r="F40" i="91"/>
  <c r="E40" i="91"/>
  <c r="D40" i="91"/>
  <c r="C40" i="91"/>
  <c r="Q39" i="91"/>
  <c r="P39" i="91"/>
  <c r="O39" i="91"/>
  <c r="M39" i="91"/>
  <c r="L39" i="91"/>
  <c r="K39" i="91"/>
  <c r="J39" i="91"/>
  <c r="I39" i="91"/>
  <c r="H39" i="91"/>
  <c r="G39" i="91"/>
  <c r="F39" i="91"/>
  <c r="E39" i="91"/>
  <c r="D39" i="91"/>
  <c r="C39" i="91"/>
  <c r="Q38" i="91"/>
  <c r="P38" i="91"/>
  <c r="O38" i="91"/>
  <c r="M38" i="91"/>
  <c r="L38" i="91"/>
  <c r="K38" i="91"/>
  <c r="J38" i="91"/>
  <c r="I38" i="91"/>
  <c r="H38" i="91"/>
  <c r="G38" i="91"/>
  <c r="F38" i="91"/>
  <c r="E38" i="91"/>
  <c r="D38" i="91"/>
  <c r="C38" i="91"/>
  <c r="Q37" i="91"/>
  <c r="P37" i="91"/>
  <c r="O37" i="91"/>
  <c r="M37" i="91"/>
  <c r="L37" i="91"/>
  <c r="K37" i="91"/>
  <c r="J37" i="91"/>
  <c r="I37" i="91"/>
  <c r="H37" i="91"/>
  <c r="G37" i="91"/>
  <c r="F37" i="91"/>
  <c r="E37" i="91"/>
  <c r="D37" i="91"/>
  <c r="C37" i="91"/>
  <c r="Q36" i="91"/>
  <c r="P36" i="91"/>
  <c r="O36" i="91"/>
  <c r="M36" i="91"/>
  <c r="L36" i="91"/>
  <c r="K36" i="91"/>
  <c r="J36" i="91"/>
  <c r="I36" i="91"/>
  <c r="H36" i="91"/>
  <c r="G36" i="91"/>
  <c r="F36" i="91"/>
  <c r="E36" i="91"/>
  <c r="D36" i="91"/>
  <c r="C36" i="91"/>
  <c r="Q35" i="91"/>
  <c r="P35" i="91"/>
  <c r="O35" i="91"/>
  <c r="M35" i="91"/>
  <c r="L35" i="91"/>
  <c r="K35" i="91"/>
  <c r="J35" i="91"/>
  <c r="I35" i="91"/>
  <c r="H35" i="91"/>
  <c r="G35" i="91"/>
  <c r="F35" i="91"/>
  <c r="E35" i="91"/>
  <c r="D35" i="91"/>
  <c r="C35" i="91"/>
  <c r="Q34" i="91"/>
  <c r="P34" i="91"/>
  <c r="O34" i="91"/>
  <c r="M34" i="91"/>
  <c r="L34" i="91"/>
  <c r="K34" i="91"/>
  <c r="J34" i="91"/>
  <c r="I34" i="91"/>
  <c r="H34" i="91"/>
  <c r="G34" i="91"/>
  <c r="F34" i="91"/>
  <c r="E34" i="91"/>
  <c r="D34" i="91"/>
  <c r="C34" i="91"/>
  <c r="Q33" i="91"/>
  <c r="P33" i="91"/>
  <c r="O33" i="91"/>
  <c r="M33" i="91"/>
  <c r="L33" i="91"/>
  <c r="K33" i="91"/>
  <c r="J33" i="91"/>
  <c r="I33" i="91"/>
  <c r="H33" i="91"/>
  <c r="G33" i="91"/>
  <c r="F33" i="91"/>
  <c r="E33" i="91"/>
  <c r="D33" i="91"/>
  <c r="C33" i="91"/>
  <c r="Q32" i="91"/>
  <c r="P32" i="91"/>
  <c r="O32" i="91"/>
  <c r="M32" i="91"/>
  <c r="L32" i="91"/>
  <c r="K32" i="91"/>
  <c r="J32" i="91"/>
  <c r="I32" i="91"/>
  <c r="H32" i="91"/>
  <c r="G32" i="91"/>
  <c r="F32" i="91"/>
  <c r="E32" i="91"/>
  <c r="D32" i="91"/>
  <c r="C32" i="91"/>
  <c r="Q31" i="91"/>
  <c r="P31" i="91"/>
  <c r="O31" i="91"/>
  <c r="M31" i="91"/>
  <c r="L31" i="91"/>
  <c r="K31" i="91"/>
  <c r="J31" i="91"/>
  <c r="I31" i="91"/>
  <c r="H31" i="91"/>
  <c r="G31" i="91"/>
  <c r="F31" i="91"/>
  <c r="E31" i="91"/>
  <c r="D31" i="91"/>
  <c r="C31" i="91"/>
  <c r="Q30" i="91"/>
  <c r="P30" i="91"/>
  <c r="O30" i="91"/>
  <c r="M30" i="91"/>
  <c r="L30" i="91"/>
  <c r="K30" i="91"/>
  <c r="J30" i="91"/>
  <c r="I30" i="91"/>
  <c r="H30" i="91"/>
  <c r="G30" i="91"/>
  <c r="F30" i="91"/>
  <c r="E30" i="91"/>
  <c r="D30" i="91"/>
  <c r="C30" i="91"/>
  <c r="Q29" i="91"/>
  <c r="P29" i="91"/>
  <c r="O29" i="91"/>
  <c r="M29" i="91"/>
  <c r="L29" i="91"/>
  <c r="K29" i="91"/>
  <c r="J29" i="91"/>
  <c r="I29" i="91"/>
  <c r="H29" i="91"/>
  <c r="G29" i="91"/>
  <c r="F29" i="91"/>
  <c r="E29" i="91"/>
  <c r="D29" i="91"/>
  <c r="C29" i="91"/>
  <c r="Q28" i="91"/>
  <c r="P28" i="91"/>
  <c r="O28" i="91"/>
  <c r="M28" i="91"/>
  <c r="L28" i="91"/>
  <c r="K28" i="91"/>
  <c r="J28" i="91"/>
  <c r="I28" i="91"/>
  <c r="H28" i="91"/>
  <c r="G28" i="91"/>
  <c r="F28" i="91"/>
  <c r="E28" i="91"/>
  <c r="D28" i="91"/>
  <c r="C28" i="91"/>
  <c r="Q27" i="91"/>
  <c r="P27" i="91"/>
  <c r="O27" i="91"/>
  <c r="M27" i="91"/>
  <c r="L27" i="91"/>
  <c r="K27" i="91"/>
  <c r="J27" i="91"/>
  <c r="I27" i="91"/>
  <c r="H27" i="91"/>
  <c r="G27" i="91"/>
  <c r="F27" i="91"/>
  <c r="E27" i="91"/>
  <c r="D27" i="91"/>
  <c r="C27" i="91"/>
  <c r="Q26" i="91"/>
  <c r="P26" i="91"/>
  <c r="O26" i="91"/>
  <c r="M26" i="91"/>
  <c r="L26" i="91"/>
  <c r="K26" i="91"/>
  <c r="J26" i="91"/>
  <c r="I26" i="91"/>
  <c r="H26" i="91"/>
  <c r="G26" i="91"/>
  <c r="F26" i="91"/>
  <c r="E26" i="91"/>
  <c r="D26" i="91"/>
  <c r="C26" i="91"/>
  <c r="Q25" i="91"/>
  <c r="P25" i="91"/>
  <c r="O25" i="91"/>
  <c r="M25" i="91"/>
  <c r="L25" i="91"/>
  <c r="K25" i="91"/>
  <c r="J25" i="91"/>
  <c r="I25" i="91"/>
  <c r="H25" i="91"/>
  <c r="G25" i="91"/>
  <c r="F25" i="91"/>
  <c r="E25" i="91"/>
  <c r="D25" i="91"/>
  <c r="C25" i="91"/>
  <c r="Q24" i="91"/>
  <c r="P24" i="91"/>
  <c r="O24" i="91"/>
  <c r="M24" i="91"/>
  <c r="L24" i="91"/>
  <c r="K24" i="91"/>
  <c r="J24" i="91"/>
  <c r="I24" i="91"/>
  <c r="H24" i="91"/>
  <c r="G24" i="91"/>
  <c r="F24" i="91"/>
  <c r="E24" i="91"/>
  <c r="D24" i="91"/>
  <c r="C24" i="91"/>
  <c r="Q23" i="91"/>
  <c r="P23" i="91"/>
  <c r="O23" i="91"/>
  <c r="M23" i="91"/>
  <c r="L23" i="91"/>
  <c r="K23" i="91"/>
  <c r="J23" i="91"/>
  <c r="I23" i="91"/>
  <c r="H23" i="91"/>
  <c r="G23" i="91"/>
  <c r="F23" i="91"/>
  <c r="E23" i="91"/>
  <c r="D23" i="91"/>
  <c r="C23" i="91"/>
  <c r="Q22" i="91"/>
  <c r="P22" i="91"/>
  <c r="O22" i="91"/>
  <c r="M22" i="91"/>
  <c r="L22" i="91"/>
  <c r="K22" i="91"/>
  <c r="J22" i="91"/>
  <c r="I22" i="91"/>
  <c r="H22" i="91"/>
  <c r="G22" i="91"/>
  <c r="F22" i="91"/>
  <c r="E22" i="91"/>
  <c r="D22" i="91"/>
  <c r="C22" i="91"/>
  <c r="Q21" i="91"/>
  <c r="P21" i="91"/>
  <c r="O21" i="91"/>
  <c r="M21" i="91"/>
  <c r="L21" i="91"/>
  <c r="K21" i="91"/>
  <c r="J21" i="91"/>
  <c r="I21" i="91"/>
  <c r="H21" i="91"/>
  <c r="G21" i="91"/>
  <c r="F21" i="91"/>
  <c r="E21" i="91"/>
  <c r="D21" i="91"/>
  <c r="C21" i="91"/>
  <c r="Q20" i="91"/>
  <c r="P20" i="91"/>
  <c r="O20" i="91"/>
  <c r="M20" i="91"/>
  <c r="L20" i="91"/>
  <c r="K20" i="91"/>
  <c r="J20" i="91"/>
  <c r="I20" i="91"/>
  <c r="H20" i="91"/>
  <c r="G20" i="91"/>
  <c r="F20" i="91"/>
  <c r="E20" i="91"/>
  <c r="D20" i="91"/>
  <c r="C20" i="91"/>
  <c r="Q19" i="91"/>
  <c r="P19" i="91"/>
  <c r="O19" i="91"/>
  <c r="M19" i="91"/>
  <c r="L19" i="91"/>
  <c r="K19" i="91"/>
  <c r="J19" i="91"/>
  <c r="I19" i="91"/>
  <c r="H19" i="91"/>
  <c r="G19" i="91"/>
  <c r="F19" i="91"/>
  <c r="E19" i="91"/>
  <c r="D19" i="91"/>
  <c r="C19" i="91"/>
  <c r="Q18" i="91"/>
  <c r="P18" i="91"/>
  <c r="O18" i="91"/>
  <c r="M18" i="91"/>
  <c r="L18" i="91"/>
  <c r="K18" i="91"/>
  <c r="J18" i="91"/>
  <c r="I18" i="91"/>
  <c r="H18" i="91"/>
  <c r="G18" i="91"/>
  <c r="F18" i="91"/>
  <c r="E18" i="91"/>
  <c r="D18" i="91"/>
  <c r="C18" i="91"/>
  <c r="Q17" i="91"/>
  <c r="P17" i="91"/>
  <c r="O17" i="91"/>
  <c r="M17" i="91"/>
  <c r="L17" i="91"/>
  <c r="K17" i="91"/>
  <c r="J17" i="91"/>
  <c r="I17" i="91"/>
  <c r="H17" i="91"/>
  <c r="G17" i="91"/>
  <c r="F17" i="91"/>
  <c r="E17" i="91"/>
  <c r="D17" i="91"/>
  <c r="C17" i="91"/>
  <c r="Q16" i="91"/>
  <c r="P16" i="91"/>
  <c r="O16" i="91"/>
  <c r="M16" i="91"/>
  <c r="L16" i="91"/>
  <c r="K16" i="91"/>
  <c r="J16" i="91"/>
  <c r="I16" i="91"/>
  <c r="H16" i="91"/>
  <c r="G16" i="91"/>
  <c r="F16" i="91"/>
  <c r="E16" i="91"/>
  <c r="D16" i="91"/>
  <c r="C16" i="91"/>
  <c r="Q15" i="91"/>
  <c r="P15" i="91"/>
  <c r="O15" i="91"/>
  <c r="M15" i="91"/>
  <c r="L15" i="91"/>
  <c r="K15" i="91"/>
  <c r="J15" i="91"/>
  <c r="I15" i="91"/>
  <c r="H15" i="91"/>
  <c r="G15" i="91"/>
  <c r="F15" i="91"/>
  <c r="E15" i="91"/>
  <c r="D15" i="91"/>
  <c r="C15" i="91"/>
  <c r="Q14" i="91"/>
  <c r="P14" i="91"/>
  <c r="O14" i="91"/>
  <c r="M14" i="91"/>
  <c r="L14" i="91"/>
  <c r="K14" i="91"/>
  <c r="J14" i="91"/>
  <c r="I14" i="91"/>
  <c r="H14" i="91"/>
  <c r="G14" i="91"/>
  <c r="F14" i="91"/>
  <c r="E14" i="91"/>
  <c r="D14" i="91"/>
  <c r="C14" i="91"/>
  <c r="Q13" i="91"/>
  <c r="P13" i="91"/>
  <c r="O13" i="91"/>
  <c r="M13" i="91"/>
  <c r="L13" i="91"/>
  <c r="K13" i="91"/>
  <c r="J13" i="91"/>
  <c r="I13" i="91"/>
  <c r="H13" i="91"/>
  <c r="G13" i="91"/>
  <c r="F13" i="91"/>
  <c r="E13" i="91"/>
  <c r="D13" i="91"/>
  <c r="C13" i="91"/>
  <c r="Q12" i="91"/>
  <c r="P12" i="91"/>
  <c r="O12" i="91"/>
  <c r="M12" i="91"/>
  <c r="L12" i="91"/>
  <c r="K12" i="91"/>
  <c r="J12" i="91"/>
  <c r="I12" i="91"/>
  <c r="H12" i="91"/>
  <c r="G12" i="91"/>
  <c r="F12" i="91"/>
  <c r="E12" i="91"/>
  <c r="D12" i="91"/>
  <c r="C12" i="91"/>
  <c r="Q11" i="91"/>
  <c r="P11" i="91"/>
  <c r="O11" i="91"/>
  <c r="M11" i="91"/>
  <c r="L11" i="91"/>
  <c r="K11" i="91"/>
  <c r="J11" i="91"/>
  <c r="I11" i="91"/>
  <c r="H11" i="91"/>
  <c r="G11" i="91"/>
  <c r="F11" i="91"/>
  <c r="E11" i="91"/>
  <c r="D11" i="91"/>
  <c r="C11" i="91"/>
  <c r="Q10" i="91"/>
  <c r="P10" i="91"/>
  <c r="O10" i="91"/>
  <c r="M10" i="91"/>
  <c r="L10" i="91"/>
  <c r="K10" i="91"/>
  <c r="J10" i="91"/>
  <c r="I10" i="91"/>
  <c r="H10" i="91"/>
  <c r="G10" i="91"/>
  <c r="F10" i="91"/>
  <c r="E10" i="91"/>
  <c r="D10" i="91"/>
  <c r="C10" i="91"/>
  <c r="Q9" i="91"/>
  <c r="P9" i="91"/>
  <c r="O9" i="91"/>
  <c r="M9" i="91"/>
  <c r="L9" i="91"/>
  <c r="K9" i="91"/>
  <c r="J9" i="91"/>
  <c r="I9" i="91"/>
  <c r="H9" i="91"/>
  <c r="G9" i="91"/>
  <c r="F9" i="91"/>
  <c r="E9" i="91"/>
  <c r="D9" i="91"/>
  <c r="C9" i="91"/>
  <c r="Q8" i="91"/>
  <c r="P8" i="91"/>
  <c r="O8" i="91"/>
  <c r="M8" i="91"/>
  <c r="L8" i="91"/>
  <c r="K8" i="91"/>
  <c r="J8" i="91"/>
  <c r="I8" i="91"/>
  <c r="H8" i="91"/>
  <c r="G8" i="91"/>
  <c r="F8" i="91"/>
  <c r="E8" i="91"/>
  <c r="D8" i="91"/>
  <c r="C8" i="91"/>
  <c r="Q7" i="91"/>
  <c r="P7" i="91"/>
  <c r="O7" i="91"/>
  <c r="M7" i="91"/>
  <c r="L7" i="91"/>
  <c r="K7" i="91"/>
  <c r="J7" i="91"/>
  <c r="I7" i="91"/>
  <c r="H7" i="91"/>
  <c r="G7" i="91"/>
  <c r="F7" i="91"/>
  <c r="E7" i="91"/>
  <c r="D7" i="91"/>
  <c r="C7" i="91"/>
  <c r="Q6" i="91"/>
  <c r="P6" i="91"/>
  <c r="O6" i="91"/>
  <c r="M6" i="91"/>
  <c r="L6" i="91"/>
  <c r="K6" i="91"/>
  <c r="J6" i="91"/>
  <c r="I6" i="91"/>
  <c r="H6" i="91"/>
  <c r="G6" i="91"/>
  <c r="F6" i="91"/>
  <c r="E6" i="91"/>
  <c r="D6" i="91"/>
  <c r="C6" i="91"/>
  <c r="Q5" i="91"/>
  <c r="P5" i="91"/>
  <c r="O5" i="91"/>
  <c r="M5" i="91"/>
  <c r="L5" i="91"/>
  <c r="K5" i="91"/>
  <c r="J5" i="91"/>
  <c r="I5" i="91"/>
  <c r="H5" i="91"/>
  <c r="G5" i="91"/>
  <c r="F5" i="91"/>
  <c r="E5" i="91"/>
  <c r="D5" i="91"/>
  <c r="C5" i="91"/>
  <c r="Q4" i="91"/>
  <c r="P4" i="91"/>
  <c r="O4" i="91"/>
  <c r="M4" i="91"/>
  <c r="L4" i="91"/>
  <c r="K4" i="91"/>
  <c r="J4" i="91"/>
  <c r="I4" i="91"/>
  <c r="H4" i="91"/>
  <c r="G4" i="91"/>
  <c r="F4" i="91"/>
  <c r="E4" i="91"/>
  <c r="D4" i="91"/>
  <c r="C4" i="91"/>
  <c r="S11" i="86"/>
  <c r="D13" i="88" l="1"/>
  <c r="D14" i="88"/>
  <c r="D15" i="88"/>
  <c r="D16" i="88"/>
  <c r="D17" i="88"/>
  <c r="D18" i="88"/>
  <c r="D19" i="88"/>
  <c r="D20" i="88"/>
  <c r="D21" i="88"/>
  <c r="D22" i="88"/>
  <c r="D23" i="88"/>
  <c r="D24" i="88"/>
  <c r="D25" i="88"/>
  <c r="D26" i="88"/>
  <c r="D27" i="88"/>
  <c r="D28" i="88"/>
  <c r="D29" i="88"/>
  <c r="D12" i="88"/>
  <c r="I16" i="88" l="1"/>
  <c r="I20" i="88" s="1"/>
  <c r="I24" i="88" s="1"/>
  <c r="I28" i="88" s="1"/>
  <c r="I17" i="88"/>
  <c r="I21" i="88" s="1"/>
  <c r="I25" i="88" s="1"/>
  <c r="I29" i="88" s="1"/>
  <c r="I18" i="88"/>
  <c r="I22" i="88" s="1"/>
  <c r="I26" i="88" s="1"/>
  <c r="I15" i="88"/>
  <c r="I19" i="88" s="1"/>
  <c r="I23" i="88" s="1"/>
  <c r="I27" i="88" s="1"/>
  <c r="J11" i="88"/>
  <c r="J12" i="88"/>
  <c r="J13" i="88"/>
  <c r="J14" i="88"/>
  <c r="J10" i="88"/>
  <c r="S10" i="88"/>
  <c r="D3" i="96"/>
  <c r="AD116" i="90"/>
  <c r="AD115" i="90"/>
  <c r="AD114" i="90"/>
  <c r="AD100" i="90"/>
  <c r="AD99" i="90"/>
  <c r="AD98" i="90"/>
  <c r="AD84" i="90"/>
  <c r="AD83" i="90"/>
  <c r="AD82" i="90"/>
  <c r="AD68" i="90"/>
  <c r="AD67" i="90"/>
  <c r="AD66" i="90"/>
  <c r="AD52" i="90"/>
  <c r="AD51" i="90"/>
  <c r="AD50" i="90"/>
  <c r="AD36" i="90"/>
  <c r="AD35" i="90"/>
  <c r="AD34" i="90"/>
  <c r="AD18" i="90"/>
  <c r="AD19" i="90"/>
  <c r="AD20" i="90"/>
  <c r="J19" i="88" l="1"/>
  <c r="J18" i="88"/>
  <c r="J25" i="88"/>
  <c r="J17" i="88"/>
  <c r="J24" i="88"/>
  <c r="J16" i="88"/>
  <c r="J23" i="88"/>
  <c r="J15" i="88"/>
  <c r="J22" i="88"/>
  <c r="J29" i="88"/>
  <c r="J28" i="88"/>
  <c r="J20" i="88"/>
  <c r="J26" i="88"/>
  <c r="J21" i="88"/>
  <c r="J27" i="88"/>
  <c r="C27" i="90"/>
  <c r="C26" i="90"/>
  <c r="E20" i="88" l="1"/>
  <c r="E21" i="88"/>
  <c r="E22" i="88"/>
  <c r="E23" i="88"/>
  <c r="E24" i="88"/>
  <c r="E25" i="88"/>
  <c r="E26" i="88"/>
  <c r="E27" i="88"/>
  <c r="E28" i="88"/>
  <c r="E29" i="88"/>
  <c r="E19" i="88"/>
  <c r="G19" i="88"/>
  <c r="G20" i="88"/>
  <c r="G21" i="88"/>
  <c r="G22" i="88"/>
  <c r="G23" i="88"/>
  <c r="G24" i="88"/>
  <c r="G25" i="88"/>
  <c r="G26" i="88"/>
  <c r="G27" i="88"/>
  <c r="G28" i="88"/>
  <c r="G29" i="88"/>
  <c r="O11" i="88"/>
  <c r="O12" i="88" s="1"/>
  <c r="O13" i="88" s="1"/>
  <c r="O14" i="88" s="1"/>
  <c r="O15" i="88" s="1"/>
  <c r="O16" i="88" s="1"/>
  <c r="M8" i="90"/>
  <c r="M9" i="90" s="1"/>
  <c r="M10" i="90" s="1"/>
  <c r="M11" i="90" s="1"/>
  <c r="M12" i="90" s="1"/>
  <c r="M13" i="90" s="1"/>
  <c r="L8" i="90"/>
  <c r="L9" i="90" s="1"/>
  <c r="L10" i="90" s="1"/>
  <c r="L11" i="90" s="1"/>
  <c r="L12" i="90" s="1"/>
  <c r="L13" i="90" s="1"/>
  <c r="U9" i="90"/>
  <c r="AE6" i="89"/>
  <c r="AE7" i="89"/>
  <c r="AE8" i="89"/>
  <c r="AE5" i="89"/>
  <c r="O8" i="88" l="1"/>
  <c r="AT19" i="86" l="1"/>
  <c r="AS19" i="86"/>
  <c r="AR19" i="86"/>
  <c r="AQ19" i="86"/>
  <c r="AP19" i="86"/>
  <c r="AT18" i="86"/>
  <c r="AS18" i="86"/>
  <c r="AR18" i="86"/>
  <c r="AQ18" i="86"/>
  <c r="AP18" i="86"/>
  <c r="AT17" i="86"/>
  <c r="AS17" i="86"/>
  <c r="AR17" i="86"/>
  <c r="AQ17" i="86"/>
  <c r="AP17" i="86"/>
  <c r="AT16" i="86"/>
  <c r="AS16" i="86"/>
  <c r="AR16" i="86"/>
  <c r="AQ16" i="86"/>
  <c r="AP16" i="86"/>
  <c r="AT12" i="86"/>
  <c r="AS12" i="86"/>
  <c r="AR12" i="86"/>
  <c r="AQ12" i="86"/>
  <c r="AP12" i="86"/>
  <c r="AQ9" i="86"/>
  <c r="AR9" i="86"/>
  <c r="AS9" i="86"/>
  <c r="AT9" i="86"/>
  <c r="AP9" i="86"/>
  <c r="AT21" i="86" l="1"/>
  <c r="AS21" i="86"/>
  <c r="AR21" i="86"/>
  <c r="AQ21" i="86"/>
  <c r="AP21" i="86"/>
  <c r="AW9" i="86"/>
  <c r="AX9" i="86"/>
  <c r="AY9" i="86"/>
  <c r="AZ9" i="86"/>
  <c r="BA9" i="86"/>
  <c r="AW10" i="86"/>
  <c r="AX10" i="86"/>
  <c r="AY10" i="86"/>
  <c r="AZ10" i="86"/>
  <c r="BA10" i="86"/>
  <c r="AW11" i="86"/>
  <c r="AX11" i="86"/>
  <c r="AY11" i="86"/>
  <c r="AZ11" i="86"/>
  <c r="BA11" i="86"/>
  <c r="AW12" i="86"/>
  <c r="AX12" i="86"/>
  <c r="AY12" i="86"/>
  <c r="AZ12" i="86"/>
  <c r="BA12" i="86"/>
  <c r="AW13" i="86"/>
  <c r="AX13" i="86"/>
  <c r="AY13" i="86"/>
  <c r="AZ13" i="86"/>
  <c r="BA13" i="86"/>
  <c r="AW14" i="86"/>
  <c r="AX14" i="86"/>
  <c r="AY14" i="86"/>
  <c r="AZ14" i="86"/>
  <c r="BA14" i="86"/>
  <c r="AW15" i="86"/>
  <c r="AX15" i="86"/>
  <c r="AY15" i="86"/>
  <c r="AZ15" i="86"/>
  <c r="BA15" i="86"/>
  <c r="AW16" i="86"/>
  <c r="AX16" i="86"/>
  <c r="AY16" i="86"/>
  <c r="AZ16" i="86"/>
  <c r="BA16" i="86"/>
  <c r="AW17" i="86"/>
  <c r="AX17" i="86"/>
  <c r="AY17" i="86"/>
  <c r="AZ17" i="86"/>
  <c r="BA17" i="86"/>
  <c r="AW18" i="86"/>
  <c r="AX18" i="86"/>
  <c r="AY18" i="86"/>
  <c r="AZ18" i="86"/>
  <c r="BA18" i="86"/>
  <c r="AW19" i="86"/>
  <c r="AX19" i="86"/>
  <c r="AY19" i="86"/>
  <c r="AZ19" i="86"/>
  <c r="BA19" i="86"/>
  <c r="AW20" i="86"/>
  <c r="AX20" i="86"/>
  <c r="AY20" i="86"/>
  <c r="AZ20" i="86"/>
  <c r="BA20" i="86"/>
  <c r="AW21" i="86"/>
  <c r="AX21" i="86"/>
  <c r="AY21" i="86"/>
  <c r="AZ21" i="86"/>
  <c r="BA21" i="86"/>
  <c r="AW22" i="86"/>
  <c r="AX22" i="86"/>
  <c r="AY22" i="86"/>
  <c r="AZ22" i="86"/>
  <c r="BA22" i="86"/>
  <c r="AW23" i="86"/>
  <c r="AX23" i="86"/>
  <c r="AY23" i="86"/>
  <c r="AZ23" i="86"/>
  <c r="BA23" i="86"/>
  <c r="AW24" i="86"/>
  <c r="AX24" i="86"/>
  <c r="AY24" i="86"/>
  <c r="AZ24" i="86"/>
  <c r="BA24" i="86"/>
  <c r="AW25" i="86"/>
  <c r="AX25" i="86"/>
  <c r="AY25" i="86"/>
  <c r="AZ25" i="86"/>
  <c r="BA25" i="86"/>
  <c r="AW26" i="86"/>
  <c r="AX26" i="86"/>
  <c r="AY26" i="86"/>
  <c r="AZ26" i="86"/>
  <c r="BA26" i="86"/>
  <c r="AW27" i="86"/>
  <c r="AX27" i="86"/>
  <c r="AY27" i="86"/>
  <c r="AZ27" i="86"/>
  <c r="BA27" i="86"/>
  <c r="AW28" i="86"/>
  <c r="AX28" i="86"/>
  <c r="AY28" i="86"/>
  <c r="AZ28" i="86"/>
  <c r="BA28" i="86"/>
  <c r="AW29" i="86"/>
  <c r="AX29" i="86"/>
  <c r="AY29" i="86"/>
  <c r="AZ29" i="86"/>
  <c r="BA29" i="86"/>
  <c r="AW30" i="86"/>
  <c r="AX30" i="86"/>
  <c r="AY30" i="86"/>
  <c r="AZ30" i="86"/>
  <c r="BA30" i="86"/>
  <c r="AW31" i="86"/>
  <c r="AX31" i="86"/>
  <c r="AY31" i="86"/>
  <c r="AZ31" i="86"/>
  <c r="BA31" i="86"/>
  <c r="AW32" i="86"/>
  <c r="AX32" i="86"/>
  <c r="AY32" i="86"/>
  <c r="AZ32" i="86"/>
  <c r="BA32" i="86"/>
  <c r="AW33" i="86"/>
  <c r="AX33" i="86"/>
  <c r="AY33" i="86"/>
  <c r="AZ33" i="86"/>
  <c r="BA33" i="86"/>
  <c r="AW34" i="86"/>
  <c r="AX34" i="86"/>
  <c r="AY34" i="86"/>
  <c r="AZ34" i="86"/>
  <c r="BA34" i="86"/>
  <c r="AW35" i="86"/>
  <c r="AX35" i="86"/>
  <c r="AY35" i="86"/>
  <c r="AZ35" i="86"/>
  <c r="BA35" i="86"/>
  <c r="AW36" i="86"/>
  <c r="AX36" i="86"/>
  <c r="AY36" i="86"/>
  <c r="AZ36" i="86"/>
  <c r="BA36" i="86"/>
  <c r="AW37" i="86"/>
  <c r="AX37" i="86"/>
  <c r="AY37" i="86"/>
  <c r="AZ37" i="86"/>
  <c r="BA37" i="86"/>
  <c r="AW38" i="86"/>
  <c r="AX38" i="86"/>
  <c r="AY38" i="86"/>
  <c r="AZ38" i="86"/>
  <c r="BA38" i="86"/>
  <c r="AW39" i="86"/>
  <c r="AX39" i="86"/>
  <c r="AY39" i="86"/>
  <c r="AZ39" i="86"/>
  <c r="BA39" i="86"/>
  <c r="AW40" i="86"/>
  <c r="AX40" i="86"/>
  <c r="AY40" i="86"/>
  <c r="AZ40" i="86"/>
  <c r="BA40" i="86"/>
  <c r="AW41" i="86"/>
  <c r="AX41" i="86"/>
  <c r="AY41" i="86"/>
  <c r="AZ41" i="86"/>
  <c r="BA41" i="86"/>
  <c r="AW42" i="86"/>
  <c r="AX42" i="86"/>
  <c r="AY42" i="86"/>
  <c r="AZ42" i="86"/>
  <c r="BA42" i="86"/>
  <c r="AW43" i="86"/>
  <c r="AX43" i="86"/>
  <c r="AY43" i="86"/>
  <c r="AZ43" i="86"/>
  <c r="BA43" i="86"/>
  <c r="AW44" i="86"/>
  <c r="AX44" i="86"/>
  <c r="AY44" i="86"/>
  <c r="AZ44" i="86"/>
  <c r="BA44" i="86"/>
  <c r="AW45" i="86"/>
  <c r="AX45" i="86"/>
  <c r="AY45" i="86"/>
  <c r="AZ45" i="86"/>
  <c r="BA45" i="86"/>
  <c r="AW46" i="86"/>
  <c r="AX46" i="86"/>
  <c r="AY46" i="86"/>
  <c r="AZ46" i="86"/>
  <c r="BA46" i="86"/>
  <c r="AW47" i="86"/>
  <c r="AX47" i="86"/>
  <c r="AY47" i="86"/>
  <c r="AZ47" i="86"/>
  <c r="BA47" i="86"/>
  <c r="AW48" i="86"/>
  <c r="AX48" i="86"/>
  <c r="AY48" i="86"/>
  <c r="AZ48" i="86"/>
  <c r="BA48" i="86"/>
  <c r="AW49" i="86"/>
  <c r="AX49" i="86"/>
  <c r="AY49" i="86"/>
  <c r="AZ49" i="86"/>
  <c r="BA49" i="86"/>
  <c r="AW50" i="86"/>
  <c r="AX50" i="86"/>
  <c r="AY50" i="86"/>
  <c r="AZ50" i="86"/>
  <c r="BA50" i="86"/>
  <c r="AW51" i="86"/>
  <c r="AX51" i="86"/>
  <c r="AY51" i="86"/>
  <c r="AZ51" i="86"/>
  <c r="BA51" i="86"/>
  <c r="AW52" i="86"/>
  <c r="AX52" i="86"/>
  <c r="AY52" i="86"/>
  <c r="AZ52" i="86"/>
  <c r="BA52" i="86"/>
  <c r="AW53" i="86"/>
  <c r="AX53" i="86"/>
  <c r="AY53" i="86"/>
  <c r="AZ53" i="86"/>
  <c r="BA53" i="86"/>
  <c r="AW54" i="86"/>
  <c r="AX54" i="86"/>
  <c r="AY54" i="86"/>
  <c r="AZ54" i="86"/>
  <c r="BA54" i="86"/>
  <c r="AW55" i="86"/>
  <c r="AX55" i="86"/>
  <c r="AY55" i="86"/>
  <c r="AZ55" i="86"/>
  <c r="BA55" i="86"/>
  <c r="AW56" i="86"/>
  <c r="AX56" i="86"/>
  <c r="AY56" i="86"/>
  <c r="AZ56" i="86"/>
  <c r="BA56" i="86"/>
  <c r="AW57" i="86"/>
  <c r="AX57" i="86"/>
  <c r="AY57" i="86"/>
  <c r="AZ57" i="86"/>
  <c r="BA57" i="86"/>
  <c r="AW58" i="86"/>
  <c r="AX58" i="86"/>
  <c r="AY58" i="86"/>
  <c r="AZ58" i="86"/>
  <c r="BA58" i="86"/>
  <c r="AW59" i="86"/>
  <c r="AX59" i="86"/>
  <c r="AY59" i="86"/>
  <c r="AZ59" i="86"/>
  <c r="BA59" i="86"/>
  <c r="AW60" i="86"/>
  <c r="AX60" i="86"/>
  <c r="AY60" i="86"/>
  <c r="AZ60" i="86"/>
  <c r="BA60" i="86"/>
  <c r="AW61" i="86"/>
  <c r="AX61" i="86"/>
  <c r="AY61" i="86"/>
  <c r="AZ61" i="86"/>
  <c r="BA61" i="86"/>
  <c r="AW62" i="86"/>
  <c r="AX62" i="86"/>
  <c r="AY62" i="86"/>
  <c r="AZ62" i="86"/>
  <c r="BA62" i="86"/>
  <c r="AW63" i="86"/>
  <c r="AX63" i="86"/>
  <c r="AY63" i="86"/>
  <c r="AZ63" i="86"/>
  <c r="BA63" i="86"/>
  <c r="AW64" i="86"/>
  <c r="AX64" i="86"/>
  <c r="AY64" i="86"/>
  <c r="AZ64" i="86"/>
  <c r="BA64" i="86"/>
  <c r="AW65" i="86"/>
  <c r="AX65" i="86"/>
  <c r="AY65" i="86"/>
  <c r="AZ65" i="86"/>
  <c r="BA65" i="86"/>
  <c r="AW66" i="86"/>
  <c r="AX66" i="86"/>
  <c r="AY66" i="86"/>
  <c r="AZ66" i="86"/>
  <c r="BA66" i="86"/>
  <c r="AW67" i="86"/>
  <c r="AX67" i="86"/>
  <c r="AY67" i="86"/>
  <c r="AZ67" i="86"/>
  <c r="BA67" i="86"/>
  <c r="AW68" i="86"/>
  <c r="AX68" i="86"/>
  <c r="AY68" i="86"/>
  <c r="AZ68" i="86"/>
  <c r="BA68" i="86"/>
  <c r="AW69" i="86"/>
  <c r="AX69" i="86"/>
  <c r="AY69" i="86"/>
  <c r="AZ69" i="86"/>
  <c r="BA69" i="86"/>
  <c r="AW70" i="86"/>
  <c r="AX70" i="86"/>
  <c r="AY70" i="86"/>
  <c r="AZ70" i="86"/>
  <c r="BA70" i="86"/>
  <c r="AW71" i="86"/>
  <c r="AX71" i="86"/>
  <c r="AY71" i="86"/>
  <c r="AZ71" i="86"/>
  <c r="BA71" i="86"/>
  <c r="AW72" i="86"/>
  <c r="AX72" i="86"/>
  <c r="AY72" i="86"/>
  <c r="AZ72" i="86"/>
  <c r="BA72" i="86"/>
  <c r="AW73" i="86"/>
  <c r="AX73" i="86"/>
  <c r="AY73" i="86"/>
  <c r="AZ73" i="86"/>
  <c r="BA73" i="86"/>
  <c r="AW74" i="86"/>
  <c r="AX74" i="86"/>
  <c r="AY74" i="86"/>
  <c r="AZ74" i="86"/>
  <c r="BA74" i="86"/>
  <c r="AW75" i="86"/>
  <c r="AX75" i="86"/>
  <c r="AY75" i="86"/>
  <c r="AZ75" i="86"/>
  <c r="BA75" i="86"/>
  <c r="AW76" i="86"/>
  <c r="AX76" i="86"/>
  <c r="AY76" i="86"/>
  <c r="AZ76" i="86"/>
  <c r="BA76" i="86"/>
  <c r="AW77" i="86"/>
  <c r="AX77" i="86"/>
  <c r="AY77" i="86"/>
  <c r="AZ77" i="86"/>
  <c r="BA77" i="86"/>
  <c r="AW78" i="86"/>
  <c r="AX78" i="86"/>
  <c r="AY78" i="86"/>
  <c r="AZ78" i="86"/>
  <c r="BA78" i="86"/>
  <c r="AW79" i="86"/>
  <c r="AX79" i="86"/>
  <c r="AY79" i="86"/>
  <c r="AZ79" i="86"/>
  <c r="BA79" i="86"/>
  <c r="AW80" i="86"/>
  <c r="AX80" i="86"/>
  <c r="AY80" i="86"/>
  <c r="AZ80" i="86"/>
  <c r="BA80" i="86"/>
  <c r="AW81" i="86"/>
  <c r="AX81" i="86"/>
  <c r="AY81" i="86"/>
  <c r="AZ81" i="86"/>
  <c r="BA81" i="86"/>
  <c r="AW82" i="86"/>
  <c r="AX82" i="86"/>
  <c r="AY82" i="86"/>
  <c r="AZ82" i="86"/>
  <c r="BA82" i="86"/>
  <c r="AW83" i="86"/>
  <c r="AX83" i="86"/>
  <c r="AY83" i="86"/>
  <c r="AZ83" i="86"/>
  <c r="BA83" i="86"/>
  <c r="AW84" i="86"/>
  <c r="AX84" i="86"/>
  <c r="AY84" i="86"/>
  <c r="AZ84" i="86"/>
  <c r="BA84" i="86"/>
  <c r="AW85" i="86"/>
  <c r="AX85" i="86"/>
  <c r="AY85" i="86"/>
  <c r="AZ85" i="86"/>
  <c r="BA85" i="86"/>
  <c r="AW86" i="86"/>
  <c r="AX86" i="86"/>
  <c r="AY86" i="86"/>
  <c r="AZ86" i="86"/>
  <c r="BA86" i="86"/>
  <c r="AW87" i="86"/>
  <c r="AX87" i="86"/>
  <c r="AY87" i="86"/>
  <c r="AZ87" i="86"/>
  <c r="BA87" i="86"/>
  <c r="AW88" i="86"/>
  <c r="AX88" i="86"/>
  <c r="AY88" i="86"/>
  <c r="AZ88" i="86"/>
  <c r="BA88" i="86"/>
  <c r="AW89" i="86"/>
  <c r="AX89" i="86"/>
  <c r="AY89" i="86"/>
  <c r="AZ89" i="86"/>
  <c r="BA89" i="86"/>
  <c r="AW90" i="86"/>
  <c r="AX90" i="86"/>
  <c r="AY90" i="86"/>
  <c r="AZ90" i="86"/>
  <c r="BA90" i="86"/>
  <c r="AW91" i="86"/>
  <c r="AX91" i="86"/>
  <c r="AY91" i="86"/>
  <c r="AZ91" i="86"/>
  <c r="BA91" i="86"/>
  <c r="AW92" i="86"/>
  <c r="AX92" i="86"/>
  <c r="AY92" i="86"/>
  <c r="AZ92" i="86"/>
  <c r="BA92" i="86"/>
  <c r="AW93" i="86"/>
  <c r="AX93" i="86"/>
  <c r="AY93" i="86"/>
  <c r="AZ93" i="86"/>
  <c r="BA93" i="86"/>
  <c r="AW94" i="86"/>
  <c r="AX94" i="86"/>
  <c r="AY94" i="86"/>
  <c r="AZ94" i="86"/>
  <c r="BA94" i="86"/>
  <c r="AW95" i="86"/>
  <c r="AX95" i="86"/>
  <c r="AY95" i="86"/>
  <c r="AZ95" i="86"/>
  <c r="BA95" i="86"/>
  <c r="AW96" i="86"/>
  <c r="AX96" i="86"/>
  <c r="AY96" i="86"/>
  <c r="AZ96" i="86"/>
  <c r="BA96" i="86"/>
  <c r="AW97" i="86"/>
  <c r="AX97" i="86"/>
  <c r="AY97" i="86"/>
  <c r="AZ97" i="86"/>
  <c r="BA97" i="86"/>
  <c r="AW98" i="86"/>
  <c r="AX98" i="86"/>
  <c r="AY98" i="86"/>
  <c r="AZ98" i="86"/>
  <c r="BA98" i="86"/>
  <c r="AW99" i="86"/>
  <c r="AX99" i="86"/>
  <c r="AY99" i="86"/>
  <c r="AZ99" i="86"/>
  <c r="BA99" i="86"/>
  <c r="AW100" i="86"/>
  <c r="AX100" i="86"/>
  <c r="AY100" i="86"/>
  <c r="AZ100" i="86"/>
  <c r="BA100" i="86"/>
  <c r="AW101" i="86"/>
  <c r="AX101" i="86"/>
  <c r="AY101" i="86"/>
  <c r="AZ101" i="86"/>
  <c r="BA101" i="86"/>
  <c r="AW102" i="86"/>
  <c r="AX102" i="86"/>
  <c r="AY102" i="86"/>
  <c r="AZ102" i="86"/>
  <c r="BA102" i="86"/>
  <c r="AW103" i="86"/>
  <c r="AX103" i="86"/>
  <c r="AY103" i="86"/>
  <c r="AZ103" i="86"/>
  <c r="BA103" i="86"/>
  <c r="AW104" i="86"/>
  <c r="AX104" i="86"/>
  <c r="AY104" i="86"/>
  <c r="AZ104" i="86"/>
  <c r="BA104" i="86"/>
  <c r="AW105" i="86"/>
  <c r="AX105" i="86"/>
  <c r="AY105" i="86"/>
  <c r="AZ105" i="86"/>
  <c r="BA105" i="86"/>
  <c r="AW106" i="86"/>
  <c r="AX106" i="86"/>
  <c r="AY106" i="86"/>
  <c r="AZ106" i="86"/>
  <c r="BA106" i="86"/>
  <c r="AW107" i="86"/>
  <c r="AX107" i="86"/>
  <c r="AY107" i="86"/>
  <c r="AZ107" i="86"/>
  <c r="BA107" i="86"/>
  <c r="AW108" i="86"/>
  <c r="AX108" i="86"/>
  <c r="AY108" i="86"/>
  <c r="AZ108" i="86"/>
  <c r="BA108" i="86"/>
  <c r="AW109" i="86"/>
  <c r="AX109" i="86"/>
  <c r="AY109" i="86"/>
  <c r="AZ109" i="86"/>
  <c r="BA109" i="86"/>
  <c r="AW110" i="86"/>
  <c r="AX110" i="86"/>
  <c r="AY110" i="86"/>
  <c r="AZ110" i="86"/>
  <c r="BA110" i="86"/>
  <c r="AW111" i="86"/>
  <c r="AX111" i="86"/>
  <c r="AY111" i="86"/>
  <c r="AZ111" i="86"/>
  <c r="BA111" i="86"/>
  <c r="AW112" i="86"/>
  <c r="AX112" i="86"/>
  <c r="AY112" i="86"/>
  <c r="AZ112" i="86"/>
  <c r="BA112" i="86"/>
  <c r="AW113" i="86"/>
  <c r="AX113" i="86"/>
  <c r="AY113" i="86"/>
  <c r="AZ113" i="86"/>
  <c r="BA113" i="86"/>
  <c r="AW114" i="86"/>
  <c r="AX114" i="86"/>
  <c r="AY114" i="86"/>
  <c r="AZ114" i="86"/>
  <c r="BA114" i="86"/>
  <c r="AW115" i="86"/>
  <c r="AX115" i="86"/>
  <c r="AY115" i="86"/>
  <c r="AZ115" i="86"/>
  <c r="BA115" i="86"/>
  <c r="AW116" i="86"/>
  <c r="AX116" i="86"/>
  <c r="AY116" i="86"/>
  <c r="AZ116" i="86"/>
  <c r="BA116" i="86"/>
  <c r="AW117" i="86"/>
  <c r="AX117" i="86"/>
  <c r="AY117" i="86"/>
  <c r="AZ117" i="86"/>
  <c r="BA117" i="86"/>
  <c r="AW118" i="86"/>
  <c r="AX118" i="86"/>
  <c r="AY118" i="86"/>
  <c r="AZ118" i="86"/>
  <c r="BA118" i="86"/>
  <c r="AW119" i="86"/>
  <c r="AX119" i="86"/>
  <c r="AY119" i="86"/>
  <c r="AZ119" i="86"/>
  <c r="BA119" i="86"/>
  <c r="AW120" i="86"/>
  <c r="AX120" i="86"/>
  <c r="AY120" i="86"/>
  <c r="AZ120" i="86"/>
  <c r="BA120" i="86"/>
  <c r="AW121" i="86"/>
  <c r="AX121" i="86"/>
  <c r="AY121" i="86"/>
  <c r="AZ121" i="86"/>
  <c r="BA121" i="86"/>
  <c r="AW122" i="86"/>
  <c r="AX122" i="86"/>
  <c r="AY122" i="86"/>
  <c r="AZ122" i="86"/>
  <c r="BA122" i="86"/>
  <c r="AW123" i="86"/>
  <c r="AX123" i="86"/>
  <c r="AY123" i="86"/>
  <c r="AZ123" i="86"/>
  <c r="BA123" i="86"/>
  <c r="AW124" i="86"/>
  <c r="AX124" i="86"/>
  <c r="AY124" i="86"/>
  <c r="AZ124" i="86"/>
  <c r="BA124" i="86"/>
  <c r="AW125" i="86"/>
  <c r="AX125" i="86"/>
  <c r="AY125" i="86"/>
  <c r="AZ125" i="86"/>
  <c r="BA125" i="86"/>
  <c r="AW126" i="86"/>
  <c r="AX126" i="86"/>
  <c r="AY126" i="86"/>
  <c r="AZ126" i="86"/>
  <c r="BA126" i="86"/>
  <c r="AW127" i="86"/>
  <c r="AX127" i="86"/>
  <c r="AY127" i="86"/>
  <c r="AZ127" i="86"/>
  <c r="BA127" i="86"/>
  <c r="AW128" i="86"/>
  <c r="AX128" i="86"/>
  <c r="AY128" i="86"/>
  <c r="AZ128" i="86"/>
  <c r="BA128" i="86"/>
  <c r="AW129" i="86"/>
  <c r="AX129" i="86"/>
  <c r="AY129" i="86"/>
  <c r="AZ129" i="86"/>
  <c r="BA129" i="86"/>
  <c r="AW130" i="86"/>
  <c r="AX130" i="86"/>
  <c r="AY130" i="86"/>
  <c r="AZ130" i="86"/>
  <c r="BA130" i="86"/>
  <c r="AW131" i="86"/>
  <c r="AX131" i="86"/>
  <c r="AY131" i="86"/>
  <c r="AZ131" i="86"/>
  <c r="BA131" i="86"/>
  <c r="AW132" i="86"/>
  <c r="AX132" i="86"/>
  <c r="AY132" i="86"/>
  <c r="AZ132" i="86"/>
  <c r="BA132" i="86"/>
  <c r="AW133" i="86"/>
  <c r="AX133" i="86"/>
  <c r="AY133" i="86"/>
  <c r="AZ133" i="86"/>
  <c r="BA133" i="86"/>
  <c r="AW134" i="86"/>
  <c r="AX134" i="86"/>
  <c r="AY134" i="86"/>
  <c r="AZ134" i="86"/>
  <c r="BA134" i="86"/>
  <c r="AW135" i="86"/>
  <c r="AX135" i="86"/>
  <c r="AY135" i="86"/>
  <c r="AZ135" i="86"/>
  <c r="BA135" i="86"/>
  <c r="AW136" i="86"/>
  <c r="AX136" i="86"/>
  <c r="AY136" i="86"/>
  <c r="AZ136" i="86"/>
  <c r="BA136" i="86"/>
  <c r="AW137" i="86"/>
  <c r="AX137" i="86"/>
  <c r="AY137" i="86"/>
  <c r="AZ137" i="86"/>
  <c r="BA137" i="86"/>
  <c r="AW138" i="86"/>
  <c r="AX138" i="86"/>
  <c r="AY138" i="86"/>
  <c r="AZ138" i="86"/>
  <c r="BA138" i="86"/>
  <c r="AW139" i="86"/>
  <c r="AX139" i="86"/>
  <c r="AY139" i="86"/>
  <c r="AZ139" i="86"/>
  <c r="BA139" i="86"/>
  <c r="AW140" i="86"/>
  <c r="AX140" i="86"/>
  <c r="AY140" i="86"/>
  <c r="AZ140" i="86"/>
  <c r="BA140" i="86"/>
  <c r="AW141" i="86"/>
  <c r="AX141" i="86"/>
  <c r="AY141" i="86"/>
  <c r="AZ141" i="86"/>
  <c r="BA141" i="86"/>
  <c r="AW142" i="86"/>
  <c r="AX142" i="86"/>
  <c r="AY142" i="86"/>
  <c r="AZ142" i="86"/>
  <c r="BA142" i="86"/>
  <c r="AW143" i="86"/>
  <c r="AX143" i="86"/>
  <c r="AY143" i="86"/>
  <c r="AZ143" i="86"/>
  <c r="BA143" i="86"/>
  <c r="AW144" i="86"/>
  <c r="AX144" i="86"/>
  <c r="AY144" i="86"/>
  <c r="AZ144" i="86"/>
  <c r="BA144" i="86"/>
  <c r="AW145" i="86"/>
  <c r="AX145" i="86"/>
  <c r="AY145" i="86"/>
  <c r="AZ145" i="86"/>
  <c r="BA145" i="86"/>
  <c r="AW146" i="86"/>
  <c r="AX146" i="86"/>
  <c r="AY146" i="86"/>
  <c r="AZ146" i="86"/>
  <c r="BA146" i="86"/>
  <c r="AW147" i="86"/>
  <c r="AX147" i="86"/>
  <c r="AY147" i="86"/>
  <c r="AZ147" i="86"/>
  <c r="BA147" i="86"/>
  <c r="AW148" i="86"/>
  <c r="AX148" i="86"/>
  <c r="AY148" i="86"/>
  <c r="AZ148" i="86"/>
  <c r="BA148" i="86"/>
  <c r="AW149" i="86"/>
  <c r="AX149" i="86"/>
  <c r="AY149" i="86"/>
  <c r="AZ149" i="86"/>
  <c r="BA149" i="86"/>
  <c r="AW150" i="86"/>
  <c r="AX150" i="86"/>
  <c r="AY150" i="86"/>
  <c r="AZ150" i="86"/>
  <c r="BA150" i="86"/>
  <c r="AW151" i="86"/>
  <c r="AX151" i="86"/>
  <c r="AY151" i="86"/>
  <c r="AZ151" i="86"/>
  <c r="BA151" i="86"/>
  <c r="AW152" i="86"/>
  <c r="AX152" i="86"/>
  <c r="AY152" i="86"/>
  <c r="AZ152" i="86"/>
  <c r="BA152" i="86"/>
  <c r="AW153" i="86"/>
  <c r="AX153" i="86"/>
  <c r="AY153" i="86"/>
  <c r="AZ153" i="86"/>
  <c r="BA153" i="86"/>
  <c r="AW154" i="86"/>
  <c r="AX154" i="86"/>
  <c r="AY154" i="86"/>
  <c r="AZ154" i="86"/>
  <c r="BA154" i="86"/>
  <c r="AW155" i="86"/>
  <c r="AX155" i="86"/>
  <c r="AY155" i="86"/>
  <c r="AZ155" i="86"/>
  <c r="BA155" i="86"/>
  <c r="AW156" i="86"/>
  <c r="AX156" i="86"/>
  <c r="AY156" i="86"/>
  <c r="AZ156" i="86"/>
  <c r="BA156" i="86"/>
  <c r="AW157" i="86"/>
  <c r="AX157" i="86"/>
  <c r="AY157" i="86"/>
  <c r="AZ157" i="86"/>
  <c r="BA157" i="86"/>
  <c r="AW158" i="86"/>
  <c r="AX158" i="86"/>
  <c r="AY158" i="86"/>
  <c r="AZ158" i="86"/>
  <c r="BA158" i="86"/>
  <c r="AW159" i="86"/>
  <c r="AX159" i="86"/>
  <c r="AY159" i="86"/>
  <c r="AZ159" i="86"/>
  <c r="BA159" i="86"/>
  <c r="AW160" i="86"/>
  <c r="AX160" i="86"/>
  <c r="AY160" i="86"/>
  <c r="AZ160" i="86"/>
  <c r="BA160" i="86"/>
  <c r="AW161" i="86"/>
  <c r="AX161" i="86"/>
  <c r="AY161" i="86"/>
  <c r="AZ161" i="86"/>
  <c r="BA161" i="86"/>
  <c r="AW162" i="86"/>
  <c r="AX162" i="86"/>
  <c r="AY162" i="86"/>
  <c r="AZ162" i="86"/>
  <c r="BA162" i="86"/>
  <c r="AW163" i="86"/>
  <c r="AX163" i="86"/>
  <c r="AY163" i="86"/>
  <c r="AZ163" i="86"/>
  <c r="BA163" i="86"/>
  <c r="AW164" i="86"/>
  <c r="AX164" i="86"/>
  <c r="AY164" i="86"/>
  <c r="AZ164" i="86"/>
  <c r="BA164" i="86"/>
  <c r="AW165" i="86"/>
  <c r="AX165" i="86"/>
  <c r="AY165" i="86"/>
  <c r="AZ165" i="86"/>
  <c r="BA165" i="86"/>
  <c r="AW166" i="86"/>
  <c r="AX166" i="86"/>
  <c r="AY166" i="86"/>
  <c r="AZ166" i="86"/>
  <c r="BA166" i="86"/>
  <c r="AW167" i="86"/>
  <c r="AX167" i="86"/>
  <c r="AY167" i="86"/>
  <c r="AZ167" i="86"/>
  <c r="BA167" i="86"/>
  <c r="AX8" i="86"/>
  <c r="AY8" i="86"/>
  <c r="AZ8" i="86"/>
  <c r="BA8" i="86"/>
  <c r="AW8" i="86"/>
  <c r="U7" i="90" l="1"/>
  <c r="U8" i="90"/>
  <c r="U10" i="90"/>
  <c r="U11" i="90"/>
  <c r="U12" i="90"/>
  <c r="U13" i="90"/>
  <c r="U14" i="90"/>
  <c r="U15" i="90"/>
  <c r="U16" i="90"/>
  <c r="U17" i="90"/>
  <c r="U18" i="90"/>
  <c r="U19" i="90"/>
  <c r="U20" i="90"/>
  <c r="U21" i="90"/>
  <c r="U22" i="90"/>
  <c r="U23" i="90"/>
  <c r="U24" i="90"/>
  <c r="U25" i="90"/>
  <c r="U26" i="90"/>
  <c r="U27" i="90"/>
  <c r="U28" i="90"/>
  <c r="U29" i="90"/>
  <c r="U30" i="90"/>
  <c r="U31" i="90"/>
  <c r="U32" i="90"/>
  <c r="U33" i="90"/>
  <c r="U34" i="90"/>
  <c r="U35" i="90"/>
  <c r="U36" i="90"/>
  <c r="U37" i="90"/>
  <c r="U38" i="90"/>
  <c r="U39" i="90"/>
  <c r="U40" i="90"/>
  <c r="U41" i="90"/>
  <c r="U42" i="90"/>
  <c r="U43" i="90"/>
  <c r="U44" i="90"/>
  <c r="U45" i="90"/>
  <c r="U46" i="90"/>
  <c r="U47" i="90"/>
  <c r="U48" i="90"/>
  <c r="U49" i="90"/>
  <c r="U50" i="90"/>
  <c r="U51" i="90"/>
  <c r="U52" i="90"/>
  <c r="U53" i="90"/>
  <c r="U54" i="90"/>
  <c r="U55" i="90"/>
  <c r="U56" i="90"/>
  <c r="U57" i="90"/>
  <c r="U58" i="90"/>
  <c r="U59" i="90"/>
  <c r="U60" i="90"/>
  <c r="U61" i="90"/>
  <c r="U62" i="90"/>
  <c r="U63" i="90"/>
  <c r="U64" i="90"/>
  <c r="U65" i="90"/>
  <c r="U66" i="90"/>
  <c r="U67" i="90"/>
  <c r="U68" i="90"/>
  <c r="U69" i="90"/>
  <c r="U70" i="90"/>
  <c r="U71" i="90"/>
  <c r="U72" i="90"/>
  <c r="U73" i="90"/>
  <c r="U74" i="90"/>
  <c r="U75" i="90"/>
  <c r="U76" i="90"/>
  <c r="U77" i="90"/>
  <c r="U78" i="90"/>
  <c r="U79" i="90"/>
  <c r="U80" i="90"/>
  <c r="U81" i="90"/>
  <c r="U82" i="90"/>
  <c r="U83" i="90"/>
  <c r="U84" i="90"/>
  <c r="U85" i="90"/>
  <c r="U86" i="90"/>
  <c r="U87" i="90"/>
  <c r="U88" i="90"/>
  <c r="U89" i="90"/>
  <c r="U90" i="90"/>
  <c r="U91" i="90"/>
  <c r="U92" i="90"/>
  <c r="U93" i="90"/>
  <c r="U94" i="90"/>
  <c r="U95" i="90"/>
  <c r="U96" i="90"/>
  <c r="U97" i="90"/>
  <c r="U98" i="90"/>
  <c r="U99" i="90"/>
  <c r="U100" i="90"/>
  <c r="U101" i="90"/>
  <c r="U102" i="90"/>
  <c r="U103" i="90"/>
  <c r="U104" i="90"/>
  <c r="U105" i="90"/>
  <c r="U6" i="90"/>
  <c r="AF36" i="90" l="1"/>
  <c r="AF52" i="90"/>
  <c r="AF68" i="90"/>
  <c r="AF84" i="90"/>
  <c r="AF100" i="90"/>
  <c r="AF116" i="90"/>
  <c r="AF20" i="90"/>
  <c r="AD112" i="90" l="1"/>
  <c r="AD104" i="90"/>
  <c r="AG104" i="90" s="1"/>
  <c r="AD95" i="90"/>
  <c r="AD87" i="90"/>
  <c r="AG87" i="90" s="1"/>
  <c r="AD78" i="90"/>
  <c r="AG78" i="90" s="1"/>
  <c r="AD70" i="90"/>
  <c r="AG70" i="90" s="1"/>
  <c r="AD61" i="90"/>
  <c r="AG61" i="90" s="1"/>
  <c r="AD44" i="90"/>
  <c r="AD27" i="90"/>
  <c r="AD9" i="90"/>
  <c r="AG9" i="90" s="1"/>
  <c r="AD17" i="90"/>
  <c r="AD109" i="90"/>
  <c r="AG109" i="90" s="1"/>
  <c r="AD41" i="90"/>
  <c r="AG41" i="90" s="1"/>
  <c r="AD12" i="90"/>
  <c r="AD111" i="90"/>
  <c r="AG111" i="90" s="1"/>
  <c r="AD103" i="90"/>
  <c r="AG103" i="90" s="1"/>
  <c r="AD94" i="90"/>
  <c r="AD86" i="90"/>
  <c r="AG86" i="90" s="1"/>
  <c r="AD77" i="90"/>
  <c r="AD60" i="90"/>
  <c r="AD43" i="90"/>
  <c r="AG43" i="90" s="1"/>
  <c r="AD26" i="90"/>
  <c r="AG26" i="90" s="1"/>
  <c r="AD10" i="90"/>
  <c r="AG10" i="90" s="1"/>
  <c r="AD32" i="90"/>
  <c r="AG32" i="90" s="1"/>
  <c r="AD110" i="90"/>
  <c r="AG110" i="90" s="1"/>
  <c r="AD102" i="90"/>
  <c r="AG102" i="90" s="1"/>
  <c r="AD93" i="90"/>
  <c r="AD76" i="90"/>
  <c r="AG76" i="90" s="1"/>
  <c r="AD59" i="90"/>
  <c r="AG59" i="90" s="1"/>
  <c r="AD42" i="90"/>
  <c r="AG42" i="90" s="1"/>
  <c r="AD33" i="90"/>
  <c r="AG33" i="90" s="1"/>
  <c r="AD25" i="90"/>
  <c r="AG25" i="90" s="1"/>
  <c r="AD11" i="90"/>
  <c r="AD92" i="90"/>
  <c r="AG92" i="90" s="1"/>
  <c r="AD58" i="90"/>
  <c r="AD24" i="90"/>
  <c r="AG24" i="90" s="1"/>
  <c r="AD108" i="90"/>
  <c r="AG108" i="90" s="1"/>
  <c r="AD91" i="90"/>
  <c r="AG91" i="90" s="1"/>
  <c r="AD74" i="90"/>
  <c r="AG74" i="90" s="1"/>
  <c r="AD65" i="90"/>
  <c r="AG65" i="90" s="1"/>
  <c r="AD57" i="90"/>
  <c r="AG57" i="90" s="1"/>
  <c r="AD48" i="90"/>
  <c r="AG48" i="90" s="1"/>
  <c r="AD40" i="90"/>
  <c r="AG40" i="90" s="1"/>
  <c r="AD31" i="90"/>
  <c r="AG31" i="90" s="1"/>
  <c r="AD23" i="90"/>
  <c r="AG23" i="90" s="1"/>
  <c r="AD13" i="90"/>
  <c r="AD6" i="90"/>
  <c r="AG6" i="90" s="1"/>
  <c r="AD107" i="90"/>
  <c r="AG107" i="90" s="1"/>
  <c r="AD90" i="90"/>
  <c r="AG90" i="90" s="1"/>
  <c r="AD81" i="90"/>
  <c r="AG81" i="90" s="1"/>
  <c r="AD73" i="90"/>
  <c r="AG73" i="90" s="1"/>
  <c r="AD64" i="90"/>
  <c r="AG64" i="90" s="1"/>
  <c r="AD56" i="90"/>
  <c r="AG56" i="90" s="1"/>
  <c r="AD47" i="90"/>
  <c r="AG47" i="90" s="1"/>
  <c r="AD39" i="90"/>
  <c r="AG39" i="90" s="1"/>
  <c r="AD30" i="90"/>
  <c r="AG30" i="90" s="1"/>
  <c r="AD22" i="90"/>
  <c r="AG22" i="90" s="1"/>
  <c r="AD14" i="90"/>
  <c r="AG14" i="90" s="1"/>
  <c r="AD106" i="90"/>
  <c r="AG106" i="90" s="1"/>
  <c r="AD97" i="90"/>
  <c r="AG97" i="90" s="1"/>
  <c r="AD89" i="90"/>
  <c r="AG89" i="90" s="1"/>
  <c r="AD80" i="90"/>
  <c r="AG80" i="90" s="1"/>
  <c r="AD72" i="90"/>
  <c r="AG72" i="90" s="1"/>
  <c r="AD63" i="90"/>
  <c r="AG63" i="90" s="1"/>
  <c r="AD55" i="90"/>
  <c r="AG55" i="90" s="1"/>
  <c r="AD46" i="90"/>
  <c r="AG46" i="90" s="1"/>
  <c r="AD38" i="90"/>
  <c r="AG38" i="90" s="1"/>
  <c r="AD29" i="90"/>
  <c r="AG29" i="90" s="1"/>
  <c r="AD7" i="90"/>
  <c r="AG7" i="90" s="1"/>
  <c r="AD15" i="90"/>
  <c r="AG15" i="90" s="1"/>
  <c r="AD75" i="90"/>
  <c r="AG75" i="90" s="1"/>
  <c r="AD113" i="90"/>
  <c r="AD105" i="90"/>
  <c r="AG105" i="90" s="1"/>
  <c r="AD96" i="90"/>
  <c r="AG96" i="90" s="1"/>
  <c r="AD88" i="90"/>
  <c r="AG88" i="90" s="1"/>
  <c r="AD79" i="90"/>
  <c r="AG79" i="90" s="1"/>
  <c r="AD71" i="90"/>
  <c r="AG71" i="90" s="1"/>
  <c r="AD62" i="90"/>
  <c r="AG62" i="90" s="1"/>
  <c r="AD54" i="90"/>
  <c r="AG54" i="90" s="1"/>
  <c r="AD45" i="90"/>
  <c r="AG45" i="90" s="1"/>
  <c r="AD28" i="90"/>
  <c r="AG28" i="90" s="1"/>
  <c r="AD8" i="90"/>
  <c r="AG8" i="90" s="1"/>
  <c r="AD16" i="90"/>
  <c r="AG16" i="90" s="1"/>
  <c r="AD49" i="90"/>
  <c r="AG49" i="90" s="1"/>
  <c r="AG17" i="90"/>
  <c r="AG11" i="90"/>
  <c r="AG112" i="90"/>
  <c r="AG27" i="90"/>
  <c r="AG58" i="90"/>
  <c r="AG113" i="90"/>
  <c r="AG94" i="90"/>
  <c r="AG95" i="90"/>
  <c r="AG93" i="90"/>
  <c r="AG77" i="90"/>
  <c r="AG60" i="90"/>
  <c r="AE22" i="90" l="1"/>
  <c r="AE54" i="90"/>
  <c r="AE86" i="90"/>
  <c r="AE102" i="90"/>
  <c r="AE70" i="90"/>
  <c r="AG12" i="90"/>
  <c r="AG13" i="90"/>
  <c r="E4" i="89"/>
  <c r="AG9" i="86"/>
  <c r="AH9" i="86"/>
  <c r="AI9" i="86"/>
  <c r="AJ9" i="86"/>
  <c r="AK9" i="86"/>
  <c r="AG10" i="86"/>
  <c r="AH10" i="86"/>
  <c r="AI10" i="86"/>
  <c r="AJ10" i="86"/>
  <c r="AK10" i="86"/>
  <c r="AG11" i="86"/>
  <c r="AH11" i="86"/>
  <c r="AI11" i="86"/>
  <c r="AJ11" i="86"/>
  <c r="AK11" i="86"/>
  <c r="AG12" i="86"/>
  <c r="AH12" i="86"/>
  <c r="AI12" i="86"/>
  <c r="AJ12" i="86"/>
  <c r="AK12" i="86"/>
  <c r="AG13" i="86"/>
  <c r="AH13" i="86"/>
  <c r="AI13" i="86"/>
  <c r="AJ13" i="86"/>
  <c r="AK13" i="86"/>
  <c r="AG14" i="86"/>
  <c r="AH14" i="86"/>
  <c r="AI14" i="86"/>
  <c r="AJ14" i="86"/>
  <c r="AK14" i="86"/>
  <c r="AG15" i="86"/>
  <c r="AH15" i="86"/>
  <c r="AI15" i="86"/>
  <c r="AJ15" i="86"/>
  <c r="AK15" i="86"/>
  <c r="AG16" i="86"/>
  <c r="AH16" i="86"/>
  <c r="AI16" i="86"/>
  <c r="AJ16" i="86"/>
  <c r="AK16" i="86"/>
  <c r="AG17" i="86"/>
  <c r="AH17" i="86"/>
  <c r="AI17" i="86"/>
  <c r="AJ17" i="86"/>
  <c r="AK17" i="86"/>
  <c r="AG18" i="86"/>
  <c r="AH18" i="86"/>
  <c r="AI18" i="86"/>
  <c r="AJ18" i="86"/>
  <c r="AK18" i="86"/>
  <c r="AG19" i="86"/>
  <c r="AH19" i="86"/>
  <c r="AI19" i="86"/>
  <c r="AJ19" i="86"/>
  <c r="AK19" i="86"/>
  <c r="AG20" i="86"/>
  <c r="AH20" i="86"/>
  <c r="AI20" i="86"/>
  <c r="AJ20" i="86"/>
  <c r="AK20" i="86"/>
  <c r="AG21" i="86"/>
  <c r="AH21" i="86"/>
  <c r="AI21" i="86"/>
  <c r="AJ21" i="86"/>
  <c r="AK21" i="86"/>
  <c r="AG22" i="86"/>
  <c r="AH22" i="86"/>
  <c r="AI22" i="86"/>
  <c r="AJ22" i="86"/>
  <c r="AK22" i="86"/>
  <c r="AG23" i="86"/>
  <c r="AH23" i="86"/>
  <c r="AI23" i="86"/>
  <c r="AJ23" i="86"/>
  <c r="AK23" i="86"/>
  <c r="AG24" i="86"/>
  <c r="AH24" i="86"/>
  <c r="AI24" i="86"/>
  <c r="AJ24" i="86"/>
  <c r="AK24" i="86"/>
  <c r="AG25" i="86"/>
  <c r="AH25" i="86"/>
  <c r="AI25" i="86"/>
  <c r="AJ25" i="86"/>
  <c r="AK25" i="86"/>
  <c r="AG26" i="86"/>
  <c r="AH26" i="86"/>
  <c r="AI26" i="86"/>
  <c r="AJ26" i="86"/>
  <c r="AK26" i="86"/>
  <c r="AG27" i="86"/>
  <c r="AH27" i="86"/>
  <c r="AI27" i="86"/>
  <c r="AJ27" i="86"/>
  <c r="AK27" i="86"/>
  <c r="AG28" i="86"/>
  <c r="AH28" i="86"/>
  <c r="AI28" i="86"/>
  <c r="AJ28" i="86"/>
  <c r="AK28" i="86"/>
  <c r="AG29" i="86"/>
  <c r="AH29" i="86"/>
  <c r="AI29" i="86"/>
  <c r="AJ29" i="86"/>
  <c r="AK29" i="86"/>
  <c r="AG30" i="86"/>
  <c r="AH30" i="86"/>
  <c r="AI30" i="86"/>
  <c r="AJ30" i="86"/>
  <c r="AK30" i="86"/>
  <c r="AG31" i="86"/>
  <c r="AH31" i="86"/>
  <c r="AI31" i="86"/>
  <c r="AJ31" i="86"/>
  <c r="AK31" i="86"/>
  <c r="AG32" i="86"/>
  <c r="AH32" i="86"/>
  <c r="AI32" i="86"/>
  <c r="AJ32" i="86"/>
  <c r="AK32" i="86"/>
  <c r="AG33" i="86"/>
  <c r="AH33" i="86"/>
  <c r="AI33" i="86"/>
  <c r="AJ33" i="86"/>
  <c r="AK33" i="86"/>
  <c r="AG34" i="86"/>
  <c r="AH34" i="86"/>
  <c r="AI34" i="86"/>
  <c r="AJ34" i="86"/>
  <c r="AK34" i="86"/>
  <c r="AG35" i="86"/>
  <c r="AH35" i="86"/>
  <c r="AI35" i="86"/>
  <c r="AJ35" i="86"/>
  <c r="AK35" i="86"/>
  <c r="AG36" i="86"/>
  <c r="AH36" i="86"/>
  <c r="AI36" i="86"/>
  <c r="AJ36" i="86"/>
  <c r="AK36" i="86"/>
  <c r="AG37" i="86"/>
  <c r="AH37" i="86"/>
  <c r="AI37" i="86"/>
  <c r="AJ37" i="86"/>
  <c r="AK37" i="86"/>
  <c r="AG38" i="86"/>
  <c r="AH38" i="86"/>
  <c r="AI38" i="86"/>
  <c r="AJ38" i="86"/>
  <c r="AK38" i="86"/>
  <c r="AG39" i="86"/>
  <c r="AH39" i="86"/>
  <c r="AI39" i="86"/>
  <c r="AJ39" i="86"/>
  <c r="AK39" i="86"/>
  <c r="AG40" i="86"/>
  <c r="AH40" i="86"/>
  <c r="AI40" i="86"/>
  <c r="AJ40" i="86"/>
  <c r="AK40" i="86"/>
  <c r="AG41" i="86"/>
  <c r="AH41" i="86"/>
  <c r="AI41" i="86"/>
  <c r="AJ41" i="86"/>
  <c r="AK41" i="86"/>
  <c r="AG42" i="86"/>
  <c r="AH42" i="86"/>
  <c r="AI42" i="86"/>
  <c r="AJ42" i="86"/>
  <c r="AK42" i="86"/>
  <c r="AG43" i="86"/>
  <c r="AH43" i="86"/>
  <c r="AI43" i="86"/>
  <c r="AJ43" i="86"/>
  <c r="AK43" i="86"/>
  <c r="AG44" i="86"/>
  <c r="AH44" i="86"/>
  <c r="AI44" i="86"/>
  <c r="AJ44" i="86"/>
  <c r="AK44" i="86"/>
  <c r="AG45" i="86"/>
  <c r="AH45" i="86"/>
  <c r="AI45" i="86"/>
  <c r="AJ45" i="86"/>
  <c r="AK45" i="86"/>
  <c r="AG46" i="86"/>
  <c r="AH46" i="86"/>
  <c r="AI46" i="86"/>
  <c r="AJ46" i="86"/>
  <c r="AK46" i="86"/>
  <c r="AG47" i="86"/>
  <c r="AH47" i="86"/>
  <c r="AI47" i="86"/>
  <c r="AJ47" i="86"/>
  <c r="AK47" i="86"/>
  <c r="AG48" i="86"/>
  <c r="AH48" i="86"/>
  <c r="AI48" i="86"/>
  <c r="AJ48" i="86"/>
  <c r="AK48" i="86"/>
  <c r="AG49" i="86"/>
  <c r="AH49" i="86"/>
  <c r="AI49" i="86"/>
  <c r="AJ49" i="86"/>
  <c r="AK49" i="86"/>
  <c r="AG50" i="86"/>
  <c r="AH50" i="86"/>
  <c r="AI50" i="86"/>
  <c r="AJ50" i="86"/>
  <c r="AK50" i="86"/>
  <c r="AG51" i="86"/>
  <c r="AH51" i="86"/>
  <c r="AI51" i="86"/>
  <c r="AJ51" i="86"/>
  <c r="AK51" i="86"/>
  <c r="AG52" i="86"/>
  <c r="AH52" i="86"/>
  <c r="AI52" i="86"/>
  <c r="AJ52" i="86"/>
  <c r="AK52" i="86"/>
  <c r="AG53" i="86"/>
  <c r="AH53" i="86"/>
  <c r="AI53" i="86"/>
  <c r="AJ53" i="86"/>
  <c r="AK53" i="86"/>
  <c r="AG54" i="86"/>
  <c r="AH54" i="86"/>
  <c r="AI54" i="86"/>
  <c r="AJ54" i="86"/>
  <c r="AK54" i="86"/>
  <c r="AG55" i="86"/>
  <c r="AH55" i="86"/>
  <c r="AI55" i="86"/>
  <c r="AJ55" i="86"/>
  <c r="AK55" i="86"/>
  <c r="AG56" i="86"/>
  <c r="AH56" i="86"/>
  <c r="AI56" i="86"/>
  <c r="AJ56" i="86"/>
  <c r="AK56" i="86"/>
  <c r="AG57" i="86"/>
  <c r="AH57" i="86"/>
  <c r="AI57" i="86"/>
  <c r="AJ57" i="86"/>
  <c r="AK57" i="86"/>
  <c r="AG58" i="86"/>
  <c r="AH58" i="86"/>
  <c r="AI58" i="86"/>
  <c r="AJ58" i="86"/>
  <c r="AK58" i="86"/>
  <c r="AG59" i="86"/>
  <c r="AH59" i="86"/>
  <c r="AI59" i="86"/>
  <c r="AJ59" i="86"/>
  <c r="AK59" i="86"/>
  <c r="AG60" i="86"/>
  <c r="AH60" i="86"/>
  <c r="AI60" i="86"/>
  <c r="AJ60" i="86"/>
  <c r="AK60" i="86"/>
  <c r="AG61" i="86"/>
  <c r="AH61" i="86"/>
  <c r="AI61" i="86"/>
  <c r="AJ61" i="86"/>
  <c r="AK61" i="86"/>
  <c r="AG62" i="86"/>
  <c r="AH62" i="86"/>
  <c r="AI62" i="86"/>
  <c r="AJ62" i="86"/>
  <c r="AK62" i="86"/>
  <c r="AG63" i="86"/>
  <c r="AH63" i="86"/>
  <c r="AI63" i="86"/>
  <c r="AJ63" i="86"/>
  <c r="AK63" i="86"/>
  <c r="AG64" i="86"/>
  <c r="AH64" i="86"/>
  <c r="AI64" i="86"/>
  <c r="AJ64" i="86"/>
  <c r="AK64" i="86"/>
  <c r="AG65" i="86"/>
  <c r="AH65" i="86"/>
  <c r="AI65" i="86"/>
  <c r="AJ65" i="86"/>
  <c r="AK65" i="86"/>
  <c r="AG66" i="86"/>
  <c r="AH66" i="86"/>
  <c r="AI66" i="86"/>
  <c r="AJ66" i="86"/>
  <c r="AK66" i="86"/>
  <c r="AG67" i="86"/>
  <c r="AH67" i="86"/>
  <c r="AI67" i="86"/>
  <c r="AJ67" i="86"/>
  <c r="AK67" i="86"/>
  <c r="AG68" i="86"/>
  <c r="AH68" i="86"/>
  <c r="AI68" i="86"/>
  <c r="AJ68" i="86"/>
  <c r="AK68" i="86"/>
  <c r="AG69" i="86"/>
  <c r="AH69" i="86"/>
  <c r="AI69" i="86"/>
  <c r="AJ69" i="86"/>
  <c r="AK69" i="86"/>
  <c r="AG70" i="86"/>
  <c r="AH70" i="86"/>
  <c r="AI70" i="86"/>
  <c r="AJ70" i="86"/>
  <c r="AK70" i="86"/>
  <c r="AG71" i="86"/>
  <c r="AH71" i="86"/>
  <c r="AI71" i="86"/>
  <c r="AJ71" i="86"/>
  <c r="AK71" i="86"/>
  <c r="AG72" i="86"/>
  <c r="AH72" i="86"/>
  <c r="AI72" i="86"/>
  <c r="AJ72" i="86"/>
  <c r="AK72" i="86"/>
  <c r="AG73" i="86"/>
  <c r="AH73" i="86"/>
  <c r="AI73" i="86"/>
  <c r="AJ73" i="86"/>
  <c r="AK73" i="86"/>
  <c r="AG74" i="86"/>
  <c r="AH74" i="86"/>
  <c r="AI74" i="86"/>
  <c r="AJ74" i="86"/>
  <c r="AK74" i="86"/>
  <c r="AG75" i="86"/>
  <c r="AH75" i="86"/>
  <c r="AI75" i="86"/>
  <c r="AJ75" i="86"/>
  <c r="AK75" i="86"/>
  <c r="AG76" i="86"/>
  <c r="AH76" i="86"/>
  <c r="AI76" i="86"/>
  <c r="AJ76" i="86"/>
  <c r="AK76" i="86"/>
  <c r="AG77" i="86"/>
  <c r="AH77" i="86"/>
  <c r="AI77" i="86"/>
  <c r="AJ77" i="86"/>
  <c r="AK77" i="86"/>
  <c r="AG78" i="86"/>
  <c r="AH78" i="86"/>
  <c r="AI78" i="86"/>
  <c r="AJ78" i="86"/>
  <c r="AK78" i="86"/>
  <c r="AG79" i="86"/>
  <c r="AH79" i="86"/>
  <c r="AI79" i="86"/>
  <c r="AJ79" i="86"/>
  <c r="AK79" i="86"/>
  <c r="AG80" i="86"/>
  <c r="AH80" i="86"/>
  <c r="AI80" i="86"/>
  <c r="AJ80" i="86"/>
  <c r="AK80" i="86"/>
  <c r="AG81" i="86"/>
  <c r="AH81" i="86"/>
  <c r="AI81" i="86"/>
  <c r="AJ81" i="86"/>
  <c r="AK81" i="86"/>
  <c r="AG82" i="86"/>
  <c r="AH82" i="86"/>
  <c r="AI82" i="86"/>
  <c r="AJ82" i="86"/>
  <c r="AK82" i="86"/>
  <c r="AG83" i="86"/>
  <c r="AH83" i="86"/>
  <c r="AI83" i="86"/>
  <c r="AJ83" i="86"/>
  <c r="AK83" i="86"/>
  <c r="AG84" i="86"/>
  <c r="AH84" i="86"/>
  <c r="AI84" i="86"/>
  <c r="AJ84" i="86"/>
  <c r="AK84" i="86"/>
  <c r="AG85" i="86"/>
  <c r="AH85" i="86"/>
  <c r="AI85" i="86"/>
  <c r="AJ85" i="86"/>
  <c r="AK85" i="86"/>
  <c r="AG86" i="86"/>
  <c r="AH86" i="86"/>
  <c r="AI86" i="86"/>
  <c r="AJ86" i="86"/>
  <c r="AK86" i="86"/>
  <c r="AG87" i="86"/>
  <c r="AH87" i="86"/>
  <c r="AI87" i="86"/>
  <c r="AJ87" i="86"/>
  <c r="AK87" i="86"/>
  <c r="AG88" i="86"/>
  <c r="AH88" i="86"/>
  <c r="AI88" i="86"/>
  <c r="AJ88" i="86"/>
  <c r="AK88" i="86"/>
  <c r="AG89" i="86"/>
  <c r="AH89" i="86"/>
  <c r="AI89" i="86"/>
  <c r="AJ89" i="86"/>
  <c r="AK89" i="86"/>
  <c r="AG90" i="86"/>
  <c r="AH90" i="86"/>
  <c r="AI90" i="86"/>
  <c r="AJ90" i="86"/>
  <c r="AK90" i="86"/>
  <c r="AG91" i="86"/>
  <c r="AH91" i="86"/>
  <c r="AI91" i="86"/>
  <c r="AJ91" i="86"/>
  <c r="AK91" i="86"/>
  <c r="AG92" i="86"/>
  <c r="AH92" i="86"/>
  <c r="AI92" i="86"/>
  <c r="AJ92" i="86"/>
  <c r="AK92" i="86"/>
  <c r="AG93" i="86"/>
  <c r="AH93" i="86"/>
  <c r="AI93" i="86"/>
  <c r="AJ93" i="86"/>
  <c r="AK93" i="86"/>
  <c r="AG94" i="86"/>
  <c r="AH94" i="86"/>
  <c r="AI94" i="86"/>
  <c r="AJ94" i="86"/>
  <c r="AK94" i="86"/>
  <c r="AG95" i="86"/>
  <c r="AH95" i="86"/>
  <c r="AI95" i="86"/>
  <c r="AJ95" i="86"/>
  <c r="AK95" i="86"/>
  <c r="AG96" i="86"/>
  <c r="AH96" i="86"/>
  <c r="AI96" i="86"/>
  <c r="AJ96" i="86"/>
  <c r="AK96" i="86"/>
  <c r="AG97" i="86"/>
  <c r="AH97" i="86"/>
  <c r="AI97" i="86"/>
  <c r="AJ97" i="86"/>
  <c r="AK97" i="86"/>
  <c r="AG98" i="86"/>
  <c r="AH98" i="86"/>
  <c r="AI98" i="86"/>
  <c r="AJ98" i="86"/>
  <c r="AK98" i="86"/>
  <c r="AG99" i="86"/>
  <c r="AH99" i="86"/>
  <c r="AI99" i="86"/>
  <c r="AJ99" i="86"/>
  <c r="AK99" i="86"/>
  <c r="AG100" i="86"/>
  <c r="AH100" i="86"/>
  <c r="AI100" i="86"/>
  <c r="AJ100" i="86"/>
  <c r="AK100" i="86"/>
  <c r="AG101" i="86"/>
  <c r="AH101" i="86"/>
  <c r="AI101" i="86"/>
  <c r="AJ101" i="86"/>
  <c r="AK101" i="86"/>
  <c r="AG102" i="86"/>
  <c r="AH102" i="86"/>
  <c r="AI102" i="86"/>
  <c r="AJ102" i="86"/>
  <c r="AK102" i="86"/>
  <c r="AG103" i="86"/>
  <c r="AH103" i="86"/>
  <c r="AI103" i="86"/>
  <c r="AJ103" i="86"/>
  <c r="AK103" i="86"/>
  <c r="AG104" i="86"/>
  <c r="AH104" i="86"/>
  <c r="AI104" i="86"/>
  <c r="AJ104" i="86"/>
  <c r="AK104" i="86"/>
  <c r="AG105" i="86"/>
  <c r="AH105" i="86"/>
  <c r="AI105" i="86"/>
  <c r="AJ105" i="86"/>
  <c r="AK105" i="86"/>
  <c r="AG106" i="86"/>
  <c r="AH106" i="86"/>
  <c r="AI106" i="86"/>
  <c r="AJ106" i="86"/>
  <c r="AK106" i="86"/>
  <c r="AG107" i="86"/>
  <c r="AH107" i="86"/>
  <c r="AI107" i="86"/>
  <c r="AJ107" i="86"/>
  <c r="AK107" i="86"/>
  <c r="AG108" i="86"/>
  <c r="AH108" i="86"/>
  <c r="AI108" i="86"/>
  <c r="AJ108" i="86"/>
  <c r="AK108" i="86"/>
  <c r="AG109" i="86"/>
  <c r="AH109" i="86"/>
  <c r="AI109" i="86"/>
  <c r="AJ109" i="86"/>
  <c r="AK109" i="86"/>
  <c r="AG110" i="86"/>
  <c r="AH110" i="86"/>
  <c r="AI110" i="86"/>
  <c r="AJ110" i="86"/>
  <c r="AK110" i="86"/>
  <c r="AG111" i="86"/>
  <c r="AH111" i="86"/>
  <c r="AI111" i="86"/>
  <c r="AJ111" i="86"/>
  <c r="AK111" i="86"/>
  <c r="AG112" i="86"/>
  <c r="AH112" i="86"/>
  <c r="AI112" i="86"/>
  <c r="AJ112" i="86"/>
  <c r="AK112" i="86"/>
  <c r="AG113" i="86"/>
  <c r="AH113" i="86"/>
  <c r="AI113" i="86"/>
  <c r="AJ113" i="86"/>
  <c r="AK113" i="86"/>
  <c r="AG114" i="86"/>
  <c r="AH114" i="86"/>
  <c r="AI114" i="86"/>
  <c r="AJ114" i="86"/>
  <c r="AK114" i="86"/>
  <c r="AG115" i="86"/>
  <c r="AH115" i="86"/>
  <c r="AI115" i="86"/>
  <c r="AJ115" i="86"/>
  <c r="AK115" i="86"/>
  <c r="AG116" i="86"/>
  <c r="AH116" i="86"/>
  <c r="AI116" i="86"/>
  <c r="AJ116" i="86"/>
  <c r="AK116" i="86"/>
  <c r="AG117" i="86"/>
  <c r="AH117" i="86"/>
  <c r="AI117" i="86"/>
  <c r="AJ117" i="86"/>
  <c r="AK117" i="86"/>
  <c r="AG118" i="86"/>
  <c r="AH118" i="86"/>
  <c r="AI118" i="86"/>
  <c r="AJ118" i="86"/>
  <c r="AK118" i="86"/>
  <c r="AG119" i="86"/>
  <c r="AH119" i="86"/>
  <c r="AI119" i="86"/>
  <c r="AJ119" i="86"/>
  <c r="AK119" i="86"/>
  <c r="AG120" i="86"/>
  <c r="AH120" i="86"/>
  <c r="AI120" i="86"/>
  <c r="AJ120" i="86"/>
  <c r="AK120" i="86"/>
  <c r="AG121" i="86"/>
  <c r="AH121" i="86"/>
  <c r="AI121" i="86"/>
  <c r="AJ121" i="86"/>
  <c r="AK121" i="86"/>
  <c r="AG122" i="86"/>
  <c r="AH122" i="86"/>
  <c r="AI122" i="86"/>
  <c r="AJ122" i="86"/>
  <c r="AK122" i="86"/>
  <c r="AG123" i="86"/>
  <c r="AH123" i="86"/>
  <c r="AI123" i="86"/>
  <c r="AJ123" i="86"/>
  <c r="AK123" i="86"/>
  <c r="AG124" i="86"/>
  <c r="AH124" i="86"/>
  <c r="AI124" i="86"/>
  <c r="AJ124" i="86"/>
  <c r="AK124" i="86"/>
  <c r="AG125" i="86"/>
  <c r="AH125" i="86"/>
  <c r="AI125" i="86"/>
  <c r="AJ125" i="86"/>
  <c r="AK125" i="86"/>
  <c r="AG126" i="86"/>
  <c r="AH126" i="86"/>
  <c r="AI126" i="86"/>
  <c r="AJ126" i="86"/>
  <c r="AK126" i="86"/>
  <c r="AG127" i="86"/>
  <c r="AH127" i="86"/>
  <c r="AI127" i="86"/>
  <c r="AJ127" i="86"/>
  <c r="AK127" i="86"/>
  <c r="AG128" i="86"/>
  <c r="AH128" i="86"/>
  <c r="AI128" i="86"/>
  <c r="AJ128" i="86"/>
  <c r="AK128" i="86"/>
  <c r="AG129" i="86"/>
  <c r="AH129" i="86"/>
  <c r="AI129" i="86"/>
  <c r="AJ129" i="86"/>
  <c r="AK129" i="86"/>
  <c r="AG130" i="86"/>
  <c r="AH130" i="86"/>
  <c r="AI130" i="86"/>
  <c r="AJ130" i="86"/>
  <c r="AK130" i="86"/>
  <c r="AG131" i="86"/>
  <c r="AH131" i="86"/>
  <c r="AI131" i="86"/>
  <c r="AJ131" i="86"/>
  <c r="AK131" i="86"/>
  <c r="AG132" i="86"/>
  <c r="AH132" i="86"/>
  <c r="AI132" i="86"/>
  <c r="AJ132" i="86"/>
  <c r="AK132" i="86"/>
  <c r="AG133" i="86"/>
  <c r="AH133" i="86"/>
  <c r="AI133" i="86"/>
  <c r="AJ133" i="86"/>
  <c r="AK133" i="86"/>
  <c r="AG134" i="86"/>
  <c r="AH134" i="86"/>
  <c r="AI134" i="86"/>
  <c r="AJ134" i="86"/>
  <c r="AK134" i="86"/>
  <c r="AG135" i="86"/>
  <c r="AH135" i="86"/>
  <c r="AI135" i="86"/>
  <c r="AJ135" i="86"/>
  <c r="AK135" i="86"/>
  <c r="AG136" i="86"/>
  <c r="AH136" i="86"/>
  <c r="AI136" i="86"/>
  <c r="AJ136" i="86"/>
  <c r="AK136" i="86"/>
  <c r="AG137" i="86"/>
  <c r="AH137" i="86"/>
  <c r="AI137" i="86"/>
  <c r="AJ137" i="86"/>
  <c r="AK137" i="86"/>
  <c r="AG138" i="86"/>
  <c r="AH138" i="86"/>
  <c r="AI138" i="86"/>
  <c r="AJ138" i="86"/>
  <c r="AK138" i="86"/>
  <c r="AG139" i="86"/>
  <c r="AH139" i="86"/>
  <c r="AI139" i="86"/>
  <c r="AJ139" i="86"/>
  <c r="AK139" i="86"/>
  <c r="AG140" i="86"/>
  <c r="AH140" i="86"/>
  <c r="AI140" i="86"/>
  <c r="AJ140" i="86"/>
  <c r="AK140" i="86"/>
  <c r="AG141" i="86"/>
  <c r="AH141" i="86"/>
  <c r="AI141" i="86"/>
  <c r="AJ141" i="86"/>
  <c r="AK141" i="86"/>
  <c r="AG142" i="86"/>
  <c r="AH142" i="86"/>
  <c r="AI142" i="86"/>
  <c r="AJ142" i="86"/>
  <c r="AK142" i="86"/>
  <c r="AG143" i="86"/>
  <c r="AH143" i="86"/>
  <c r="AI143" i="86"/>
  <c r="AJ143" i="86"/>
  <c r="AK143" i="86"/>
  <c r="AG144" i="86"/>
  <c r="AH144" i="86"/>
  <c r="AI144" i="86"/>
  <c r="AJ144" i="86"/>
  <c r="AK144" i="86"/>
  <c r="AG145" i="86"/>
  <c r="AH145" i="86"/>
  <c r="AI145" i="86"/>
  <c r="AJ145" i="86"/>
  <c r="AK145" i="86"/>
  <c r="AG146" i="86"/>
  <c r="AH146" i="86"/>
  <c r="AI146" i="86"/>
  <c r="AJ146" i="86"/>
  <c r="AK146" i="86"/>
  <c r="AG147" i="86"/>
  <c r="AH147" i="86"/>
  <c r="AI147" i="86"/>
  <c r="AJ147" i="86"/>
  <c r="AK147" i="86"/>
  <c r="AG148" i="86"/>
  <c r="AH148" i="86"/>
  <c r="AI148" i="86"/>
  <c r="AJ148" i="86"/>
  <c r="AK148" i="86"/>
  <c r="AG149" i="86"/>
  <c r="AH149" i="86"/>
  <c r="AI149" i="86"/>
  <c r="AJ149" i="86"/>
  <c r="AK149" i="86"/>
  <c r="AG150" i="86"/>
  <c r="AH150" i="86"/>
  <c r="AI150" i="86"/>
  <c r="AJ150" i="86"/>
  <c r="AK150" i="86"/>
  <c r="AG151" i="86"/>
  <c r="AH151" i="86"/>
  <c r="AI151" i="86"/>
  <c r="AJ151" i="86"/>
  <c r="AK151" i="86"/>
  <c r="AG152" i="86"/>
  <c r="AH152" i="86"/>
  <c r="AI152" i="86"/>
  <c r="AJ152" i="86"/>
  <c r="AK152" i="86"/>
  <c r="AG153" i="86"/>
  <c r="AH153" i="86"/>
  <c r="AI153" i="86"/>
  <c r="AJ153" i="86"/>
  <c r="AK153" i="86"/>
  <c r="AG154" i="86"/>
  <c r="AH154" i="86"/>
  <c r="AI154" i="86"/>
  <c r="AJ154" i="86"/>
  <c r="AK154" i="86"/>
  <c r="AG155" i="86"/>
  <c r="AH155" i="86"/>
  <c r="AI155" i="86"/>
  <c r="AJ155" i="86"/>
  <c r="AK155" i="86"/>
  <c r="AG156" i="86"/>
  <c r="AH156" i="86"/>
  <c r="AI156" i="86"/>
  <c r="AJ156" i="86"/>
  <c r="AK156" i="86"/>
  <c r="AG157" i="86"/>
  <c r="AH157" i="86"/>
  <c r="AI157" i="86"/>
  <c r="AJ157" i="86"/>
  <c r="AK157" i="86"/>
  <c r="AG158" i="86"/>
  <c r="AH158" i="86"/>
  <c r="AI158" i="86"/>
  <c r="AJ158" i="86"/>
  <c r="AK158" i="86"/>
  <c r="AG159" i="86"/>
  <c r="AH159" i="86"/>
  <c r="AI159" i="86"/>
  <c r="AJ159" i="86"/>
  <c r="AK159" i="86"/>
  <c r="AG160" i="86"/>
  <c r="AH160" i="86"/>
  <c r="AI160" i="86"/>
  <c r="AJ160" i="86"/>
  <c r="AK160" i="86"/>
  <c r="AG161" i="86"/>
  <c r="AH161" i="86"/>
  <c r="AI161" i="86"/>
  <c r="AJ161" i="86"/>
  <c r="AK161" i="86"/>
  <c r="AG162" i="86"/>
  <c r="AH162" i="86"/>
  <c r="AI162" i="86"/>
  <c r="AJ162" i="86"/>
  <c r="AK162" i="86"/>
  <c r="AG163" i="86"/>
  <c r="AH163" i="86"/>
  <c r="AI163" i="86"/>
  <c r="AJ163" i="86"/>
  <c r="AK163" i="86"/>
  <c r="AG164" i="86"/>
  <c r="AH164" i="86"/>
  <c r="AI164" i="86"/>
  <c r="AJ164" i="86"/>
  <c r="AK164" i="86"/>
  <c r="AG165" i="86"/>
  <c r="AH165" i="86"/>
  <c r="AI165" i="86"/>
  <c r="AJ165" i="86"/>
  <c r="AK165" i="86"/>
  <c r="AG166" i="86"/>
  <c r="AH166" i="86"/>
  <c r="AI166" i="86"/>
  <c r="AJ166" i="86"/>
  <c r="AK166" i="86"/>
  <c r="AG167" i="86"/>
  <c r="AH167" i="86"/>
  <c r="AI167" i="86"/>
  <c r="AJ167" i="86"/>
  <c r="AK167" i="86"/>
  <c r="AG168" i="86"/>
  <c r="AH168" i="86"/>
  <c r="AI168" i="86"/>
  <c r="AJ168" i="86"/>
  <c r="AK168" i="86"/>
  <c r="AG169" i="86"/>
  <c r="AH169" i="86"/>
  <c r="AI169" i="86"/>
  <c r="AJ169" i="86"/>
  <c r="AK169" i="86"/>
  <c r="AG170" i="86"/>
  <c r="AH170" i="86"/>
  <c r="AI170" i="86"/>
  <c r="AJ170" i="86"/>
  <c r="AK170" i="86"/>
  <c r="AG171" i="86"/>
  <c r="AH171" i="86"/>
  <c r="AI171" i="86"/>
  <c r="AJ171" i="86"/>
  <c r="AK171" i="86"/>
  <c r="AG172" i="86"/>
  <c r="AH172" i="86"/>
  <c r="AI172" i="86"/>
  <c r="AJ172" i="86"/>
  <c r="AK172" i="86"/>
  <c r="AG173" i="86"/>
  <c r="AH173" i="86"/>
  <c r="AI173" i="86"/>
  <c r="AJ173" i="86"/>
  <c r="AK173" i="86"/>
  <c r="AG174" i="86"/>
  <c r="AH174" i="86"/>
  <c r="AI174" i="86"/>
  <c r="AJ174" i="86"/>
  <c r="AK174" i="86"/>
  <c r="AG175" i="86"/>
  <c r="AH175" i="86"/>
  <c r="AI175" i="86"/>
  <c r="AJ175" i="86"/>
  <c r="AK175" i="86"/>
  <c r="AG176" i="86"/>
  <c r="AH176" i="86"/>
  <c r="AI176" i="86"/>
  <c r="AJ176" i="86"/>
  <c r="AK176" i="86"/>
  <c r="AG177" i="86"/>
  <c r="AH177" i="86"/>
  <c r="AI177" i="86"/>
  <c r="AJ177" i="86"/>
  <c r="AK177" i="86"/>
  <c r="AG178" i="86"/>
  <c r="AH178" i="86"/>
  <c r="AI178" i="86"/>
  <c r="AJ178" i="86"/>
  <c r="AK178" i="86"/>
  <c r="AG179" i="86"/>
  <c r="AH179" i="86"/>
  <c r="AI179" i="86"/>
  <c r="AJ179" i="86"/>
  <c r="AK179" i="86"/>
  <c r="AG180" i="86"/>
  <c r="AH180" i="86"/>
  <c r="AI180" i="86"/>
  <c r="AJ180" i="86"/>
  <c r="AK180" i="86"/>
  <c r="AG181" i="86"/>
  <c r="AH181" i="86"/>
  <c r="AI181" i="86"/>
  <c r="AJ181" i="86"/>
  <c r="AK181" i="86"/>
  <c r="AG182" i="86"/>
  <c r="AH182" i="86"/>
  <c r="AI182" i="86"/>
  <c r="AJ182" i="86"/>
  <c r="AK182" i="86"/>
  <c r="AG183" i="86"/>
  <c r="AH183" i="86"/>
  <c r="AI183" i="86"/>
  <c r="AJ183" i="86"/>
  <c r="AK183" i="86"/>
  <c r="AG184" i="86"/>
  <c r="AH184" i="86"/>
  <c r="AI184" i="86"/>
  <c r="AJ184" i="86"/>
  <c r="AK184" i="86"/>
  <c r="AG185" i="86"/>
  <c r="AH185" i="86"/>
  <c r="AI185" i="86"/>
  <c r="AJ185" i="86"/>
  <c r="AK185" i="86"/>
  <c r="AG186" i="86"/>
  <c r="AH186" i="86"/>
  <c r="AI186" i="86"/>
  <c r="AJ186" i="86"/>
  <c r="AK186" i="86"/>
  <c r="AG187" i="86"/>
  <c r="AH187" i="86"/>
  <c r="AI187" i="86"/>
  <c r="AJ187" i="86"/>
  <c r="AK187" i="86"/>
  <c r="AG188" i="86"/>
  <c r="AH188" i="86"/>
  <c r="AI188" i="86"/>
  <c r="AJ188" i="86"/>
  <c r="AK188" i="86"/>
  <c r="AG189" i="86"/>
  <c r="AH189" i="86"/>
  <c r="AI189" i="86"/>
  <c r="AJ189" i="86"/>
  <c r="AK189" i="86"/>
  <c r="AG190" i="86"/>
  <c r="AH190" i="86"/>
  <c r="AI190" i="86"/>
  <c r="AJ190" i="86"/>
  <c r="AK190" i="86"/>
  <c r="AG191" i="86"/>
  <c r="AH191" i="86"/>
  <c r="AI191" i="86"/>
  <c r="AJ191" i="86"/>
  <c r="AK191" i="86"/>
  <c r="AG192" i="86"/>
  <c r="AH192" i="86"/>
  <c r="AI192" i="86"/>
  <c r="AJ192" i="86"/>
  <c r="AK192" i="86"/>
  <c r="AG193" i="86"/>
  <c r="AH193" i="86"/>
  <c r="AI193" i="86"/>
  <c r="AJ193" i="86"/>
  <c r="AK193" i="86"/>
  <c r="AG194" i="86"/>
  <c r="AH194" i="86"/>
  <c r="AI194" i="86"/>
  <c r="AJ194" i="86"/>
  <c r="AK194" i="86"/>
  <c r="AG195" i="86"/>
  <c r="AH195" i="86"/>
  <c r="AI195" i="86"/>
  <c r="AJ195" i="86"/>
  <c r="AK195" i="86"/>
  <c r="AG196" i="86"/>
  <c r="AH196" i="86"/>
  <c r="AI196" i="86"/>
  <c r="AJ196" i="86"/>
  <c r="AK196" i="86"/>
  <c r="AG197" i="86"/>
  <c r="AH197" i="86"/>
  <c r="AI197" i="86"/>
  <c r="AJ197" i="86"/>
  <c r="AK197" i="86"/>
  <c r="AG198" i="86"/>
  <c r="AH198" i="86"/>
  <c r="AI198" i="86"/>
  <c r="AJ198" i="86"/>
  <c r="AK198" i="86"/>
  <c r="AG199" i="86"/>
  <c r="AH199" i="86"/>
  <c r="AI199" i="86"/>
  <c r="AJ199" i="86"/>
  <c r="AK199" i="86"/>
  <c r="AG200" i="86"/>
  <c r="AH200" i="86"/>
  <c r="AI200" i="86"/>
  <c r="AJ200" i="86"/>
  <c r="AK200" i="86"/>
  <c r="AG201" i="86"/>
  <c r="AH201" i="86"/>
  <c r="AI201" i="86"/>
  <c r="AJ201" i="86"/>
  <c r="AK201" i="86"/>
  <c r="AG202" i="86"/>
  <c r="AH202" i="86"/>
  <c r="AI202" i="86"/>
  <c r="AJ202" i="86"/>
  <c r="AK202" i="86"/>
  <c r="AG203" i="86"/>
  <c r="AH203" i="86"/>
  <c r="AI203" i="86"/>
  <c r="AJ203" i="86"/>
  <c r="AK203" i="86"/>
  <c r="AG204" i="86"/>
  <c r="AH204" i="86"/>
  <c r="AI204" i="86"/>
  <c r="AJ204" i="86"/>
  <c r="AK204" i="86"/>
  <c r="AG205" i="86"/>
  <c r="AH205" i="86"/>
  <c r="AI205" i="86"/>
  <c r="AJ205" i="86"/>
  <c r="AK205" i="86"/>
  <c r="AG206" i="86"/>
  <c r="AH206" i="86"/>
  <c r="AI206" i="86"/>
  <c r="AJ206" i="86"/>
  <c r="AK206" i="86"/>
  <c r="AG207" i="86"/>
  <c r="AH207" i="86"/>
  <c r="AI207" i="86"/>
  <c r="AJ207" i="86"/>
  <c r="AK207" i="86"/>
  <c r="AG208" i="86"/>
  <c r="AH208" i="86"/>
  <c r="AI208" i="86"/>
  <c r="AJ208" i="86"/>
  <c r="AK208" i="86"/>
  <c r="AG209" i="86"/>
  <c r="AH209" i="86"/>
  <c r="AI209" i="86"/>
  <c r="AJ209" i="86"/>
  <c r="AK209" i="86"/>
  <c r="AG210" i="86"/>
  <c r="AH210" i="86"/>
  <c r="AI210" i="86"/>
  <c r="AJ210" i="86"/>
  <c r="AK210" i="86"/>
  <c r="AG211" i="86"/>
  <c r="AH211" i="86"/>
  <c r="AI211" i="86"/>
  <c r="AJ211" i="86"/>
  <c r="AK211" i="86"/>
  <c r="AG212" i="86"/>
  <c r="AH212" i="86"/>
  <c r="AI212" i="86"/>
  <c r="AJ212" i="86"/>
  <c r="AK212" i="86"/>
  <c r="AG213" i="86"/>
  <c r="AH213" i="86"/>
  <c r="AI213" i="86"/>
  <c r="AJ213" i="86"/>
  <c r="AK213" i="86"/>
  <c r="AG214" i="86"/>
  <c r="AH214" i="86"/>
  <c r="AI214" i="86"/>
  <c r="AJ214" i="86"/>
  <c r="AK214" i="86"/>
  <c r="AG215" i="86"/>
  <c r="AH215" i="86"/>
  <c r="AI215" i="86"/>
  <c r="AJ215" i="86"/>
  <c r="AK215" i="86"/>
  <c r="AG216" i="86"/>
  <c r="AH216" i="86"/>
  <c r="AI216" i="86"/>
  <c r="AJ216" i="86"/>
  <c r="AK216" i="86"/>
  <c r="AG217" i="86"/>
  <c r="AH217" i="86"/>
  <c r="AI217" i="86"/>
  <c r="AJ217" i="86"/>
  <c r="AK217" i="86"/>
  <c r="AG218" i="86"/>
  <c r="AH218" i="86"/>
  <c r="AI218" i="86"/>
  <c r="AJ218" i="86"/>
  <c r="AK218" i="86"/>
  <c r="AG219" i="86"/>
  <c r="AH219" i="86"/>
  <c r="AI219" i="86"/>
  <c r="AJ219" i="86"/>
  <c r="AK219" i="86"/>
  <c r="AG220" i="86"/>
  <c r="AH220" i="86"/>
  <c r="AI220" i="86"/>
  <c r="AJ220" i="86"/>
  <c r="AK220" i="86"/>
  <c r="AG221" i="86"/>
  <c r="AH221" i="86"/>
  <c r="AI221" i="86"/>
  <c r="AJ221" i="86"/>
  <c r="AK221" i="86"/>
  <c r="AG222" i="86"/>
  <c r="AH222" i="86"/>
  <c r="AI222" i="86"/>
  <c r="AJ222" i="86"/>
  <c r="AK222" i="86"/>
  <c r="AG223" i="86"/>
  <c r="AH223" i="86"/>
  <c r="AI223" i="86"/>
  <c r="AJ223" i="86"/>
  <c r="AK223" i="86"/>
  <c r="AG224" i="86"/>
  <c r="AH224" i="86"/>
  <c r="AI224" i="86"/>
  <c r="AJ224" i="86"/>
  <c r="AK224" i="86"/>
  <c r="AG225" i="86"/>
  <c r="AH225" i="86"/>
  <c r="AI225" i="86"/>
  <c r="AJ225" i="86"/>
  <c r="AK225" i="86"/>
  <c r="AG226" i="86"/>
  <c r="AH226" i="86"/>
  <c r="AI226" i="86"/>
  <c r="AJ226" i="86"/>
  <c r="AK226" i="86"/>
  <c r="AG227" i="86"/>
  <c r="AH227" i="86"/>
  <c r="AI227" i="86"/>
  <c r="AJ227" i="86"/>
  <c r="AK227" i="86"/>
  <c r="AG228" i="86"/>
  <c r="AH228" i="86"/>
  <c r="AI228" i="86"/>
  <c r="AJ228" i="86"/>
  <c r="AK228" i="86"/>
  <c r="AG229" i="86"/>
  <c r="AH229" i="86"/>
  <c r="AI229" i="86"/>
  <c r="AJ229" i="86"/>
  <c r="AK229" i="86"/>
  <c r="AG230" i="86"/>
  <c r="AH230" i="86"/>
  <c r="AI230" i="86"/>
  <c r="AJ230" i="86"/>
  <c r="AK230" i="86"/>
  <c r="AG231" i="86"/>
  <c r="AH231" i="86"/>
  <c r="AI231" i="86"/>
  <c r="AJ231" i="86"/>
  <c r="AK231" i="86"/>
  <c r="AG232" i="86"/>
  <c r="AH232" i="86"/>
  <c r="AI232" i="86"/>
  <c r="AJ232" i="86"/>
  <c r="AK232" i="86"/>
  <c r="AG233" i="86"/>
  <c r="AH233" i="86"/>
  <c r="AI233" i="86"/>
  <c r="AJ233" i="86"/>
  <c r="AK233" i="86"/>
  <c r="AG234" i="86"/>
  <c r="AH234" i="86"/>
  <c r="AI234" i="86"/>
  <c r="AJ234" i="86"/>
  <c r="AK234" i="86"/>
  <c r="AG235" i="86"/>
  <c r="AH235" i="86"/>
  <c r="AI235" i="86"/>
  <c r="AJ235" i="86"/>
  <c r="AK235" i="86"/>
  <c r="AG236" i="86"/>
  <c r="AH236" i="86"/>
  <c r="AI236" i="86"/>
  <c r="AJ236" i="86"/>
  <c r="AK236" i="86"/>
  <c r="AG237" i="86"/>
  <c r="AH237" i="86"/>
  <c r="AI237" i="86"/>
  <c r="AJ237" i="86"/>
  <c r="AK237" i="86"/>
  <c r="AG238" i="86"/>
  <c r="AH238" i="86"/>
  <c r="AI238" i="86"/>
  <c r="AJ238" i="86"/>
  <c r="AK238" i="86"/>
  <c r="AG239" i="86"/>
  <c r="AH239" i="86"/>
  <c r="AI239" i="86"/>
  <c r="AJ239" i="86"/>
  <c r="AK239" i="86"/>
  <c r="AG240" i="86"/>
  <c r="AH240" i="86"/>
  <c r="AI240" i="86"/>
  <c r="AJ240" i="86"/>
  <c r="AK240" i="86"/>
  <c r="AG241" i="86"/>
  <c r="AH241" i="86"/>
  <c r="AI241" i="86"/>
  <c r="AJ241" i="86"/>
  <c r="AK241" i="86"/>
  <c r="AG242" i="86"/>
  <c r="AH242" i="86"/>
  <c r="AI242" i="86"/>
  <c r="AJ242" i="86"/>
  <c r="AK242" i="86"/>
  <c r="AG243" i="86"/>
  <c r="AH243" i="86"/>
  <c r="AI243" i="86"/>
  <c r="AJ243" i="86"/>
  <c r="AK243" i="86"/>
  <c r="AG244" i="86"/>
  <c r="AH244" i="86"/>
  <c r="AI244" i="86"/>
  <c r="AJ244" i="86"/>
  <c r="AK244" i="86"/>
  <c r="AG245" i="86"/>
  <c r="AH245" i="86"/>
  <c r="AI245" i="86"/>
  <c r="AJ245" i="86"/>
  <c r="AK245" i="86"/>
  <c r="AG246" i="86"/>
  <c r="AH246" i="86"/>
  <c r="AI246" i="86"/>
  <c r="AJ246" i="86"/>
  <c r="AK246" i="86"/>
  <c r="AG247" i="86"/>
  <c r="AH247" i="86"/>
  <c r="AI247" i="86"/>
  <c r="AJ247" i="86"/>
  <c r="AK247" i="86"/>
  <c r="AG248" i="86"/>
  <c r="AH248" i="86"/>
  <c r="AI248" i="86"/>
  <c r="AJ248" i="86"/>
  <c r="AK248" i="86"/>
  <c r="AG249" i="86"/>
  <c r="AH249" i="86"/>
  <c r="AI249" i="86"/>
  <c r="AJ249" i="86"/>
  <c r="AK249" i="86"/>
  <c r="AG250" i="86"/>
  <c r="AH250" i="86"/>
  <c r="AI250" i="86"/>
  <c r="AJ250" i="86"/>
  <c r="AK250" i="86"/>
  <c r="AG251" i="86"/>
  <c r="AH251" i="86"/>
  <c r="AI251" i="86"/>
  <c r="AJ251" i="86"/>
  <c r="AK251" i="86"/>
  <c r="AG252" i="86"/>
  <c r="AH252" i="86"/>
  <c r="AI252" i="86"/>
  <c r="AJ252" i="86"/>
  <c r="AK252" i="86"/>
  <c r="AG253" i="86"/>
  <c r="AH253" i="86"/>
  <c r="AI253" i="86"/>
  <c r="AJ253" i="86"/>
  <c r="AK253" i="86"/>
  <c r="AG254" i="86"/>
  <c r="AH254" i="86"/>
  <c r="AI254" i="86"/>
  <c r="AJ254" i="86"/>
  <c r="AK254" i="86"/>
  <c r="AG255" i="86"/>
  <c r="AH255" i="86"/>
  <c r="AI255" i="86"/>
  <c r="AJ255" i="86"/>
  <c r="AK255" i="86"/>
  <c r="AG256" i="86"/>
  <c r="AH256" i="86"/>
  <c r="AI256" i="86"/>
  <c r="AJ256" i="86"/>
  <c r="AK256" i="86"/>
  <c r="AG257" i="86"/>
  <c r="AH257" i="86"/>
  <c r="AI257" i="86"/>
  <c r="AJ257" i="86"/>
  <c r="AK257" i="86"/>
  <c r="AG258" i="86"/>
  <c r="AH258" i="86"/>
  <c r="AI258" i="86"/>
  <c r="AJ258" i="86"/>
  <c r="AK258" i="86"/>
  <c r="AG259" i="86"/>
  <c r="AH259" i="86"/>
  <c r="AI259" i="86"/>
  <c r="AJ259" i="86"/>
  <c r="AK259" i="86"/>
  <c r="AG260" i="86"/>
  <c r="AH260" i="86"/>
  <c r="AI260" i="86"/>
  <c r="AJ260" i="86"/>
  <c r="AK260" i="86"/>
  <c r="AG261" i="86"/>
  <c r="AH261" i="86"/>
  <c r="AI261" i="86"/>
  <c r="AJ261" i="86"/>
  <c r="AK261" i="86"/>
  <c r="AG262" i="86"/>
  <c r="AH262" i="86"/>
  <c r="AI262" i="86"/>
  <c r="AJ262" i="86"/>
  <c r="AK262" i="86"/>
  <c r="AG263" i="86"/>
  <c r="AH263" i="86"/>
  <c r="AI263" i="86"/>
  <c r="AJ263" i="86"/>
  <c r="AK263" i="86"/>
  <c r="AG264" i="86"/>
  <c r="AH264" i="86"/>
  <c r="AI264" i="86"/>
  <c r="AJ264" i="86"/>
  <c r="AK264" i="86"/>
  <c r="AG265" i="86"/>
  <c r="AH265" i="86"/>
  <c r="AI265" i="86"/>
  <c r="AJ265" i="86"/>
  <c r="AK265" i="86"/>
  <c r="AG266" i="86"/>
  <c r="AH266" i="86"/>
  <c r="AI266" i="86"/>
  <c r="AJ266" i="86"/>
  <c r="AK266" i="86"/>
  <c r="AG267" i="86"/>
  <c r="AH267" i="86"/>
  <c r="AI267" i="86"/>
  <c r="AJ267" i="86"/>
  <c r="AK267" i="86"/>
  <c r="AG268" i="86"/>
  <c r="AH268" i="86"/>
  <c r="AI268" i="86"/>
  <c r="AJ268" i="86"/>
  <c r="AK268" i="86"/>
  <c r="AG269" i="86"/>
  <c r="AH269" i="86"/>
  <c r="AI269" i="86"/>
  <c r="AJ269" i="86"/>
  <c r="AK269" i="86"/>
  <c r="AG270" i="86"/>
  <c r="AH270" i="86"/>
  <c r="AI270" i="86"/>
  <c r="AJ270" i="86"/>
  <c r="AK270" i="86"/>
  <c r="AG271" i="86"/>
  <c r="AH271" i="86"/>
  <c r="AI271" i="86"/>
  <c r="AJ271" i="86"/>
  <c r="AK271" i="86"/>
  <c r="AG272" i="86"/>
  <c r="AH272" i="86"/>
  <c r="AI272" i="86"/>
  <c r="AJ272" i="86"/>
  <c r="AK272" i="86"/>
  <c r="AG273" i="86"/>
  <c r="AH273" i="86"/>
  <c r="AI273" i="86"/>
  <c r="AJ273" i="86"/>
  <c r="AK273" i="86"/>
  <c r="AG274" i="86"/>
  <c r="AH274" i="86"/>
  <c r="AI274" i="86"/>
  <c r="AJ274" i="86"/>
  <c r="AK274" i="86"/>
  <c r="AG275" i="86"/>
  <c r="AH275" i="86"/>
  <c r="AI275" i="86"/>
  <c r="AJ275" i="86"/>
  <c r="AK275" i="86"/>
  <c r="AG276" i="86"/>
  <c r="AH276" i="86"/>
  <c r="AI276" i="86"/>
  <c r="AJ276" i="86"/>
  <c r="AK276" i="86"/>
  <c r="AG277" i="86"/>
  <c r="AH277" i="86"/>
  <c r="AI277" i="86"/>
  <c r="AJ277" i="86"/>
  <c r="AK277" i="86"/>
  <c r="AG278" i="86"/>
  <c r="AH278" i="86"/>
  <c r="AI278" i="86"/>
  <c r="AJ278" i="86"/>
  <c r="AK278" i="86"/>
  <c r="AG279" i="86"/>
  <c r="AH279" i="86"/>
  <c r="AI279" i="86"/>
  <c r="AJ279" i="86"/>
  <c r="AK279" i="86"/>
  <c r="AG280" i="86"/>
  <c r="AH280" i="86"/>
  <c r="AI280" i="86"/>
  <c r="AJ280" i="86"/>
  <c r="AK280" i="86"/>
  <c r="AG281" i="86"/>
  <c r="AH281" i="86"/>
  <c r="AI281" i="86"/>
  <c r="AJ281" i="86"/>
  <c r="AK281" i="86"/>
  <c r="AG282" i="86"/>
  <c r="AH282" i="86"/>
  <c r="AI282" i="86"/>
  <c r="AJ282" i="86"/>
  <c r="AK282" i="86"/>
  <c r="AG283" i="86"/>
  <c r="AH283" i="86"/>
  <c r="AI283" i="86"/>
  <c r="AJ283" i="86"/>
  <c r="AK283" i="86"/>
  <c r="AG284" i="86"/>
  <c r="AH284" i="86"/>
  <c r="AI284" i="86"/>
  <c r="AJ284" i="86"/>
  <c r="AK284" i="86"/>
  <c r="AG285" i="86"/>
  <c r="AH285" i="86"/>
  <c r="AI285" i="86"/>
  <c r="AJ285" i="86"/>
  <c r="AK285" i="86"/>
  <c r="AG286" i="86"/>
  <c r="AH286" i="86"/>
  <c r="AI286" i="86"/>
  <c r="AJ286" i="86"/>
  <c r="AK286" i="86"/>
  <c r="AG287" i="86"/>
  <c r="AH287" i="86"/>
  <c r="AI287" i="86"/>
  <c r="AJ287" i="86"/>
  <c r="AK287" i="86"/>
  <c r="AG288" i="86"/>
  <c r="AH288" i="86"/>
  <c r="AI288" i="86"/>
  <c r="AJ288" i="86"/>
  <c r="AK288" i="86"/>
  <c r="AG289" i="86"/>
  <c r="AH289" i="86"/>
  <c r="AI289" i="86"/>
  <c r="AJ289" i="86"/>
  <c r="AK289" i="86"/>
  <c r="AG290" i="86"/>
  <c r="AH290" i="86"/>
  <c r="AI290" i="86"/>
  <c r="AJ290" i="86"/>
  <c r="AK290" i="86"/>
  <c r="AG291" i="86"/>
  <c r="AH291" i="86"/>
  <c r="AI291" i="86"/>
  <c r="AJ291" i="86"/>
  <c r="AK291" i="86"/>
  <c r="AG292" i="86"/>
  <c r="AH292" i="86"/>
  <c r="AI292" i="86"/>
  <c r="AJ292" i="86"/>
  <c r="AK292" i="86"/>
  <c r="AG293" i="86"/>
  <c r="AH293" i="86"/>
  <c r="AI293" i="86"/>
  <c r="AJ293" i="86"/>
  <c r="AK293" i="86"/>
  <c r="AG294" i="86"/>
  <c r="AH294" i="86"/>
  <c r="AI294" i="86"/>
  <c r="AJ294" i="86"/>
  <c r="AK294" i="86"/>
  <c r="AG295" i="86"/>
  <c r="AH295" i="86"/>
  <c r="AI295" i="86"/>
  <c r="AJ295" i="86"/>
  <c r="AK295" i="86"/>
  <c r="AG296" i="86"/>
  <c r="AH296" i="86"/>
  <c r="AI296" i="86"/>
  <c r="AJ296" i="86"/>
  <c r="AK296" i="86"/>
  <c r="AG297" i="86"/>
  <c r="AH297" i="86"/>
  <c r="AI297" i="86"/>
  <c r="AJ297" i="86"/>
  <c r="AK297" i="86"/>
  <c r="AG298" i="86"/>
  <c r="AH298" i="86"/>
  <c r="AI298" i="86"/>
  <c r="AJ298" i="86"/>
  <c r="AK298" i="86"/>
  <c r="AG299" i="86"/>
  <c r="AH299" i="86"/>
  <c r="AI299" i="86"/>
  <c r="AJ299" i="86"/>
  <c r="AK299" i="86"/>
  <c r="AG300" i="86"/>
  <c r="AH300" i="86"/>
  <c r="AI300" i="86"/>
  <c r="AJ300" i="86"/>
  <c r="AK300" i="86"/>
  <c r="AG301" i="86"/>
  <c r="AH301" i="86"/>
  <c r="AI301" i="86"/>
  <c r="AJ301" i="86"/>
  <c r="AK301" i="86"/>
  <c r="AG302" i="86"/>
  <c r="AH302" i="86"/>
  <c r="AI302" i="86"/>
  <c r="AJ302" i="86"/>
  <c r="AK302" i="86"/>
  <c r="AG303" i="86"/>
  <c r="AH303" i="86"/>
  <c r="AI303" i="86"/>
  <c r="AJ303" i="86"/>
  <c r="AK303" i="86"/>
  <c r="AG304" i="86"/>
  <c r="AH304" i="86"/>
  <c r="AI304" i="86"/>
  <c r="AJ304" i="86"/>
  <c r="AK304" i="86"/>
  <c r="AG305" i="86"/>
  <c r="AH305" i="86"/>
  <c r="AI305" i="86"/>
  <c r="AJ305" i="86"/>
  <c r="AK305" i="86"/>
  <c r="AG306" i="86"/>
  <c r="AH306" i="86"/>
  <c r="AI306" i="86"/>
  <c r="AJ306" i="86"/>
  <c r="AK306" i="86"/>
  <c r="AG307" i="86"/>
  <c r="AH307" i="86"/>
  <c r="AI307" i="86"/>
  <c r="AJ307" i="86"/>
  <c r="AK307" i="86"/>
  <c r="AG308" i="86"/>
  <c r="AH308" i="86"/>
  <c r="AI308" i="86"/>
  <c r="AJ308" i="86"/>
  <c r="AK308" i="86"/>
  <c r="AG309" i="86"/>
  <c r="AH309" i="86"/>
  <c r="AI309" i="86"/>
  <c r="AJ309" i="86"/>
  <c r="AK309" i="86"/>
  <c r="AG310" i="86"/>
  <c r="AH310" i="86"/>
  <c r="AI310" i="86"/>
  <c r="AJ310" i="86"/>
  <c r="AK310" i="86"/>
  <c r="AG311" i="86"/>
  <c r="AH311" i="86"/>
  <c r="AI311" i="86"/>
  <c r="AJ311" i="86"/>
  <c r="AK311" i="86"/>
  <c r="AG312" i="86"/>
  <c r="AH312" i="86"/>
  <c r="AI312" i="86"/>
  <c r="AJ312" i="86"/>
  <c r="AK312" i="86"/>
  <c r="AG313" i="86"/>
  <c r="AH313" i="86"/>
  <c r="AI313" i="86"/>
  <c r="AJ313" i="86"/>
  <c r="AK313" i="86"/>
  <c r="AG314" i="86"/>
  <c r="AH314" i="86"/>
  <c r="AI314" i="86"/>
  <c r="AJ314" i="86"/>
  <c r="AK314" i="86"/>
  <c r="AG315" i="86"/>
  <c r="AH315" i="86"/>
  <c r="AI315" i="86"/>
  <c r="AJ315" i="86"/>
  <c r="AK315" i="86"/>
  <c r="AG316" i="86"/>
  <c r="AH316" i="86"/>
  <c r="AI316" i="86"/>
  <c r="AJ316" i="86"/>
  <c r="AK316" i="86"/>
  <c r="AG317" i="86"/>
  <c r="AH317" i="86"/>
  <c r="AI317" i="86"/>
  <c r="AJ317" i="86"/>
  <c r="AK317" i="86"/>
  <c r="AG318" i="86"/>
  <c r="AH318" i="86"/>
  <c r="AI318" i="86"/>
  <c r="AJ318" i="86"/>
  <c r="AK318" i="86"/>
  <c r="AG319" i="86"/>
  <c r="AH319" i="86"/>
  <c r="AI319" i="86"/>
  <c r="AJ319" i="86"/>
  <c r="AK319" i="86"/>
  <c r="AG320" i="86"/>
  <c r="AH320" i="86"/>
  <c r="AI320" i="86"/>
  <c r="AJ320" i="86"/>
  <c r="AK320" i="86"/>
  <c r="AG321" i="86"/>
  <c r="AH321" i="86"/>
  <c r="AI321" i="86"/>
  <c r="AJ321" i="86"/>
  <c r="AK321" i="86"/>
  <c r="AG322" i="86"/>
  <c r="AH322" i="86"/>
  <c r="AI322" i="86"/>
  <c r="AJ322" i="86"/>
  <c r="AK322" i="86"/>
  <c r="AG323" i="86"/>
  <c r="AH323" i="86"/>
  <c r="AI323" i="86"/>
  <c r="AJ323" i="86"/>
  <c r="AK323" i="86"/>
  <c r="AG324" i="86"/>
  <c r="AH324" i="86"/>
  <c r="AI324" i="86"/>
  <c r="AJ324" i="86"/>
  <c r="AK324" i="86"/>
  <c r="AG325" i="86"/>
  <c r="AH325" i="86"/>
  <c r="AI325" i="86"/>
  <c r="AJ325" i="86"/>
  <c r="AK325" i="86"/>
  <c r="AG326" i="86"/>
  <c r="AH326" i="86"/>
  <c r="AI326" i="86"/>
  <c r="AJ326" i="86"/>
  <c r="AK326" i="86"/>
  <c r="AG327" i="86"/>
  <c r="AH327" i="86"/>
  <c r="AI327" i="86"/>
  <c r="AJ327" i="86"/>
  <c r="AK327" i="86"/>
  <c r="AG328" i="86"/>
  <c r="AH328" i="86"/>
  <c r="AI328" i="86"/>
  <c r="AJ328" i="86"/>
  <c r="AK328" i="86"/>
  <c r="AG329" i="86"/>
  <c r="AH329" i="86"/>
  <c r="AI329" i="86"/>
  <c r="AJ329" i="86"/>
  <c r="AK329" i="86"/>
  <c r="AG330" i="86"/>
  <c r="AH330" i="86"/>
  <c r="AI330" i="86"/>
  <c r="AJ330" i="86"/>
  <c r="AK330" i="86"/>
  <c r="AG331" i="86"/>
  <c r="AH331" i="86"/>
  <c r="AI331" i="86"/>
  <c r="AJ331" i="86"/>
  <c r="AK331" i="86"/>
  <c r="AG332" i="86"/>
  <c r="AH332" i="86"/>
  <c r="AI332" i="86"/>
  <c r="AJ332" i="86"/>
  <c r="AK332" i="86"/>
  <c r="AG333" i="86"/>
  <c r="AH333" i="86"/>
  <c r="AI333" i="86"/>
  <c r="AJ333" i="86"/>
  <c r="AK333" i="86"/>
  <c r="AG334" i="86"/>
  <c r="AH334" i="86"/>
  <c r="AI334" i="86"/>
  <c r="AJ334" i="86"/>
  <c r="AK334" i="86"/>
  <c r="AG335" i="86"/>
  <c r="AH335" i="86"/>
  <c r="AI335" i="86"/>
  <c r="AJ335" i="86"/>
  <c r="AK335" i="86"/>
  <c r="AG336" i="86"/>
  <c r="AH336" i="86"/>
  <c r="AI336" i="86"/>
  <c r="AJ336" i="86"/>
  <c r="AK336" i="86"/>
  <c r="AG337" i="86"/>
  <c r="AH337" i="86"/>
  <c r="AI337" i="86"/>
  <c r="AJ337" i="86"/>
  <c r="AK337" i="86"/>
  <c r="AG338" i="86"/>
  <c r="AH338" i="86"/>
  <c r="AI338" i="86"/>
  <c r="AJ338" i="86"/>
  <c r="AK338" i="86"/>
  <c r="AG339" i="86"/>
  <c r="AH339" i="86"/>
  <c r="AI339" i="86"/>
  <c r="AJ339" i="86"/>
  <c r="AK339" i="86"/>
  <c r="AG340" i="86"/>
  <c r="AH340" i="86"/>
  <c r="AI340" i="86"/>
  <c r="AJ340" i="86"/>
  <c r="AK340" i="86"/>
  <c r="AG341" i="86"/>
  <c r="AH341" i="86"/>
  <c r="AI341" i="86"/>
  <c r="AJ341" i="86"/>
  <c r="AK341" i="86"/>
  <c r="AG342" i="86"/>
  <c r="AH342" i="86"/>
  <c r="AI342" i="86"/>
  <c r="AJ342" i="86"/>
  <c r="AK342" i="86"/>
  <c r="AG343" i="86"/>
  <c r="AH343" i="86"/>
  <c r="AI343" i="86"/>
  <c r="AJ343" i="86"/>
  <c r="AK343" i="86"/>
  <c r="AG344" i="86"/>
  <c r="AH344" i="86"/>
  <c r="AI344" i="86"/>
  <c r="AJ344" i="86"/>
  <c r="AK344" i="86"/>
  <c r="AG345" i="86"/>
  <c r="AH345" i="86"/>
  <c r="AI345" i="86"/>
  <c r="AJ345" i="86"/>
  <c r="AK345" i="86"/>
  <c r="AG346" i="86"/>
  <c r="AH346" i="86"/>
  <c r="AI346" i="86"/>
  <c r="AJ346" i="86"/>
  <c r="AK346" i="86"/>
  <c r="AG347" i="86"/>
  <c r="AH347" i="86"/>
  <c r="AI347" i="86"/>
  <c r="AJ347" i="86"/>
  <c r="AK347" i="86"/>
  <c r="AG348" i="86"/>
  <c r="AH348" i="86"/>
  <c r="AI348" i="86"/>
  <c r="AJ348" i="86"/>
  <c r="AK348" i="86"/>
  <c r="AG349" i="86"/>
  <c r="AH349" i="86"/>
  <c r="AI349" i="86"/>
  <c r="AJ349" i="86"/>
  <c r="AK349" i="86"/>
  <c r="AG350" i="86"/>
  <c r="AH350" i="86"/>
  <c r="AI350" i="86"/>
  <c r="AJ350" i="86"/>
  <c r="AK350" i="86"/>
  <c r="AG351" i="86"/>
  <c r="AH351" i="86"/>
  <c r="AI351" i="86"/>
  <c r="AJ351" i="86"/>
  <c r="AK351" i="86"/>
  <c r="AG352" i="86"/>
  <c r="AH352" i="86"/>
  <c r="AI352" i="86"/>
  <c r="AJ352" i="86"/>
  <c r="AK352" i="86"/>
  <c r="AG353" i="86"/>
  <c r="AH353" i="86"/>
  <c r="AI353" i="86"/>
  <c r="AJ353" i="86"/>
  <c r="AK353" i="86"/>
  <c r="AG354" i="86"/>
  <c r="AH354" i="86"/>
  <c r="AI354" i="86"/>
  <c r="AJ354" i="86"/>
  <c r="AK354" i="86"/>
  <c r="AG355" i="86"/>
  <c r="AH355" i="86"/>
  <c r="AI355" i="86"/>
  <c r="AJ355" i="86"/>
  <c r="AK355" i="86"/>
  <c r="AG356" i="86"/>
  <c r="AH356" i="86"/>
  <c r="AI356" i="86"/>
  <c r="AJ356" i="86"/>
  <c r="AK356" i="86"/>
  <c r="AG357" i="86"/>
  <c r="AH357" i="86"/>
  <c r="AI357" i="86"/>
  <c r="AJ357" i="86"/>
  <c r="AK357" i="86"/>
  <c r="AG358" i="86"/>
  <c r="AH358" i="86"/>
  <c r="AI358" i="86"/>
  <c r="AJ358" i="86"/>
  <c r="AK358" i="86"/>
  <c r="AG359" i="86"/>
  <c r="AH359" i="86"/>
  <c r="AI359" i="86"/>
  <c r="AJ359" i="86"/>
  <c r="AK359" i="86"/>
  <c r="AG360" i="86"/>
  <c r="AH360" i="86"/>
  <c r="AI360" i="86"/>
  <c r="AJ360" i="86"/>
  <c r="AK360" i="86"/>
  <c r="AG361" i="86"/>
  <c r="AH361" i="86"/>
  <c r="AI361" i="86"/>
  <c r="AJ361" i="86"/>
  <c r="AK361" i="86"/>
  <c r="AG362" i="86"/>
  <c r="AH362" i="86"/>
  <c r="AI362" i="86"/>
  <c r="AJ362" i="86"/>
  <c r="AK362" i="86"/>
  <c r="AG363" i="86"/>
  <c r="AH363" i="86"/>
  <c r="AI363" i="86"/>
  <c r="AJ363" i="86"/>
  <c r="AK363" i="86"/>
  <c r="AG364" i="86"/>
  <c r="AH364" i="86"/>
  <c r="AI364" i="86"/>
  <c r="AJ364" i="86"/>
  <c r="AK364" i="86"/>
  <c r="AG365" i="86"/>
  <c r="AH365" i="86"/>
  <c r="AI365" i="86"/>
  <c r="AJ365" i="86"/>
  <c r="AK365" i="86"/>
  <c r="AG366" i="86"/>
  <c r="AH366" i="86"/>
  <c r="AI366" i="86"/>
  <c r="AJ366" i="86"/>
  <c r="AK366" i="86"/>
  <c r="AG367" i="86"/>
  <c r="AH367" i="86"/>
  <c r="AI367" i="86"/>
  <c r="AJ367" i="86"/>
  <c r="AK367" i="86"/>
  <c r="AG368" i="86"/>
  <c r="AH368" i="86"/>
  <c r="AI368" i="86"/>
  <c r="AJ368" i="86"/>
  <c r="AK368" i="86"/>
  <c r="AG369" i="86"/>
  <c r="AH369" i="86"/>
  <c r="AI369" i="86"/>
  <c r="AJ369" i="86"/>
  <c r="AK369" i="86"/>
  <c r="AG370" i="86"/>
  <c r="AH370" i="86"/>
  <c r="AI370" i="86"/>
  <c r="AJ370" i="86"/>
  <c r="AK370" i="86"/>
  <c r="AG371" i="86"/>
  <c r="AH371" i="86"/>
  <c r="AI371" i="86"/>
  <c r="AJ371" i="86"/>
  <c r="AK371" i="86"/>
  <c r="AG372" i="86"/>
  <c r="AH372" i="86"/>
  <c r="AI372" i="86"/>
  <c r="AJ372" i="86"/>
  <c r="AK372" i="86"/>
  <c r="AG373" i="86"/>
  <c r="AH373" i="86"/>
  <c r="AI373" i="86"/>
  <c r="AJ373" i="86"/>
  <c r="AK373" i="86"/>
  <c r="AG374" i="86"/>
  <c r="AH374" i="86"/>
  <c r="AI374" i="86"/>
  <c r="AJ374" i="86"/>
  <c r="AK374" i="86"/>
  <c r="AG375" i="86"/>
  <c r="AH375" i="86"/>
  <c r="AI375" i="86"/>
  <c r="AJ375" i="86"/>
  <c r="AK375" i="86"/>
  <c r="AG376" i="86"/>
  <c r="AH376" i="86"/>
  <c r="AI376" i="86"/>
  <c r="AJ376" i="86"/>
  <c r="AK376" i="86"/>
  <c r="AG377" i="86"/>
  <c r="AH377" i="86"/>
  <c r="AI377" i="86"/>
  <c r="AJ377" i="86"/>
  <c r="AK377" i="86"/>
  <c r="AG378" i="86"/>
  <c r="AH378" i="86"/>
  <c r="AI378" i="86"/>
  <c r="AJ378" i="86"/>
  <c r="AK378" i="86"/>
  <c r="AG379" i="86"/>
  <c r="AH379" i="86"/>
  <c r="AI379" i="86"/>
  <c r="AJ379" i="86"/>
  <c r="AK379" i="86"/>
  <c r="AG380" i="86"/>
  <c r="AH380" i="86"/>
  <c r="AI380" i="86"/>
  <c r="AJ380" i="86"/>
  <c r="AK380" i="86"/>
  <c r="AG381" i="86"/>
  <c r="AH381" i="86"/>
  <c r="AI381" i="86"/>
  <c r="AJ381" i="86"/>
  <c r="AK381" i="86"/>
  <c r="AG382" i="86"/>
  <c r="AH382" i="86"/>
  <c r="AI382" i="86"/>
  <c r="AJ382" i="86"/>
  <c r="AK382" i="86"/>
  <c r="AG383" i="86"/>
  <c r="AH383" i="86"/>
  <c r="AI383" i="86"/>
  <c r="AJ383" i="86"/>
  <c r="AK383" i="86"/>
  <c r="AG384" i="86"/>
  <c r="AH384" i="86"/>
  <c r="AI384" i="86"/>
  <c r="AJ384" i="86"/>
  <c r="AK384" i="86"/>
  <c r="AG385" i="86"/>
  <c r="AH385" i="86"/>
  <c r="AI385" i="86"/>
  <c r="AJ385" i="86"/>
  <c r="AK385" i="86"/>
  <c r="AG386" i="86"/>
  <c r="AH386" i="86"/>
  <c r="AI386" i="86"/>
  <c r="AJ386" i="86"/>
  <c r="AK386" i="86"/>
  <c r="AG387" i="86"/>
  <c r="AH387" i="86"/>
  <c r="AI387" i="86"/>
  <c r="AJ387" i="86"/>
  <c r="AK387" i="86"/>
  <c r="AG388" i="86"/>
  <c r="AH388" i="86"/>
  <c r="AI388" i="86"/>
  <c r="AJ388" i="86"/>
  <c r="AK388" i="86"/>
  <c r="AG389" i="86"/>
  <c r="AH389" i="86"/>
  <c r="AI389" i="86"/>
  <c r="AJ389" i="86"/>
  <c r="AK389" i="86"/>
  <c r="AG390" i="86"/>
  <c r="AH390" i="86"/>
  <c r="AI390" i="86"/>
  <c r="AJ390" i="86"/>
  <c r="AK390" i="86"/>
  <c r="AG391" i="86"/>
  <c r="AH391" i="86"/>
  <c r="AI391" i="86"/>
  <c r="AJ391" i="86"/>
  <c r="AK391" i="86"/>
  <c r="AG392" i="86"/>
  <c r="AH392" i="86"/>
  <c r="AI392" i="86"/>
  <c r="AJ392" i="86"/>
  <c r="AK392" i="86"/>
  <c r="AG393" i="86"/>
  <c r="AH393" i="86"/>
  <c r="AI393" i="86"/>
  <c r="AJ393" i="86"/>
  <c r="AK393" i="86"/>
  <c r="AG394" i="86"/>
  <c r="AH394" i="86"/>
  <c r="AI394" i="86"/>
  <c r="AJ394" i="86"/>
  <c r="AK394" i="86"/>
  <c r="AG395" i="86"/>
  <c r="AH395" i="86"/>
  <c r="AI395" i="86"/>
  <c r="AJ395" i="86"/>
  <c r="AK395" i="86"/>
  <c r="AG396" i="86"/>
  <c r="AH396" i="86"/>
  <c r="AI396" i="86"/>
  <c r="AJ396" i="86"/>
  <c r="AK396" i="86"/>
  <c r="AG397" i="86"/>
  <c r="AH397" i="86"/>
  <c r="AI397" i="86"/>
  <c r="AJ397" i="86"/>
  <c r="AK397" i="86"/>
  <c r="AG398" i="86"/>
  <c r="AH398" i="86"/>
  <c r="AI398" i="86"/>
  <c r="AJ398" i="86"/>
  <c r="AK398" i="86"/>
  <c r="AG399" i="86"/>
  <c r="AH399" i="86"/>
  <c r="AI399" i="86"/>
  <c r="AJ399" i="86"/>
  <c r="AK399" i="86"/>
  <c r="AG400" i="86"/>
  <c r="AH400" i="86"/>
  <c r="AI400" i="86"/>
  <c r="AJ400" i="86"/>
  <c r="AK400" i="86"/>
  <c r="AG401" i="86"/>
  <c r="AH401" i="86"/>
  <c r="AI401" i="86"/>
  <c r="AJ401" i="86"/>
  <c r="AK401" i="86"/>
  <c r="AG402" i="86"/>
  <c r="AH402" i="86"/>
  <c r="AI402" i="86"/>
  <c r="AJ402" i="86"/>
  <c r="AK402" i="86"/>
  <c r="AG403" i="86"/>
  <c r="AH403" i="86"/>
  <c r="AI403" i="86"/>
  <c r="AJ403" i="86"/>
  <c r="AK403" i="86"/>
  <c r="AG404" i="86"/>
  <c r="AH404" i="86"/>
  <c r="AI404" i="86"/>
  <c r="AJ404" i="86"/>
  <c r="AK404" i="86"/>
  <c r="AG405" i="86"/>
  <c r="AH405" i="86"/>
  <c r="AI405" i="86"/>
  <c r="AJ405" i="86"/>
  <c r="AK405" i="86"/>
  <c r="AG406" i="86"/>
  <c r="AH406" i="86"/>
  <c r="AI406" i="86"/>
  <c r="AJ406" i="86"/>
  <c r="AK406" i="86"/>
  <c r="AG407" i="86"/>
  <c r="AH407" i="86"/>
  <c r="AI407" i="86"/>
  <c r="AJ407" i="86"/>
  <c r="AK407" i="86"/>
  <c r="AG408" i="86"/>
  <c r="AH408" i="86"/>
  <c r="AI408" i="86"/>
  <c r="AJ408" i="86"/>
  <c r="AK408" i="86"/>
  <c r="AG409" i="86"/>
  <c r="AH409" i="86"/>
  <c r="AI409" i="86"/>
  <c r="AJ409" i="86"/>
  <c r="AK409" i="86"/>
  <c r="AG410" i="86"/>
  <c r="AH410" i="86"/>
  <c r="AI410" i="86"/>
  <c r="AJ410" i="86"/>
  <c r="AK410" i="86"/>
  <c r="AG411" i="86"/>
  <c r="AH411" i="86"/>
  <c r="AI411" i="86"/>
  <c r="AJ411" i="86"/>
  <c r="AK411" i="86"/>
  <c r="AG412" i="86"/>
  <c r="AH412" i="86"/>
  <c r="AI412" i="86"/>
  <c r="AJ412" i="86"/>
  <c r="AK412" i="86"/>
  <c r="AG413" i="86"/>
  <c r="AH413" i="86"/>
  <c r="AI413" i="86"/>
  <c r="AJ413" i="86"/>
  <c r="AK413" i="86"/>
  <c r="AG414" i="86"/>
  <c r="AH414" i="86"/>
  <c r="AI414" i="86"/>
  <c r="AJ414" i="86"/>
  <c r="AK414" i="86"/>
  <c r="AG415" i="86"/>
  <c r="AH415" i="86"/>
  <c r="AI415" i="86"/>
  <c r="AJ415" i="86"/>
  <c r="AK415" i="86"/>
  <c r="AG416" i="86"/>
  <c r="AH416" i="86"/>
  <c r="AI416" i="86"/>
  <c r="AJ416" i="86"/>
  <c r="AK416" i="86"/>
  <c r="AG417" i="86"/>
  <c r="AH417" i="86"/>
  <c r="AI417" i="86"/>
  <c r="AJ417" i="86"/>
  <c r="AK417" i="86"/>
  <c r="AG418" i="86"/>
  <c r="AH418" i="86"/>
  <c r="AI418" i="86"/>
  <c r="AJ418" i="86"/>
  <c r="AK418" i="86"/>
  <c r="AG419" i="86"/>
  <c r="AH419" i="86"/>
  <c r="AI419" i="86"/>
  <c r="AJ419" i="86"/>
  <c r="AK419" i="86"/>
  <c r="AG420" i="86"/>
  <c r="AH420" i="86"/>
  <c r="AI420" i="86"/>
  <c r="AJ420" i="86"/>
  <c r="AK420" i="86"/>
  <c r="AG421" i="86"/>
  <c r="AH421" i="86"/>
  <c r="AI421" i="86"/>
  <c r="AJ421" i="86"/>
  <c r="AK421" i="86"/>
  <c r="AG422" i="86"/>
  <c r="AH422" i="86"/>
  <c r="AI422" i="86"/>
  <c r="AJ422" i="86"/>
  <c r="AK422" i="86"/>
  <c r="AG423" i="86"/>
  <c r="AH423" i="86"/>
  <c r="AI423" i="86"/>
  <c r="AJ423" i="86"/>
  <c r="AK423" i="86"/>
  <c r="AG424" i="86"/>
  <c r="AH424" i="86"/>
  <c r="AI424" i="86"/>
  <c r="AJ424" i="86"/>
  <c r="AK424" i="86"/>
  <c r="AG425" i="86"/>
  <c r="AH425" i="86"/>
  <c r="AI425" i="86"/>
  <c r="AJ425" i="86"/>
  <c r="AK425" i="86"/>
  <c r="AG426" i="86"/>
  <c r="AH426" i="86"/>
  <c r="AI426" i="86"/>
  <c r="AJ426" i="86"/>
  <c r="AK426" i="86"/>
  <c r="AG427" i="86"/>
  <c r="AH427" i="86"/>
  <c r="AI427" i="86"/>
  <c r="AJ427" i="86"/>
  <c r="AK427" i="86"/>
  <c r="AG428" i="86"/>
  <c r="AH428" i="86"/>
  <c r="AI428" i="86"/>
  <c r="AJ428" i="86"/>
  <c r="AK428" i="86"/>
  <c r="AG429" i="86"/>
  <c r="AH429" i="86"/>
  <c r="AI429" i="86"/>
  <c r="AJ429" i="86"/>
  <c r="AK429" i="86"/>
  <c r="AG430" i="86"/>
  <c r="AH430" i="86"/>
  <c r="AI430" i="86"/>
  <c r="AJ430" i="86"/>
  <c r="AK430" i="86"/>
  <c r="AG431" i="86"/>
  <c r="AH431" i="86"/>
  <c r="AI431" i="86"/>
  <c r="AJ431" i="86"/>
  <c r="AK431" i="86"/>
  <c r="AG432" i="86"/>
  <c r="AH432" i="86"/>
  <c r="AI432" i="86"/>
  <c r="AJ432" i="86"/>
  <c r="AK432" i="86"/>
  <c r="AG433" i="86"/>
  <c r="AH433" i="86"/>
  <c r="AI433" i="86"/>
  <c r="AJ433" i="86"/>
  <c r="AK433" i="86"/>
  <c r="AG434" i="86"/>
  <c r="AH434" i="86"/>
  <c r="AI434" i="86"/>
  <c r="AJ434" i="86"/>
  <c r="AK434" i="86"/>
  <c r="AG435" i="86"/>
  <c r="AH435" i="86"/>
  <c r="AI435" i="86"/>
  <c r="AJ435" i="86"/>
  <c r="AK435" i="86"/>
  <c r="AG436" i="86"/>
  <c r="AH436" i="86"/>
  <c r="AI436" i="86"/>
  <c r="AJ436" i="86"/>
  <c r="AK436" i="86"/>
  <c r="AG437" i="86"/>
  <c r="AH437" i="86"/>
  <c r="AI437" i="86"/>
  <c r="AJ437" i="86"/>
  <c r="AK437" i="86"/>
  <c r="AG438" i="86"/>
  <c r="AH438" i="86"/>
  <c r="AI438" i="86"/>
  <c r="AJ438" i="86"/>
  <c r="AK438" i="86"/>
  <c r="AG439" i="86"/>
  <c r="AH439" i="86"/>
  <c r="AI439" i="86"/>
  <c r="AJ439" i="86"/>
  <c r="AK439" i="86"/>
  <c r="AG440" i="86"/>
  <c r="AH440" i="86"/>
  <c r="AI440" i="86"/>
  <c r="AJ440" i="86"/>
  <c r="AK440" i="86"/>
  <c r="AG441" i="86"/>
  <c r="AH441" i="86"/>
  <c r="AI441" i="86"/>
  <c r="AJ441" i="86"/>
  <c r="AK441" i="86"/>
  <c r="AG442" i="86"/>
  <c r="AH442" i="86"/>
  <c r="AI442" i="86"/>
  <c r="AJ442" i="86"/>
  <c r="AK442" i="86"/>
  <c r="AG443" i="86"/>
  <c r="AH443" i="86"/>
  <c r="AI443" i="86"/>
  <c r="AJ443" i="86"/>
  <c r="AK443" i="86"/>
  <c r="AG444" i="86"/>
  <c r="AH444" i="86"/>
  <c r="AI444" i="86"/>
  <c r="AJ444" i="86"/>
  <c r="AK444" i="86"/>
  <c r="AG445" i="86"/>
  <c r="AH445" i="86"/>
  <c r="AI445" i="86"/>
  <c r="AJ445" i="86"/>
  <c r="AK445" i="86"/>
  <c r="AG446" i="86"/>
  <c r="AH446" i="86"/>
  <c r="AI446" i="86"/>
  <c r="AJ446" i="86"/>
  <c r="AK446" i="86"/>
  <c r="AG447" i="86"/>
  <c r="AH447" i="86"/>
  <c r="AI447" i="86"/>
  <c r="AJ447" i="86"/>
  <c r="AK447" i="86"/>
  <c r="AG448" i="86"/>
  <c r="AH448" i="86"/>
  <c r="AI448" i="86"/>
  <c r="AJ448" i="86"/>
  <c r="AK448" i="86"/>
  <c r="AG449" i="86"/>
  <c r="AH449" i="86"/>
  <c r="AI449" i="86"/>
  <c r="AJ449" i="86"/>
  <c r="AK449" i="86"/>
  <c r="AG450" i="86"/>
  <c r="AH450" i="86"/>
  <c r="AI450" i="86"/>
  <c r="AJ450" i="86"/>
  <c r="AK450" i="86"/>
  <c r="AG451" i="86"/>
  <c r="AH451" i="86"/>
  <c r="AI451" i="86"/>
  <c r="AJ451" i="86"/>
  <c r="AK451" i="86"/>
  <c r="AG452" i="86"/>
  <c r="AH452" i="86"/>
  <c r="AI452" i="86"/>
  <c r="AJ452" i="86"/>
  <c r="AK452" i="86"/>
  <c r="AG453" i="86"/>
  <c r="AH453" i="86"/>
  <c r="AI453" i="86"/>
  <c r="AJ453" i="86"/>
  <c r="AK453" i="86"/>
  <c r="AG454" i="86"/>
  <c r="AH454" i="86"/>
  <c r="AI454" i="86"/>
  <c r="AJ454" i="86"/>
  <c r="AK454" i="86"/>
  <c r="AG455" i="86"/>
  <c r="AH455" i="86"/>
  <c r="AI455" i="86"/>
  <c r="AJ455" i="86"/>
  <c r="AK455" i="86"/>
  <c r="AG456" i="86"/>
  <c r="AH456" i="86"/>
  <c r="AI456" i="86"/>
  <c r="AJ456" i="86"/>
  <c r="AK456" i="86"/>
  <c r="AG457" i="86"/>
  <c r="AH457" i="86"/>
  <c r="AI457" i="86"/>
  <c r="AJ457" i="86"/>
  <c r="AK457" i="86"/>
  <c r="AG458" i="86"/>
  <c r="AH458" i="86"/>
  <c r="AI458" i="86"/>
  <c r="AJ458" i="86"/>
  <c r="AK458" i="86"/>
  <c r="AG459" i="86"/>
  <c r="AH459" i="86"/>
  <c r="AI459" i="86"/>
  <c r="AJ459" i="86"/>
  <c r="AK459" i="86"/>
  <c r="AG460" i="86"/>
  <c r="AH460" i="86"/>
  <c r="AI460" i="86"/>
  <c r="AJ460" i="86"/>
  <c r="AK460" i="86"/>
  <c r="AG461" i="86"/>
  <c r="AH461" i="86"/>
  <c r="AI461" i="86"/>
  <c r="AJ461" i="86"/>
  <c r="AK461" i="86"/>
  <c r="AG462" i="86"/>
  <c r="AH462" i="86"/>
  <c r="AI462" i="86"/>
  <c r="AJ462" i="86"/>
  <c r="AK462" i="86"/>
  <c r="AG463" i="86"/>
  <c r="AH463" i="86"/>
  <c r="AI463" i="86"/>
  <c r="AJ463" i="86"/>
  <c r="AK463" i="86"/>
  <c r="AG464" i="86"/>
  <c r="AH464" i="86"/>
  <c r="AI464" i="86"/>
  <c r="AJ464" i="86"/>
  <c r="AK464" i="86"/>
  <c r="AG465" i="86"/>
  <c r="AH465" i="86"/>
  <c r="AI465" i="86"/>
  <c r="AJ465" i="86"/>
  <c r="AK465" i="86"/>
  <c r="AG466" i="86"/>
  <c r="AH466" i="86"/>
  <c r="AI466" i="86"/>
  <c r="AJ466" i="86"/>
  <c r="AK466" i="86"/>
  <c r="AG467" i="86"/>
  <c r="AH467" i="86"/>
  <c r="AI467" i="86"/>
  <c r="AJ467" i="86"/>
  <c r="AK467" i="86"/>
  <c r="AG468" i="86"/>
  <c r="AH468" i="86"/>
  <c r="AI468" i="86"/>
  <c r="AJ468" i="86"/>
  <c r="AK468" i="86"/>
  <c r="AG469" i="86"/>
  <c r="AH469" i="86"/>
  <c r="AI469" i="86"/>
  <c r="AJ469" i="86"/>
  <c r="AK469" i="86"/>
  <c r="AG470" i="86"/>
  <c r="AH470" i="86"/>
  <c r="AI470" i="86"/>
  <c r="AJ470" i="86"/>
  <c r="AK470" i="86"/>
  <c r="AG471" i="86"/>
  <c r="AH471" i="86"/>
  <c r="AI471" i="86"/>
  <c r="AJ471" i="86"/>
  <c r="AK471" i="86"/>
  <c r="AG472" i="86"/>
  <c r="AH472" i="86"/>
  <c r="AI472" i="86"/>
  <c r="AJ472" i="86"/>
  <c r="AK472" i="86"/>
  <c r="AG473" i="86"/>
  <c r="AH473" i="86"/>
  <c r="AI473" i="86"/>
  <c r="AJ473" i="86"/>
  <c r="AK473" i="86"/>
  <c r="AG474" i="86"/>
  <c r="AH474" i="86"/>
  <c r="AI474" i="86"/>
  <c r="AJ474" i="86"/>
  <c r="AK474" i="86"/>
  <c r="AG475" i="86"/>
  <c r="AH475" i="86"/>
  <c r="AI475" i="86"/>
  <c r="AJ475" i="86"/>
  <c r="AK475" i="86"/>
  <c r="AG476" i="86"/>
  <c r="AH476" i="86"/>
  <c r="AI476" i="86"/>
  <c r="AJ476" i="86"/>
  <c r="AK476" i="86"/>
  <c r="AG477" i="86"/>
  <c r="AH477" i="86"/>
  <c r="AI477" i="86"/>
  <c r="AJ477" i="86"/>
  <c r="AK477" i="86"/>
  <c r="AG478" i="86"/>
  <c r="AH478" i="86"/>
  <c r="AI478" i="86"/>
  <c r="AJ478" i="86"/>
  <c r="AK478" i="86"/>
  <c r="AG479" i="86"/>
  <c r="AH479" i="86"/>
  <c r="AI479" i="86"/>
  <c r="AJ479" i="86"/>
  <c r="AK479" i="86"/>
  <c r="AG480" i="86"/>
  <c r="AH480" i="86"/>
  <c r="AI480" i="86"/>
  <c r="AJ480" i="86"/>
  <c r="AK480" i="86"/>
  <c r="AG481" i="86"/>
  <c r="AH481" i="86"/>
  <c r="AI481" i="86"/>
  <c r="AJ481" i="86"/>
  <c r="AK481" i="86"/>
  <c r="AG482" i="86"/>
  <c r="AH482" i="86"/>
  <c r="AI482" i="86"/>
  <c r="AJ482" i="86"/>
  <c r="AK482" i="86"/>
  <c r="AG483" i="86"/>
  <c r="AH483" i="86"/>
  <c r="AI483" i="86"/>
  <c r="AJ483" i="86"/>
  <c r="AK483" i="86"/>
  <c r="AG484" i="86"/>
  <c r="AH484" i="86"/>
  <c r="AI484" i="86"/>
  <c r="AJ484" i="86"/>
  <c r="AK484" i="86"/>
  <c r="AG485" i="86"/>
  <c r="AH485" i="86"/>
  <c r="AI485" i="86"/>
  <c r="AJ485" i="86"/>
  <c r="AK485" i="86"/>
  <c r="AG486" i="86"/>
  <c r="AH486" i="86"/>
  <c r="AI486" i="86"/>
  <c r="AJ486" i="86"/>
  <c r="AK486" i="86"/>
  <c r="AG487" i="86"/>
  <c r="AH487" i="86"/>
  <c r="AI487" i="86"/>
  <c r="AJ487" i="86"/>
  <c r="AK487" i="86"/>
  <c r="AG488" i="86"/>
  <c r="AH488" i="86"/>
  <c r="AI488" i="86"/>
  <c r="AJ488" i="86"/>
  <c r="AK488" i="86"/>
  <c r="AG489" i="86"/>
  <c r="AH489" i="86"/>
  <c r="AI489" i="86"/>
  <c r="AJ489" i="86"/>
  <c r="AK489" i="86"/>
  <c r="AG490" i="86"/>
  <c r="AH490" i="86"/>
  <c r="AI490" i="86"/>
  <c r="AJ490" i="86"/>
  <c r="AK490" i="86"/>
  <c r="AG491" i="86"/>
  <c r="AH491" i="86"/>
  <c r="AI491" i="86"/>
  <c r="AJ491" i="86"/>
  <c r="AK491" i="86"/>
  <c r="AG492" i="86"/>
  <c r="AH492" i="86"/>
  <c r="AI492" i="86"/>
  <c r="AJ492" i="86"/>
  <c r="AK492" i="86"/>
  <c r="AG493" i="86"/>
  <c r="AH493" i="86"/>
  <c r="AI493" i="86"/>
  <c r="AJ493" i="86"/>
  <c r="AK493" i="86"/>
  <c r="AG494" i="86"/>
  <c r="AH494" i="86"/>
  <c r="AI494" i="86"/>
  <c r="AJ494" i="86"/>
  <c r="AK494" i="86"/>
  <c r="AG495" i="86"/>
  <c r="AH495" i="86"/>
  <c r="AI495" i="86"/>
  <c r="AJ495" i="86"/>
  <c r="AK495" i="86"/>
  <c r="AG496" i="86"/>
  <c r="AH496" i="86"/>
  <c r="AI496" i="86"/>
  <c r="AJ496" i="86"/>
  <c r="AK496" i="86"/>
  <c r="AG497" i="86"/>
  <c r="AH497" i="86"/>
  <c r="AI497" i="86"/>
  <c r="AJ497" i="86"/>
  <c r="AK497" i="86"/>
  <c r="AG498" i="86"/>
  <c r="AH498" i="86"/>
  <c r="AI498" i="86"/>
  <c r="AJ498" i="86"/>
  <c r="AK498" i="86"/>
  <c r="AG499" i="86"/>
  <c r="AH499" i="86"/>
  <c r="AI499" i="86"/>
  <c r="AJ499" i="86"/>
  <c r="AK499" i="86"/>
  <c r="AG500" i="86"/>
  <c r="AH500" i="86"/>
  <c r="AI500" i="86"/>
  <c r="AJ500" i="86"/>
  <c r="AK500" i="86"/>
  <c r="AG501" i="86"/>
  <c r="AH501" i="86"/>
  <c r="AI501" i="86"/>
  <c r="AJ501" i="86"/>
  <c r="AK501" i="86"/>
  <c r="AG502" i="86"/>
  <c r="AH502" i="86"/>
  <c r="AI502" i="86"/>
  <c r="AJ502" i="86"/>
  <c r="AK502" i="86"/>
  <c r="AG503" i="86"/>
  <c r="AH503" i="86"/>
  <c r="AI503" i="86"/>
  <c r="AJ503" i="86"/>
  <c r="AK503" i="86"/>
  <c r="AG504" i="86"/>
  <c r="AH504" i="86"/>
  <c r="AI504" i="86"/>
  <c r="AJ504" i="86"/>
  <c r="AK504" i="86"/>
  <c r="AG505" i="86"/>
  <c r="AH505" i="86"/>
  <c r="AI505" i="86"/>
  <c r="AJ505" i="86"/>
  <c r="AK505" i="86"/>
  <c r="AG506" i="86"/>
  <c r="AH506" i="86"/>
  <c r="AI506" i="86"/>
  <c r="AJ506" i="86"/>
  <c r="AK506" i="86"/>
  <c r="AG507" i="86"/>
  <c r="AH507" i="86"/>
  <c r="AI507" i="86"/>
  <c r="AJ507" i="86"/>
  <c r="AK507" i="86"/>
  <c r="AG508" i="86"/>
  <c r="AH508" i="86"/>
  <c r="AI508" i="86"/>
  <c r="AJ508" i="86"/>
  <c r="AK508" i="86"/>
  <c r="AG509" i="86"/>
  <c r="AH509" i="86"/>
  <c r="AI509" i="86"/>
  <c r="AJ509" i="86"/>
  <c r="AK509" i="86"/>
  <c r="AG510" i="86"/>
  <c r="AH510" i="86"/>
  <c r="AI510" i="86"/>
  <c r="AJ510" i="86"/>
  <c r="AK510" i="86"/>
  <c r="AG511" i="86"/>
  <c r="AH511" i="86"/>
  <c r="AI511" i="86"/>
  <c r="AJ511" i="86"/>
  <c r="AK511" i="86"/>
  <c r="AG512" i="86"/>
  <c r="AH512" i="86"/>
  <c r="AI512" i="86"/>
  <c r="AJ512" i="86"/>
  <c r="AK512" i="86"/>
  <c r="AG513" i="86"/>
  <c r="AH513" i="86"/>
  <c r="AI513" i="86"/>
  <c r="AJ513" i="86"/>
  <c r="AK513" i="86"/>
  <c r="AG514" i="86"/>
  <c r="AH514" i="86"/>
  <c r="AI514" i="86"/>
  <c r="AJ514" i="86"/>
  <c r="AK514" i="86"/>
  <c r="AG515" i="86"/>
  <c r="AH515" i="86"/>
  <c r="AI515" i="86"/>
  <c r="AJ515" i="86"/>
  <c r="AK515" i="86"/>
  <c r="AG516" i="86"/>
  <c r="AH516" i="86"/>
  <c r="AI516" i="86"/>
  <c r="AJ516" i="86"/>
  <c r="AK516" i="86"/>
  <c r="AG517" i="86"/>
  <c r="AH517" i="86"/>
  <c r="AI517" i="86"/>
  <c r="AJ517" i="86"/>
  <c r="AK517" i="86"/>
  <c r="AG518" i="86"/>
  <c r="AH518" i="86"/>
  <c r="AI518" i="86"/>
  <c r="AJ518" i="86"/>
  <c r="AK518" i="86"/>
  <c r="AG519" i="86"/>
  <c r="AH519" i="86"/>
  <c r="AI519" i="86"/>
  <c r="AJ519" i="86"/>
  <c r="AK519" i="86"/>
  <c r="AG520" i="86"/>
  <c r="AH520" i="86"/>
  <c r="AI520" i="86"/>
  <c r="AJ520" i="86"/>
  <c r="AK520" i="86"/>
  <c r="AG521" i="86"/>
  <c r="AH521" i="86"/>
  <c r="AI521" i="86"/>
  <c r="AJ521" i="86"/>
  <c r="AK521" i="86"/>
  <c r="AG522" i="86"/>
  <c r="AH522" i="86"/>
  <c r="AI522" i="86"/>
  <c r="AJ522" i="86"/>
  <c r="AK522" i="86"/>
  <c r="AG523" i="86"/>
  <c r="AH523" i="86"/>
  <c r="AI523" i="86"/>
  <c r="AJ523" i="86"/>
  <c r="AK523" i="86"/>
  <c r="AG524" i="86"/>
  <c r="AH524" i="86"/>
  <c r="AI524" i="86"/>
  <c r="AJ524" i="86"/>
  <c r="AK524" i="86"/>
  <c r="AG525" i="86"/>
  <c r="AH525" i="86"/>
  <c r="AI525" i="86"/>
  <c r="AJ525" i="86"/>
  <c r="AK525" i="86"/>
  <c r="AG526" i="86"/>
  <c r="AH526" i="86"/>
  <c r="AI526" i="86"/>
  <c r="AJ526" i="86"/>
  <c r="AK526" i="86"/>
  <c r="AG527" i="86"/>
  <c r="AH527" i="86"/>
  <c r="AI527" i="86"/>
  <c r="AJ527" i="86"/>
  <c r="AK527" i="86"/>
  <c r="AG528" i="86"/>
  <c r="AH528" i="86"/>
  <c r="AI528" i="86"/>
  <c r="AJ528" i="86"/>
  <c r="AK528" i="86"/>
  <c r="AG529" i="86"/>
  <c r="AH529" i="86"/>
  <c r="AI529" i="86"/>
  <c r="AJ529" i="86"/>
  <c r="AK529" i="86"/>
  <c r="AG530" i="86"/>
  <c r="AH530" i="86"/>
  <c r="AI530" i="86"/>
  <c r="AJ530" i="86"/>
  <c r="AK530" i="86"/>
  <c r="AG531" i="86"/>
  <c r="AH531" i="86"/>
  <c r="AI531" i="86"/>
  <c r="AJ531" i="86"/>
  <c r="AK531" i="86"/>
  <c r="AG532" i="86"/>
  <c r="AH532" i="86"/>
  <c r="AI532" i="86"/>
  <c r="AJ532" i="86"/>
  <c r="AK532" i="86"/>
  <c r="AG533" i="86"/>
  <c r="AH533" i="86"/>
  <c r="AI533" i="86"/>
  <c r="AJ533" i="86"/>
  <c r="AK533" i="86"/>
  <c r="AG534" i="86"/>
  <c r="AH534" i="86"/>
  <c r="AI534" i="86"/>
  <c r="AJ534" i="86"/>
  <c r="AK534" i="86"/>
  <c r="AG535" i="86"/>
  <c r="AH535" i="86"/>
  <c r="AI535" i="86"/>
  <c r="AJ535" i="86"/>
  <c r="AK535" i="86"/>
  <c r="AG536" i="86"/>
  <c r="AH536" i="86"/>
  <c r="AI536" i="86"/>
  <c r="AJ536" i="86"/>
  <c r="AK536" i="86"/>
  <c r="AG537" i="86"/>
  <c r="AH537" i="86"/>
  <c r="AI537" i="86"/>
  <c r="AJ537" i="86"/>
  <c r="AK537" i="86"/>
  <c r="AG538" i="86"/>
  <c r="AH538" i="86"/>
  <c r="AI538" i="86"/>
  <c r="AJ538" i="86"/>
  <c r="AK538" i="86"/>
  <c r="AG539" i="86"/>
  <c r="AH539" i="86"/>
  <c r="AI539" i="86"/>
  <c r="AJ539" i="86"/>
  <c r="AK539" i="86"/>
  <c r="AG540" i="86"/>
  <c r="AH540" i="86"/>
  <c r="AI540" i="86"/>
  <c r="AJ540" i="86"/>
  <c r="AK540" i="86"/>
  <c r="AG541" i="86"/>
  <c r="AH541" i="86"/>
  <c r="AI541" i="86"/>
  <c r="AJ541" i="86"/>
  <c r="AK541" i="86"/>
  <c r="AG542" i="86"/>
  <c r="AH542" i="86"/>
  <c r="AI542" i="86"/>
  <c r="AJ542" i="86"/>
  <c r="AK542" i="86"/>
  <c r="AG543" i="86"/>
  <c r="AH543" i="86"/>
  <c r="AI543" i="86"/>
  <c r="AJ543" i="86"/>
  <c r="AK543" i="86"/>
  <c r="AG544" i="86"/>
  <c r="AH544" i="86"/>
  <c r="AI544" i="86"/>
  <c r="AJ544" i="86"/>
  <c r="AK544" i="86"/>
  <c r="AG545" i="86"/>
  <c r="AH545" i="86"/>
  <c r="AI545" i="86"/>
  <c r="AJ545" i="86"/>
  <c r="AK545" i="86"/>
  <c r="AG546" i="86"/>
  <c r="AH546" i="86"/>
  <c r="AI546" i="86"/>
  <c r="AJ546" i="86"/>
  <c r="AK546" i="86"/>
  <c r="AG547" i="86"/>
  <c r="AH547" i="86"/>
  <c r="AI547" i="86"/>
  <c r="AJ547" i="86"/>
  <c r="AK547" i="86"/>
  <c r="AG548" i="86"/>
  <c r="AH548" i="86"/>
  <c r="AI548" i="86"/>
  <c r="AJ548" i="86"/>
  <c r="AK548" i="86"/>
  <c r="AG549" i="86"/>
  <c r="AH549" i="86"/>
  <c r="AI549" i="86"/>
  <c r="AJ549" i="86"/>
  <c r="AK549" i="86"/>
  <c r="AG550" i="86"/>
  <c r="AH550" i="86"/>
  <c r="AI550" i="86"/>
  <c r="AJ550" i="86"/>
  <c r="AK550" i="86"/>
  <c r="AG551" i="86"/>
  <c r="AH551" i="86"/>
  <c r="AI551" i="86"/>
  <c r="AJ551" i="86"/>
  <c r="AK551" i="86"/>
  <c r="AG552" i="86"/>
  <c r="AH552" i="86"/>
  <c r="AI552" i="86"/>
  <c r="AJ552" i="86"/>
  <c r="AK552" i="86"/>
  <c r="AG553" i="86"/>
  <c r="AH553" i="86"/>
  <c r="AI553" i="86"/>
  <c r="AJ553" i="86"/>
  <c r="AK553" i="86"/>
  <c r="AG554" i="86"/>
  <c r="AH554" i="86"/>
  <c r="AI554" i="86"/>
  <c r="AJ554" i="86"/>
  <c r="AK554" i="86"/>
  <c r="AG555" i="86"/>
  <c r="AH555" i="86"/>
  <c r="AI555" i="86"/>
  <c r="AJ555" i="86"/>
  <c r="AK555" i="86"/>
  <c r="AG556" i="86"/>
  <c r="AH556" i="86"/>
  <c r="AI556" i="86"/>
  <c r="AJ556" i="86"/>
  <c r="AK556" i="86"/>
  <c r="AG557" i="86"/>
  <c r="AH557" i="86"/>
  <c r="AI557" i="86"/>
  <c r="AJ557" i="86"/>
  <c r="AK557" i="86"/>
  <c r="AG558" i="86"/>
  <c r="AH558" i="86"/>
  <c r="AI558" i="86"/>
  <c r="AJ558" i="86"/>
  <c r="AK558" i="86"/>
  <c r="AG559" i="86"/>
  <c r="AH559" i="86"/>
  <c r="AI559" i="86"/>
  <c r="AJ559" i="86"/>
  <c r="AK559" i="86"/>
  <c r="AG560" i="86"/>
  <c r="AH560" i="86"/>
  <c r="AI560" i="86"/>
  <c r="AJ560" i="86"/>
  <c r="AK560" i="86"/>
  <c r="AG561" i="86"/>
  <c r="AH561" i="86"/>
  <c r="AI561" i="86"/>
  <c r="AJ561" i="86"/>
  <c r="AK561" i="86"/>
  <c r="AG562" i="86"/>
  <c r="AH562" i="86"/>
  <c r="AI562" i="86"/>
  <c r="AJ562" i="86"/>
  <c r="AK562" i="86"/>
  <c r="AG563" i="86"/>
  <c r="AH563" i="86"/>
  <c r="AI563" i="86"/>
  <c r="AJ563" i="86"/>
  <c r="AK563" i="86"/>
  <c r="AG564" i="86"/>
  <c r="AH564" i="86"/>
  <c r="AI564" i="86"/>
  <c r="AJ564" i="86"/>
  <c r="AK564" i="86"/>
  <c r="AG565" i="86"/>
  <c r="AH565" i="86"/>
  <c r="AI565" i="86"/>
  <c r="AJ565" i="86"/>
  <c r="AK565" i="86"/>
  <c r="AG566" i="86"/>
  <c r="AH566" i="86"/>
  <c r="AI566" i="86"/>
  <c r="AJ566" i="86"/>
  <c r="AK566" i="86"/>
  <c r="AG567" i="86"/>
  <c r="AH567" i="86"/>
  <c r="AI567" i="86"/>
  <c r="AJ567" i="86"/>
  <c r="AK567" i="86"/>
  <c r="AG568" i="86"/>
  <c r="AH568" i="86"/>
  <c r="AI568" i="86"/>
  <c r="AJ568" i="86"/>
  <c r="AK568" i="86"/>
  <c r="AG569" i="86"/>
  <c r="AH569" i="86"/>
  <c r="AI569" i="86"/>
  <c r="AJ569" i="86"/>
  <c r="AK569" i="86"/>
  <c r="AG570" i="86"/>
  <c r="AH570" i="86"/>
  <c r="AI570" i="86"/>
  <c r="AJ570" i="86"/>
  <c r="AK570" i="86"/>
  <c r="AG571" i="86"/>
  <c r="AH571" i="86"/>
  <c r="AI571" i="86"/>
  <c r="AJ571" i="86"/>
  <c r="AK571" i="86"/>
  <c r="AG572" i="86"/>
  <c r="AH572" i="86"/>
  <c r="AI572" i="86"/>
  <c r="AJ572" i="86"/>
  <c r="AK572" i="86"/>
  <c r="AG573" i="86"/>
  <c r="AH573" i="86"/>
  <c r="AI573" i="86"/>
  <c r="AJ573" i="86"/>
  <c r="AK573" i="86"/>
  <c r="AG574" i="86"/>
  <c r="AH574" i="86"/>
  <c r="AI574" i="86"/>
  <c r="AJ574" i="86"/>
  <c r="AK574" i="86"/>
  <c r="AG575" i="86"/>
  <c r="AH575" i="86"/>
  <c r="AI575" i="86"/>
  <c r="AJ575" i="86"/>
  <c r="AK575" i="86"/>
  <c r="AG576" i="86"/>
  <c r="AH576" i="86"/>
  <c r="AI576" i="86"/>
  <c r="AJ576" i="86"/>
  <c r="AK576" i="86"/>
  <c r="AG577" i="86"/>
  <c r="AH577" i="86"/>
  <c r="AI577" i="86"/>
  <c r="AJ577" i="86"/>
  <c r="AK577" i="86"/>
  <c r="AG578" i="86"/>
  <c r="AH578" i="86"/>
  <c r="AI578" i="86"/>
  <c r="AJ578" i="86"/>
  <c r="AK578" i="86"/>
  <c r="AG579" i="86"/>
  <c r="AH579" i="86"/>
  <c r="AI579" i="86"/>
  <c r="AJ579" i="86"/>
  <c r="AK579" i="86"/>
  <c r="AG580" i="86"/>
  <c r="AH580" i="86"/>
  <c r="AI580" i="86"/>
  <c r="AJ580" i="86"/>
  <c r="AK580" i="86"/>
  <c r="AG581" i="86"/>
  <c r="AH581" i="86"/>
  <c r="AI581" i="86"/>
  <c r="AJ581" i="86"/>
  <c r="AK581" i="86"/>
  <c r="AG582" i="86"/>
  <c r="AH582" i="86"/>
  <c r="AI582" i="86"/>
  <c r="AJ582" i="86"/>
  <c r="AK582" i="86"/>
  <c r="AG583" i="86"/>
  <c r="AH583" i="86"/>
  <c r="AI583" i="86"/>
  <c r="AJ583" i="86"/>
  <c r="AK583" i="86"/>
  <c r="AG584" i="86"/>
  <c r="AH584" i="86"/>
  <c r="AI584" i="86"/>
  <c r="AJ584" i="86"/>
  <c r="AK584" i="86"/>
  <c r="AG585" i="86"/>
  <c r="AH585" i="86"/>
  <c r="AI585" i="86"/>
  <c r="AJ585" i="86"/>
  <c r="AK585" i="86"/>
  <c r="AG586" i="86"/>
  <c r="AH586" i="86"/>
  <c r="AI586" i="86"/>
  <c r="AJ586" i="86"/>
  <c r="AK586" i="86"/>
  <c r="AG587" i="86"/>
  <c r="AH587" i="86"/>
  <c r="AI587" i="86"/>
  <c r="AJ587" i="86"/>
  <c r="AK587" i="86"/>
  <c r="AG588" i="86"/>
  <c r="AH588" i="86"/>
  <c r="AI588" i="86"/>
  <c r="AJ588" i="86"/>
  <c r="AK588" i="86"/>
  <c r="AG589" i="86"/>
  <c r="AH589" i="86"/>
  <c r="AI589" i="86"/>
  <c r="AJ589" i="86"/>
  <c r="AK589" i="86"/>
  <c r="AG590" i="86"/>
  <c r="AH590" i="86"/>
  <c r="AI590" i="86"/>
  <c r="AJ590" i="86"/>
  <c r="AK590" i="86"/>
  <c r="AG591" i="86"/>
  <c r="AH591" i="86"/>
  <c r="AI591" i="86"/>
  <c r="AJ591" i="86"/>
  <c r="AK591" i="86"/>
  <c r="AG592" i="86"/>
  <c r="AH592" i="86"/>
  <c r="AI592" i="86"/>
  <c r="AJ592" i="86"/>
  <c r="AK592" i="86"/>
  <c r="AG593" i="86"/>
  <c r="AH593" i="86"/>
  <c r="AI593" i="86"/>
  <c r="AJ593" i="86"/>
  <c r="AK593" i="86"/>
  <c r="AG594" i="86"/>
  <c r="AH594" i="86"/>
  <c r="AI594" i="86"/>
  <c r="AJ594" i="86"/>
  <c r="AK594" i="86"/>
  <c r="AG595" i="86"/>
  <c r="AH595" i="86"/>
  <c r="AI595" i="86"/>
  <c r="AJ595" i="86"/>
  <c r="AK595" i="86"/>
  <c r="AG596" i="86"/>
  <c r="AH596" i="86"/>
  <c r="AI596" i="86"/>
  <c r="AJ596" i="86"/>
  <c r="AK596" i="86"/>
  <c r="AG597" i="86"/>
  <c r="AH597" i="86"/>
  <c r="AI597" i="86"/>
  <c r="AJ597" i="86"/>
  <c r="AK597" i="86"/>
  <c r="AG598" i="86"/>
  <c r="AH598" i="86"/>
  <c r="AI598" i="86"/>
  <c r="AJ598" i="86"/>
  <c r="AK598" i="86"/>
  <c r="AG599" i="86"/>
  <c r="AH599" i="86"/>
  <c r="AI599" i="86"/>
  <c r="AJ599" i="86"/>
  <c r="AK599" i="86"/>
  <c r="AG600" i="86"/>
  <c r="AH600" i="86"/>
  <c r="AI600" i="86"/>
  <c r="AJ600" i="86"/>
  <c r="AK600" i="86"/>
  <c r="AG601" i="86"/>
  <c r="AH601" i="86"/>
  <c r="AI601" i="86"/>
  <c r="AJ601" i="86"/>
  <c r="AK601" i="86"/>
  <c r="AG602" i="86"/>
  <c r="AH602" i="86"/>
  <c r="AI602" i="86"/>
  <c r="AJ602" i="86"/>
  <c r="AK602" i="86"/>
  <c r="AG603" i="86"/>
  <c r="AH603" i="86"/>
  <c r="AI603" i="86"/>
  <c r="AJ603" i="86"/>
  <c r="AK603" i="86"/>
  <c r="AG604" i="86"/>
  <c r="AH604" i="86"/>
  <c r="AI604" i="86"/>
  <c r="AJ604" i="86"/>
  <c r="AK604" i="86"/>
  <c r="AG605" i="86"/>
  <c r="AH605" i="86"/>
  <c r="AI605" i="86"/>
  <c r="AJ605" i="86"/>
  <c r="AK605" i="86"/>
  <c r="AG606" i="86"/>
  <c r="AH606" i="86"/>
  <c r="AI606" i="86"/>
  <c r="AJ606" i="86"/>
  <c r="AK606" i="86"/>
  <c r="AG607" i="86"/>
  <c r="AH607" i="86"/>
  <c r="AI607" i="86"/>
  <c r="AJ607" i="86"/>
  <c r="AK607" i="86"/>
  <c r="AH8" i="86"/>
  <c r="AI8" i="86"/>
  <c r="AJ8" i="86"/>
  <c r="AK8" i="86"/>
  <c r="AG8" i="86"/>
  <c r="AE38" i="90" l="1"/>
  <c r="AG44" i="90"/>
  <c r="AE6" i="90"/>
  <c r="N5" i="89"/>
  <c r="P5" i="89"/>
  <c r="O5" i="89"/>
  <c r="G11" i="89" l="1"/>
  <c r="F11" i="89"/>
  <c r="E11" i="89"/>
  <c r="D11" i="89"/>
  <c r="F13" i="89" l="1"/>
  <c r="G13" i="89"/>
  <c r="E13" i="89"/>
  <c r="D13" i="89"/>
  <c r="D15" i="89" s="1"/>
  <c r="Z9" i="86"/>
  <c r="AA9" i="86"/>
  <c r="AB9" i="86"/>
  <c r="Z10" i="86"/>
  <c r="AA10" i="86"/>
  <c r="AB10" i="86"/>
  <c r="Z11" i="86"/>
  <c r="AA11" i="86"/>
  <c r="AB11" i="86"/>
  <c r="Z12" i="86"/>
  <c r="AA12" i="86"/>
  <c r="AB12" i="86"/>
  <c r="Z13" i="86"/>
  <c r="AA13" i="86"/>
  <c r="AB13" i="86"/>
  <c r="Z14" i="86"/>
  <c r="AA14" i="86"/>
  <c r="AB14" i="86"/>
  <c r="Z15" i="86"/>
  <c r="AA15" i="86"/>
  <c r="AB15" i="86"/>
  <c r="Z16" i="86"/>
  <c r="AA16" i="86"/>
  <c r="AB16" i="86"/>
  <c r="Z17" i="86"/>
  <c r="AA17" i="86"/>
  <c r="AB17" i="86"/>
  <c r="Z18" i="86"/>
  <c r="AA18" i="86"/>
  <c r="AB18" i="86"/>
  <c r="Z19" i="86"/>
  <c r="AA19" i="86"/>
  <c r="AB19" i="86"/>
  <c r="Z20" i="86"/>
  <c r="AA20" i="86"/>
  <c r="AB20" i="86"/>
  <c r="Z21" i="86"/>
  <c r="AA21" i="86"/>
  <c r="AB21" i="86"/>
  <c r="Z22" i="86"/>
  <c r="AA22" i="86"/>
  <c r="AB22" i="86"/>
  <c r="Z23" i="86"/>
  <c r="AA23" i="86"/>
  <c r="AB23" i="86"/>
  <c r="Z24" i="86"/>
  <c r="AA24" i="86"/>
  <c r="AB24" i="86"/>
  <c r="Z25" i="86"/>
  <c r="AA25" i="86"/>
  <c r="AB25" i="86"/>
  <c r="Z26" i="86"/>
  <c r="AA26" i="86"/>
  <c r="AB26" i="86"/>
  <c r="Z27" i="86"/>
  <c r="AA27" i="86"/>
  <c r="AB27" i="86"/>
  <c r="AB8" i="86"/>
  <c r="AA8" i="86"/>
  <c r="Z8" i="86"/>
  <c r="G15" i="89" l="1"/>
  <c r="D14" i="89"/>
  <c r="E15" i="89"/>
  <c r="F15" i="89"/>
  <c r="M5" i="89" l="1"/>
  <c r="S8" i="86"/>
  <c r="T8" i="86"/>
  <c r="S9" i="86"/>
  <c r="T9" i="86"/>
  <c r="S10" i="86"/>
  <c r="T10" i="86"/>
  <c r="T11" i="86"/>
  <c r="S12" i="86"/>
  <c r="T12" i="86"/>
  <c r="S13" i="86"/>
  <c r="T13" i="86"/>
  <c r="S14" i="86"/>
  <c r="T14" i="86"/>
  <c r="K9" i="86"/>
  <c r="K10" i="86" s="1"/>
  <c r="K11" i="86" s="1"/>
  <c r="T10" i="88"/>
  <c r="U10" i="88" s="1"/>
  <c r="M6" i="89" l="1"/>
  <c r="N6" i="89"/>
  <c r="O6" i="89"/>
  <c r="P6" i="89"/>
  <c r="V10" i="88"/>
  <c r="D9" i="86"/>
  <c r="E9" i="86"/>
  <c r="F9" i="86"/>
  <c r="G9" i="86"/>
  <c r="H9" i="86"/>
  <c r="I9" i="86"/>
  <c r="D10" i="86"/>
  <c r="E10" i="86"/>
  <c r="F10" i="86"/>
  <c r="G10" i="86"/>
  <c r="H10" i="86"/>
  <c r="I10" i="86"/>
  <c r="D11" i="86"/>
  <c r="E11" i="86"/>
  <c r="F11" i="86"/>
  <c r="G11" i="86"/>
  <c r="H11" i="86"/>
  <c r="I11" i="86"/>
  <c r="D12" i="86"/>
  <c r="E12" i="86"/>
  <c r="F12" i="86"/>
  <c r="G12" i="86"/>
  <c r="H12" i="86"/>
  <c r="I12" i="86"/>
  <c r="D13" i="86"/>
  <c r="E13" i="86"/>
  <c r="F13" i="86"/>
  <c r="G13" i="86"/>
  <c r="H13" i="86"/>
  <c r="I13" i="86"/>
  <c r="D14" i="86"/>
  <c r="E14" i="86"/>
  <c r="F14" i="86"/>
  <c r="G14" i="86"/>
  <c r="H14" i="86"/>
  <c r="I14" i="86"/>
  <c r="D15" i="86"/>
  <c r="E15" i="86"/>
  <c r="F15" i="86"/>
  <c r="G15" i="86"/>
  <c r="H15" i="86"/>
  <c r="I15" i="86"/>
  <c r="D16" i="86"/>
  <c r="E16" i="86"/>
  <c r="F16" i="86"/>
  <c r="G16" i="86"/>
  <c r="H16" i="86"/>
  <c r="I16" i="86"/>
  <c r="D17" i="86"/>
  <c r="E17" i="86"/>
  <c r="F17" i="86"/>
  <c r="G17" i="86"/>
  <c r="H17" i="86"/>
  <c r="I17" i="86"/>
  <c r="D18" i="86"/>
  <c r="E18" i="86"/>
  <c r="F18" i="86"/>
  <c r="G18" i="86"/>
  <c r="H18" i="86"/>
  <c r="I18" i="86"/>
  <c r="D19" i="86"/>
  <c r="E19" i="86"/>
  <c r="F19" i="86"/>
  <c r="G19" i="86"/>
  <c r="H19" i="86"/>
  <c r="I19" i="86"/>
  <c r="D20" i="86"/>
  <c r="E20" i="86"/>
  <c r="F20" i="86"/>
  <c r="G20" i="86"/>
  <c r="H20" i="86"/>
  <c r="I20" i="86"/>
  <c r="D21" i="86"/>
  <c r="E21" i="86"/>
  <c r="F21" i="86"/>
  <c r="G21" i="86"/>
  <c r="H21" i="86"/>
  <c r="I21" i="86"/>
  <c r="D22" i="86"/>
  <c r="E22" i="86"/>
  <c r="F22" i="86"/>
  <c r="G22" i="86"/>
  <c r="H22" i="86"/>
  <c r="I22" i="86"/>
  <c r="D23" i="86"/>
  <c r="E23" i="86"/>
  <c r="F23" i="86"/>
  <c r="G23" i="86"/>
  <c r="H23" i="86"/>
  <c r="I23" i="86"/>
  <c r="D24" i="86"/>
  <c r="E24" i="86"/>
  <c r="F24" i="86"/>
  <c r="G24" i="86"/>
  <c r="H24" i="86"/>
  <c r="I24" i="86"/>
  <c r="D25" i="86"/>
  <c r="E25" i="86"/>
  <c r="F25" i="86"/>
  <c r="G25" i="86"/>
  <c r="H25" i="86"/>
  <c r="I25" i="86"/>
  <c r="D26" i="86"/>
  <c r="E26" i="86"/>
  <c r="F26" i="86"/>
  <c r="G26" i="86"/>
  <c r="H26" i="86"/>
  <c r="I26" i="86"/>
  <c r="D27" i="86"/>
  <c r="E27" i="86"/>
  <c r="F27" i="86"/>
  <c r="G27" i="86"/>
  <c r="H27" i="86"/>
  <c r="I27" i="86"/>
  <c r="D28" i="86"/>
  <c r="E28" i="86"/>
  <c r="F28" i="86"/>
  <c r="G28" i="86"/>
  <c r="H28" i="86"/>
  <c r="I28" i="86"/>
  <c r="D29" i="86"/>
  <c r="E29" i="86"/>
  <c r="F29" i="86"/>
  <c r="G29" i="86"/>
  <c r="H29" i="86"/>
  <c r="I29" i="86"/>
  <c r="D30" i="86"/>
  <c r="E30" i="86"/>
  <c r="F30" i="86"/>
  <c r="G30" i="86"/>
  <c r="H30" i="86"/>
  <c r="I30" i="86"/>
  <c r="D31" i="86"/>
  <c r="E31" i="86"/>
  <c r="F31" i="86"/>
  <c r="G31" i="86"/>
  <c r="H31" i="86"/>
  <c r="I31" i="86"/>
  <c r="D32" i="86"/>
  <c r="E32" i="86"/>
  <c r="F32" i="86"/>
  <c r="G32" i="86"/>
  <c r="H32" i="86"/>
  <c r="I32" i="86"/>
  <c r="D33" i="86"/>
  <c r="E33" i="86"/>
  <c r="F33" i="86"/>
  <c r="G33" i="86"/>
  <c r="H33" i="86"/>
  <c r="I33" i="86"/>
  <c r="D34" i="86"/>
  <c r="E34" i="86"/>
  <c r="F34" i="86"/>
  <c r="G34" i="86"/>
  <c r="H34" i="86"/>
  <c r="I34" i="86"/>
  <c r="D35" i="86"/>
  <c r="E35" i="86"/>
  <c r="F35" i="86"/>
  <c r="G35" i="86"/>
  <c r="H35" i="86"/>
  <c r="I35" i="86"/>
  <c r="D36" i="86"/>
  <c r="E36" i="86"/>
  <c r="F36" i="86"/>
  <c r="G36" i="86"/>
  <c r="H36" i="86"/>
  <c r="I36" i="86"/>
  <c r="D37" i="86"/>
  <c r="E37" i="86"/>
  <c r="F37" i="86"/>
  <c r="G37" i="86"/>
  <c r="H37" i="86"/>
  <c r="I37" i="86"/>
  <c r="D38" i="86"/>
  <c r="E38" i="86"/>
  <c r="F38" i="86"/>
  <c r="G38" i="86"/>
  <c r="H38" i="86"/>
  <c r="I38" i="86"/>
  <c r="D39" i="86"/>
  <c r="E39" i="86"/>
  <c r="F39" i="86"/>
  <c r="G39" i="86"/>
  <c r="H39" i="86"/>
  <c r="I39" i="86"/>
  <c r="D40" i="86"/>
  <c r="E40" i="86"/>
  <c r="F40" i="86"/>
  <c r="G40" i="86"/>
  <c r="H40" i="86"/>
  <c r="I40" i="86"/>
  <c r="D41" i="86"/>
  <c r="E41" i="86"/>
  <c r="F41" i="86"/>
  <c r="G41" i="86"/>
  <c r="H41" i="86"/>
  <c r="I41" i="86"/>
  <c r="D42" i="86"/>
  <c r="E42" i="86"/>
  <c r="F42" i="86"/>
  <c r="G42" i="86"/>
  <c r="H42" i="86"/>
  <c r="I42" i="86"/>
  <c r="D43" i="86"/>
  <c r="E43" i="86"/>
  <c r="F43" i="86"/>
  <c r="G43" i="86"/>
  <c r="H43" i="86"/>
  <c r="I43" i="86"/>
  <c r="D44" i="86"/>
  <c r="E44" i="86"/>
  <c r="F44" i="86"/>
  <c r="G44" i="86"/>
  <c r="H44" i="86"/>
  <c r="I44" i="86"/>
  <c r="D45" i="86"/>
  <c r="E45" i="86"/>
  <c r="F45" i="86"/>
  <c r="G45" i="86"/>
  <c r="H45" i="86"/>
  <c r="I45" i="86"/>
  <c r="D46" i="86"/>
  <c r="E46" i="86"/>
  <c r="F46" i="86"/>
  <c r="G46" i="86"/>
  <c r="H46" i="86"/>
  <c r="I46" i="86"/>
  <c r="D47" i="86"/>
  <c r="E47" i="86"/>
  <c r="F47" i="86"/>
  <c r="G47" i="86"/>
  <c r="H47" i="86"/>
  <c r="I47" i="86"/>
  <c r="D48" i="86"/>
  <c r="E48" i="86"/>
  <c r="F48" i="86"/>
  <c r="G48" i="86"/>
  <c r="H48" i="86"/>
  <c r="I48" i="86"/>
  <c r="D49" i="86"/>
  <c r="E49" i="86"/>
  <c r="F49" i="86"/>
  <c r="G49" i="86"/>
  <c r="H49" i="86"/>
  <c r="I49" i="86"/>
  <c r="D50" i="86"/>
  <c r="E50" i="86"/>
  <c r="F50" i="86"/>
  <c r="G50" i="86"/>
  <c r="H50" i="86"/>
  <c r="I50" i="86"/>
  <c r="D51" i="86"/>
  <c r="E51" i="86"/>
  <c r="F51" i="86"/>
  <c r="G51" i="86"/>
  <c r="H51" i="86"/>
  <c r="I51" i="86"/>
  <c r="D52" i="86"/>
  <c r="E52" i="86"/>
  <c r="F52" i="86"/>
  <c r="G52" i="86"/>
  <c r="H52" i="86"/>
  <c r="I52" i="86"/>
  <c r="D53" i="86"/>
  <c r="E53" i="86"/>
  <c r="F53" i="86"/>
  <c r="G53" i="86"/>
  <c r="H53" i="86"/>
  <c r="I53" i="86"/>
  <c r="D54" i="86"/>
  <c r="E54" i="86"/>
  <c r="F54" i="86"/>
  <c r="G54" i="86"/>
  <c r="H54" i="86"/>
  <c r="I54" i="86"/>
  <c r="D55" i="86"/>
  <c r="E55" i="86"/>
  <c r="F55" i="86"/>
  <c r="G55" i="86"/>
  <c r="H55" i="86"/>
  <c r="I55" i="86"/>
  <c r="D56" i="86"/>
  <c r="E56" i="86"/>
  <c r="F56" i="86"/>
  <c r="G56" i="86"/>
  <c r="H56" i="86"/>
  <c r="I56" i="86"/>
  <c r="D57" i="86"/>
  <c r="E57" i="86"/>
  <c r="F57" i="86"/>
  <c r="G57" i="86"/>
  <c r="H57" i="86"/>
  <c r="I57" i="86"/>
  <c r="D58" i="86"/>
  <c r="E58" i="86"/>
  <c r="F58" i="86"/>
  <c r="G58" i="86"/>
  <c r="H58" i="86"/>
  <c r="I58" i="86"/>
  <c r="D59" i="86"/>
  <c r="E59" i="86"/>
  <c r="F59" i="86"/>
  <c r="G59" i="86"/>
  <c r="H59" i="86"/>
  <c r="I59" i="86"/>
  <c r="E8" i="86"/>
  <c r="F8" i="86"/>
  <c r="G8" i="86"/>
  <c r="H8" i="86"/>
  <c r="I8" i="86"/>
  <c r="D8" i="86"/>
  <c r="R106" i="88"/>
  <c r="R20" i="88"/>
  <c r="R70" i="88"/>
  <c r="R36" i="88"/>
  <c r="R77" i="88"/>
  <c r="R26" i="88"/>
  <c r="R74" i="88"/>
  <c r="R52" i="88"/>
  <c r="R55" i="88"/>
  <c r="R69" i="88"/>
  <c r="R86" i="88"/>
  <c r="R29" i="88"/>
  <c r="R72" i="88"/>
  <c r="R109" i="88"/>
  <c r="R24" i="88"/>
  <c r="R81" i="88"/>
  <c r="R15" i="88"/>
  <c r="R63" i="88"/>
  <c r="R53" i="88"/>
  <c r="R17" i="88"/>
  <c r="R31" i="88"/>
  <c r="R105" i="88"/>
  <c r="R78" i="88"/>
  <c r="R43" i="88"/>
  <c r="R66" i="88"/>
  <c r="R54" i="88"/>
  <c r="R45" i="88"/>
  <c r="R11" i="88"/>
  <c r="R57" i="88"/>
  <c r="R80" i="88"/>
  <c r="R73" i="88"/>
  <c r="R87" i="88"/>
  <c r="R18" i="88"/>
  <c r="R38" i="88"/>
  <c r="R65" i="88"/>
  <c r="R10" i="88"/>
  <c r="R83" i="88"/>
  <c r="R64" i="88"/>
  <c r="R35" i="88"/>
  <c r="R21" i="88"/>
  <c r="R89" i="88"/>
  <c r="R88" i="88"/>
  <c r="R92" i="88"/>
  <c r="R71" i="88"/>
  <c r="R33" i="88"/>
  <c r="R23" i="88"/>
  <c r="R56" i="88"/>
  <c r="R102" i="88"/>
  <c r="R48" i="88"/>
  <c r="R98" i="88"/>
  <c r="R62" i="88"/>
  <c r="R85" i="88"/>
  <c r="R27" i="88"/>
  <c r="R13" i="88"/>
  <c r="R79" i="88"/>
  <c r="R40" i="88"/>
  <c r="R60" i="88"/>
  <c r="R84" i="88"/>
  <c r="R75" i="88"/>
  <c r="R97" i="88"/>
  <c r="R68" i="88"/>
  <c r="R22" i="88"/>
  <c r="R32" i="88"/>
  <c r="R90" i="88"/>
  <c r="R94" i="88"/>
  <c r="R30" i="88"/>
  <c r="R47" i="88"/>
  <c r="R67" i="88"/>
  <c r="R95" i="88"/>
  <c r="R46" i="88"/>
  <c r="R59" i="88"/>
  <c r="R58" i="88"/>
  <c r="R76" i="88"/>
  <c r="R96" i="88"/>
  <c r="R44" i="88"/>
  <c r="R41" i="88"/>
  <c r="R12" i="88"/>
  <c r="R19" i="88"/>
  <c r="R37" i="88"/>
  <c r="R61" i="88"/>
  <c r="R99" i="88"/>
  <c r="R101" i="88"/>
  <c r="R28" i="88"/>
  <c r="R39" i="88"/>
  <c r="R91" i="88"/>
  <c r="R42" i="88"/>
  <c r="R51" i="88"/>
  <c r="R82" i="88"/>
  <c r="R107" i="88"/>
  <c r="R108" i="88"/>
  <c r="R14" i="88"/>
  <c r="R50" i="88"/>
  <c r="R34" i="88"/>
  <c r="R103" i="88"/>
  <c r="R16" i="88"/>
  <c r="R93" i="88"/>
  <c r="R104" i="88"/>
  <c r="R100" i="88"/>
  <c r="R49" i="88"/>
  <c r="R25" i="88"/>
  <c r="W11" i="88" l="1"/>
  <c r="W12" i="88" s="1"/>
  <c r="W13" i="88" s="1"/>
  <c r="W14" i="88" s="1"/>
  <c r="W15" i="88" s="1"/>
  <c r="W16" i="88" s="1"/>
  <c r="W17" i="88" s="1"/>
  <c r="W18" i="88" s="1"/>
  <c r="W19" i="88" s="1"/>
  <c r="W20" i="88" s="1"/>
  <c r="W21" i="88" s="1"/>
  <c r="W22" i="88" s="1"/>
  <c r="W23" i="88" s="1"/>
  <c r="W24" i="88" s="1"/>
  <c r="W25" i="88" s="1"/>
  <c r="W26" i="88" s="1"/>
  <c r="W27" i="88" s="1"/>
  <c r="W28" i="88" s="1"/>
  <c r="W29" i="88" s="1"/>
  <c r="W30" i="88" s="1"/>
  <c r="W31" i="88" s="1"/>
  <c r="W32" i="88" s="1"/>
  <c r="W33" i="88" s="1"/>
  <c r="W34" i="88" s="1"/>
  <c r="W35" i="88" s="1"/>
  <c r="W36" i="88" s="1"/>
  <c r="W37" i="88" s="1"/>
  <c r="W38" i="88" s="1"/>
  <c r="W39" i="88" s="1"/>
  <c r="W40" i="88" s="1"/>
  <c r="W41" i="88" s="1"/>
  <c r="W42" i="88" s="1"/>
  <c r="W43" i="88" s="1"/>
  <c r="W44" i="88" s="1"/>
  <c r="W45" i="88" s="1"/>
  <c r="W46" i="88" s="1"/>
  <c r="W47" i="88" s="1"/>
  <c r="W48" i="88" s="1"/>
  <c r="W49" i="88" s="1"/>
  <c r="W50" i="88" s="1"/>
  <c r="W51" i="88" s="1"/>
  <c r="W52" i="88" s="1"/>
  <c r="W53" i="88" s="1"/>
  <c r="W54" i="88" s="1"/>
  <c r="W55" i="88" s="1"/>
  <c r="W56" i="88" s="1"/>
  <c r="W57" i="88" s="1"/>
  <c r="W58" i="88" s="1"/>
  <c r="W59" i="88" s="1"/>
  <c r="W60" i="88" s="1"/>
  <c r="W61" i="88" s="1"/>
  <c r="W62" i="88" s="1"/>
  <c r="W63" i="88" s="1"/>
  <c r="W64" i="88" s="1"/>
  <c r="W65" i="88" s="1"/>
  <c r="W66" i="88" s="1"/>
  <c r="W67" i="88" s="1"/>
  <c r="W68" i="88" s="1"/>
  <c r="W69" i="88" s="1"/>
  <c r="W70" i="88" s="1"/>
  <c r="W71" i="88" s="1"/>
  <c r="W72" i="88" s="1"/>
  <c r="W73" i="88" s="1"/>
  <c r="W74" i="88" s="1"/>
  <c r="W75" i="88" s="1"/>
  <c r="W76" i="88" s="1"/>
  <c r="W77" i="88" s="1"/>
  <c r="W78" i="88" s="1"/>
  <c r="W79" i="88" s="1"/>
  <c r="W80" i="88" s="1"/>
  <c r="W81" i="88" s="1"/>
  <c r="W82" i="88" s="1"/>
  <c r="W83" i="88" s="1"/>
  <c r="W84" i="88" s="1"/>
  <c r="W85" i="88" s="1"/>
  <c r="W86" i="88" s="1"/>
  <c r="W87" i="88" s="1"/>
  <c r="W88" i="88" s="1"/>
  <c r="W89" i="88" s="1"/>
  <c r="W90" i="88" s="1"/>
  <c r="W91" i="88" s="1"/>
  <c r="W92" i="88" s="1"/>
  <c r="W93" i="88" s="1"/>
  <c r="W94" i="88" s="1"/>
  <c r="W95" i="88" s="1"/>
  <c r="W96" i="88" s="1"/>
  <c r="W97" i="88" s="1"/>
  <c r="W98" i="88" s="1"/>
  <c r="W99" i="88" s="1"/>
  <c r="W100" i="88" s="1"/>
  <c r="W101" i="88" s="1"/>
  <c r="W102" i="88" s="1"/>
  <c r="W103" i="88" s="1"/>
  <c r="W104" i="88" s="1"/>
  <c r="W105" i="88" s="1"/>
  <c r="W106" i="88" s="1"/>
  <c r="W107" i="88" s="1"/>
  <c r="W108" i="88" s="1"/>
  <c r="W109" i="88" s="1"/>
  <c r="N7" i="89"/>
  <c r="P7" i="89"/>
  <c r="M7" i="89"/>
  <c r="O7" i="89"/>
  <c r="M11" i="86" a="1"/>
  <c r="M11" i="86" s="1"/>
  <c r="M8" i="86" a="1"/>
  <c r="M8" i="86" s="1"/>
  <c r="M9" i="86" a="1"/>
  <c r="M9" i="86" s="1"/>
  <c r="M10" i="86" a="1"/>
  <c r="M10" i="86" s="1"/>
  <c r="O8" i="89" l="1"/>
  <c r="M8" i="89"/>
  <c r="N8" i="89"/>
  <c r="P8" i="89"/>
  <c r="E12" i="88"/>
  <c r="E13" i="88"/>
  <c r="E14" i="88"/>
  <c r="E10" i="88"/>
  <c r="E15" i="88"/>
  <c r="E18" i="88"/>
  <c r="E11" i="88"/>
  <c r="E16" i="88"/>
  <c r="E17" i="88"/>
  <c r="G11" i="88"/>
  <c r="G12" i="88"/>
  <c r="G13" i="88"/>
  <c r="G14" i="88"/>
  <c r="G15" i="88"/>
  <c r="G16" i="88"/>
  <c r="G17" i="88"/>
  <c r="G18" i="88"/>
  <c r="G10" i="88"/>
  <c r="S35" i="88"/>
  <c r="S74" i="88"/>
  <c r="S52" i="88"/>
  <c r="S56" i="88"/>
  <c r="S22" i="88"/>
  <c r="S64" i="88"/>
  <c r="AM46" i="88"/>
  <c r="AM44" i="88"/>
  <c r="AM49" i="88"/>
  <c r="AM73" i="88"/>
  <c r="AM43" i="88"/>
  <c r="AM40" i="88"/>
  <c r="S61" i="88"/>
  <c r="S17" i="88"/>
  <c r="AM13" i="88"/>
  <c r="S99" i="88"/>
  <c r="AM14" i="88"/>
  <c r="AM37" i="88"/>
  <c r="S77" i="88"/>
  <c r="AM34" i="88"/>
  <c r="S63" i="88"/>
  <c r="S45" i="88"/>
  <c r="S82" i="88"/>
  <c r="S106" i="88"/>
  <c r="S46" i="88"/>
  <c r="S90" i="88"/>
  <c r="AM19" i="88"/>
  <c r="AM26" i="88"/>
  <c r="AM45" i="88"/>
  <c r="AM93" i="88"/>
  <c r="AM91" i="88"/>
  <c r="AM79" i="88"/>
  <c r="S67" i="88"/>
  <c r="AM10" i="88"/>
  <c r="S16" i="88"/>
  <c r="AM59" i="88"/>
  <c r="AM28" i="88"/>
  <c r="S75" i="88"/>
  <c r="S60" i="88"/>
  <c r="S87" i="88"/>
  <c r="S81" i="88"/>
  <c r="S65" i="88"/>
  <c r="S15" i="88"/>
  <c r="AM67" i="88"/>
  <c r="AM105" i="88"/>
  <c r="AM94" i="88"/>
  <c r="AM60" i="88"/>
  <c r="AM64" i="88"/>
  <c r="AM41" i="88"/>
  <c r="S62" i="88"/>
  <c r="S100" i="88"/>
  <c r="S23" i="88"/>
  <c r="AM20" i="88"/>
  <c r="S12" i="88"/>
  <c r="AM33" i="88"/>
  <c r="AM76" i="88"/>
  <c r="S91" i="88"/>
  <c r="S84" i="88"/>
  <c r="S108" i="88"/>
  <c r="S88" i="88"/>
  <c r="S29" i="88"/>
  <c r="S11" i="88"/>
  <c r="AM92" i="88"/>
  <c r="AM47" i="88"/>
  <c r="AM88" i="88"/>
  <c r="AM18" i="88"/>
  <c r="AM99" i="88"/>
  <c r="AM85" i="88"/>
  <c r="S32" i="88"/>
  <c r="S47" i="88"/>
  <c r="S41" i="88"/>
  <c r="S37" i="88"/>
  <c r="S76" i="88"/>
  <c r="AM50" i="88"/>
  <c r="AM38" i="88"/>
  <c r="S50" i="88"/>
  <c r="S20" i="88"/>
  <c r="S39" i="88"/>
  <c r="S105" i="88"/>
  <c r="S53" i="88"/>
  <c r="S27" i="88"/>
  <c r="S14" i="88"/>
  <c r="AM87" i="88"/>
  <c r="AM71" i="88"/>
  <c r="AM62" i="88"/>
  <c r="AM90" i="88"/>
  <c r="AM78" i="88"/>
  <c r="AM107" i="88"/>
  <c r="S36" i="88"/>
  <c r="S104" i="88"/>
  <c r="S30" i="88"/>
  <c r="S107" i="88"/>
  <c r="S79" i="88"/>
  <c r="S13" i="88"/>
  <c r="S54" i="88"/>
  <c r="S71" i="88"/>
  <c r="S59" i="88"/>
  <c r="S34" i="88"/>
  <c r="S21" i="88"/>
  <c r="S83" i="88"/>
  <c r="AM98" i="88"/>
  <c r="AM82" i="88"/>
  <c r="AM104" i="88"/>
  <c r="AM39" i="88"/>
  <c r="AM24" i="88"/>
  <c r="AM80" i="88"/>
  <c r="AM74" i="88"/>
  <c r="S38" i="88"/>
  <c r="S58" i="88"/>
  <c r="S98" i="88"/>
  <c r="S18" i="88"/>
  <c r="S19" i="88"/>
  <c r="S68" i="88"/>
  <c r="AM15" i="88"/>
  <c r="AM100" i="88"/>
  <c r="AM48" i="88"/>
  <c r="AM63" i="88"/>
  <c r="AM109" i="88"/>
  <c r="S101" i="88"/>
  <c r="S69" i="88"/>
  <c r="S33" i="88"/>
  <c r="S103" i="88"/>
  <c r="S96" i="88"/>
  <c r="S49" i="88"/>
  <c r="AM61" i="88"/>
  <c r="AM23" i="88"/>
  <c r="AM52" i="88"/>
  <c r="AM58" i="88"/>
  <c r="AM95" i="88"/>
  <c r="AM70" i="88"/>
  <c r="AM42" i="88"/>
  <c r="S28" i="88"/>
  <c r="S57" i="88"/>
  <c r="S42" i="88"/>
  <c r="S73" i="88"/>
  <c r="S78" i="88"/>
  <c r="S40" i="88"/>
  <c r="AM89" i="88"/>
  <c r="AM108" i="88"/>
  <c r="AM66" i="88"/>
  <c r="AM35" i="88"/>
  <c r="S55" i="88"/>
  <c r="S109" i="88"/>
  <c r="S24" i="88"/>
  <c r="S48" i="88"/>
  <c r="S95" i="88"/>
  <c r="S94" i="88"/>
  <c r="AM86" i="88"/>
  <c r="AM106" i="88"/>
  <c r="AM55" i="88"/>
  <c r="AM29" i="88"/>
  <c r="AM22" i="88"/>
  <c r="AM32" i="88"/>
  <c r="AM97" i="88"/>
  <c r="S86" i="88"/>
  <c r="AM77" i="88"/>
  <c r="AM57" i="88"/>
  <c r="AM12" i="88"/>
  <c r="S80" i="88"/>
  <c r="AM21" i="88"/>
  <c r="AM51" i="88"/>
  <c r="S26" i="88"/>
  <c r="S89" i="88"/>
  <c r="S31" i="88"/>
  <c r="S44" i="88"/>
  <c r="S51" i="88"/>
  <c r="S93" i="88"/>
  <c r="AM103" i="88"/>
  <c r="AM31" i="88"/>
  <c r="AM25" i="88"/>
  <c r="AM16" i="88"/>
  <c r="AM54" i="88"/>
  <c r="S97" i="88"/>
  <c r="AM72" i="88"/>
  <c r="S70" i="88"/>
  <c r="AM83" i="88"/>
  <c r="AM75" i="88"/>
  <c r="AM96" i="88"/>
  <c r="AM101" i="88"/>
  <c r="S43" i="88"/>
  <c r="S92" i="88"/>
  <c r="S72" i="88"/>
  <c r="S25" i="88"/>
  <c r="S85" i="88"/>
  <c r="S66" i="88"/>
  <c r="AM56" i="88"/>
  <c r="AM102" i="88"/>
  <c r="AM53" i="88"/>
  <c r="AM69" i="88"/>
  <c r="AM27" i="88"/>
  <c r="AM68" i="88"/>
  <c r="S102" i="88"/>
  <c r="AM17" i="88"/>
  <c r="AM11" i="88"/>
  <c r="AM81" i="88"/>
  <c r="AM30" i="88"/>
  <c r="AM36" i="88"/>
  <c r="AM65" i="88"/>
  <c r="AM84" i="88"/>
  <c r="M9" i="89" l="1"/>
  <c r="M19" i="89" s="1"/>
  <c r="O9" i="89"/>
  <c r="P9" i="89"/>
  <c r="P19" i="89" s="1"/>
  <c r="N9" i="89"/>
  <c r="N19" i="89" s="1"/>
  <c r="T11" i="88"/>
  <c r="U11" i="88" s="1"/>
  <c r="T19" i="88"/>
  <c r="U19" i="88" s="1"/>
  <c r="T27" i="88"/>
  <c r="U27" i="88" s="1"/>
  <c r="T35" i="88"/>
  <c r="U35" i="88" s="1"/>
  <c r="T43" i="88"/>
  <c r="U43" i="88" s="1"/>
  <c r="T51" i="88"/>
  <c r="U51" i="88" s="1"/>
  <c r="T59" i="88"/>
  <c r="U59" i="88" s="1"/>
  <c r="T75" i="88"/>
  <c r="U75" i="88" s="1"/>
  <c r="T91" i="88"/>
  <c r="U91" i="88" s="1"/>
  <c r="T107" i="88"/>
  <c r="U107" i="88" s="1"/>
  <c r="T28" i="88"/>
  <c r="U28" i="88" s="1"/>
  <c r="T76" i="88"/>
  <c r="U76" i="88" s="1"/>
  <c r="T92" i="88"/>
  <c r="U92" i="88" s="1"/>
  <c r="T12" i="88"/>
  <c r="U12" i="88" s="1"/>
  <c r="T13" i="88"/>
  <c r="U13" i="88" s="1"/>
  <c r="T21" i="88"/>
  <c r="U21" i="88" s="1"/>
  <c r="T29" i="88"/>
  <c r="U29" i="88" s="1"/>
  <c r="T37" i="88"/>
  <c r="U37" i="88" s="1"/>
  <c r="T45" i="88"/>
  <c r="U45" i="88" s="1"/>
  <c r="T53" i="88"/>
  <c r="U53" i="88" s="1"/>
  <c r="T61" i="88"/>
  <c r="U61" i="88" s="1"/>
  <c r="T69" i="88"/>
  <c r="U69" i="88" s="1"/>
  <c r="T77" i="88"/>
  <c r="U77" i="88" s="1"/>
  <c r="T85" i="88"/>
  <c r="U85" i="88" s="1"/>
  <c r="T93" i="88"/>
  <c r="U93" i="88" s="1"/>
  <c r="T101" i="88"/>
  <c r="U101" i="88" s="1"/>
  <c r="T109" i="88"/>
  <c r="U109" i="88" s="1"/>
  <c r="T68" i="88"/>
  <c r="U68" i="88" s="1"/>
  <c r="T14" i="88"/>
  <c r="U14" i="88" s="1"/>
  <c r="T22" i="88"/>
  <c r="U22" i="88" s="1"/>
  <c r="T30" i="88"/>
  <c r="U30" i="88" s="1"/>
  <c r="T38" i="88"/>
  <c r="U38" i="88" s="1"/>
  <c r="T46" i="88"/>
  <c r="U46" i="88" s="1"/>
  <c r="T54" i="88"/>
  <c r="U54" i="88" s="1"/>
  <c r="T62" i="88"/>
  <c r="U62" i="88" s="1"/>
  <c r="T70" i="88"/>
  <c r="U70" i="88" s="1"/>
  <c r="T78" i="88"/>
  <c r="U78" i="88" s="1"/>
  <c r="T86" i="88"/>
  <c r="U86" i="88" s="1"/>
  <c r="T94" i="88"/>
  <c r="U94" i="88" s="1"/>
  <c r="T102" i="88"/>
  <c r="U102" i="88" s="1"/>
  <c r="T44" i="88"/>
  <c r="U44" i="88" s="1"/>
  <c r="T100" i="88"/>
  <c r="U100" i="88" s="1"/>
  <c r="T15" i="88"/>
  <c r="U15" i="88" s="1"/>
  <c r="T23" i="88"/>
  <c r="U23" i="88" s="1"/>
  <c r="T31" i="88"/>
  <c r="U31" i="88" s="1"/>
  <c r="T39" i="88"/>
  <c r="U39" i="88" s="1"/>
  <c r="T47" i="88"/>
  <c r="U47" i="88" s="1"/>
  <c r="T55" i="88"/>
  <c r="U55" i="88" s="1"/>
  <c r="T63" i="88"/>
  <c r="U63" i="88" s="1"/>
  <c r="T71" i="88"/>
  <c r="U71" i="88" s="1"/>
  <c r="T79" i="88"/>
  <c r="U79" i="88" s="1"/>
  <c r="T87" i="88"/>
  <c r="U87" i="88" s="1"/>
  <c r="T95" i="88"/>
  <c r="U95" i="88" s="1"/>
  <c r="T103" i="88"/>
  <c r="U103" i="88" s="1"/>
  <c r="T60" i="88"/>
  <c r="U60" i="88" s="1"/>
  <c r="T16" i="88"/>
  <c r="U16" i="88" s="1"/>
  <c r="T24" i="88"/>
  <c r="U24" i="88" s="1"/>
  <c r="T32" i="88"/>
  <c r="U32" i="88" s="1"/>
  <c r="T40" i="88"/>
  <c r="U40" i="88" s="1"/>
  <c r="T48" i="88"/>
  <c r="U48" i="88" s="1"/>
  <c r="T56" i="88"/>
  <c r="U56" i="88" s="1"/>
  <c r="T64" i="88"/>
  <c r="U64" i="88" s="1"/>
  <c r="T72" i="88"/>
  <c r="U72" i="88" s="1"/>
  <c r="T80" i="88"/>
  <c r="U80" i="88" s="1"/>
  <c r="T88" i="88"/>
  <c r="U88" i="88" s="1"/>
  <c r="T96" i="88"/>
  <c r="U96" i="88" s="1"/>
  <c r="T104" i="88"/>
  <c r="U104" i="88" s="1"/>
  <c r="T17" i="88"/>
  <c r="U17" i="88" s="1"/>
  <c r="T25" i="88"/>
  <c r="U25" i="88" s="1"/>
  <c r="T33" i="88"/>
  <c r="U33" i="88" s="1"/>
  <c r="T41" i="88"/>
  <c r="U41" i="88" s="1"/>
  <c r="T49" i="88"/>
  <c r="U49" i="88" s="1"/>
  <c r="T57" i="88"/>
  <c r="U57" i="88" s="1"/>
  <c r="T65" i="88"/>
  <c r="U65" i="88" s="1"/>
  <c r="T73" i="88"/>
  <c r="U73" i="88" s="1"/>
  <c r="T81" i="88"/>
  <c r="U81" i="88" s="1"/>
  <c r="T89" i="88"/>
  <c r="U89" i="88" s="1"/>
  <c r="T97" i="88"/>
  <c r="U97" i="88" s="1"/>
  <c r="T105" i="88"/>
  <c r="U105" i="88" s="1"/>
  <c r="T18" i="88"/>
  <c r="U18" i="88" s="1"/>
  <c r="T26" i="88"/>
  <c r="U26" i="88" s="1"/>
  <c r="T34" i="88"/>
  <c r="U34" i="88" s="1"/>
  <c r="T42" i="88"/>
  <c r="U42" i="88" s="1"/>
  <c r="T50" i="88"/>
  <c r="U50" i="88" s="1"/>
  <c r="T58" i="88"/>
  <c r="U58" i="88" s="1"/>
  <c r="T66" i="88"/>
  <c r="U66" i="88" s="1"/>
  <c r="T74" i="88"/>
  <c r="U74" i="88" s="1"/>
  <c r="T82" i="88"/>
  <c r="U82" i="88" s="1"/>
  <c r="T90" i="88"/>
  <c r="U90" i="88" s="1"/>
  <c r="T98" i="88"/>
  <c r="U98" i="88" s="1"/>
  <c r="T106" i="88"/>
  <c r="U106" i="88" s="1"/>
  <c r="T67" i="88"/>
  <c r="U67" i="88" s="1"/>
  <c r="T83" i="88"/>
  <c r="U83" i="88" s="1"/>
  <c r="T99" i="88"/>
  <c r="U99" i="88" s="1"/>
  <c r="T20" i="88"/>
  <c r="U20" i="88" s="1"/>
  <c r="T36" i="88"/>
  <c r="U36" i="88" s="1"/>
  <c r="T52" i="88"/>
  <c r="U52" i="88" s="1"/>
  <c r="T84" i="88"/>
  <c r="U84" i="88" s="1"/>
  <c r="T108" i="88"/>
  <c r="U108" i="88" s="1"/>
  <c r="P5" i="18"/>
  <c r="Q5" i="18"/>
  <c r="R5" i="18"/>
  <c r="S5" i="18"/>
  <c r="T5" i="18"/>
  <c r="P6" i="18"/>
  <c r="Q6" i="18"/>
  <c r="R6" i="18"/>
  <c r="S6" i="18"/>
  <c r="T6" i="18"/>
  <c r="P7" i="18"/>
  <c r="Q7" i="18"/>
  <c r="R7" i="18"/>
  <c r="S7" i="18"/>
  <c r="T7" i="18"/>
  <c r="P8" i="18"/>
  <c r="Q8" i="18"/>
  <c r="R8" i="18"/>
  <c r="S8" i="18"/>
  <c r="T8" i="18"/>
  <c r="P9" i="18"/>
  <c r="Q9" i="18"/>
  <c r="R9" i="18"/>
  <c r="S9" i="18"/>
  <c r="T9" i="18"/>
  <c r="P10" i="18"/>
  <c r="Q10" i="18"/>
  <c r="R10" i="18"/>
  <c r="S10" i="18"/>
  <c r="T10" i="18"/>
  <c r="P11" i="18"/>
  <c r="Q11" i="18"/>
  <c r="R11" i="18"/>
  <c r="S11" i="18"/>
  <c r="T11" i="18"/>
  <c r="P12" i="18"/>
  <c r="Q12" i="18"/>
  <c r="R12" i="18"/>
  <c r="S12" i="18"/>
  <c r="T12" i="18"/>
  <c r="P13" i="18"/>
  <c r="Q13" i="18"/>
  <c r="R13" i="18"/>
  <c r="S13" i="18"/>
  <c r="T13" i="18"/>
  <c r="P14" i="18"/>
  <c r="Q14" i="18"/>
  <c r="R14" i="18"/>
  <c r="S14" i="18"/>
  <c r="T14" i="18"/>
  <c r="P15" i="18"/>
  <c r="Q15" i="18"/>
  <c r="R15" i="18"/>
  <c r="S15" i="18"/>
  <c r="T15" i="18"/>
  <c r="P16" i="18"/>
  <c r="Q16" i="18"/>
  <c r="R16" i="18"/>
  <c r="S16" i="18"/>
  <c r="T16" i="18"/>
  <c r="P17" i="18"/>
  <c r="Q17" i="18"/>
  <c r="R17" i="18"/>
  <c r="S17" i="18"/>
  <c r="T17" i="18"/>
  <c r="P18" i="18"/>
  <c r="Q18" i="18"/>
  <c r="R18" i="18"/>
  <c r="S18" i="18"/>
  <c r="T18" i="18"/>
  <c r="P19" i="18"/>
  <c r="Q19" i="18"/>
  <c r="R19" i="18"/>
  <c r="S19" i="18"/>
  <c r="T19" i="18"/>
  <c r="P20" i="18"/>
  <c r="Q20" i="18"/>
  <c r="R20" i="18"/>
  <c r="S20" i="18"/>
  <c r="T20" i="18"/>
  <c r="P21" i="18"/>
  <c r="Q21" i="18"/>
  <c r="R21" i="18"/>
  <c r="S21" i="18"/>
  <c r="T21" i="18"/>
  <c r="P22" i="18"/>
  <c r="Q22" i="18"/>
  <c r="R22" i="18"/>
  <c r="S22" i="18"/>
  <c r="T22" i="18"/>
  <c r="P23" i="18"/>
  <c r="Q23" i="18"/>
  <c r="R23" i="18"/>
  <c r="S23" i="18"/>
  <c r="T23" i="18"/>
  <c r="P24" i="18"/>
  <c r="Q24" i="18"/>
  <c r="R24" i="18"/>
  <c r="S24" i="18"/>
  <c r="T24" i="18"/>
  <c r="P25" i="18"/>
  <c r="Q25" i="18"/>
  <c r="R25" i="18"/>
  <c r="S25" i="18"/>
  <c r="T25" i="18"/>
  <c r="P26" i="18"/>
  <c r="Q26" i="18"/>
  <c r="R26" i="18"/>
  <c r="S26" i="18"/>
  <c r="T26" i="18"/>
  <c r="P27" i="18"/>
  <c r="Q27" i="18"/>
  <c r="R27" i="18"/>
  <c r="S27" i="18"/>
  <c r="T27" i="18"/>
  <c r="P28" i="18"/>
  <c r="Q28" i="18"/>
  <c r="R28" i="18"/>
  <c r="S28" i="18"/>
  <c r="T28" i="18"/>
  <c r="P29" i="18"/>
  <c r="Q29" i="18"/>
  <c r="R29" i="18"/>
  <c r="S29" i="18"/>
  <c r="T29" i="18"/>
  <c r="P30" i="18"/>
  <c r="Q30" i="18"/>
  <c r="R30" i="18"/>
  <c r="S30" i="18"/>
  <c r="T30" i="18"/>
  <c r="P31" i="18"/>
  <c r="Q31" i="18"/>
  <c r="R31" i="18"/>
  <c r="S31" i="18"/>
  <c r="T31" i="18"/>
  <c r="P32" i="18"/>
  <c r="Q32" i="18"/>
  <c r="R32" i="18"/>
  <c r="S32" i="18"/>
  <c r="T32" i="18"/>
  <c r="P33" i="18"/>
  <c r="Q33" i="18"/>
  <c r="R33" i="18"/>
  <c r="S33" i="18"/>
  <c r="T33" i="18"/>
  <c r="P34" i="18"/>
  <c r="Q34" i="18"/>
  <c r="R34" i="18"/>
  <c r="S34" i="18"/>
  <c r="T34" i="18"/>
  <c r="P35" i="18"/>
  <c r="Q35" i="18"/>
  <c r="R35" i="18"/>
  <c r="S35" i="18"/>
  <c r="T35" i="18"/>
  <c r="P36" i="18"/>
  <c r="Q36" i="18"/>
  <c r="R36" i="18"/>
  <c r="S36" i="18"/>
  <c r="T36" i="18"/>
  <c r="P37" i="18"/>
  <c r="Q37" i="18"/>
  <c r="R37" i="18"/>
  <c r="S37" i="18"/>
  <c r="T37" i="18"/>
  <c r="P38" i="18"/>
  <c r="Q38" i="18"/>
  <c r="R38" i="18"/>
  <c r="S38" i="18"/>
  <c r="T38" i="18"/>
  <c r="P39" i="18"/>
  <c r="Q39" i="18"/>
  <c r="R39" i="18"/>
  <c r="S39" i="18"/>
  <c r="T39" i="18"/>
  <c r="P40" i="18"/>
  <c r="Q40" i="18"/>
  <c r="R40" i="18"/>
  <c r="S40" i="18"/>
  <c r="T40" i="18"/>
  <c r="P41" i="18"/>
  <c r="Q41" i="18"/>
  <c r="R41" i="18"/>
  <c r="S41" i="18"/>
  <c r="T41" i="18"/>
  <c r="P42" i="18"/>
  <c r="Q42" i="18"/>
  <c r="R42" i="18"/>
  <c r="S42" i="18"/>
  <c r="T42" i="18"/>
  <c r="P43" i="18"/>
  <c r="Q43" i="18"/>
  <c r="R43" i="18"/>
  <c r="S43" i="18"/>
  <c r="T43" i="18"/>
  <c r="P44" i="18"/>
  <c r="Q44" i="18"/>
  <c r="R44" i="18"/>
  <c r="S44" i="18"/>
  <c r="T44" i="18"/>
  <c r="P45" i="18"/>
  <c r="Q45" i="18"/>
  <c r="R45" i="18"/>
  <c r="S45" i="18"/>
  <c r="T45" i="18"/>
  <c r="P46" i="18"/>
  <c r="Q46" i="18"/>
  <c r="R46" i="18"/>
  <c r="S46" i="18"/>
  <c r="T46" i="18"/>
  <c r="P47" i="18"/>
  <c r="Q47" i="18"/>
  <c r="R47" i="18"/>
  <c r="S47" i="18"/>
  <c r="T47" i="18"/>
  <c r="P48" i="18"/>
  <c r="Q48" i="18"/>
  <c r="R48" i="18"/>
  <c r="S48" i="18"/>
  <c r="T48" i="18"/>
  <c r="P49" i="18"/>
  <c r="Q49" i="18"/>
  <c r="R49" i="18"/>
  <c r="S49" i="18"/>
  <c r="T49" i="18"/>
  <c r="P50" i="18"/>
  <c r="Q50" i="18"/>
  <c r="R50" i="18"/>
  <c r="S50" i="18"/>
  <c r="T50" i="18"/>
  <c r="P51" i="18"/>
  <c r="Q51" i="18"/>
  <c r="R51" i="18"/>
  <c r="S51" i="18"/>
  <c r="T51" i="18"/>
  <c r="P52" i="18"/>
  <c r="Q52" i="18"/>
  <c r="R52" i="18"/>
  <c r="S52" i="18"/>
  <c r="T52" i="18"/>
  <c r="P53" i="18"/>
  <c r="Q53" i="18"/>
  <c r="R53" i="18"/>
  <c r="S53" i="18"/>
  <c r="T53" i="18"/>
  <c r="P54" i="18"/>
  <c r="Q54" i="18"/>
  <c r="R54" i="18"/>
  <c r="S54" i="18"/>
  <c r="T54" i="18"/>
  <c r="P55" i="18"/>
  <c r="Q55" i="18"/>
  <c r="R55" i="18"/>
  <c r="S55" i="18"/>
  <c r="T55" i="18"/>
  <c r="P56" i="18"/>
  <c r="Q56" i="18"/>
  <c r="R56" i="18"/>
  <c r="S56" i="18"/>
  <c r="T56" i="18"/>
  <c r="P57" i="18"/>
  <c r="Q57" i="18"/>
  <c r="R57" i="18"/>
  <c r="S57" i="18"/>
  <c r="T57" i="18"/>
  <c r="P58" i="18"/>
  <c r="Q58" i="18"/>
  <c r="R58" i="18"/>
  <c r="S58" i="18"/>
  <c r="T58" i="18"/>
  <c r="P59" i="18"/>
  <c r="Q59" i="18"/>
  <c r="R59" i="18"/>
  <c r="S59" i="18"/>
  <c r="T59" i="18"/>
  <c r="P60" i="18"/>
  <c r="Q60" i="18"/>
  <c r="R60" i="18"/>
  <c r="S60" i="18"/>
  <c r="T60" i="18"/>
  <c r="P61" i="18"/>
  <c r="Q61" i="18"/>
  <c r="R61" i="18"/>
  <c r="S61" i="18"/>
  <c r="T61" i="18"/>
  <c r="P62" i="18"/>
  <c r="Q62" i="18"/>
  <c r="R62" i="18"/>
  <c r="S62" i="18"/>
  <c r="T62" i="18"/>
  <c r="P63" i="18"/>
  <c r="Q63" i="18"/>
  <c r="R63" i="18"/>
  <c r="S63" i="18"/>
  <c r="T63" i="18"/>
  <c r="P64" i="18"/>
  <c r="Q64" i="18"/>
  <c r="R64" i="18"/>
  <c r="S64" i="18"/>
  <c r="T64" i="18"/>
  <c r="P65" i="18"/>
  <c r="Q65" i="18"/>
  <c r="R65" i="18"/>
  <c r="S65" i="18"/>
  <c r="T65" i="18"/>
  <c r="P66" i="18"/>
  <c r="Q66" i="18"/>
  <c r="R66" i="18"/>
  <c r="S66" i="18"/>
  <c r="T66" i="18"/>
  <c r="P67" i="18"/>
  <c r="Q67" i="18"/>
  <c r="R67" i="18"/>
  <c r="S67" i="18"/>
  <c r="T67" i="18"/>
  <c r="P68" i="18"/>
  <c r="Q68" i="18"/>
  <c r="R68" i="18"/>
  <c r="S68" i="18"/>
  <c r="T68" i="18"/>
  <c r="P69" i="18"/>
  <c r="Q69" i="18"/>
  <c r="R69" i="18"/>
  <c r="S69" i="18"/>
  <c r="T69" i="18"/>
  <c r="P70" i="18"/>
  <c r="Q70" i="18"/>
  <c r="R70" i="18"/>
  <c r="S70" i="18"/>
  <c r="T70" i="18"/>
  <c r="P71" i="18"/>
  <c r="Q71" i="18"/>
  <c r="R71" i="18"/>
  <c r="S71" i="18"/>
  <c r="T71" i="18"/>
  <c r="P72" i="18"/>
  <c r="Q72" i="18"/>
  <c r="R72" i="18"/>
  <c r="S72" i="18"/>
  <c r="T72" i="18"/>
  <c r="P73" i="18"/>
  <c r="Q73" i="18"/>
  <c r="R73" i="18"/>
  <c r="S73" i="18"/>
  <c r="T73" i="18"/>
  <c r="P74" i="18"/>
  <c r="Q74" i="18"/>
  <c r="R74" i="18"/>
  <c r="S74" i="18"/>
  <c r="T74" i="18"/>
  <c r="P75" i="18"/>
  <c r="Q75" i="18"/>
  <c r="R75" i="18"/>
  <c r="S75" i="18"/>
  <c r="T75" i="18"/>
  <c r="P76" i="18"/>
  <c r="Q76" i="18"/>
  <c r="R76" i="18"/>
  <c r="S76" i="18"/>
  <c r="T76" i="18"/>
  <c r="P77" i="18"/>
  <c r="Q77" i="18"/>
  <c r="R77" i="18"/>
  <c r="S77" i="18"/>
  <c r="T77" i="18"/>
  <c r="P78" i="18"/>
  <c r="Q78" i="18"/>
  <c r="R78" i="18"/>
  <c r="S78" i="18"/>
  <c r="T78" i="18"/>
  <c r="P79" i="18"/>
  <c r="Q79" i="18"/>
  <c r="R79" i="18"/>
  <c r="S79" i="18"/>
  <c r="T79" i="18"/>
  <c r="P80" i="18"/>
  <c r="Q80" i="18"/>
  <c r="R80" i="18"/>
  <c r="S80" i="18"/>
  <c r="T80" i="18"/>
  <c r="P81" i="18"/>
  <c r="Q81" i="18"/>
  <c r="R81" i="18"/>
  <c r="S81" i="18"/>
  <c r="T81" i="18"/>
  <c r="P82" i="18"/>
  <c r="Q82" i="18"/>
  <c r="R82" i="18"/>
  <c r="S82" i="18"/>
  <c r="T82" i="18"/>
  <c r="P83" i="18"/>
  <c r="Q83" i="18"/>
  <c r="R83" i="18"/>
  <c r="S83" i="18"/>
  <c r="T83" i="18"/>
  <c r="P84" i="18"/>
  <c r="Q84" i="18"/>
  <c r="R84" i="18"/>
  <c r="S84" i="18"/>
  <c r="T84" i="18"/>
  <c r="P85" i="18"/>
  <c r="Q85" i="18"/>
  <c r="R85" i="18"/>
  <c r="S85" i="18"/>
  <c r="T85" i="18"/>
  <c r="P86" i="18"/>
  <c r="Q86" i="18"/>
  <c r="R86" i="18"/>
  <c r="S86" i="18"/>
  <c r="T86" i="18"/>
  <c r="P87" i="18"/>
  <c r="Q87" i="18"/>
  <c r="R87" i="18"/>
  <c r="S87" i="18"/>
  <c r="T87" i="18"/>
  <c r="P88" i="18"/>
  <c r="Q88" i="18"/>
  <c r="R88" i="18"/>
  <c r="S88" i="18"/>
  <c r="T88" i="18"/>
  <c r="P89" i="18"/>
  <c r="Q89" i="18"/>
  <c r="R89" i="18"/>
  <c r="S89" i="18"/>
  <c r="T89" i="18"/>
  <c r="P90" i="18"/>
  <c r="Q90" i="18"/>
  <c r="R90" i="18"/>
  <c r="S90" i="18"/>
  <c r="T90" i="18"/>
  <c r="P91" i="18"/>
  <c r="Q91" i="18"/>
  <c r="R91" i="18"/>
  <c r="S91" i="18"/>
  <c r="T91" i="18"/>
  <c r="P92" i="18"/>
  <c r="Q92" i="18"/>
  <c r="R92" i="18"/>
  <c r="S92" i="18"/>
  <c r="T92" i="18"/>
  <c r="P93" i="18"/>
  <c r="Q93" i="18"/>
  <c r="R93" i="18"/>
  <c r="S93" i="18"/>
  <c r="T93" i="18"/>
  <c r="P94" i="18"/>
  <c r="Q94" i="18"/>
  <c r="R94" i="18"/>
  <c r="S94" i="18"/>
  <c r="T94" i="18"/>
  <c r="P95" i="18"/>
  <c r="Q95" i="18"/>
  <c r="R95" i="18"/>
  <c r="S95" i="18"/>
  <c r="T95" i="18"/>
  <c r="P96" i="18"/>
  <c r="Q96" i="18"/>
  <c r="R96" i="18"/>
  <c r="S96" i="18"/>
  <c r="T96" i="18"/>
  <c r="P97" i="18"/>
  <c r="Q97" i="18"/>
  <c r="R97" i="18"/>
  <c r="S97" i="18"/>
  <c r="T97" i="18"/>
  <c r="P98" i="18"/>
  <c r="Q98" i="18"/>
  <c r="R98" i="18"/>
  <c r="S98" i="18"/>
  <c r="T98" i="18"/>
  <c r="P99" i="18"/>
  <c r="Q99" i="18"/>
  <c r="R99" i="18"/>
  <c r="S99" i="18"/>
  <c r="T99" i="18"/>
  <c r="P100" i="18"/>
  <c r="Q100" i="18"/>
  <c r="R100" i="18"/>
  <c r="S100" i="18"/>
  <c r="T100" i="18"/>
  <c r="P101" i="18"/>
  <c r="Q101" i="18"/>
  <c r="R101" i="18"/>
  <c r="S101" i="18"/>
  <c r="T101" i="18"/>
  <c r="P102" i="18"/>
  <c r="Q102" i="18"/>
  <c r="R102" i="18"/>
  <c r="S102" i="18"/>
  <c r="T102" i="18"/>
  <c r="P103" i="18"/>
  <c r="Q103" i="18"/>
  <c r="R103" i="18"/>
  <c r="S103" i="18"/>
  <c r="T103" i="18"/>
  <c r="P104" i="18"/>
  <c r="Q104" i="18"/>
  <c r="R104" i="18"/>
  <c r="S104" i="18"/>
  <c r="T104" i="18"/>
  <c r="P105" i="18"/>
  <c r="Q105" i="18"/>
  <c r="R105" i="18"/>
  <c r="S105" i="18"/>
  <c r="T105" i="18"/>
  <c r="P106" i="18"/>
  <c r="Q106" i="18"/>
  <c r="R106" i="18"/>
  <c r="S106" i="18"/>
  <c r="T106" i="18"/>
  <c r="P107" i="18"/>
  <c r="Q107" i="18"/>
  <c r="R107" i="18"/>
  <c r="S107" i="18"/>
  <c r="T107" i="18"/>
  <c r="P108" i="18"/>
  <c r="Q108" i="18"/>
  <c r="R108" i="18"/>
  <c r="S108" i="18"/>
  <c r="T108" i="18"/>
  <c r="P109" i="18"/>
  <c r="Q109" i="18"/>
  <c r="R109" i="18"/>
  <c r="S109" i="18"/>
  <c r="T109" i="18"/>
  <c r="P110" i="18"/>
  <c r="Q110" i="18"/>
  <c r="R110" i="18"/>
  <c r="S110" i="18"/>
  <c r="T110" i="18"/>
  <c r="P111" i="18"/>
  <c r="Q111" i="18"/>
  <c r="R111" i="18"/>
  <c r="S111" i="18"/>
  <c r="T111" i="18"/>
  <c r="P112" i="18"/>
  <c r="Q112" i="18"/>
  <c r="R112" i="18"/>
  <c r="S112" i="18"/>
  <c r="T112" i="18"/>
  <c r="P113" i="18"/>
  <c r="Q113" i="18"/>
  <c r="R113" i="18"/>
  <c r="S113" i="18"/>
  <c r="T113" i="18"/>
  <c r="P114" i="18"/>
  <c r="Q114" i="18"/>
  <c r="R114" i="18"/>
  <c r="S114" i="18"/>
  <c r="T114" i="18"/>
  <c r="P115" i="18"/>
  <c r="Q115" i="18"/>
  <c r="R115" i="18"/>
  <c r="S115" i="18"/>
  <c r="T115" i="18"/>
  <c r="P116" i="18"/>
  <c r="Q116" i="18"/>
  <c r="R116" i="18"/>
  <c r="S116" i="18"/>
  <c r="T116" i="18"/>
  <c r="P117" i="18"/>
  <c r="Q117" i="18"/>
  <c r="R117" i="18"/>
  <c r="S117" i="18"/>
  <c r="T117" i="18"/>
  <c r="P118" i="18"/>
  <c r="Q118" i="18"/>
  <c r="R118" i="18"/>
  <c r="S118" i="18"/>
  <c r="T118" i="18"/>
  <c r="P119" i="18"/>
  <c r="Q119" i="18"/>
  <c r="R119" i="18"/>
  <c r="S119" i="18"/>
  <c r="T119" i="18"/>
  <c r="P120" i="18"/>
  <c r="Q120" i="18"/>
  <c r="R120" i="18"/>
  <c r="S120" i="18"/>
  <c r="T120" i="18"/>
  <c r="P121" i="18"/>
  <c r="Q121" i="18"/>
  <c r="R121" i="18"/>
  <c r="S121" i="18"/>
  <c r="T121" i="18"/>
  <c r="P122" i="18"/>
  <c r="Q122" i="18"/>
  <c r="R122" i="18"/>
  <c r="S122" i="18"/>
  <c r="T122" i="18"/>
  <c r="P123" i="18"/>
  <c r="Q123" i="18"/>
  <c r="R123" i="18"/>
  <c r="S123" i="18"/>
  <c r="T123" i="18"/>
  <c r="P124" i="18"/>
  <c r="Q124" i="18"/>
  <c r="R124" i="18"/>
  <c r="S124" i="18"/>
  <c r="T124" i="18"/>
  <c r="P125" i="18"/>
  <c r="Q125" i="18"/>
  <c r="R125" i="18"/>
  <c r="S125" i="18"/>
  <c r="T125" i="18"/>
  <c r="P126" i="18"/>
  <c r="Q126" i="18"/>
  <c r="R126" i="18"/>
  <c r="S126" i="18"/>
  <c r="T126" i="18"/>
  <c r="P127" i="18"/>
  <c r="Q127" i="18"/>
  <c r="R127" i="18"/>
  <c r="S127" i="18"/>
  <c r="T127" i="18"/>
  <c r="P128" i="18"/>
  <c r="Q128" i="18"/>
  <c r="R128" i="18"/>
  <c r="S128" i="18"/>
  <c r="T128" i="18"/>
  <c r="P129" i="18"/>
  <c r="Q129" i="18"/>
  <c r="R129" i="18"/>
  <c r="S129" i="18"/>
  <c r="T129" i="18"/>
  <c r="P130" i="18"/>
  <c r="Q130" i="18"/>
  <c r="R130" i="18"/>
  <c r="S130" i="18"/>
  <c r="T130" i="18"/>
  <c r="P131" i="18"/>
  <c r="Q131" i="18"/>
  <c r="R131" i="18"/>
  <c r="S131" i="18"/>
  <c r="T131" i="18"/>
  <c r="P132" i="18"/>
  <c r="Q132" i="18"/>
  <c r="R132" i="18"/>
  <c r="S132" i="18"/>
  <c r="T132" i="18"/>
  <c r="P133" i="18"/>
  <c r="Q133" i="18"/>
  <c r="R133" i="18"/>
  <c r="S133" i="18"/>
  <c r="T133" i="18"/>
  <c r="P134" i="18"/>
  <c r="Q134" i="18"/>
  <c r="R134" i="18"/>
  <c r="S134" i="18"/>
  <c r="T134" i="18"/>
  <c r="P135" i="18"/>
  <c r="Q135" i="18"/>
  <c r="R135" i="18"/>
  <c r="S135" i="18"/>
  <c r="T135" i="18"/>
  <c r="P136" i="18"/>
  <c r="Q136" i="18"/>
  <c r="R136" i="18"/>
  <c r="S136" i="18"/>
  <c r="T136" i="18"/>
  <c r="P137" i="18"/>
  <c r="Q137" i="18"/>
  <c r="R137" i="18"/>
  <c r="S137" i="18"/>
  <c r="T137" i="18"/>
  <c r="P138" i="18"/>
  <c r="Q138" i="18"/>
  <c r="R138" i="18"/>
  <c r="S138" i="18"/>
  <c r="T138" i="18"/>
  <c r="P139" i="18"/>
  <c r="Q139" i="18"/>
  <c r="R139" i="18"/>
  <c r="S139" i="18"/>
  <c r="T139" i="18"/>
  <c r="P140" i="18"/>
  <c r="Q140" i="18"/>
  <c r="R140" i="18"/>
  <c r="S140" i="18"/>
  <c r="T140" i="18"/>
  <c r="P141" i="18"/>
  <c r="Q141" i="18"/>
  <c r="R141" i="18"/>
  <c r="S141" i="18"/>
  <c r="T141" i="18"/>
  <c r="P142" i="18"/>
  <c r="Q142" i="18"/>
  <c r="R142" i="18"/>
  <c r="S142" i="18"/>
  <c r="T142" i="18"/>
  <c r="P143" i="18"/>
  <c r="Q143" i="18"/>
  <c r="R143" i="18"/>
  <c r="S143" i="18"/>
  <c r="T143" i="18"/>
  <c r="P144" i="18"/>
  <c r="Q144" i="18"/>
  <c r="R144" i="18"/>
  <c r="S144" i="18"/>
  <c r="T144" i="18"/>
  <c r="P145" i="18"/>
  <c r="Q145" i="18"/>
  <c r="R145" i="18"/>
  <c r="S145" i="18"/>
  <c r="T145" i="18"/>
  <c r="P146" i="18"/>
  <c r="Q146" i="18"/>
  <c r="R146" i="18"/>
  <c r="S146" i="18"/>
  <c r="T146" i="18"/>
  <c r="P147" i="18"/>
  <c r="Q147" i="18"/>
  <c r="R147" i="18"/>
  <c r="S147" i="18"/>
  <c r="T147" i="18"/>
  <c r="P148" i="18"/>
  <c r="Q148" i="18"/>
  <c r="R148" i="18"/>
  <c r="S148" i="18"/>
  <c r="T148" i="18"/>
  <c r="P149" i="18"/>
  <c r="Q149" i="18"/>
  <c r="R149" i="18"/>
  <c r="S149" i="18"/>
  <c r="T149" i="18"/>
  <c r="P150" i="18"/>
  <c r="Q150" i="18"/>
  <c r="R150" i="18"/>
  <c r="S150" i="18"/>
  <c r="T150" i="18"/>
  <c r="P151" i="18"/>
  <c r="Q151" i="18"/>
  <c r="R151" i="18"/>
  <c r="S151" i="18"/>
  <c r="T151" i="18"/>
  <c r="P152" i="18"/>
  <c r="Q152" i="18"/>
  <c r="R152" i="18"/>
  <c r="S152" i="18"/>
  <c r="T152" i="18"/>
  <c r="P153" i="18"/>
  <c r="Q153" i="18"/>
  <c r="R153" i="18"/>
  <c r="S153" i="18"/>
  <c r="T153" i="18"/>
  <c r="P154" i="18"/>
  <c r="Q154" i="18"/>
  <c r="R154" i="18"/>
  <c r="S154" i="18"/>
  <c r="T154" i="18"/>
  <c r="P155" i="18"/>
  <c r="Q155" i="18"/>
  <c r="R155" i="18"/>
  <c r="S155" i="18"/>
  <c r="T155" i="18"/>
  <c r="P156" i="18"/>
  <c r="Q156" i="18"/>
  <c r="R156" i="18"/>
  <c r="S156" i="18"/>
  <c r="T156" i="18"/>
  <c r="P157" i="18"/>
  <c r="Q157" i="18"/>
  <c r="R157" i="18"/>
  <c r="S157" i="18"/>
  <c r="T157" i="18"/>
  <c r="P158" i="18"/>
  <c r="Q158" i="18"/>
  <c r="R158" i="18"/>
  <c r="S158" i="18"/>
  <c r="T158" i="18"/>
  <c r="P159" i="18"/>
  <c r="Q159" i="18"/>
  <c r="R159" i="18"/>
  <c r="S159" i="18"/>
  <c r="T159" i="18"/>
  <c r="P160" i="18"/>
  <c r="Q160" i="18"/>
  <c r="R160" i="18"/>
  <c r="S160" i="18"/>
  <c r="T160" i="18"/>
  <c r="P161" i="18"/>
  <c r="Q161" i="18"/>
  <c r="R161" i="18"/>
  <c r="S161" i="18"/>
  <c r="T161" i="18"/>
  <c r="P162" i="18"/>
  <c r="Q162" i="18"/>
  <c r="R162" i="18"/>
  <c r="S162" i="18"/>
  <c r="T162" i="18"/>
  <c r="P163" i="18"/>
  <c r="Q163" i="18"/>
  <c r="R163" i="18"/>
  <c r="S163" i="18"/>
  <c r="T163" i="18"/>
  <c r="Q4" i="18"/>
  <c r="R4" i="18"/>
  <c r="S4" i="18"/>
  <c r="T4" i="18"/>
  <c r="V18" i="88" l="1"/>
  <c r="V82" i="88"/>
  <c r="V43" i="88"/>
  <c r="V107" i="88"/>
  <c r="V68" i="88"/>
  <c r="V13" i="88"/>
  <c r="V77" i="88"/>
  <c r="V38" i="88"/>
  <c r="V102" i="88"/>
  <c r="V71" i="88"/>
  <c r="V25" i="88"/>
  <c r="V97" i="88"/>
  <c r="V96" i="88"/>
  <c r="V26" i="88"/>
  <c r="V90" i="88"/>
  <c r="V51" i="88"/>
  <c r="V12" i="88"/>
  <c r="V76" i="88"/>
  <c r="V21" i="88"/>
  <c r="V85" i="88"/>
  <c r="V46" i="88"/>
  <c r="V15" i="88"/>
  <c r="V79" i="88"/>
  <c r="V72" i="88"/>
  <c r="V33" i="88"/>
  <c r="V17" i="88"/>
  <c r="V34" i="88"/>
  <c r="V98" i="88"/>
  <c r="V59" i="88"/>
  <c r="V20" i="88"/>
  <c r="V84" i="88"/>
  <c r="V29" i="88"/>
  <c r="V93" i="88"/>
  <c r="V54" i="88"/>
  <c r="V23" i="88"/>
  <c r="V87" i="88"/>
  <c r="V104" i="88"/>
  <c r="V73" i="88"/>
  <c r="V65" i="88"/>
  <c r="V42" i="88"/>
  <c r="V106" i="88"/>
  <c r="V67" i="88"/>
  <c r="V28" i="88"/>
  <c r="V92" i="88"/>
  <c r="V37" i="88"/>
  <c r="V101" i="88"/>
  <c r="V62" i="88"/>
  <c r="V31" i="88"/>
  <c r="V103" i="88"/>
  <c r="V80" i="88"/>
  <c r="V105" i="88"/>
  <c r="V50" i="88"/>
  <c r="V11" i="88"/>
  <c r="V75" i="88"/>
  <c r="V36" i="88"/>
  <c r="V100" i="88"/>
  <c r="V45" i="88"/>
  <c r="V109" i="88"/>
  <c r="V70" i="88"/>
  <c r="V39" i="88"/>
  <c r="V16" i="88"/>
  <c r="V81" i="88"/>
  <c r="V41" i="88"/>
  <c r="V58" i="88"/>
  <c r="V19" i="88"/>
  <c r="V83" i="88"/>
  <c r="V44" i="88"/>
  <c r="V108" i="88"/>
  <c r="V53" i="88"/>
  <c r="V14" i="88"/>
  <c r="V78" i="88"/>
  <c r="V47" i="88"/>
  <c r="V24" i="88"/>
  <c r="V88" i="88"/>
  <c r="V49" i="88"/>
  <c r="V66" i="88"/>
  <c r="V27" i="88"/>
  <c r="V91" i="88"/>
  <c r="V52" i="88"/>
  <c r="V95" i="88"/>
  <c r="V61" i="88"/>
  <c r="V22" i="88"/>
  <c r="V86" i="88"/>
  <c r="V55" i="88"/>
  <c r="V32" i="88"/>
  <c r="V89" i="88"/>
  <c r="V56" i="88"/>
  <c r="V74" i="88"/>
  <c r="V35" i="88"/>
  <c r="V99" i="88"/>
  <c r="V60" i="88"/>
  <c r="V40" i="88"/>
  <c r="V69" i="88"/>
  <c r="V30" i="88"/>
  <c r="V94" i="88"/>
  <c r="V63" i="88"/>
  <c r="V48" i="88"/>
  <c r="V64" i="88"/>
  <c r="V57" i="88"/>
  <c r="O19" i="89"/>
  <c r="Q19" i="89" s="1"/>
  <c r="M10" i="89"/>
  <c r="N10" i="89"/>
  <c r="P10" i="89"/>
  <c r="O10" i="89"/>
  <c r="BS79" i="18"/>
  <c r="BT79" i="18"/>
  <c r="BU79" i="18"/>
  <c r="BV79" i="18"/>
  <c r="BS80" i="18"/>
  <c r="BT80" i="18"/>
  <c r="BU80" i="18"/>
  <c r="BV80" i="18"/>
  <c r="BS81" i="18"/>
  <c r="BT81" i="18"/>
  <c r="BU81" i="18"/>
  <c r="BV81" i="18"/>
  <c r="BS82" i="18"/>
  <c r="BT82" i="18"/>
  <c r="BU82" i="18"/>
  <c r="BV82" i="18"/>
  <c r="BS83" i="18"/>
  <c r="BT83" i="18"/>
  <c r="BU83" i="18"/>
  <c r="BV83" i="18"/>
  <c r="BS54" i="18"/>
  <c r="BT54" i="18"/>
  <c r="BU54" i="18"/>
  <c r="BV54" i="18"/>
  <c r="BS55" i="18"/>
  <c r="BT55" i="18"/>
  <c r="BU55" i="18"/>
  <c r="BV55" i="18"/>
  <c r="BS56" i="18"/>
  <c r="BT56" i="18"/>
  <c r="BU56" i="18"/>
  <c r="BV56" i="18"/>
  <c r="BS57" i="18"/>
  <c r="BT57" i="18"/>
  <c r="BU57" i="18"/>
  <c r="BV57" i="18"/>
  <c r="BS58" i="18"/>
  <c r="BT58" i="18"/>
  <c r="BU58" i="18"/>
  <c r="BV58" i="18"/>
  <c r="BS59" i="18"/>
  <c r="BT59" i="18"/>
  <c r="BU59" i="18"/>
  <c r="BV59" i="18"/>
  <c r="BS60" i="18"/>
  <c r="BT60" i="18"/>
  <c r="BU60" i="18"/>
  <c r="BV60" i="18"/>
  <c r="BS61" i="18"/>
  <c r="BT61" i="18"/>
  <c r="BU61" i="18"/>
  <c r="BV61" i="18"/>
  <c r="BS62" i="18"/>
  <c r="BT62" i="18"/>
  <c r="BU62" i="18"/>
  <c r="BV62" i="18"/>
  <c r="BS63" i="18"/>
  <c r="BT63" i="18"/>
  <c r="BU63" i="18"/>
  <c r="BV63" i="18"/>
  <c r="BS64" i="18"/>
  <c r="BT64" i="18"/>
  <c r="BU64" i="18"/>
  <c r="BV64" i="18"/>
  <c r="BS65" i="18"/>
  <c r="BT65" i="18"/>
  <c r="BU65" i="18"/>
  <c r="BV65" i="18"/>
  <c r="BS66" i="18"/>
  <c r="BT66" i="18"/>
  <c r="BU66" i="18"/>
  <c r="BV66" i="18"/>
  <c r="BS67" i="18"/>
  <c r="BT67" i="18"/>
  <c r="BU67" i="18"/>
  <c r="BV67" i="18"/>
  <c r="BS68" i="18"/>
  <c r="BT68" i="18"/>
  <c r="BU68" i="18"/>
  <c r="BV68" i="18"/>
  <c r="BS69" i="18"/>
  <c r="BT69" i="18"/>
  <c r="BU69" i="18"/>
  <c r="BV69" i="18"/>
  <c r="BS70" i="18"/>
  <c r="BT70" i="18"/>
  <c r="BU70" i="18"/>
  <c r="BV70" i="18"/>
  <c r="BS71" i="18"/>
  <c r="BT71" i="18"/>
  <c r="BU71" i="18"/>
  <c r="BV71" i="18"/>
  <c r="BS72" i="18"/>
  <c r="BT72" i="18"/>
  <c r="BU72" i="18"/>
  <c r="BV72" i="18"/>
  <c r="BS73" i="18"/>
  <c r="BT73" i="18"/>
  <c r="BU73" i="18"/>
  <c r="BV73" i="18"/>
  <c r="BS74" i="18"/>
  <c r="BT74" i="18"/>
  <c r="BU74" i="18"/>
  <c r="BV74" i="18"/>
  <c r="BS75" i="18"/>
  <c r="BT75" i="18"/>
  <c r="BU75" i="18"/>
  <c r="BV75" i="18"/>
  <c r="BS76" i="18"/>
  <c r="BT76" i="18"/>
  <c r="BU76" i="18"/>
  <c r="BV76" i="18"/>
  <c r="BS77" i="18"/>
  <c r="BT77" i="18"/>
  <c r="BU77" i="18"/>
  <c r="BV77" i="18"/>
  <c r="BS78" i="18"/>
  <c r="BT78" i="18"/>
  <c r="BU78" i="18"/>
  <c r="BV78" i="18"/>
  <c r="T44" i="89"/>
  <c r="T48" i="89"/>
  <c r="T37" i="89"/>
  <c r="T88" i="89"/>
  <c r="T73" i="89"/>
  <c r="T84" i="89"/>
  <c r="T68" i="89"/>
  <c r="T38" i="89"/>
  <c r="T82" i="89"/>
  <c r="T30" i="89"/>
  <c r="T21" i="89"/>
  <c r="T66" i="89"/>
  <c r="T98" i="89"/>
  <c r="T59" i="89"/>
  <c r="T49" i="89"/>
  <c r="T5" i="89"/>
  <c r="T100" i="89"/>
  <c r="T77" i="89"/>
  <c r="T29" i="89"/>
  <c r="T10" i="89"/>
  <c r="T55" i="89"/>
  <c r="T56" i="89"/>
  <c r="T64" i="89"/>
  <c r="T78" i="89"/>
  <c r="T95" i="89"/>
  <c r="T92" i="89"/>
  <c r="T35" i="89"/>
  <c r="T70" i="89"/>
  <c r="T22" i="89"/>
  <c r="T61" i="89"/>
  <c r="T46" i="89"/>
  <c r="T99" i="89"/>
  <c r="T26" i="89"/>
  <c r="T58" i="89"/>
  <c r="T16" i="89"/>
  <c r="T31" i="89"/>
  <c r="T71" i="89"/>
  <c r="T40" i="89"/>
  <c r="T90" i="89"/>
  <c r="T69" i="89"/>
  <c r="T18" i="89"/>
  <c r="T86" i="89"/>
  <c r="T23" i="89"/>
  <c r="T25" i="89"/>
  <c r="T19" i="89"/>
  <c r="T96" i="89"/>
  <c r="T20" i="89"/>
  <c r="T15" i="89"/>
  <c r="T72" i="89"/>
  <c r="T50" i="89"/>
  <c r="T54" i="89"/>
  <c r="T75" i="89"/>
  <c r="T60" i="89"/>
  <c r="T51" i="89"/>
  <c r="T89" i="89"/>
  <c r="T42" i="89"/>
  <c r="T45" i="89"/>
  <c r="T79" i="89"/>
  <c r="T11" i="89"/>
  <c r="T104" i="89"/>
  <c r="T63" i="89"/>
  <c r="T24" i="89"/>
  <c r="T36" i="89"/>
  <c r="T101" i="89"/>
  <c r="T83" i="89"/>
  <c r="T52" i="89"/>
  <c r="T34" i="89"/>
  <c r="T80" i="89"/>
  <c r="T91" i="89"/>
  <c r="T17" i="89"/>
  <c r="T85" i="89"/>
  <c r="T39" i="89"/>
  <c r="T9" i="89"/>
  <c r="T87" i="89"/>
  <c r="T32" i="89"/>
  <c r="T102" i="89"/>
  <c r="T103" i="89"/>
  <c r="T94" i="89"/>
  <c r="T57" i="89"/>
  <c r="T67" i="89"/>
  <c r="T97" i="89"/>
  <c r="T12" i="89"/>
  <c r="T27" i="89"/>
  <c r="T8" i="89"/>
  <c r="T65" i="89"/>
  <c r="T93" i="89"/>
  <c r="T76" i="89"/>
  <c r="T74" i="89"/>
  <c r="T53" i="89"/>
  <c r="T81" i="89"/>
  <c r="T47" i="89"/>
  <c r="T28" i="89"/>
  <c r="T13" i="89"/>
  <c r="T33" i="89"/>
  <c r="T43" i="89"/>
  <c r="T14" i="89"/>
  <c r="T62" i="89"/>
  <c r="T7" i="89"/>
  <c r="T6" i="89"/>
  <c r="T41" i="89"/>
  <c r="X13" i="88" l="1"/>
  <c r="X12" i="88"/>
  <c r="X11" i="88"/>
  <c r="X14" i="88"/>
  <c r="M11" i="89"/>
  <c r="M20" i="89" s="1"/>
  <c r="P11" i="89"/>
  <c r="P20" i="89" s="1"/>
  <c r="O11" i="89"/>
  <c r="O20" i="89" s="1"/>
  <c r="N11" i="89"/>
  <c r="BW78" i="18"/>
  <c r="BW73" i="18"/>
  <c r="BW82" i="18"/>
  <c r="BW56" i="18"/>
  <c r="BW60" i="18"/>
  <c r="BW72" i="18"/>
  <c r="BW66" i="18"/>
  <c r="BW64" i="18"/>
  <c r="BW63" i="18"/>
  <c r="BW71" i="18"/>
  <c r="BW54" i="18"/>
  <c r="BW70" i="18"/>
  <c r="BW67" i="18"/>
  <c r="BW65" i="18"/>
  <c r="BW58" i="18"/>
  <c r="BW57" i="18"/>
  <c r="BW74" i="18"/>
  <c r="BW61" i="18"/>
  <c r="BW59" i="18"/>
  <c r="BW75" i="18"/>
  <c r="BW68" i="18"/>
  <c r="BW55" i="18"/>
  <c r="BW81" i="18"/>
  <c r="BW76" i="18"/>
  <c r="BW69" i="18"/>
  <c r="BW62" i="18"/>
  <c r="BW83" i="18"/>
  <c r="BW79" i="18"/>
  <c r="BW77" i="18"/>
  <c r="BW80" i="18"/>
  <c r="AS54" i="18"/>
  <c r="AT54" i="18"/>
  <c r="AU54" i="18"/>
  <c r="AV54" i="18"/>
  <c r="AW54" i="18"/>
  <c r="AX54" i="18"/>
  <c r="AS55" i="18"/>
  <c r="AT55" i="18"/>
  <c r="AU55" i="18"/>
  <c r="AV55" i="18"/>
  <c r="AW55" i="18"/>
  <c r="AX55" i="18"/>
  <c r="AS56" i="18"/>
  <c r="AT56" i="18"/>
  <c r="AU56" i="18"/>
  <c r="AV56" i="18"/>
  <c r="AW56" i="18"/>
  <c r="AX56" i="18"/>
  <c r="AS57" i="18"/>
  <c r="AT57" i="18"/>
  <c r="AU57" i="18"/>
  <c r="AV57" i="18"/>
  <c r="AW57" i="18"/>
  <c r="AX57" i="18"/>
  <c r="AS58" i="18"/>
  <c r="AT58" i="18"/>
  <c r="AU58" i="18"/>
  <c r="AV58" i="18"/>
  <c r="AW58" i="18"/>
  <c r="AX58" i="18"/>
  <c r="AS59" i="18"/>
  <c r="AT59" i="18"/>
  <c r="AU59" i="18"/>
  <c r="AV59" i="18"/>
  <c r="AW59" i="18"/>
  <c r="AX59" i="18"/>
  <c r="AS60" i="18"/>
  <c r="AT60" i="18"/>
  <c r="AU60" i="18"/>
  <c r="AV60" i="18"/>
  <c r="AW60" i="18"/>
  <c r="AX60" i="18"/>
  <c r="AS61" i="18"/>
  <c r="AT61" i="18"/>
  <c r="AU61" i="18"/>
  <c r="AV61" i="18"/>
  <c r="AW61" i="18"/>
  <c r="AX61" i="18"/>
  <c r="AS62" i="18"/>
  <c r="AT62" i="18"/>
  <c r="AU62" i="18"/>
  <c r="AV62" i="18"/>
  <c r="AW62" i="18"/>
  <c r="AX62" i="18"/>
  <c r="AS63" i="18"/>
  <c r="AT63" i="18"/>
  <c r="AU63" i="18"/>
  <c r="AV63" i="18"/>
  <c r="AW63" i="18"/>
  <c r="AX63" i="18"/>
  <c r="AS64" i="18"/>
  <c r="AT64" i="18"/>
  <c r="AU64" i="18"/>
  <c r="AV64" i="18"/>
  <c r="AW64" i="18"/>
  <c r="AX64" i="18"/>
  <c r="AS65" i="18"/>
  <c r="AT65" i="18"/>
  <c r="AU65" i="18"/>
  <c r="AV65" i="18"/>
  <c r="AW65" i="18"/>
  <c r="AX65" i="18"/>
  <c r="AS66" i="18"/>
  <c r="AT66" i="18"/>
  <c r="AU66" i="18"/>
  <c r="AV66" i="18"/>
  <c r="AW66" i="18"/>
  <c r="AX66" i="18"/>
  <c r="AS67" i="18"/>
  <c r="AT67" i="18"/>
  <c r="AU67" i="18"/>
  <c r="AV67" i="18"/>
  <c r="AW67" i="18"/>
  <c r="AX67" i="18"/>
  <c r="AS68" i="18"/>
  <c r="AT68" i="18"/>
  <c r="AU68" i="18"/>
  <c r="AV68" i="18"/>
  <c r="AW68" i="18"/>
  <c r="AX68" i="18"/>
  <c r="AS69" i="18"/>
  <c r="AT69" i="18"/>
  <c r="AU69" i="18"/>
  <c r="AV69" i="18"/>
  <c r="AW69" i="18"/>
  <c r="AX69" i="18"/>
  <c r="AS70" i="18"/>
  <c r="AT70" i="18"/>
  <c r="AU70" i="18"/>
  <c r="AV70" i="18"/>
  <c r="AW70" i="18"/>
  <c r="AX70" i="18"/>
  <c r="AS71" i="18"/>
  <c r="AT71" i="18"/>
  <c r="AU71" i="18"/>
  <c r="AV71" i="18"/>
  <c r="AW71" i="18"/>
  <c r="AX71" i="18"/>
  <c r="AS72" i="18"/>
  <c r="AT72" i="18"/>
  <c r="AU72" i="18"/>
  <c r="AV72" i="18"/>
  <c r="AW72" i="18"/>
  <c r="AX72" i="18"/>
  <c r="AS73" i="18"/>
  <c r="AT73" i="18"/>
  <c r="AU73" i="18"/>
  <c r="AV73" i="18"/>
  <c r="AW73" i="18"/>
  <c r="AX73" i="18"/>
  <c r="AS74" i="18"/>
  <c r="AT74" i="18"/>
  <c r="AU74" i="18"/>
  <c r="AV74" i="18"/>
  <c r="AW74" i="18"/>
  <c r="AX74" i="18"/>
  <c r="AS75" i="18"/>
  <c r="AT75" i="18"/>
  <c r="AU75" i="18"/>
  <c r="AV75" i="18"/>
  <c r="AW75" i="18"/>
  <c r="AX75" i="18"/>
  <c r="AS76" i="18"/>
  <c r="AT76" i="18"/>
  <c r="AU76" i="18"/>
  <c r="AV76" i="18"/>
  <c r="AW76" i="18"/>
  <c r="AX76" i="18"/>
  <c r="AS77" i="18"/>
  <c r="AT77" i="18"/>
  <c r="AU77" i="18"/>
  <c r="AV77" i="18"/>
  <c r="AW77" i="18"/>
  <c r="AX77" i="18"/>
  <c r="AS78" i="18"/>
  <c r="AT78" i="18"/>
  <c r="AU78" i="18"/>
  <c r="AV78" i="18"/>
  <c r="AW78" i="18"/>
  <c r="AX78" i="18"/>
  <c r="AS79" i="18"/>
  <c r="AT79" i="18"/>
  <c r="AU79" i="18"/>
  <c r="AV79" i="18"/>
  <c r="AW79" i="18"/>
  <c r="AX79" i="18"/>
  <c r="AS80" i="18"/>
  <c r="AT80" i="18"/>
  <c r="AU80" i="18"/>
  <c r="AV80" i="18"/>
  <c r="AW80" i="18"/>
  <c r="AX80" i="18"/>
  <c r="AS81" i="18"/>
  <c r="AT81" i="18"/>
  <c r="AU81" i="18"/>
  <c r="AV81" i="18"/>
  <c r="AW81" i="18"/>
  <c r="AX81" i="18"/>
  <c r="AS82" i="18"/>
  <c r="AT82" i="18"/>
  <c r="AU82" i="18"/>
  <c r="AV82" i="18"/>
  <c r="AW82" i="18"/>
  <c r="AX82" i="18"/>
  <c r="AS83" i="18"/>
  <c r="AT83" i="18"/>
  <c r="AU83" i="18"/>
  <c r="AV83" i="18"/>
  <c r="AW83" i="18"/>
  <c r="AX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T39" i="18"/>
  <c r="AU39" i="18"/>
  <c r="AV39" i="18"/>
  <c r="AW39" i="18"/>
  <c r="AX39" i="18"/>
  <c r="AS40" i="18"/>
  <c r="AT40" i="18"/>
  <c r="AU40" i="18"/>
  <c r="AV40" i="18"/>
  <c r="AW40" i="18"/>
  <c r="AX40" i="18"/>
  <c r="AS41" i="18"/>
  <c r="AT41" i="18"/>
  <c r="AU41" i="18"/>
  <c r="AV41" i="18"/>
  <c r="AW41" i="18"/>
  <c r="AX41" i="18"/>
  <c r="AS42" i="18"/>
  <c r="AT42" i="18"/>
  <c r="AU42" i="18"/>
  <c r="AV42" i="18"/>
  <c r="AW42" i="18"/>
  <c r="AX42" i="18"/>
  <c r="AS43" i="18"/>
  <c r="AT43" i="18"/>
  <c r="AU43" i="18"/>
  <c r="AV43" i="18"/>
  <c r="AW43" i="18"/>
  <c r="AX43" i="18"/>
  <c r="AS44" i="18"/>
  <c r="AT44" i="18"/>
  <c r="AU44" i="18"/>
  <c r="AV44" i="18"/>
  <c r="AW44" i="18"/>
  <c r="AX44" i="18"/>
  <c r="AS45" i="18"/>
  <c r="AT45" i="18"/>
  <c r="AU45" i="18"/>
  <c r="AV45" i="18"/>
  <c r="AW45" i="18"/>
  <c r="AX45" i="18"/>
  <c r="AS46" i="18"/>
  <c r="AT46" i="18"/>
  <c r="AU46" i="18"/>
  <c r="AV46" i="18"/>
  <c r="AW46" i="18"/>
  <c r="AX46" i="18"/>
  <c r="AS47" i="18"/>
  <c r="AT47" i="18"/>
  <c r="AU47" i="18"/>
  <c r="AV47" i="18"/>
  <c r="AW47" i="18"/>
  <c r="AX47" i="18"/>
  <c r="AS48" i="18"/>
  <c r="AT48" i="18"/>
  <c r="AU48" i="18"/>
  <c r="AV48" i="18"/>
  <c r="AW48" i="18"/>
  <c r="AX48" i="18"/>
  <c r="AS49" i="18"/>
  <c r="AT49" i="18"/>
  <c r="AU49" i="18"/>
  <c r="AV49" i="18"/>
  <c r="AW49" i="18"/>
  <c r="AX49" i="18"/>
  <c r="AS50" i="18"/>
  <c r="AT50" i="18"/>
  <c r="AU50" i="18"/>
  <c r="AV50" i="18"/>
  <c r="AW50" i="18"/>
  <c r="AX50" i="18"/>
  <c r="AS51" i="18"/>
  <c r="AT51" i="18"/>
  <c r="AU51" i="18"/>
  <c r="AV51" i="18"/>
  <c r="AW51" i="18"/>
  <c r="AX51" i="18"/>
  <c r="AS52" i="18"/>
  <c r="AT52" i="18"/>
  <c r="AU52" i="18"/>
  <c r="AV52" i="18"/>
  <c r="AW52" i="18"/>
  <c r="AX52" i="18"/>
  <c r="AS53" i="18"/>
  <c r="AT53" i="18"/>
  <c r="AU53" i="18"/>
  <c r="AV53" i="18"/>
  <c r="AW53" i="18"/>
  <c r="AX53" i="18"/>
  <c r="AX4" i="18"/>
  <c r="AW4" i="18"/>
  <c r="AV4" i="18"/>
  <c r="AU4" i="18"/>
  <c r="AT4" i="18"/>
  <c r="AS4" i="18"/>
  <c r="AL54" i="18"/>
  <c r="AM54" i="18"/>
  <c r="AN54" i="18"/>
  <c r="AO54" i="18"/>
  <c r="AP54" i="18"/>
  <c r="AQ54" i="18"/>
  <c r="AL55" i="18"/>
  <c r="AM55" i="18"/>
  <c r="AN55" i="18"/>
  <c r="AO55" i="18"/>
  <c r="AP55" i="18"/>
  <c r="AQ55" i="18"/>
  <c r="AL56" i="18"/>
  <c r="AM56" i="18"/>
  <c r="AN56" i="18"/>
  <c r="AO56" i="18"/>
  <c r="AP56" i="18"/>
  <c r="AQ56" i="18"/>
  <c r="AL57" i="18"/>
  <c r="AM57" i="18"/>
  <c r="AN57" i="18"/>
  <c r="AO57" i="18"/>
  <c r="AP57" i="18"/>
  <c r="AQ57" i="18"/>
  <c r="AL58" i="18"/>
  <c r="AM58" i="18"/>
  <c r="AN58" i="18"/>
  <c r="AO58" i="18"/>
  <c r="AP58" i="18"/>
  <c r="AQ58" i="18"/>
  <c r="AL59" i="18"/>
  <c r="AM59" i="18"/>
  <c r="AN59" i="18"/>
  <c r="AO59" i="18"/>
  <c r="AP59" i="18"/>
  <c r="AQ59" i="18"/>
  <c r="AL60" i="18"/>
  <c r="AM60" i="18"/>
  <c r="AN60" i="18"/>
  <c r="AO60" i="18"/>
  <c r="AP60" i="18"/>
  <c r="AQ60" i="18"/>
  <c r="AL61" i="18"/>
  <c r="AM61" i="18"/>
  <c r="AN61" i="18"/>
  <c r="AO61" i="18"/>
  <c r="AP61" i="18"/>
  <c r="AQ61" i="18"/>
  <c r="AL62" i="18"/>
  <c r="AM62" i="18"/>
  <c r="AN62" i="18"/>
  <c r="AO62" i="18"/>
  <c r="AP62" i="18"/>
  <c r="AQ62" i="18"/>
  <c r="AL63" i="18"/>
  <c r="AM63" i="18"/>
  <c r="AN63" i="18"/>
  <c r="AO63" i="18"/>
  <c r="AP63" i="18"/>
  <c r="AQ63" i="18"/>
  <c r="AL64" i="18"/>
  <c r="AM64" i="18"/>
  <c r="AN64" i="18"/>
  <c r="AO64" i="18"/>
  <c r="AP64" i="18"/>
  <c r="AQ64" i="18"/>
  <c r="AL65" i="18"/>
  <c r="AM65" i="18"/>
  <c r="AN65" i="18"/>
  <c r="AO65" i="18"/>
  <c r="AP65" i="18"/>
  <c r="AQ65" i="18"/>
  <c r="AL66" i="18"/>
  <c r="AM66" i="18"/>
  <c r="AN66" i="18"/>
  <c r="AO66" i="18"/>
  <c r="AP66" i="18"/>
  <c r="AQ66" i="18"/>
  <c r="AL67" i="18"/>
  <c r="AM67" i="18"/>
  <c r="AN67" i="18"/>
  <c r="AO67" i="18"/>
  <c r="AP67" i="18"/>
  <c r="AQ67" i="18"/>
  <c r="AL68" i="18"/>
  <c r="AM68" i="18"/>
  <c r="AN68" i="18"/>
  <c r="AO68" i="18"/>
  <c r="AP68" i="18"/>
  <c r="AQ68" i="18"/>
  <c r="AL69" i="18"/>
  <c r="AM69" i="18"/>
  <c r="AN69" i="18"/>
  <c r="AO69" i="18"/>
  <c r="AP69" i="18"/>
  <c r="AQ69" i="18"/>
  <c r="AL70" i="18"/>
  <c r="AM70" i="18"/>
  <c r="AN70" i="18"/>
  <c r="AO70" i="18"/>
  <c r="AP70" i="18"/>
  <c r="AQ70" i="18"/>
  <c r="AL71" i="18"/>
  <c r="AM71" i="18"/>
  <c r="AN71" i="18"/>
  <c r="AO71" i="18"/>
  <c r="AP71" i="18"/>
  <c r="AQ71" i="18"/>
  <c r="AL72" i="18"/>
  <c r="AM72" i="18"/>
  <c r="AN72" i="18"/>
  <c r="AO72" i="18"/>
  <c r="AP72" i="18"/>
  <c r="AQ72" i="18"/>
  <c r="AL73" i="18"/>
  <c r="AM73" i="18"/>
  <c r="AN73" i="18"/>
  <c r="AO73" i="18"/>
  <c r="AP73" i="18"/>
  <c r="AQ73" i="18"/>
  <c r="AL74" i="18"/>
  <c r="AM74" i="18"/>
  <c r="AN74" i="18"/>
  <c r="AO74" i="18"/>
  <c r="AP74" i="18"/>
  <c r="AQ74" i="18"/>
  <c r="AL75" i="18"/>
  <c r="AM75" i="18"/>
  <c r="AN75" i="18"/>
  <c r="AO75" i="18"/>
  <c r="AP75" i="18"/>
  <c r="AQ75" i="18"/>
  <c r="AL76" i="18"/>
  <c r="AM76" i="18"/>
  <c r="AN76" i="18"/>
  <c r="AO76" i="18"/>
  <c r="AP76" i="18"/>
  <c r="AQ76" i="18"/>
  <c r="AL77" i="18"/>
  <c r="AM77" i="18"/>
  <c r="AN77" i="18"/>
  <c r="AO77" i="18"/>
  <c r="AP77" i="18"/>
  <c r="AQ77" i="18"/>
  <c r="AL78" i="18"/>
  <c r="AM78" i="18"/>
  <c r="AN78" i="18"/>
  <c r="AO78" i="18"/>
  <c r="AP78" i="18"/>
  <c r="AQ78" i="18"/>
  <c r="AL79" i="18"/>
  <c r="AM79" i="18"/>
  <c r="AN79" i="18"/>
  <c r="AO79" i="18"/>
  <c r="AP79" i="18"/>
  <c r="AQ79" i="18"/>
  <c r="AL80" i="18"/>
  <c r="AM80" i="18"/>
  <c r="AN80" i="18"/>
  <c r="AO80" i="18"/>
  <c r="AP80" i="18"/>
  <c r="AQ80" i="18"/>
  <c r="AL81" i="18"/>
  <c r="AM81" i="18"/>
  <c r="AN81" i="18"/>
  <c r="AO81" i="18"/>
  <c r="AP81" i="18"/>
  <c r="AQ81" i="18"/>
  <c r="AL82" i="18"/>
  <c r="AM82" i="18"/>
  <c r="AN82" i="18"/>
  <c r="AO82" i="18"/>
  <c r="AP82" i="18"/>
  <c r="AQ82" i="18"/>
  <c r="AL83" i="18"/>
  <c r="AM83" i="18"/>
  <c r="AN83" i="18"/>
  <c r="AO83" i="18"/>
  <c r="AP83" i="18"/>
  <c r="AQ83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M39" i="18"/>
  <c r="AN39" i="18"/>
  <c r="AO39" i="18"/>
  <c r="AP39" i="18"/>
  <c r="AQ39" i="18"/>
  <c r="AL40" i="18"/>
  <c r="AM40" i="18"/>
  <c r="AN40" i="18"/>
  <c r="AO40" i="18"/>
  <c r="AP40" i="18"/>
  <c r="AQ40" i="18"/>
  <c r="AL41" i="18"/>
  <c r="AM41" i="18"/>
  <c r="AN41" i="18"/>
  <c r="AO41" i="18"/>
  <c r="AP41" i="18"/>
  <c r="AQ41" i="18"/>
  <c r="AL42" i="18"/>
  <c r="AM42" i="18"/>
  <c r="AN42" i="18"/>
  <c r="AO42" i="18"/>
  <c r="AP42" i="18"/>
  <c r="AQ42" i="18"/>
  <c r="AL43" i="18"/>
  <c r="AM43" i="18"/>
  <c r="AN43" i="18"/>
  <c r="AO43" i="18"/>
  <c r="AP43" i="18"/>
  <c r="AQ43" i="18"/>
  <c r="AL44" i="18"/>
  <c r="AM44" i="18"/>
  <c r="AN44" i="18"/>
  <c r="AO44" i="18"/>
  <c r="AP44" i="18"/>
  <c r="AQ44" i="18"/>
  <c r="AL45" i="18"/>
  <c r="AM45" i="18"/>
  <c r="AN45" i="18"/>
  <c r="AO45" i="18"/>
  <c r="AP45" i="18"/>
  <c r="AQ45" i="18"/>
  <c r="AL46" i="18"/>
  <c r="AM46" i="18"/>
  <c r="AN46" i="18"/>
  <c r="AO46" i="18"/>
  <c r="AP46" i="18"/>
  <c r="AQ46" i="18"/>
  <c r="AL47" i="18"/>
  <c r="AM47" i="18"/>
  <c r="AN47" i="18"/>
  <c r="AO47" i="18"/>
  <c r="AP47" i="18"/>
  <c r="AQ47" i="18"/>
  <c r="AL48" i="18"/>
  <c r="AM48" i="18"/>
  <c r="AN48" i="18"/>
  <c r="AO48" i="18"/>
  <c r="AP48" i="18"/>
  <c r="AQ48" i="18"/>
  <c r="AL49" i="18"/>
  <c r="AM49" i="18"/>
  <c r="AN49" i="18"/>
  <c r="AO49" i="18"/>
  <c r="AP49" i="18"/>
  <c r="AQ49" i="18"/>
  <c r="AL50" i="18"/>
  <c r="AM50" i="18"/>
  <c r="AN50" i="18"/>
  <c r="AO50" i="18"/>
  <c r="AP50" i="18"/>
  <c r="AQ50" i="18"/>
  <c r="AL51" i="18"/>
  <c r="AM51" i="18"/>
  <c r="AN51" i="18"/>
  <c r="AO51" i="18"/>
  <c r="AP51" i="18"/>
  <c r="AQ51" i="18"/>
  <c r="AL52" i="18"/>
  <c r="AM52" i="18"/>
  <c r="AN52" i="18"/>
  <c r="AO52" i="18"/>
  <c r="AP52" i="18"/>
  <c r="AQ52" i="18"/>
  <c r="AL53" i="18"/>
  <c r="AM53" i="18"/>
  <c r="AN53" i="18"/>
  <c r="AO53" i="18"/>
  <c r="AP53" i="18"/>
  <c r="AQ53" i="18"/>
  <c r="AL4" i="18"/>
  <c r="V114" i="18"/>
  <c r="W114" i="18"/>
  <c r="X114" i="18"/>
  <c r="Y114" i="18"/>
  <c r="Z114" i="18"/>
  <c r="AA114" i="18"/>
  <c r="V115" i="18"/>
  <c r="W115" i="18"/>
  <c r="X115" i="18"/>
  <c r="Y115" i="18"/>
  <c r="Z115" i="18"/>
  <c r="AA115" i="18"/>
  <c r="V116" i="18"/>
  <c r="W116" i="18"/>
  <c r="X116" i="18"/>
  <c r="Y116" i="18"/>
  <c r="Z116" i="18"/>
  <c r="AA116" i="18"/>
  <c r="V117" i="18"/>
  <c r="W117" i="18"/>
  <c r="X117" i="18"/>
  <c r="Y117" i="18"/>
  <c r="Z117" i="18"/>
  <c r="AA117" i="18"/>
  <c r="V118" i="18"/>
  <c r="W118" i="18"/>
  <c r="X118" i="18"/>
  <c r="Y118" i="18"/>
  <c r="Z118" i="18"/>
  <c r="AA118" i="18"/>
  <c r="V119" i="18"/>
  <c r="W119" i="18"/>
  <c r="X119" i="18"/>
  <c r="Y119" i="18"/>
  <c r="Z119" i="18"/>
  <c r="AA119" i="18"/>
  <c r="V120" i="18"/>
  <c r="W120" i="18"/>
  <c r="X120" i="18"/>
  <c r="Y120" i="18"/>
  <c r="Z120" i="18"/>
  <c r="AA120" i="18"/>
  <c r="V121" i="18"/>
  <c r="W121" i="18"/>
  <c r="X121" i="18"/>
  <c r="Y121" i="18"/>
  <c r="Z121" i="18"/>
  <c r="AA121" i="18"/>
  <c r="V122" i="18"/>
  <c r="W122" i="18"/>
  <c r="X122" i="18"/>
  <c r="Y122" i="18"/>
  <c r="Z122" i="18"/>
  <c r="AA122" i="18"/>
  <c r="V123" i="18"/>
  <c r="W123" i="18"/>
  <c r="X123" i="18"/>
  <c r="Y123" i="18"/>
  <c r="Z123" i="18"/>
  <c r="AA123" i="18"/>
  <c r="V124" i="18"/>
  <c r="W124" i="18"/>
  <c r="X124" i="18"/>
  <c r="Y124" i="18"/>
  <c r="Z124" i="18"/>
  <c r="AA124" i="18"/>
  <c r="V125" i="18"/>
  <c r="W125" i="18"/>
  <c r="X125" i="18"/>
  <c r="Y125" i="18"/>
  <c r="Z125" i="18"/>
  <c r="AA125" i="18"/>
  <c r="V126" i="18"/>
  <c r="W126" i="18"/>
  <c r="X126" i="18"/>
  <c r="Y126" i="18"/>
  <c r="Z126" i="18"/>
  <c r="AA126" i="18"/>
  <c r="V127" i="18"/>
  <c r="W127" i="18"/>
  <c r="X127" i="18"/>
  <c r="Y127" i="18"/>
  <c r="Z127" i="18"/>
  <c r="AA127" i="18"/>
  <c r="V128" i="18"/>
  <c r="W128" i="18"/>
  <c r="X128" i="18"/>
  <c r="Y128" i="18"/>
  <c r="Z128" i="18"/>
  <c r="AA128" i="18"/>
  <c r="V129" i="18"/>
  <c r="W129" i="18"/>
  <c r="X129" i="18"/>
  <c r="Y129" i="18"/>
  <c r="Z129" i="18"/>
  <c r="AA129" i="18"/>
  <c r="V130" i="18"/>
  <c r="W130" i="18"/>
  <c r="X130" i="18"/>
  <c r="Y130" i="18"/>
  <c r="Z130" i="18"/>
  <c r="AA130" i="18"/>
  <c r="V131" i="18"/>
  <c r="W131" i="18"/>
  <c r="X131" i="18"/>
  <c r="Y131" i="18"/>
  <c r="Z131" i="18"/>
  <c r="AA131" i="18"/>
  <c r="V132" i="18"/>
  <c r="W132" i="18"/>
  <c r="X132" i="18"/>
  <c r="Y132" i="18"/>
  <c r="Z132" i="18"/>
  <c r="AA132" i="18"/>
  <c r="V133" i="18"/>
  <c r="W133" i="18"/>
  <c r="X133" i="18"/>
  <c r="Y133" i="18"/>
  <c r="Z133" i="18"/>
  <c r="AA133" i="18"/>
  <c r="V134" i="18"/>
  <c r="W134" i="18"/>
  <c r="X134" i="18"/>
  <c r="Y134" i="18"/>
  <c r="Z134" i="18"/>
  <c r="AA134" i="18"/>
  <c r="V135" i="18"/>
  <c r="W135" i="18"/>
  <c r="X135" i="18"/>
  <c r="Y135" i="18"/>
  <c r="Z135" i="18"/>
  <c r="AA135" i="18"/>
  <c r="V136" i="18"/>
  <c r="W136" i="18"/>
  <c r="X136" i="18"/>
  <c r="Y136" i="18"/>
  <c r="Z136" i="18"/>
  <c r="AA136" i="18"/>
  <c r="V137" i="18"/>
  <c r="W137" i="18"/>
  <c r="X137" i="18"/>
  <c r="Y137" i="18"/>
  <c r="Z137" i="18"/>
  <c r="AA137" i="18"/>
  <c r="V138" i="18"/>
  <c r="W138" i="18"/>
  <c r="X138" i="18"/>
  <c r="Y138" i="18"/>
  <c r="Z138" i="18"/>
  <c r="AA138" i="18"/>
  <c r="V139" i="18"/>
  <c r="W139" i="18"/>
  <c r="X139" i="18"/>
  <c r="Y139" i="18"/>
  <c r="Z139" i="18"/>
  <c r="AA139" i="18"/>
  <c r="V140" i="18"/>
  <c r="W140" i="18"/>
  <c r="X140" i="18"/>
  <c r="Y140" i="18"/>
  <c r="Z140" i="18"/>
  <c r="AA140" i="18"/>
  <c r="V141" i="18"/>
  <c r="W141" i="18"/>
  <c r="X141" i="18"/>
  <c r="Y141" i="18"/>
  <c r="Z141" i="18"/>
  <c r="AA141" i="18"/>
  <c r="V142" i="18"/>
  <c r="W142" i="18"/>
  <c r="X142" i="18"/>
  <c r="Y142" i="18"/>
  <c r="Z142" i="18"/>
  <c r="AA142" i="18"/>
  <c r="V143" i="18"/>
  <c r="W143" i="18"/>
  <c r="X143" i="18"/>
  <c r="Y143" i="18"/>
  <c r="Z143" i="18"/>
  <c r="AA143" i="18"/>
  <c r="V144" i="18"/>
  <c r="W144" i="18"/>
  <c r="X144" i="18"/>
  <c r="Y144" i="18"/>
  <c r="Z144" i="18"/>
  <c r="AA144" i="18"/>
  <c r="V145" i="18"/>
  <c r="W145" i="18"/>
  <c r="X145" i="18"/>
  <c r="Y145" i="18"/>
  <c r="Z145" i="18"/>
  <c r="AA145" i="18"/>
  <c r="V146" i="18"/>
  <c r="W146" i="18"/>
  <c r="X146" i="18"/>
  <c r="Y146" i="18"/>
  <c r="Z146" i="18"/>
  <c r="AA146" i="18"/>
  <c r="V147" i="18"/>
  <c r="W147" i="18"/>
  <c r="X147" i="18"/>
  <c r="Y147" i="18"/>
  <c r="Z147" i="18"/>
  <c r="AA147" i="18"/>
  <c r="V148" i="18"/>
  <c r="W148" i="18"/>
  <c r="X148" i="18"/>
  <c r="Y148" i="18"/>
  <c r="Z148" i="18"/>
  <c r="AA148" i="18"/>
  <c r="V149" i="18"/>
  <c r="W149" i="18"/>
  <c r="X149" i="18"/>
  <c r="Y149" i="18"/>
  <c r="Z149" i="18"/>
  <c r="AA149" i="18"/>
  <c r="V150" i="18"/>
  <c r="W150" i="18"/>
  <c r="X150" i="18"/>
  <c r="Y150" i="18"/>
  <c r="Z150" i="18"/>
  <c r="AA150" i="18"/>
  <c r="V151" i="18"/>
  <c r="W151" i="18"/>
  <c r="X151" i="18"/>
  <c r="Y151" i="18"/>
  <c r="Z151" i="18"/>
  <c r="AA151" i="18"/>
  <c r="V152" i="18"/>
  <c r="W152" i="18"/>
  <c r="X152" i="18"/>
  <c r="Y152" i="18"/>
  <c r="Z152" i="18"/>
  <c r="AA152" i="18"/>
  <c r="V153" i="18"/>
  <c r="W153" i="18"/>
  <c r="X153" i="18"/>
  <c r="Y153" i="18"/>
  <c r="Z153" i="18"/>
  <c r="AA153" i="18"/>
  <c r="V154" i="18"/>
  <c r="W154" i="18"/>
  <c r="X154" i="18"/>
  <c r="Y154" i="18"/>
  <c r="Z154" i="18"/>
  <c r="AA154" i="18"/>
  <c r="V155" i="18"/>
  <c r="W155" i="18"/>
  <c r="X155" i="18"/>
  <c r="Y155" i="18"/>
  <c r="Z155" i="18"/>
  <c r="AA155" i="18"/>
  <c r="V156" i="18"/>
  <c r="W156" i="18"/>
  <c r="X156" i="18"/>
  <c r="Y156" i="18"/>
  <c r="Z156" i="18"/>
  <c r="AA156" i="18"/>
  <c r="V157" i="18"/>
  <c r="W157" i="18"/>
  <c r="X157" i="18"/>
  <c r="Y157" i="18"/>
  <c r="Z157" i="18"/>
  <c r="AA157" i="18"/>
  <c r="V158" i="18"/>
  <c r="W158" i="18"/>
  <c r="X158" i="18"/>
  <c r="Y158" i="18"/>
  <c r="Z158" i="18"/>
  <c r="AA158" i="18"/>
  <c r="V159" i="18"/>
  <c r="W159" i="18"/>
  <c r="X159" i="18"/>
  <c r="Y159" i="18"/>
  <c r="Z159" i="18"/>
  <c r="AA159" i="18"/>
  <c r="V160" i="18"/>
  <c r="W160" i="18"/>
  <c r="X160" i="18"/>
  <c r="Y160" i="18"/>
  <c r="Z160" i="18"/>
  <c r="AA160" i="18"/>
  <c r="V161" i="18"/>
  <c r="W161" i="18"/>
  <c r="X161" i="18"/>
  <c r="Y161" i="18"/>
  <c r="Z161" i="18"/>
  <c r="AA161" i="18"/>
  <c r="V162" i="18"/>
  <c r="W162" i="18"/>
  <c r="X162" i="18"/>
  <c r="Y162" i="18"/>
  <c r="Z162" i="18"/>
  <c r="AA162" i="18"/>
  <c r="V163" i="18"/>
  <c r="W163" i="18"/>
  <c r="X163" i="18"/>
  <c r="Y163" i="18"/>
  <c r="Z163" i="18"/>
  <c r="AA163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AA4" i="18"/>
  <c r="Z4" i="18"/>
  <c r="Y4" i="18"/>
  <c r="X4" i="18"/>
  <c r="W4" i="18"/>
  <c r="V4" i="18"/>
  <c r="N163" i="18"/>
  <c r="O163" i="18"/>
  <c r="N5" i="18"/>
  <c r="O5" i="18"/>
  <c r="N6" i="18"/>
  <c r="O6" i="18"/>
  <c r="N7" i="18"/>
  <c r="O7" i="18"/>
  <c r="N8" i="18"/>
  <c r="O8" i="18"/>
  <c r="N9" i="18"/>
  <c r="O9" i="18"/>
  <c r="N10" i="18"/>
  <c r="O10" i="18"/>
  <c r="N11" i="18"/>
  <c r="O11" i="18"/>
  <c r="N12" i="18"/>
  <c r="O12" i="18"/>
  <c r="N13" i="18"/>
  <c r="O13" i="18"/>
  <c r="N14" i="18"/>
  <c r="O14" i="18"/>
  <c r="N15" i="18"/>
  <c r="O15" i="18"/>
  <c r="N16" i="18"/>
  <c r="O16" i="18"/>
  <c r="N17" i="18"/>
  <c r="O17" i="18"/>
  <c r="N18" i="18"/>
  <c r="O18" i="18"/>
  <c r="N19" i="18"/>
  <c r="O19" i="18"/>
  <c r="N20" i="18"/>
  <c r="O20" i="18"/>
  <c r="N21" i="18"/>
  <c r="O21" i="18"/>
  <c r="N22" i="18"/>
  <c r="O22" i="18"/>
  <c r="N23" i="18"/>
  <c r="O23" i="18"/>
  <c r="N24" i="18"/>
  <c r="O24" i="18"/>
  <c r="N25" i="18"/>
  <c r="O25" i="18"/>
  <c r="N26" i="18"/>
  <c r="O26" i="18"/>
  <c r="N27" i="18"/>
  <c r="O27" i="18"/>
  <c r="N28" i="18"/>
  <c r="O28" i="18"/>
  <c r="N29" i="18"/>
  <c r="O29" i="18"/>
  <c r="N30" i="18"/>
  <c r="O30" i="18"/>
  <c r="N31" i="18"/>
  <c r="O31" i="18"/>
  <c r="N32" i="18"/>
  <c r="O32" i="18"/>
  <c r="N33" i="18"/>
  <c r="O33" i="18"/>
  <c r="N34" i="18"/>
  <c r="O34" i="18"/>
  <c r="N35" i="18"/>
  <c r="O35" i="18"/>
  <c r="N36" i="18"/>
  <c r="O36" i="18"/>
  <c r="N37" i="18"/>
  <c r="O37" i="18"/>
  <c r="N38" i="18"/>
  <c r="O38" i="18"/>
  <c r="N39" i="18"/>
  <c r="O39" i="18"/>
  <c r="N40" i="18"/>
  <c r="O40" i="18"/>
  <c r="N41" i="18"/>
  <c r="O41" i="18"/>
  <c r="N42" i="18"/>
  <c r="O42" i="18"/>
  <c r="N43" i="18"/>
  <c r="O43" i="18"/>
  <c r="N44" i="18"/>
  <c r="O44" i="18"/>
  <c r="N45" i="18"/>
  <c r="O45" i="18"/>
  <c r="N46" i="18"/>
  <c r="O46" i="18"/>
  <c r="N47" i="18"/>
  <c r="O47" i="18"/>
  <c r="N48" i="18"/>
  <c r="O48" i="18"/>
  <c r="N49" i="18"/>
  <c r="O49" i="18"/>
  <c r="N50" i="18"/>
  <c r="O50" i="18"/>
  <c r="N51" i="18"/>
  <c r="O51" i="18"/>
  <c r="N52" i="18"/>
  <c r="O52" i="18"/>
  <c r="N53" i="18"/>
  <c r="O53" i="18"/>
  <c r="N54" i="18"/>
  <c r="O54" i="18"/>
  <c r="N55" i="18"/>
  <c r="O55" i="18"/>
  <c r="N56" i="18"/>
  <c r="O56" i="18"/>
  <c r="N57" i="18"/>
  <c r="O57" i="18"/>
  <c r="N58" i="18"/>
  <c r="O58" i="18"/>
  <c r="N59" i="18"/>
  <c r="O59" i="18"/>
  <c r="N60" i="18"/>
  <c r="O60" i="18"/>
  <c r="N61" i="18"/>
  <c r="O61" i="18"/>
  <c r="N62" i="18"/>
  <c r="O62" i="18"/>
  <c r="N63" i="18"/>
  <c r="O63" i="18"/>
  <c r="N64" i="18"/>
  <c r="O64" i="18"/>
  <c r="N65" i="18"/>
  <c r="O65" i="18"/>
  <c r="N66" i="18"/>
  <c r="O66" i="18"/>
  <c r="N67" i="18"/>
  <c r="O67" i="18"/>
  <c r="N68" i="18"/>
  <c r="O68" i="18"/>
  <c r="N69" i="18"/>
  <c r="O69" i="18"/>
  <c r="N70" i="18"/>
  <c r="O70" i="18"/>
  <c r="N71" i="18"/>
  <c r="O71" i="18"/>
  <c r="N72" i="18"/>
  <c r="O72" i="18"/>
  <c r="N73" i="18"/>
  <c r="O73" i="18"/>
  <c r="N74" i="18"/>
  <c r="O74" i="18"/>
  <c r="N75" i="18"/>
  <c r="O75" i="18"/>
  <c r="N76" i="18"/>
  <c r="O76" i="18"/>
  <c r="N77" i="18"/>
  <c r="O77" i="18"/>
  <c r="N78" i="18"/>
  <c r="O78" i="18"/>
  <c r="N79" i="18"/>
  <c r="O79" i="18"/>
  <c r="N80" i="18"/>
  <c r="O80" i="18"/>
  <c r="N81" i="18"/>
  <c r="O81" i="18"/>
  <c r="N82" i="18"/>
  <c r="O82" i="18"/>
  <c r="N83" i="18"/>
  <c r="O83" i="18"/>
  <c r="N84" i="18"/>
  <c r="O84" i="18"/>
  <c r="N85" i="18"/>
  <c r="O85" i="18"/>
  <c r="N86" i="18"/>
  <c r="O86" i="18"/>
  <c r="N87" i="18"/>
  <c r="O87" i="18"/>
  <c r="N88" i="18"/>
  <c r="O88" i="18"/>
  <c r="N89" i="18"/>
  <c r="O89" i="18"/>
  <c r="N90" i="18"/>
  <c r="O90" i="18"/>
  <c r="N91" i="18"/>
  <c r="O91" i="18"/>
  <c r="N92" i="18"/>
  <c r="O92" i="18"/>
  <c r="N93" i="18"/>
  <c r="O93" i="18"/>
  <c r="N94" i="18"/>
  <c r="O94" i="18"/>
  <c r="N95" i="18"/>
  <c r="O95" i="18"/>
  <c r="N96" i="18"/>
  <c r="O96" i="18"/>
  <c r="N97" i="18"/>
  <c r="O97" i="18"/>
  <c r="N98" i="18"/>
  <c r="O98" i="18"/>
  <c r="N99" i="18"/>
  <c r="O99" i="18"/>
  <c r="N100" i="18"/>
  <c r="O100" i="18"/>
  <c r="N101" i="18"/>
  <c r="O101" i="18"/>
  <c r="N102" i="18"/>
  <c r="O102" i="18"/>
  <c r="N103" i="18"/>
  <c r="O103" i="18"/>
  <c r="N104" i="18"/>
  <c r="O104" i="18"/>
  <c r="N105" i="18"/>
  <c r="O105" i="18"/>
  <c r="N106" i="18"/>
  <c r="O106" i="18"/>
  <c r="N107" i="18"/>
  <c r="O107" i="18"/>
  <c r="N108" i="18"/>
  <c r="O108" i="18"/>
  <c r="N109" i="18"/>
  <c r="O109" i="18"/>
  <c r="N110" i="18"/>
  <c r="O110" i="18"/>
  <c r="N111" i="18"/>
  <c r="O111" i="18"/>
  <c r="N112" i="18"/>
  <c r="O112" i="18"/>
  <c r="N113" i="18"/>
  <c r="O113" i="18"/>
  <c r="N114" i="18"/>
  <c r="O114" i="18"/>
  <c r="N115" i="18"/>
  <c r="O115" i="18"/>
  <c r="N116" i="18"/>
  <c r="O116" i="18"/>
  <c r="N117" i="18"/>
  <c r="O117" i="18"/>
  <c r="N118" i="18"/>
  <c r="O118" i="18"/>
  <c r="N119" i="18"/>
  <c r="O119" i="18"/>
  <c r="N120" i="18"/>
  <c r="O120" i="18"/>
  <c r="N121" i="18"/>
  <c r="O121" i="18"/>
  <c r="N122" i="18"/>
  <c r="O122" i="18"/>
  <c r="N123" i="18"/>
  <c r="O123" i="18"/>
  <c r="N124" i="18"/>
  <c r="O124" i="18"/>
  <c r="N125" i="18"/>
  <c r="O125" i="18"/>
  <c r="N126" i="18"/>
  <c r="O126" i="18"/>
  <c r="N127" i="18"/>
  <c r="O127" i="18"/>
  <c r="N128" i="18"/>
  <c r="O128" i="18"/>
  <c r="N129" i="18"/>
  <c r="O129" i="18"/>
  <c r="N130" i="18"/>
  <c r="O130" i="18"/>
  <c r="N131" i="18"/>
  <c r="O131" i="18"/>
  <c r="N132" i="18"/>
  <c r="O132" i="18"/>
  <c r="N133" i="18"/>
  <c r="O133" i="18"/>
  <c r="N134" i="18"/>
  <c r="O134" i="18"/>
  <c r="N135" i="18"/>
  <c r="O135" i="18"/>
  <c r="N136" i="18"/>
  <c r="O136" i="18"/>
  <c r="N137" i="18"/>
  <c r="O137" i="18"/>
  <c r="N138" i="18"/>
  <c r="O138" i="18"/>
  <c r="N139" i="18"/>
  <c r="O139" i="18"/>
  <c r="N140" i="18"/>
  <c r="O140" i="18"/>
  <c r="N141" i="18"/>
  <c r="O141" i="18"/>
  <c r="N142" i="18"/>
  <c r="O142" i="18"/>
  <c r="N143" i="18"/>
  <c r="O143" i="18"/>
  <c r="N144" i="18"/>
  <c r="O144" i="18"/>
  <c r="N145" i="18"/>
  <c r="O145" i="18"/>
  <c r="N146" i="18"/>
  <c r="O146" i="18"/>
  <c r="N147" i="18"/>
  <c r="O147" i="18"/>
  <c r="N148" i="18"/>
  <c r="O148" i="18"/>
  <c r="N149" i="18"/>
  <c r="O149" i="18"/>
  <c r="N150" i="18"/>
  <c r="O150" i="18"/>
  <c r="N151" i="18"/>
  <c r="O151" i="18"/>
  <c r="N152" i="18"/>
  <c r="O152" i="18"/>
  <c r="N153" i="18"/>
  <c r="O153" i="18"/>
  <c r="N154" i="18"/>
  <c r="O154" i="18"/>
  <c r="N155" i="18"/>
  <c r="O155" i="18"/>
  <c r="N156" i="18"/>
  <c r="O156" i="18"/>
  <c r="N157" i="18"/>
  <c r="O157" i="18"/>
  <c r="N158" i="18"/>
  <c r="O158" i="18"/>
  <c r="N159" i="18"/>
  <c r="O159" i="18"/>
  <c r="N160" i="18"/>
  <c r="O160" i="18"/>
  <c r="N161" i="18"/>
  <c r="O161" i="18"/>
  <c r="N162" i="18"/>
  <c r="O162" i="18"/>
  <c r="P4" i="18"/>
  <c r="O4" i="18"/>
  <c r="N4" i="18"/>
  <c r="I80" i="18"/>
  <c r="J80" i="18"/>
  <c r="K80" i="18"/>
  <c r="I81" i="18"/>
  <c r="J81" i="18"/>
  <c r="K81" i="18"/>
  <c r="I82" i="18"/>
  <c r="J82" i="18"/>
  <c r="K82" i="18"/>
  <c r="I74" i="18"/>
  <c r="J74" i="18"/>
  <c r="K74" i="18"/>
  <c r="I75" i="18"/>
  <c r="J75" i="18"/>
  <c r="K75" i="18"/>
  <c r="I76" i="18"/>
  <c r="J76" i="18"/>
  <c r="K76" i="18"/>
  <c r="I77" i="18"/>
  <c r="J77" i="18"/>
  <c r="K77" i="18"/>
  <c r="I78" i="18"/>
  <c r="J78" i="18"/>
  <c r="K78" i="18"/>
  <c r="I79" i="18"/>
  <c r="J79" i="18"/>
  <c r="K79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I64" i="18"/>
  <c r="J64" i="18"/>
  <c r="K64" i="18"/>
  <c r="I65" i="18"/>
  <c r="J65" i="18"/>
  <c r="K65" i="18"/>
  <c r="I66" i="18"/>
  <c r="J66" i="18"/>
  <c r="K66" i="18"/>
  <c r="I67" i="18"/>
  <c r="J67" i="18"/>
  <c r="K67" i="18"/>
  <c r="I68" i="18"/>
  <c r="J68" i="18"/>
  <c r="K68" i="18"/>
  <c r="I69" i="18"/>
  <c r="J69" i="18"/>
  <c r="K69" i="18"/>
  <c r="I70" i="18"/>
  <c r="J70" i="18"/>
  <c r="K70" i="18"/>
  <c r="I71" i="18"/>
  <c r="J71" i="18"/>
  <c r="K71" i="18"/>
  <c r="I72" i="18"/>
  <c r="J72" i="18"/>
  <c r="K72" i="18"/>
  <c r="I73" i="18"/>
  <c r="J73" i="18"/>
  <c r="K73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F160" i="18"/>
  <c r="G160" i="18"/>
  <c r="F161" i="18"/>
  <c r="G161" i="18"/>
  <c r="F162" i="18"/>
  <c r="G162" i="18"/>
  <c r="G3" i="18"/>
  <c r="F3" i="18"/>
  <c r="BJ65" i="18"/>
  <c r="BM47" i="18"/>
  <c r="BJ30" i="18"/>
  <c r="BJ75" i="18"/>
  <c r="BN27" i="18"/>
  <c r="BK74" i="18"/>
  <c r="BK49" i="18"/>
  <c r="BM24" i="18"/>
  <c r="BM73" i="18"/>
  <c r="BL74" i="18"/>
  <c r="BN66" i="18"/>
  <c r="BL13" i="18"/>
  <c r="BN29" i="18"/>
  <c r="BJ52" i="18"/>
  <c r="BM58" i="18"/>
  <c r="BM64" i="18"/>
  <c r="BJ29" i="18"/>
  <c r="BJ16" i="18"/>
  <c r="BL12" i="18"/>
  <c r="BN61" i="18"/>
  <c r="BL9" i="18"/>
  <c r="BM18" i="18"/>
  <c r="BM23" i="18"/>
  <c r="BN45" i="18"/>
  <c r="BN44" i="18"/>
  <c r="BL26" i="18"/>
  <c r="BL64" i="18"/>
  <c r="BM65" i="18"/>
  <c r="BM15" i="18"/>
  <c r="BJ8" i="18"/>
  <c r="BN23" i="18"/>
  <c r="BN54" i="18"/>
  <c r="BN7" i="18"/>
  <c r="BK66" i="18"/>
  <c r="BJ55" i="18"/>
  <c r="BK65" i="18"/>
  <c r="BN6" i="18"/>
  <c r="BJ41" i="18"/>
  <c r="BM14" i="18"/>
  <c r="BL14" i="18"/>
  <c r="BM22" i="18"/>
  <c r="BM52" i="18"/>
  <c r="BM75" i="18"/>
  <c r="BJ70" i="18"/>
  <c r="BM60" i="18"/>
  <c r="BJ25" i="18"/>
  <c r="BK24" i="18"/>
  <c r="BN21" i="18"/>
  <c r="BN22" i="18"/>
  <c r="BK18" i="18"/>
  <c r="BN13" i="18"/>
  <c r="BN63" i="18"/>
  <c r="BJ61" i="18"/>
  <c r="BM63" i="18"/>
  <c r="BL69" i="18"/>
  <c r="BJ57" i="18"/>
  <c r="BK75" i="18"/>
  <c r="BL16" i="18"/>
  <c r="BN64" i="18"/>
  <c r="BM33" i="18"/>
  <c r="BL47" i="18"/>
  <c r="BK61" i="18"/>
  <c r="BJ28" i="18"/>
  <c r="BN9" i="18"/>
  <c r="BJ17" i="18"/>
  <c r="BK60" i="18"/>
  <c r="BK25" i="18"/>
  <c r="BN10" i="18"/>
  <c r="BK68" i="18"/>
  <c r="BM54" i="18"/>
  <c r="BM67" i="18"/>
  <c r="BK22" i="18"/>
  <c r="BN58" i="18"/>
  <c r="BL67" i="18"/>
  <c r="BL70" i="18"/>
  <c r="BM29" i="18"/>
  <c r="BK54" i="18"/>
  <c r="BM57" i="18"/>
  <c r="BL29" i="18"/>
  <c r="BJ51" i="18"/>
  <c r="BK50" i="18"/>
  <c r="BJ21" i="18"/>
  <c r="BJ31" i="18"/>
  <c r="BN32" i="18"/>
  <c r="BK30" i="18"/>
  <c r="BJ6" i="18"/>
  <c r="BK10" i="18"/>
  <c r="BM26" i="18"/>
  <c r="BJ14" i="18"/>
  <c r="BK16" i="18"/>
  <c r="BN75" i="18"/>
  <c r="BK63" i="18"/>
  <c r="BM11" i="18"/>
  <c r="BL59" i="18"/>
  <c r="BJ32" i="18"/>
  <c r="BJ58" i="18"/>
  <c r="BK23" i="18"/>
  <c r="BJ27" i="18"/>
  <c r="BL43" i="18"/>
  <c r="BM12" i="18"/>
  <c r="BJ13" i="18"/>
  <c r="BJ73" i="18"/>
  <c r="BL66" i="18"/>
  <c r="BJ43" i="18"/>
  <c r="BM68" i="18"/>
  <c r="BM44" i="18"/>
  <c r="BK56" i="18"/>
  <c r="BL45" i="18"/>
  <c r="BM17" i="18"/>
  <c r="BL17" i="18"/>
  <c r="BJ54" i="18"/>
  <c r="BN42" i="18"/>
  <c r="BK45" i="18"/>
  <c r="BL58" i="18"/>
  <c r="BL42" i="18"/>
  <c r="BK32" i="18"/>
  <c r="BK27" i="18"/>
  <c r="BK64" i="18"/>
  <c r="BM72" i="18"/>
  <c r="BM13" i="18"/>
  <c r="BM49" i="18"/>
  <c r="BL22" i="18"/>
  <c r="BK55" i="18"/>
  <c r="BM32" i="18"/>
  <c r="BM42" i="18"/>
  <c r="BL27" i="18"/>
  <c r="BM74" i="18"/>
  <c r="BK62" i="18"/>
  <c r="BJ68" i="18"/>
  <c r="BN67" i="18"/>
  <c r="BJ11" i="18"/>
  <c r="BM56" i="18"/>
  <c r="BK41" i="18"/>
  <c r="BM71" i="18"/>
  <c r="BL32" i="18"/>
  <c r="BJ59" i="18"/>
  <c r="BM16" i="18"/>
  <c r="BN68" i="18"/>
  <c r="BL44" i="18"/>
  <c r="BM53" i="18"/>
  <c r="BK6" i="18"/>
  <c r="BN52" i="18"/>
  <c r="BN50" i="18"/>
  <c r="BL41" i="18"/>
  <c r="BJ42" i="18"/>
  <c r="BN55" i="18"/>
  <c r="BJ45" i="18"/>
  <c r="BK72" i="18"/>
  <c r="BJ18" i="18"/>
  <c r="BJ63" i="18"/>
  <c r="BL20" i="18"/>
  <c r="BN33" i="18"/>
  <c r="BK26" i="18"/>
  <c r="BJ74" i="18"/>
  <c r="BN19" i="18"/>
  <c r="BL19" i="18"/>
  <c r="BK31" i="18"/>
  <c r="BL18" i="18"/>
  <c r="BL11" i="18"/>
  <c r="BK71" i="18"/>
  <c r="BN59" i="18"/>
  <c r="BJ71" i="18"/>
  <c r="BK33" i="18"/>
  <c r="BL30" i="18"/>
  <c r="BJ72" i="18"/>
  <c r="BN72" i="18"/>
  <c r="BK5" i="18"/>
  <c r="BM28" i="18"/>
  <c r="BK46" i="18"/>
  <c r="BL68" i="18"/>
  <c r="BN14" i="18"/>
  <c r="BJ50" i="18"/>
  <c r="BL24" i="18"/>
  <c r="BN30" i="18"/>
  <c r="BM31" i="18"/>
  <c r="BN56" i="18"/>
  <c r="BJ48" i="18"/>
  <c r="BL51" i="18"/>
  <c r="BM59" i="18"/>
  <c r="BJ49" i="18"/>
  <c r="BK59" i="18"/>
  <c r="BN70" i="18"/>
  <c r="BL7" i="18"/>
  <c r="BJ12" i="18"/>
  <c r="BK29" i="18"/>
  <c r="BL31" i="18"/>
  <c r="BJ20" i="18"/>
  <c r="BL53" i="18"/>
  <c r="BJ47" i="18"/>
  <c r="BN11" i="18"/>
  <c r="BJ5" i="18"/>
  <c r="BN65" i="18"/>
  <c r="BL48" i="18"/>
  <c r="BL46" i="18"/>
  <c r="BK20" i="18"/>
  <c r="BN28" i="18"/>
  <c r="BJ53" i="18"/>
  <c r="BJ33" i="18"/>
  <c r="BK13" i="18"/>
  <c r="BN5" i="18"/>
  <c r="BJ62" i="18"/>
  <c r="BL71" i="18"/>
  <c r="BM46" i="18"/>
  <c r="BK58" i="18"/>
  <c r="BN41" i="18"/>
  <c r="BN31" i="18"/>
  <c r="BJ26" i="18"/>
  <c r="BL50" i="18"/>
  <c r="BM43" i="18"/>
  <c r="BK12" i="18"/>
  <c r="BN26" i="18"/>
  <c r="BL63" i="18"/>
  <c r="BM7" i="18"/>
  <c r="BK11" i="18"/>
  <c r="BN49" i="18"/>
  <c r="BL57" i="18"/>
  <c r="BN62" i="18"/>
  <c r="BN20" i="18"/>
  <c r="BK69" i="18"/>
  <c r="BM5" i="18"/>
  <c r="BJ67" i="18"/>
  <c r="BM25" i="18"/>
  <c r="BJ56" i="18"/>
  <c r="BJ9" i="18"/>
  <c r="BL49" i="18"/>
  <c r="BN60" i="18"/>
  <c r="BK42" i="18"/>
  <c r="BM70" i="18"/>
  <c r="BN18" i="18"/>
  <c r="BN15" i="18"/>
  <c r="BK52" i="18"/>
  <c r="BL54" i="18"/>
  <c r="BM45" i="18"/>
  <c r="BK67" i="18"/>
  <c r="BN46" i="18"/>
  <c r="BL8" i="18"/>
  <c r="BK51" i="18"/>
  <c r="BM55" i="18"/>
  <c r="BL72" i="18"/>
  <c r="BK48" i="18"/>
  <c r="BL73" i="18"/>
  <c r="BN57" i="18"/>
  <c r="BL10" i="18"/>
  <c r="BL60" i="18"/>
  <c r="BK9" i="18"/>
  <c r="BJ24" i="18"/>
  <c r="BL55" i="18"/>
  <c r="BL33" i="18"/>
  <c r="BN47" i="18"/>
  <c r="BL62" i="18"/>
  <c r="BM19" i="18"/>
  <c r="BJ66" i="18"/>
  <c r="BM41" i="18"/>
  <c r="BK8" i="18"/>
  <c r="BN53" i="18"/>
  <c r="BK21" i="18"/>
  <c r="BJ23" i="18"/>
  <c r="BL75" i="18"/>
  <c r="BN74" i="18"/>
  <c r="BJ22" i="18"/>
  <c r="BM61" i="18"/>
  <c r="BM20" i="18"/>
  <c r="BL23" i="18"/>
  <c r="BN16" i="18"/>
  <c r="BM69" i="18"/>
  <c r="BM66" i="18"/>
  <c r="BK70" i="18"/>
  <c r="BK73" i="18"/>
  <c r="BJ7" i="18"/>
  <c r="BM21" i="18"/>
  <c r="BM9" i="18"/>
  <c r="BK14" i="18"/>
  <c r="BN8" i="18"/>
  <c r="BN69" i="18"/>
  <c r="BK57" i="18"/>
  <c r="BK47" i="18"/>
  <c r="BK53" i="18"/>
  <c r="BM62" i="18"/>
  <c r="BM51" i="18"/>
  <c r="BL25" i="18"/>
  <c r="BN24" i="18"/>
  <c r="BL56" i="18"/>
  <c r="BK19" i="18"/>
  <c r="BK28" i="18"/>
  <c r="BL5" i="18"/>
  <c r="BM50" i="18"/>
  <c r="BJ60" i="18"/>
  <c r="BN17" i="18"/>
  <c r="BJ10" i="18"/>
  <c r="BM48" i="18"/>
  <c r="BN12" i="18"/>
  <c r="BM6" i="18"/>
  <c r="BJ69" i="18"/>
  <c r="BJ15" i="18"/>
  <c r="BJ64" i="18"/>
  <c r="BL21" i="18"/>
  <c r="BN48" i="18"/>
  <c r="BL65" i="18"/>
  <c r="BN51" i="18"/>
  <c r="BK17" i="18"/>
  <c r="BM10" i="18"/>
  <c r="BL6" i="18"/>
  <c r="BN43" i="18"/>
  <c r="BJ46" i="18"/>
  <c r="BK44" i="18"/>
  <c r="BM30" i="18"/>
  <c r="BL52" i="18"/>
  <c r="BK15" i="18"/>
  <c r="BL61" i="18"/>
  <c r="BN25" i="18"/>
  <c r="BM8" i="18"/>
  <c r="BN73" i="18"/>
  <c r="BK43" i="18"/>
  <c r="BJ44" i="18"/>
  <c r="BL28" i="18"/>
  <c r="BM27" i="18"/>
  <c r="BL15" i="18"/>
  <c r="BK7" i="18"/>
  <c r="BN71" i="18"/>
  <c r="BJ19" i="18"/>
  <c r="X15" i="88" l="1"/>
  <c r="O12" i="89"/>
  <c r="N20" i="89"/>
  <c r="Q20" i="89" s="1"/>
  <c r="P12" i="89"/>
  <c r="N12" i="89"/>
  <c r="M12" i="89"/>
  <c r="AQ4" i="18"/>
  <c r="AP4" i="18"/>
  <c r="AO4" i="18"/>
  <c r="AN4" i="18"/>
  <c r="AM4" i="18"/>
  <c r="BL40" i="18"/>
  <c r="BN4" i="18"/>
  <c r="BJ4" i="18"/>
  <c r="BM40" i="18"/>
  <c r="BK40" i="18"/>
  <c r="BL4" i="18"/>
  <c r="BK4" i="18"/>
  <c r="BM4" i="18"/>
  <c r="BN40" i="18"/>
  <c r="BJ40" i="18"/>
  <c r="X16" i="88" l="1"/>
  <c r="N13" i="89"/>
  <c r="N21" i="89" s="1"/>
  <c r="O13" i="89"/>
  <c r="O21" i="89" s="1"/>
  <c r="P13" i="89"/>
  <c r="P21" i="89" s="1"/>
  <c r="M13" i="89"/>
  <c r="M21" i="89" s="1"/>
  <c r="BS5" i="18"/>
  <c r="BT5" i="18"/>
  <c r="BU5" i="18"/>
  <c r="BV5" i="18"/>
  <c r="BS6" i="18"/>
  <c r="BT6" i="18"/>
  <c r="BU6" i="18"/>
  <c r="BV6" i="18"/>
  <c r="BS7" i="18"/>
  <c r="BT7" i="18"/>
  <c r="BU7" i="18"/>
  <c r="BV7" i="18"/>
  <c r="BS8" i="18"/>
  <c r="BT8" i="18"/>
  <c r="BU8" i="18"/>
  <c r="BV8" i="18"/>
  <c r="BS9" i="18"/>
  <c r="BT9" i="18"/>
  <c r="BU9" i="18"/>
  <c r="BV9" i="18"/>
  <c r="BS10" i="18"/>
  <c r="BT10" i="18"/>
  <c r="BU10" i="18"/>
  <c r="BV10" i="18"/>
  <c r="BS11" i="18"/>
  <c r="BT11" i="18"/>
  <c r="BU11" i="18"/>
  <c r="BV11" i="18"/>
  <c r="BS12" i="18"/>
  <c r="BT12" i="18"/>
  <c r="BU12" i="18"/>
  <c r="BV12" i="18"/>
  <c r="BS13" i="18"/>
  <c r="BT13" i="18"/>
  <c r="BU13" i="18"/>
  <c r="BV13" i="18"/>
  <c r="BS14" i="18"/>
  <c r="BT14" i="18"/>
  <c r="BU14" i="18"/>
  <c r="BV14" i="18"/>
  <c r="BS15" i="18"/>
  <c r="BT15" i="18"/>
  <c r="BU15" i="18"/>
  <c r="BV15" i="18"/>
  <c r="BS16" i="18"/>
  <c r="BT16" i="18"/>
  <c r="BU16" i="18"/>
  <c r="BV16" i="18"/>
  <c r="BS17" i="18"/>
  <c r="BT17" i="18"/>
  <c r="BU17" i="18"/>
  <c r="BV17" i="18"/>
  <c r="BS18" i="18"/>
  <c r="BT18" i="18"/>
  <c r="BU18" i="18"/>
  <c r="BV18" i="18"/>
  <c r="BS19" i="18"/>
  <c r="BT19" i="18"/>
  <c r="BU19" i="18"/>
  <c r="BV19" i="18"/>
  <c r="BS20" i="18"/>
  <c r="BT20" i="18"/>
  <c r="BU20" i="18"/>
  <c r="BV20" i="18"/>
  <c r="BS21" i="18"/>
  <c r="BT21" i="18"/>
  <c r="BU21" i="18"/>
  <c r="BV21" i="18"/>
  <c r="BS22" i="18"/>
  <c r="BT22" i="18"/>
  <c r="BU22" i="18"/>
  <c r="BV22" i="18"/>
  <c r="BS23" i="18"/>
  <c r="BT23" i="18"/>
  <c r="BU23" i="18"/>
  <c r="BV23" i="18"/>
  <c r="BS24" i="18"/>
  <c r="BT24" i="18"/>
  <c r="BU24" i="18"/>
  <c r="BV24" i="18"/>
  <c r="BS25" i="18"/>
  <c r="BT25" i="18"/>
  <c r="BU25" i="18"/>
  <c r="BV25" i="18"/>
  <c r="BS26" i="18"/>
  <c r="BT26" i="18"/>
  <c r="BU26" i="18"/>
  <c r="BV26" i="18"/>
  <c r="BS27" i="18"/>
  <c r="BT27" i="18"/>
  <c r="BU27" i="18"/>
  <c r="BV27" i="18"/>
  <c r="BS28" i="18"/>
  <c r="BT28" i="18"/>
  <c r="BU28" i="18"/>
  <c r="BV28" i="18"/>
  <c r="BS29" i="18"/>
  <c r="BT29" i="18"/>
  <c r="BU29" i="18"/>
  <c r="BV29" i="18"/>
  <c r="BS30" i="18"/>
  <c r="BT30" i="18"/>
  <c r="BU30" i="18"/>
  <c r="BV30" i="18"/>
  <c r="BS31" i="18"/>
  <c r="BT31" i="18"/>
  <c r="BU31" i="18"/>
  <c r="BV31" i="18"/>
  <c r="BS32" i="18"/>
  <c r="BT32" i="18"/>
  <c r="BU32" i="18"/>
  <c r="BV32" i="18"/>
  <c r="BS33" i="18"/>
  <c r="BT33" i="18"/>
  <c r="BU33" i="18"/>
  <c r="BV33" i="18"/>
  <c r="BS34" i="18"/>
  <c r="BT34" i="18"/>
  <c r="BU34" i="18"/>
  <c r="BV34" i="18"/>
  <c r="BS35" i="18"/>
  <c r="BT35" i="18"/>
  <c r="BU35" i="18"/>
  <c r="BV35" i="18"/>
  <c r="BS36" i="18"/>
  <c r="BT36" i="18"/>
  <c r="BU36" i="18"/>
  <c r="BV36" i="18"/>
  <c r="BS37" i="18"/>
  <c r="BT37" i="18"/>
  <c r="BU37" i="18"/>
  <c r="BV37" i="18"/>
  <c r="BS38" i="18"/>
  <c r="BT38" i="18"/>
  <c r="BU38" i="18"/>
  <c r="BV38" i="18"/>
  <c r="BS39" i="18"/>
  <c r="BT39" i="18"/>
  <c r="BU39" i="18"/>
  <c r="BV39" i="18"/>
  <c r="BS40" i="18"/>
  <c r="BT40" i="18"/>
  <c r="BU40" i="18"/>
  <c r="BV40" i="18"/>
  <c r="BS41" i="18"/>
  <c r="BT41" i="18"/>
  <c r="BU41" i="18"/>
  <c r="BV41" i="18"/>
  <c r="BS42" i="18"/>
  <c r="BT42" i="18"/>
  <c r="BU42" i="18"/>
  <c r="BV42" i="18"/>
  <c r="BS43" i="18"/>
  <c r="BT43" i="18"/>
  <c r="BU43" i="18"/>
  <c r="BV43" i="18"/>
  <c r="BS44" i="18"/>
  <c r="BT44" i="18"/>
  <c r="BU44" i="18"/>
  <c r="BV44" i="18"/>
  <c r="BS45" i="18"/>
  <c r="BT45" i="18"/>
  <c r="BU45" i="18"/>
  <c r="BV45" i="18"/>
  <c r="BS46" i="18"/>
  <c r="BT46" i="18"/>
  <c r="BU46" i="18"/>
  <c r="BV46" i="18"/>
  <c r="BS47" i="18"/>
  <c r="BT47" i="18"/>
  <c r="BU47" i="18"/>
  <c r="BV47" i="18"/>
  <c r="BS48" i="18"/>
  <c r="BT48" i="18"/>
  <c r="BU48" i="18"/>
  <c r="BV48" i="18"/>
  <c r="BS49" i="18"/>
  <c r="BT49" i="18"/>
  <c r="BU49" i="18"/>
  <c r="BV49" i="18"/>
  <c r="BS50" i="18"/>
  <c r="BT50" i="18"/>
  <c r="BU50" i="18"/>
  <c r="BV50" i="18"/>
  <c r="BS51" i="18"/>
  <c r="BT51" i="18"/>
  <c r="BU51" i="18"/>
  <c r="BV51" i="18"/>
  <c r="BS52" i="18"/>
  <c r="BT52" i="18"/>
  <c r="BU52" i="18"/>
  <c r="BV52" i="18"/>
  <c r="BS53" i="18"/>
  <c r="BT53" i="18"/>
  <c r="BU53" i="18"/>
  <c r="BV53" i="18"/>
  <c r="BT4" i="18"/>
  <c r="BU4" i="18"/>
  <c r="BV4" i="18"/>
  <c r="BS4" i="18"/>
  <c r="U32" i="89"/>
  <c r="U22" i="89"/>
  <c r="U95" i="89"/>
  <c r="U92" i="89"/>
  <c r="U85" i="89"/>
  <c r="U33" i="89"/>
  <c r="U54" i="89"/>
  <c r="U91" i="89"/>
  <c r="U73" i="89"/>
  <c r="U94" i="89"/>
  <c r="U41" i="89"/>
  <c r="U104" i="89"/>
  <c r="U16" i="89"/>
  <c r="U26" i="89"/>
  <c r="U76" i="89"/>
  <c r="U101" i="89"/>
  <c r="U24" i="89"/>
  <c r="U15" i="89"/>
  <c r="U67" i="89"/>
  <c r="U6" i="89"/>
  <c r="U42" i="89"/>
  <c r="U35" i="89"/>
  <c r="U10" i="89"/>
  <c r="U52" i="89"/>
  <c r="U83" i="89"/>
  <c r="U28" i="89"/>
  <c r="U51" i="89"/>
  <c r="U8" i="89"/>
  <c r="U103" i="89"/>
  <c r="U46" i="89"/>
  <c r="U88" i="89"/>
  <c r="U50" i="89"/>
  <c r="U48" i="89"/>
  <c r="U25" i="89"/>
  <c r="U57" i="89"/>
  <c r="U27" i="89"/>
  <c r="U13" i="89"/>
  <c r="U34" i="89"/>
  <c r="U44" i="89"/>
  <c r="U18" i="89"/>
  <c r="U60" i="89"/>
  <c r="U71" i="89"/>
  <c r="U20" i="89"/>
  <c r="U75" i="89"/>
  <c r="U47" i="89"/>
  <c r="U65" i="89"/>
  <c r="U82" i="89"/>
  <c r="U96" i="89"/>
  <c r="U7" i="89"/>
  <c r="U62" i="89"/>
  <c r="U102" i="89"/>
  <c r="U59" i="89"/>
  <c r="U43" i="89"/>
  <c r="U9" i="89"/>
  <c r="U87" i="89"/>
  <c r="U56" i="89"/>
  <c r="U78" i="89"/>
  <c r="U39" i="89"/>
  <c r="U5" i="89"/>
  <c r="U74" i="89"/>
  <c r="U90" i="89"/>
  <c r="U89" i="89"/>
  <c r="U80" i="89"/>
  <c r="U84" i="89"/>
  <c r="U14" i="89"/>
  <c r="U17" i="89"/>
  <c r="U99" i="89"/>
  <c r="U79" i="89"/>
  <c r="U77" i="89"/>
  <c r="U12" i="89"/>
  <c r="U72" i="89"/>
  <c r="U81" i="89"/>
  <c r="U98" i="89"/>
  <c r="U69" i="89"/>
  <c r="U100" i="89"/>
  <c r="U68" i="89"/>
  <c r="U45" i="89"/>
  <c r="U64" i="89"/>
  <c r="U63" i="89"/>
  <c r="U11" i="89"/>
  <c r="U29" i="89"/>
  <c r="U40" i="89"/>
  <c r="U36" i="89"/>
  <c r="U97" i="89"/>
  <c r="U30" i="89"/>
  <c r="U21" i="89"/>
  <c r="U53" i="89"/>
  <c r="U38" i="89"/>
  <c r="U86" i="89"/>
  <c r="U93" i="89"/>
  <c r="U23" i="89"/>
  <c r="U61" i="89"/>
  <c r="U70" i="89"/>
  <c r="U31" i="89"/>
  <c r="U58" i="89"/>
  <c r="U37" i="89"/>
  <c r="U66" i="89"/>
  <c r="U49" i="89"/>
  <c r="U55" i="89"/>
  <c r="U19" i="89"/>
  <c r="X17" i="88" l="1"/>
  <c r="Q21" i="89"/>
  <c r="N14" i="89"/>
  <c r="O14" i="89"/>
  <c r="P14" i="89"/>
  <c r="M14" i="89"/>
  <c r="BW19" i="18"/>
  <c r="BW50" i="18"/>
  <c r="BW32" i="18"/>
  <c r="BW14" i="18"/>
  <c r="BW49" i="18"/>
  <c r="BW43" i="18"/>
  <c r="BW37" i="18"/>
  <c r="BW31" i="18"/>
  <c r="BW25" i="18"/>
  <c r="BW13" i="18"/>
  <c r="BW10" i="18"/>
  <c r="BW7" i="18"/>
  <c r="BW4" i="18"/>
  <c r="BW44" i="18"/>
  <c r="BW38" i="18"/>
  <c r="BW26" i="18"/>
  <c r="BW20" i="18"/>
  <c r="BW8" i="18"/>
  <c r="BW51" i="18"/>
  <c r="BW45" i="18"/>
  <c r="BW39" i="18"/>
  <c r="BW33" i="18"/>
  <c r="BW27" i="18"/>
  <c r="BW21" i="18"/>
  <c r="BW15" i="18"/>
  <c r="BW9" i="18"/>
  <c r="BW52" i="18"/>
  <c r="BW46" i="18"/>
  <c r="BW40" i="18"/>
  <c r="BW34" i="18"/>
  <c r="BW28" i="18"/>
  <c r="BW22" i="18"/>
  <c r="BW16" i="18"/>
  <c r="BW48" i="18"/>
  <c r="BW42" i="18"/>
  <c r="BW36" i="18"/>
  <c r="BW30" i="18"/>
  <c r="BW24" i="18"/>
  <c r="BW18" i="18"/>
  <c r="BW12" i="18"/>
  <c r="BW6" i="18"/>
  <c r="BW53" i="18"/>
  <c r="BW47" i="18"/>
  <c r="BW41" i="18"/>
  <c r="BW35" i="18"/>
  <c r="BW29" i="18"/>
  <c r="BW23" i="18"/>
  <c r="BW17" i="18"/>
  <c r="BW11" i="18"/>
  <c r="BW5" i="18"/>
  <c r="V76" i="89"/>
  <c r="V75" i="89"/>
  <c r="V54" i="89"/>
  <c r="V28" i="89"/>
  <c r="V101" i="89"/>
  <c r="V71" i="89"/>
  <c r="V6" i="89"/>
  <c r="V17" i="89"/>
  <c r="V19" i="89"/>
  <c r="V60" i="89"/>
  <c r="V57" i="89"/>
  <c r="V49" i="89"/>
  <c r="V104" i="89"/>
  <c r="V65" i="89"/>
  <c r="V103" i="89"/>
  <c r="V64" i="89"/>
  <c r="V42" i="89"/>
  <c r="V18" i="89"/>
  <c r="V82" i="89"/>
  <c r="V84" i="89"/>
  <c r="V96" i="89"/>
  <c r="V93" i="89"/>
  <c r="V48" i="89"/>
  <c r="V27" i="89"/>
  <c r="V99" i="89"/>
  <c r="V46" i="89"/>
  <c r="V68" i="89"/>
  <c r="V66" i="89"/>
  <c r="V62" i="89"/>
  <c r="V73" i="89"/>
  <c r="V33" i="89"/>
  <c r="V102" i="89"/>
  <c r="X18" i="88" l="1"/>
  <c r="P15" i="89"/>
  <c r="P22" i="89" s="1"/>
  <c r="P23" i="89" s="1"/>
  <c r="M15" i="89"/>
  <c r="M22" i="89" s="1"/>
  <c r="N15" i="89"/>
  <c r="N22" i="89" s="1"/>
  <c r="N23" i="89" s="1"/>
  <c r="O15" i="89"/>
  <c r="O22" i="89" s="1"/>
  <c r="O23" i="89" s="1"/>
  <c r="AH348" i="18"/>
  <c r="AG36" i="18"/>
  <c r="AH361" i="18"/>
  <c r="BC266" i="18"/>
  <c r="AG163" i="18"/>
  <c r="BE15" i="18"/>
  <c r="BB75" i="18"/>
  <c r="BD284" i="18"/>
  <c r="AG225" i="18"/>
  <c r="AG24" i="18"/>
  <c r="AG242" i="18"/>
  <c r="BD79" i="18"/>
  <c r="AH234" i="18"/>
  <c r="BA230" i="18"/>
  <c r="AH199" i="18"/>
  <c r="AH298" i="18"/>
  <c r="BD141" i="18"/>
  <c r="AH301" i="18"/>
  <c r="BA316" i="18"/>
  <c r="BE72" i="18"/>
  <c r="AD40" i="18"/>
  <c r="AG144" i="18"/>
  <c r="AD207" i="18"/>
  <c r="AD151" i="18"/>
  <c r="AG217" i="18"/>
  <c r="BE307" i="18"/>
  <c r="BE162" i="18"/>
  <c r="BE149" i="18"/>
  <c r="BB177" i="18"/>
  <c r="AH319" i="18"/>
  <c r="AG339" i="18"/>
  <c r="BC140" i="18"/>
  <c r="BC229" i="18"/>
  <c r="BA177" i="18"/>
  <c r="BE293" i="18"/>
  <c r="BB24" i="18"/>
  <c r="AD128" i="18"/>
  <c r="BC120" i="18"/>
  <c r="BB104" i="18"/>
  <c r="BA62" i="18"/>
  <c r="BD341" i="18"/>
  <c r="AH48" i="18"/>
  <c r="BC187" i="18"/>
  <c r="BB207" i="18"/>
  <c r="BC237" i="18"/>
  <c r="AH251" i="18"/>
  <c r="AG148" i="18"/>
  <c r="AG208" i="18"/>
  <c r="AH16" i="18"/>
  <c r="AG74" i="18"/>
  <c r="BD313" i="18"/>
  <c r="BC223" i="18"/>
  <c r="BD42" i="18"/>
  <c r="BB185" i="18"/>
  <c r="AG33" i="18"/>
  <c r="AG180" i="18"/>
  <c r="AH162" i="18"/>
  <c r="AD219" i="18"/>
  <c r="AD183" i="18"/>
  <c r="AD358" i="18"/>
  <c r="AG6" i="18"/>
  <c r="BE14" i="18"/>
  <c r="BA117" i="18"/>
  <c r="BA42" i="18"/>
  <c r="AD267" i="18"/>
  <c r="AH231" i="18"/>
  <c r="AH209" i="18"/>
  <c r="BE310" i="18"/>
  <c r="BD52" i="18"/>
  <c r="BC204" i="18"/>
  <c r="AD225" i="18"/>
  <c r="BE34" i="18"/>
  <c r="BE151" i="18"/>
  <c r="BD4" i="18"/>
  <c r="BA79" i="18"/>
  <c r="BC101" i="18"/>
  <c r="BC124" i="18"/>
  <c r="BC268" i="18"/>
  <c r="BD196" i="18"/>
  <c r="AH255" i="18"/>
  <c r="AH22" i="18"/>
  <c r="AH105" i="18"/>
  <c r="AH225" i="18"/>
  <c r="BB64" i="18"/>
  <c r="AH293" i="18"/>
  <c r="AD335" i="18"/>
  <c r="AH310" i="18"/>
  <c r="BD203" i="18"/>
  <c r="BC74" i="18"/>
  <c r="BC282" i="18"/>
  <c r="BD205" i="18"/>
  <c r="AH158" i="18"/>
  <c r="AD320" i="18"/>
  <c r="AG51" i="18"/>
  <c r="AH97" i="18"/>
  <c r="AH94" i="18"/>
  <c r="BD100" i="18"/>
  <c r="AG112" i="18"/>
  <c r="AG206" i="18"/>
  <c r="BA288" i="18"/>
  <c r="BE350" i="18"/>
  <c r="BC13" i="18"/>
  <c r="AD315" i="18"/>
  <c r="BA109" i="18"/>
  <c r="AD321" i="18"/>
  <c r="AG84" i="18"/>
  <c r="BC179" i="18"/>
  <c r="BC178" i="18"/>
  <c r="AG293" i="18"/>
  <c r="AH117" i="18"/>
  <c r="AG279" i="18"/>
  <c r="AG350" i="18"/>
  <c r="BB11" i="18"/>
  <c r="BB247" i="18"/>
  <c r="AG172" i="18"/>
  <c r="AH165" i="18"/>
  <c r="AG102" i="18"/>
  <c r="AH153" i="18"/>
  <c r="BB265" i="18"/>
  <c r="AH36" i="18"/>
  <c r="AH151" i="18"/>
  <c r="AH96" i="18"/>
  <c r="BB88" i="18"/>
  <c r="AH160" i="18"/>
  <c r="AH131" i="18"/>
  <c r="AG169" i="18"/>
  <c r="BB10" i="18"/>
  <c r="AG250" i="18"/>
  <c r="AG334" i="18"/>
  <c r="AD264" i="18"/>
  <c r="AH42" i="18"/>
  <c r="BC221" i="18"/>
  <c r="AG41" i="18"/>
  <c r="AD148" i="18"/>
  <c r="AH143" i="18"/>
  <c r="AG97" i="18"/>
  <c r="BE161" i="18"/>
  <c r="BB155" i="18"/>
  <c r="AG21" i="18"/>
  <c r="AD289" i="18"/>
  <c r="BB227" i="18"/>
  <c r="BE194" i="18"/>
  <c r="AD86" i="18"/>
  <c r="BB260" i="18"/>
  <c r="BA51" i="18"/>
  <c r="AD124" i="18"/>
  <c r="AD71" i="18"/>
  <c r="BD222" i="18"/>
  <c r="AG182" i="18"/>
  <c r="BB163" i="18"/>
  <c r="BE76" i="18"/>
  <c r="BD257" i="18"/>
  <c r="AG237" i="18"/>
  <c r="AH315" i="18"/>
  <c r="BC160" i="18"/>
  <c r="AG142" i="18"/>
  <c r="BB325" i="18"/>
  <c r="AD115" i="18"/>
  <c r="AG100" i="18"/>
  <c r="AH323" i="18"/>
  <c r="AD356" i="18"/>
  <c r="BD92" i="18"/>
  <c r="AD257" i="18"/>
  <c r="BC17" i="18"/>
  <c r="BA243" i="18"/>
  <c r="AG361" i="18"/>
  <c r="BD252" i="18"/>
  <c r="BA6" i="18"/>
  <c r="BC190" i="18"/>
  <c r="BA307" i="18"/>
  <c r="AH4" i="18"/>
  <c r="AG254" i="18"/>
  <c r="AG304" i="18"/>
  <c r="BC226" i="18"/>
  <c r="BC148" i="18"/>
  <c r="BB40" i="18"/>
  <c r="BA292" i="18"/>
  <c r="BA166" i="18"/>
  <c r="BE41" i="18"/>
  <c r="AD284" i="18"/>
  <c r="BC99" i="18"/>
  <c r="BD181" i="18"/>
  <c r="BA58" i="18"/>
  <c r="BC12" i="18"/>
  <c r="BA223" i="18"/>
  <c r="BA283" i="18"/>
  <c r="AG124" i="18"/>
  <c r="AH347" i="18"/>
  <c r="AH329" i="18"/>
  <c r="AH127" i="18"/>
  <c r="BC8" i="18"/>
  <c r="AH313" i="18"/>
  <c r="AH66" i="18"/>
  <c r="AH362" i="18"/>
  <c r="BD176" i="18"/>
  <c r="AH334" i="18"/>
  <c r="AH27" i="18"/>
  <c r="BB284" i="18"/>
  <c r="AH123" i="18"/>
  <c r="BA323" i="18"/>
  <c r="AH226" i="18"/>
  <c r="AG177" i="18"/>
  <c r="BC163" i="18"/>
  <c r="AH33" i="18"/>
  <c r="AH292" i="18"/>
  <c r="AH181" i="18"/>
  <c r="AD316" i="18"/>
  <c r="BB245" i="18"/>
  <c r="BB97" i="18"/>
  <c r="AG72" i="18"/>
  <c r="AG275" i="18"/>
  <c r="BB290" i="18"/>
  <c r="BA304" i="18"/>
  <c r="BE297" i="18"/>
  <c r="BC312" i="18"/>
  <c r="AD39" i="18"/>
  <c r="AH233" i="18"/>
  <c r="BA83" i="18"/>
  <c r="BE28" i="18"/>
  <c r="BC15" i="18"/>
  <c r="AD220" i="18"/>
  <c r="BC85" i="18"/>
  <c r="AG137" i="18"/>
  <c r="AG67" i="18"/>
  <c r="BB300" i="18"/>
  <c r="BE217" i="18"/>
  <c r="AD337" i="18"/>
  <c r="BD37" i="18"/>
  <c r="BD120" i="18"/>
  <c r="AD19" i="18"/>
  <c r="AD25" i="18"/>
  <c r="BC19" i="18"/>
  <c r="BE260" i="18"/>
  <c r="AD7" i="18"/>
  <c r="BA143" i="18"/>
  <c r="AD261" i="18"/>
  <c r="BE152" i="18"/>
  <c r="BE44" i="18"/>
  <c r="BB68" i="18"/>
  <c r="BB246" i="18"/>
  <c r="BC235" i="18"/>
  <c r="BC48" i="18"/>
  <c r="AH87" i="18"/>
  <c r="BD121" i="18"/>
  <c r="AD325" i="18"/>
  <c r="BB21" i="18"/>
  <c r="BC122" i="18"/>
  <c r="BC165" i="18"/>
  <c r="BA214" i="18"/>
  <c r="BC321" i="18"/>
  <c r="AD75" i="18"/>
  <c r="BA95" i="18"/>
  <c r="BD334" i="18"/>
  <c r="BE98" i="18"/>
  <c r="BE65" i="18"/>
  <c r="BA99" i="18"/>
  <c r="BA225" i="18"/>
  <c r="BD310" i="18"/>
  <c r="BC199" i="18"/>
  <c r="AH154" i="18"/>
  <c r="BE96" i="18"/>
  <c r="BD148" i="18"/>
  <c r="BD332" i="18"/>
  <c r="AD168" i="18"/>
  <c r="AG326" i="18"/>
  <c r="BE107" i="18"/>
  <c r="BB150" i="18"/>
  <c r="AD266" i="18"/>
  <c r="BC137" i="18"/>
  <c r="BA137" i="18"/>
  <c r="AD292" i="18"/>
  <c r="BA15" i="18"/>
  <c r="BC353" i="18"/>
  <c r="BB233" i="18"/>
  <c r="AD276" i="18"/>
  <c r="BB171" i="18"/>
  <c r="AD341" i="18"/>
  <c r="BD83" i="18"/>
  <c r="BD345" i="18"/>
  <c r="AD240" i="18"/>
  <c r="BA189" i="18"/>
  <c r="AD326" i="18"/>
  <c r="AD303" i="18"/>
  <c r="AD312" i="18"/>
  <c r="BA252" i="18"/>
  <c r="AD59" i="18"/>
  <c r="BC280" i="18"/>
  <c r="BE176" i="18"/>
  <c r="BD27" i="18"/>
  <c r="BD344" i="18"/>
  <c r="BB359" i="18"/>
  <c r="AH120" i="18"/>
  <c r="BD159" i="18"/>
  <c r="BC201" i="18"/>
  <c r="BA319" i="18"/>
  <c r="AD141" i="18"/>
  <c r="BA18" i="18"/>
  <c r="BD164" i="18"/>
  <c r="BA277" i="18"/>
  <c r="BB50" i="18"/>
  <c r="BB315" i="18"/>
  <c r="BD267" i="18"/>
  <c r="BE80" i="18"/>
  <c r="BE216" i="18"/>
  <c r="AH84" i="18"/>
  <c r="AG78" i="18"/>
  <c r="BD219" i="18"/>
  <c r="BA8" i="18"/>
  <c r="AD244" i="18"/>
  <c r="BC258" i="18"/>
  <c r="BC203" i="18"/>
  <c r="BE105" i="18"/>
  <c r="BA169" i="18"/>
  <c r="BA271" i="18"/>
  <c r="BC309" i="18"/>
  <c r="AD243" i="18"/>
  <c r="BC82" i="18"/>
  <c r="AD237" i="18"/>
  <c r="BD184" i="18"/>
  <c r="BD265" i="18"/>
  <c r="BC62" i="18"/>
  <c r="BA152" i="18"/>
  <c r="BE125" i="18"/>
  <c r="BB46" i="18"/>
  <c r="BB318" i="18"/>
  <c r="BD243" i="18"/>
  <c r="BE127" i="18"/>
  <c r="BA261" i="18"/>
  <c r="BD360" i="18"/>
  <c r="BA167" i="18"/>
  <c r="BE78" i="18"/>
  <c r="BC63" i="18"/>
  <c r="BC319" i="18"/>
  <c r="BE225" i="18"/>
  <c r="BD303" i="18"/>
  <c r="BA130" i="18"/>
  <c r="BE193" i="18"/>
  <c r="BB13" i="18"/>
  <c r="BB8" i="18"/>
  <c r="BC356" i="18"/>
  <c r="BB130" i="18"/>
  <c r="BB80" i="18"/>
  <c r="BE198" i="18"/>
  <c r="AD197" i="18"/>
  <c r="BC168" i="18"/>
  <c r="AD294" i="18"/>
  <c r="BC219" i="18"/>
  <c r="BB303" i="18"/>
  <c r="BC288" i="18"/>
  <c r="BE60" i="18"/>
  <c r="AG342" i="18"/>
  <c r="AD103" i="18"/>
  <c r="BD290" i="18"/>
  <c r="BD352" i="18"/>
  <c r="BA68" i="18"/>
  <c r="BE178" i="18"/>
  <c r="AD302" i="18"/>
  <c r="AH12" i="18"/>
  <c r="BA233" i="18"/>
  <c r="BC173" i="18"/>
  <c r="BE146" i="18"/>
  <c r="BB55" i="18"/>
  <c r="BE109" i="18"/>
  <c r="BB100" i="18"/>
  <c r="AH218" i="18"/>
  <c r="AG332" i="18"/>
  <c r="AG211" i="18"/>
  <c r="AG79" i="18"/>
  <c r="BE261" i="18"/>
  <c r="BB298" i="18"/>
  <c r="BA56" i="18"/>
  <c r="BC249" i="18"/>
  <c r="BC323" i="18"/>
  <c r="AH191" i="18"/>
  <c r="BA48" i="18"/>
  <c r="AD308" i="18"/>
  <c r="BB283" i="18"/>
  <c r="BD174" i="18"/>
  <c r="BE106" i="18"/>
  <c r="BA102" i="18"/>
  <c r="AD349" i="18"/>
  <c r="BD160" i="18"/>
  <c r="AH229" i="18"/>
  <c r="BB361" i="18"/>
  <c r="BC267" i="18"/>
  <c r="BA5" i="18"/>
  <c r="AH280" i="18"/>
  <c r="BB353" i="18"/>
  <c r="BE45" i="18"/>
  <c r="BC51" i="18"/>
  <c r="BA64" i="18"/>
  <c r="AD269" i="18"/>
  <c r="AD53" i="18"/>
  <c r="AH19" i="18"/>
  <c r="AH357" i="18"/>
  <c r="BC352" i="18"/>
  <c r="BD169" i="18"/>
  <c r="BD324" i="18"/>
  <c r="BC109" i="18"/>
  <c r="BA16" i="18"/>
  <c r="BC130" i="18"/>
  <c r="BE197" i="18"/>
  <c r="BC7" i="18"/>
  <c r="AG270" i="18"/>
  <c r="AH99" i="18"/>
  <c r="BC227" i="18"/>
  <c r="BC66" i="18"/>
  <c r="AH224" i="18"/>
  <c r="BE90" i="18"/>
  <c r="AG135" i="18"/>
  <c r="AH222" i="18"/>
  <c r="AG331" i="18"/>
  <c r="BA361" i="18"/>
  <c r="BD124" i="18"/>
  <c r="AD70" i="18"/>
  <c r="BB258" i="18"/>
  <c r="AG56" i="18"/>
  <c r="BE30" i="18"/>
  <c r="AG197" i="18"/>
  <c r="AD174" i="18"/>
  <c r="BE128" i="18"/>
  <c r="BE314" i="18"/>
  <c r="BD88" i="18"/>
  <c r="AG70" i="18"/>
  <c r="BD132" i="18"/>
  <c r="AG138" i="18"/>
  <c r="BA272" i="18"/>
  <c r="AH108" i="18"/>
  <c r="BD143" i="18"/>
  <c r="BA325" i="18"/>
  <c r="AD14" i="18"/>
  <c r="BB222" i="18"/>
  <c r="BD127" i="18"/>
  <c r="BC75" i="18"/>
  <c r="BA180" i="18"/>
  <c r="BE265" i="18"/>
  <c r="AD43" i="18"/>
  <c r="BA336" i="18"/>
  <c r="BB132" i="18"/>
  <c r="BC102" i="18"/>
  <c r="BE187" i="18"/>
  <c r="BD321" i="18"/>
  <c r="BB270" i="18"/>
  <c r="BE101" i="18"/>
  <c r="BE224" i="18"/>
  <c r="BA359" i="18"/>
  <c r="AH258" i="18"/>
  <c r="BC126" i="18"/>
  <c r="BA260" i="18"/>
  <c r="BC240" i="18"/>
  <c r="BB86" i="18"/>
  <c r="AG64" i="18"/>
  <c r="AH320" i="18"/>
  <c r="AG11" i="18"/>
  <c r="AH246" i="18"/>
  <c r="AG226" i="18"/>
  <c r="AG179" i="18"/>
  <c r="BD55" i="18"/>
  <c r="BE300" i="18"/>
  <c r="BA266" i="18"/>
  <c r="AG83" i="18"/>
  <c r="AH21" i="18"/>
  <c r="BB153" i="18"/>
  <c r="BA136" i="18"/>
  <c r="BC263" i="18"/>
  <c r="AG122" i="18"/>
  <c r="AH195" i="18"/>
  <c r="AH111" i="18"/>
  <c r="AH78" i="18"/>
  <c r="BA291" i="18"/>
  <c r="AH268" i="18"/>
  <c r="AG348" i="18"/>
  <c r="AG115" i="18"/>
  <c r="BA120" i="18"/>
  <c r="BE88" i="18"/>
  <c r="BC172" i="18"/>
  <c r="BE292" i="18"/>
  <c r="BE281" i="18"/>
  <c r="AD105" i="18"/>
  <c r="AG164" i="18"/>
  <c r="BC245" i="18"/>
  <c r="BB209" i="18"/>
  <c r="AH284" i="18"/>
  <c r="BE6" i="18"/>
  <c r="BD165" i="18"/>
  <c r="AD111" i="18"/>
  <c r="BB166" i="18"/>
  <c r="AG360" i="18"/>
  <c r="AH317" i="18"/>
  <c r="BC308" i="18"/>
  <c r="AG207" i="18"/>
  <c r="AH152" i="18"/>
  <c r="AH76" i="18"/>
  <c r="BB61" i="18"/>
  <c r="BA331" i="18"/>
  <c r="AH297" i="18"/>
  <c r="BB212" i="18"/>
  <c r="BD33" i="18"/>
  <c r="AH333" i="18"/>
  <c r="BE320" i="18"/>
  <c r="BD15" i="18"/>
  <c r="AG159" i="18"/>
  <c r="AG359" i="18"/>
  <c r="BE295" i="18"/>
  <c r="AD97" i="18"/>
  <c r="AG171" i="18"/>
  <c r="BA188" i="18"/>
  <c r="BD283" i="18"/>
  <c r="BD175" i="18"/>
  <c r="BC37" i="18"/>
  <c r="BC26" i="18"/>
  <c r="BB273" i="18"/>
  <c r="BE140" i="18"/>
  <c r="AG48" i="18"/>
  <c r="BC250" i="18"/>
  <c r="AG87" i="18"/>
  <c r="BA125" i="18"/>
  <c r="BA111" i="18"/>
  <c r="AD186" i="18"/>
  <c r="BA173" i="18"/>
  <c r="AH227" i="18"/>
  <c r="AG101" i="18"/>
  <c r="AH257" i="18"/>
  <c r="BB194" i="18"/>
  <c r="AD5" i="18"/>
  <c r="BC44" i="18"/>
  <c r="AD200" i="18"/>
  <c r="AG29" i="18"/>
  <c r="BA254" i="18"/>
  <c r="BB79" i="18"/>
  <c r="AG338" i="18"/>
  <c r="AG58" i="18"/>
  <c r="AH237" i="18"/>
  <c r="BB356" i="18"/>
  <c r="AH122" i="18"/>
  <c r="AH121" i="18"/>
  <c r="AH236" i="18"/>
  <c r="BD91" i="18"/>
  <c r="BA342" i="18"/>
  <c r="AG132" i="18"/>
  <c r="AG322" i="18"/>
  <c r="BE134" i="18"/>
  <c r="AH164" i="18"/>
  <c r="AH179" i="18"/>
  <c r="BB252" i="18"/>
  <c r="BA71" i="18"/>
  <c r="BE131" i="18"/>
  <c r="AG65" i="18"/>
  <c r="BA312" i="18"/>
  <c r="BE59" i="18"/>
  <c r="BA209" i="18"/>
  <c r="AD98" i="18"/>
  <c r="BD296" i="18"/>
  <c r="BA351" i="18"/>
  <c r="AH341" i="18"/>
  <c r="BB175" i="18"/>
  <c r="AH45" i="18"/>
  <c r="AH38" i="18"/>
  <c r="BB304" i="18"/>
  <c r="BB355" i="18"/>
  <c r="AH322" i="18"/>
  <c r="AG300" i="18"/>
  <c r="BC32" i="18"/>
  <c r="AH81" i="18"/>
  <c r="BE278" i="18"/>
  <c r="AH273" i="18"/>
  <c r="BA27" i="18"/>
  <c r="AH167" i="18"/>
  <c r="BA315" i="18"/>
  <c r="BA218" i="18"/>
  <c r="BC325" i="18"/>
  <c r="BB85" i="18"/>
  <c r="AG194" i="18"/>
  <c r="AH349" i="18"/>
  <c r="AH276" i="18"/>
  <c r="BC157" i="18"/>
  <c r="AG318" i="18"/>
  <c r="AD234" i="18"/>
  <c r="BA224" i="18"/>
  <c r="AG52" i="18"/>
  <c r="BD68" i="18"/>
  <c r="BC305" i="18"/>
  <c r="BE289" i="18"/>
  <c r="BD213" i="18"/>
  <c r="BD356" i="18"/>
  <c r="BD119" i="18"/>
  <c r="BD292" i="18"/>
  <c r="BB101" i="18"/>
  <c r="BA146" i="18"/>
  <c r="AG85" i="18"/>
  <c r="BA287" i="18"/>
  <c r="AG238" i="18"/>
  <c r="AG63" i="18"/>
  <c r="AG37" i="18"/>
  <c r="AG224" i="18"/>
  <c r="BA30" i="18"/>
  <c r="BE337" i="18"/>
  <c r="BB354" i="18"/>
  <c r="AH206" i="18"/>
  <c r="BA228" i="18"/>
  <c r="AH352" i="18"/>
  <c r="BC300" i="18"/>
  <c r="AH166" i="18"/>
  <c r="AH288" i="18"/>
  <c r="BA270" i="18"/>
  <c r="BB236" i="18"/>
  <c r="AG166" i="18"/>
  <c r="BE221" i="18"/>
  <c r="AH60" i="18"/>
  <c r="BA32" i="18"/>
  <c r="AG298" i="18"/>
  <c r="AG49" i="18"/>
  <c r="BC77" i="18"/>
  <c r="AH6" i="18"/>
  <c r="AH335" i="18"/>
  <c r="AD250" i="18"/>
  <c r="AG323" i="18"/>
  <c r="AG20" i="18"/>
  <c r="BE148" i="18"/>
  <c r="AG357" i="18"/>
  <c r="AD277" i="18"/>
  <c r="AH17" i="18"/>
  <c r="AH170" i="18"/>
  <c r="AG40" i="18"/>
  <c r="AH350" i="18"/>
  <c r="BD123" i="18"/>
  <c r="BD230" i="18"/>
  <c r="AG31" i="18"/>
  <c r="BC324" i="18"/>
  <c r="BD191" i="18"/>
  <c r="BE115" i="18"/>
  <c r="BC307" i="18"/>
  <c r="AH88" i="18"/>
  <c r="BD262" i="18"/>
  <c r="BC151" i="18"/>
  <c r="BA162" i="18"/>
  <c r="BD108" i="18"/>
  <c r="BD225" i="18"/>
  <c r="BA306" i="18"/>
  <c r="AG290" i="18"/>
  <c r="BC69" i="18"/>
  <c r="BC18" i="18"/>
  <c r="BA362" i="18"/>
  <c r="BD57" i="18"/>
  <c r="BE170" i="18"/>
  <c r="BD137" i="18"/>
  <c r="BE315" i="18"/>
  <c r="BE56" i="18"/>
  <c r="BA142" i="18"/>
  <c r="BD301" i="18"/>
  <c r="BC265" i="18"/>
  <c r="AD67" i="18"/>
  <c r="BA334" i="18"/>
  <c r="BB259" i="18"/>
  <c r="BB122" i="18"/>
  <c r="BA133" i="18"/>
  <c r="BE358" i="18"/>
  <c r="BD295" i="18"/>
  <c r="AH71" i="18"/>
  <c r="AD247" i="18"/>
  <c r="BE102" i="18"/>
  <c r="AD119" i="18"/>
  <c r="BA182" i="18"/>
  <c r="AD32" i="18"/>
  <c r="BA229" i="18"/>
  <c r="BE280" i="18"/>
  <c r="BA96" i="18"/>
  <c r="AD157" i="18"/>
  <c r="BA242" i="18"/>
  <c r="BA93" i="18"/>
  <c r="BC254" i="18"/>
  <c r="BA263" i="18"/>
  <c r="BC104" i="18"/>
  <c r="BA90" i="18"/>
  <c r="BD136" i="18"/>
  <c r="BA253" i="18"/>
  <c r="BD353" i="18"/>
  <c r="BB148" i="18"/>
  <c r="BA298" i="18"/>
  <c r="BE163" i="18"/>
  <c r="AD24" i="18"/>
  <c r="BC4" i="18"/>
  <c r="AD138" i="18"/>
  <c r="BE7" i="18"/>
  <c r="BA357" i="18"/>
  <c r="AH116" i="18"/>
  <c r="BC209" i="18"/>
  <c r="BE153" i="18"/>
  <c r="BE246" i="18"/>
  <c r="BB193" i="18"/>
  <c r="BB33" i="18"/>
  <c r="BB131" i="18"/>
  <c r="BD335" i="18"/>
  <c r="AH125" i="18"/>
  <c r="BB289" i="18"/>
  <c r="BA118" i="18"/>
  <c r="BB214" i="18"/>
  <c r="BE169" i="18"/>
  <c r="BD152" i="18"/>
  <c r="BD138" i="18"/>
  <c r="BA196" i="18"/>
  <c r="BA87" i="18"/>
  <c r="BD96" i="18"/>
  <c r="BB291" i="18"/>
  <c r="AD134" i="18"/>
  <c r="AH86" i="18"/>
  <c r="BB238" i="18"/>
  <c r="BD64" i="18"/>
  <c r="BE312" i="18"/>
  <c r="BB322" i="18"/>
  <c r="BB235" i="18"/>
  <c r="AD271" i="18"/>
  <c r="BA85" i="18"/>
  <c r="BE165" i="18"/>
  <c r="BA226" i="18"/>
  <c r="BC262" i="18"/>
  <c r="BD328" i="18"/>
  <c r="BA327" i="18"/>
  <c r="AD104" i="18"/>
  <c r="BA35" i="18"/>
  <c r="BE285" i="18"/>
  <c r="BA341" i="18"/>
  <c r="AH10" i="18"/>
  <c r="AD286" i="18"/>
  <c r="BC133" i="18"/>
  <c r="BE335" i="18"/>
  <c r="BD361" i="18"/>
  <c r="BC316" i="18"/>
  <c r="BE254" i="18"/>
  <c r="BE122" i="18"/>
  <c r="BB313" i="18"/>
  <c r="AG321" i="18"/>
  <c r="AD122" i="18"/>
  <c r="BE228" i="18"/>
  <c r="BB234" i="18"/>
  <c r="BC176" i="18"/>
  <c r="AD22" i="18"/>
  <c r="AH61" i="18"/>
  <c r="BB186" i="18"/>
  <c r="AH32" i="18"/>
  <c r="BB199" i="18"/>
  <c r="AD52" i="18"/>
  <c r="BC24" i="18"/>
  <c r="BC153" i="18"/>
  <c r="BA248" i="18"/>
  <c r="BB146" i="18"/>
  <c r="BE296" i="18"/>
  <c r="AH140" i="18"/>
  <c r="BB158" i="18"/>
  <c r="BE53" i="18"/>
  <c r="BE239" i="18"/>
  <c r="BA294" i="18"/>
  <c r="BD80" i="18"/>
  <c r="BC181" i="18"/>
  <c r="BD253" i="18"/>
  <c r="BB330" i="18"/>
  <c r="BC208" i="18"/>
  <c r="BB344" i="18"/>
  <c r="AG54" i="18"/>
  <c r="AD216" i="18"/>
  <c r="BC306" i="18"/>
  <c r="BB251" i="18"/>
  <c r="BC230" i="18"/>
  <c r="BE319" i="18"/>
  <c r="BB156" i="18"/>
  <c r="BE10" i="18"/>
  <c r="BC174" i="18"/>
  <c r="BC138" i="18"/>
  <c r="BA89" i="18"/>
  <c r="BB230" i="18"/>
  <c r="BE359" i="18"/>
  <c r="BA322" i="18"/>
  <c r="AH220" i="18"/>
  <c r="BE205" i="18"/>
  <c r="BD167" i="18"/>
  <c r="BE184" i="18"/>
  <c r="BB217" i="18"/>
  <c r="BE142" i="18"/>
  <c r="BB139" i="18"/>
  <c r="BD271" i="18"/>
  <c r="BB81" i="18"/>
  <c r="BE213" i="18"/>
  <c r="BD348" i="18"/>
  <c r="BA84" i="18"/>
  <c r="BE232" i="18"/>
  <c r="BB337" i="18"/>
  <c r="BA348" i="18"/>
  <c r="AH321" i="18"/>
  <c r="AH290" i="18"/>
  <c r="BC129" i="18"/>
  <c r="BB160" i="18"/>
  <c r="BA77" i="18"/>
  <c r="BA192" i="18"/>
  <c r="AD295" i="18"/>
  <c r="BB287" i="18"/>
  <c r="BC54" i="18"/>
  <c r="BB121" i="18"/>
  <c r="BB250" i="18"/>
  <c r="AG156" i="18"/>
  <c r="BE129" i="18"/>
  <c r="BC214" i="18"/>
  <c r="BE237" i="18"/>
  <c r="BE317" i="18"/>
  <c r="BB95" i="18"/>
  <c r="BA259" i="18"/>
  <c r="AD93" i="18"/>
  <c r="BB25" i="18"/>
  <c r="BA339" i="18"/>
  <c r="BE271" i="18"/>
  <c r="BD239" i="18"/>
  <c r="BA23" i="18"/>
  <c r="AH161" i="18"/>
  <c r="BE309" i="18"/>
  <c r="BE94" i="18"/>
  <c r="BD125" i="18"/>
  <c r="BA141" i="18"/>
  <c r="AD340" i="18"/>
  <c r="AH56" i="18"/>
  <c r="AG333" i="18"/>
  <c r="BA211" i="18"/>
  <c r="AG181" i="18"/>
  <c r="AH55" i="18"/>
  <c r="AH145" i="18"/>
  <c r="AH245" i="18"/>
  <c r="AD164" i="18"/>
  <c r="BB228" i="18"/>
  <c r="BB310" i="18"/>
  <c r="BE313" i="18"/>
  <c r="AH272" i="18"/>
  <c r="AG215" i="18"/>
  <c r="BB317" i="18"/>
  <c r="BA123" i="18"/>
  <c r="BB154" i="18"/>
  <c r="BC31" i="18"/>
  <c r="AD82" i="18"/>
  <c r="AH314" i="18"/>
  <c r="AG120" i="18"/>
  <c r="BB279" i="18"/>
  <c r="AG77" i="18"/>
  <c r="BB302" i="18"/>
  <c r="AG302" i="18"/>
  <c r="AD55" i="18"/>
  <c r="BA235" i="18"/>
  <c r="BB151" i="18"/>
  <c r="BB44" i="18"/>
  <c r="BE183" i="18"/>
  <c r="BB197" i="18"/>
  <c r="BD269" i="18"/>
  <c r="AD268" i="18"/>
  <c r="BA205" i="18"/>
  <c r="AD345" i="18"/>
  <c r="BC139" i="18"/>
  <c r="BB7" i="18"/>
  <c r="BA106" i="18"/>
  <c r="AG121" i="18"/>
  <c r="BC156" i="18"/>
  <c r="BA216" i="18"/>
  <c r="BC16" i="18"/>
  <c r="AD123" i="18"/>
  <c r="BD45" i="18"/>
  <c r="BA258" i="18"/>
  <c r="BA256" i="18"/>
  <c r="BD241" i="18"/>
  <c r="BD185" i="18"/>
  <c r="BA210" i="18"/>
  <c r="BA82" i="18"/>
  <c r="BD69" i="18"/>
  <c r="AD299" i="18"/>
  <c r="BE79" i="18"/>
  <c r="BC285" i="18"/>
  <c r="AD339" i="18"/>
  <c r="AG95" i="18"/>
  <c r="AD166" i="18"/>
  <c r="AH344" i="18"/>
  <c r="AH304" i="18"/>
  <c r="AG222" i="18"/>
  <c r="AG90" i="18"/>
  <c r="AH232" i="18"/>
  <c r="AG158" i="18"/>
  <c r="BE303" i="18"/>
  <c r="BC287" i="18"/>
  <c r="AH178" i="18"/>
  <c r="AG199" i="18"/>
  <c r="BC357" i="18"/>
  <c r="AD291" i="18"/>
  <c r="AD193" i="18"/>
  <c r="BC277" i="18"/>
  <c r="BE42" i="18"/>
  <c r="AG15" i="18"/>
  <c r="AG236" i="18"/>
  <c r="AG139" i="18"/>
  <c r="AH228" i="18"/>
  <c r="AD6" i="18"/>
  <c r="AD41" i="18"/>
  <c r="BC113" i="18"/>
  <c r="AH141" i="18"/>
  <c r="BC257" i="18"/>
  <c r="AD175" i="18"/>
  <c r="BD286" i="18"/>
  <c r="AD76" i="18"/>
  <c r="BC184" i="18"/>
  <c r="AD89" i="18"/>
  <c r="AH331" i="18"/>
  <c r="BC90" i="18"/>
  <c r="BA36" i="18"/>
  <c r="BD211" i="18"/>
  <c r="BB335" i="18"/>
  <c r="BE38" i="18"/>
  <c r="AH223" i="18"/>
  <c r="AH207" i="18"/>
  <c r="BC234" i="18"/>
  <c r="BA346" i="18"/>
  <c r="BC98" i="18"/>
  <c r="AD35" i="18"/>
  <c r="AG196" i="18"/>
  <c r="AG69" i="18"/>
  <c r="AG23" i="18"/>
  <c r="AG240" i="18"/>
  <c r="AH253" i="18"/>
  <c r="AG68" i="18"/>
  <c r="BB319" i="18"/>
  <c r="BD218" i="18"/>
  <c r="AD252" i="18"/>
  <c r="AH291" i="18"/>
  <c r="AH296" i="18"/>
  <c r="BD237" i="18"/>
  <c r="AG47" i="18"/>
  <c r="BC315" i="18"/>
  <c r="BE234" i="18"/>
  <c r="BD246" i="18"/>
  <c r="BD130" i="18"/>
  <c r="AD360" i="18"/>
  <c r="BC243" i="18"/>
  <c r="AD297" i="18"/>
  <c r="BC159" i="18"/>
  <c r="AD20" i="18"/>
  <c r="BB293" i="18"/>
  <c r="BC79" i="18"/>
  <c r="BB334" i="18"/>
  <c r="AG324" i="18"/>
  <c r="BE262" i="18"/>
  <c r="AG110" i="18"/>
  <c r="AH205" i="18"/>
  <c r="BD114" i="18"/>
  <c r="AH214" i="18"/>
  <c r="BE355" i="18"/>
  <c r="BB256" i="18"/>
  <c r="BC272" i="18"/>
  <c r="BD73" i="18"/>
  <c r="BC215" i="18"/>
  <c r="BA67" i="18"/>
  <c r="AD187" i="18"/>
  <c r="AH44" i="18"/>
  <c r="AG345" i="18"/>
  <c r="AH312" i="18"/>
  <c r="BB23" i="18"/>
  <c r="BE207" i="18"/>
  <c r="BD232" i="18"/>
  <c r="AG328" i="18"/>
  <c r="BB342" i="18"/>
  <c r="AD68" i="18"/>
  <c r="AG340" i="18"/>
  <c r="AH35" i="18"/>
  <c r="AH360" i="18"/>
  <c r="AG86" i="18"/>
  <c r="AG34" i="18"/>
  <c r="BD282" i="18"/>
  <c r="BD94" i="18"/>
  <c r="AG213" i="18"/>
  <c r="AD167" i="18"/>
  <c r="BE167" i="18"/>
  <c r="AG7" i="18"/>
  <c r="AG349" i="18"/>
  <c r="BC142" i="18"/>
  <c r="BE356" i="18"/>
  <c r="BD336" i="18"/>
  <c r="BB53" i="18"/>
  <c r="BC216" i="18"/>
  <c r="BA155" i="18"/>
  <c r="BA148" i="18"/>
  <c r="AD210" i="18"/>
  <c r="BE222" i="18"/>
  <c r="BC10" i="18"/>
  <c r="BB226" i="18"/>
  <c r="AG223" i="18"/>
  <c r="AD137" i="18"/>
  <c r="AG22" i="18"/>
  <c r="BB109" i="18"/>
  <c r="AH18" i="18"/>
  <c r="AH46" i="18"/>
  <c r="AH73" i="18"/>
  <c r="BB119" i="18"/>
  <c r="AH135" i="18"/>
  <c r="AH110" i="18"/>
  <c r="AD229" i="18"/>
  <c r="AG248" i="18"/>
  <c r="AG241" i="18"/>
  <c r="BB18" i="18"/>
  <c r="AG249" i="18"/>
  <c r="BB203" i="18"/>
  <c r="AG104" i="18"/>
  <c r="AG295" i="18"/>
  <c r="AD279" i="18"/>
  <c r="BC360" i="18"/>
  <c r="BE26" i="18"/>
  <c r="AH278" i="18"/>
  <c r="BC29" i="18"/>
  <c r="BC296" i="18"/>
  <c r="AG88" i="18"/>
  <c r="AH169" i="18"/>
  <c r="AG292" i="18"/>
  <c r="AG50" i="18"/>
  <c r="BD59" i="18"/>
  <c r="AH210" i="18"/>
  <c r="AG330" i="18"/>
  <c r="BD349" i="18"/>
  <c r="BD109" i="18"/>
  <c r="BD275" i="18"/>
  <c r="BE50" i="18"/>
  <c r="BE211" i="18"/>
  <c r="AG186" i="18"/>
  <c r="AH176" i="18"/>
  <c r="BD158" i="18"/>
  <c r="AH23" i="18"/>
  <c r="BE112" i="18"/>
  <c r="BB215" i="18"/>
  <c r="BB52" i="18"/>
  <c r="BB38" i="18"/>
  <c r="AH43" i="18"/>
  <c r="AG96" i="18"/>
  <c r="BD31" i="18"/>
  <c r="AH64" i="18"/>
  <c r="AG245" i="18"/>
  <c r="BC320" i="18"/>
  <c r="AG92" i="18"/>
  <c r="AH15" i="18"/>
  <c r="AG73" i="18"/>
  <c r="BC213" i="18"/>
  <c r="BA19" i="18"/>
  <c r="AG59" i="18"/>
  <c r="AH51" i="18"/>
  <c r="AD112" i="18"/>
  <c r="BB56" i="18"/>
  <c r="BB28" i="18"/>
  <c r="BE257" i="18"/>
  <c r="AH198" i="18"/>
  <c r="AG329" i="18"/>
  <c r="BE244" i="18"/>
  <c r="BD206" i="18"/>
  <c r="BE11" i="18"/>
  <c r="BA285" i="18"/>
  <c r="BE270" i="18"/>
  <c r="BE351" i="18"/>
  <c r="BA110" i="18"/>
  <c r="BE333" i="18"/>
  <c r="AD133" i="18"/>
  <c r="BD93" i="18"/>
  <c r="BD107" i="18"/>
  <c r="BB305" i="18"/>
  <c r="AD88" i="18"/>
  <c r="AG256" i="18"/>
  <c r="BA103" i="18"/>
  <c r="BD278" i="18"/>
  <c r="BE89" i="18"/>
  <c r="BA43" i="18"/>
  <c r="AG230" i="18"/>
  <c r="BE284" i="18"/>
  <c r="BC52" i="18"/>
  <c r="BA281" i="18"/>
  <c r="BA114" i="18"/>
  <c r="BE243" i="18"/>
  <c r="AD143" i="18"/>
  <c r="BC359" i="18"/>
  <c r="BA97" i="18"/>
  <c r="BD40" i="18"/>
  <c r="AD353" i="18"/>
  <c r="BB31" i="18"/>
  <c r="BC103" i="18"/>
  <c r="BC71" i="18"/>
  <c r="BD84" i="18"/>
  <c r="AD212" i="18"/>
  <c r="BE73" i="18"/>
  <c r="BE283" i="18"/>
  <c r="AG140" i="18"/>
  <c r="BB294" i="18"/>
  <c r="BA246" i="18"/>
  <c r="BE340" i="18"/>
  <c r="AD194" i="18"/>
  <c r="AD69" i="18"/>
  <c r="BC23" i="18"/>
  <c r="BA70" i="18"/>
  <c r="BD236" i="18"/>
  <c r="BA358" i="18"/>
  <c r="BA127" i="18"/>
  <c r="BC123" i="18"/>
  <c r="AD54" i="18"/>
  <c r="BD14" i="18"/>
  <c r="BE276" i="18"/>
  <c r="BA151" i="18"/>
  <c r="BE305" i="18"/>
  <c r="BC127" i="18"/>
  <c r="BC253" i="18"/>
  <c r="AD140" i="18"/>
  <c r="BE199" i="18"/>
  <c r="BC193" i="18"/>
  <c r="BB37" i="18"/>
  <c r="BB216" i="18"/>
  <c r="BA144" i="18"/>
  <c r="BD195" i="18"/>
  <c r="AH190" i="18"/>
  <c r="AD136" i="18"/>
  <c r="BB51" i="18"/>
  <c r="BC72" i="18"/>
  <c r="AG251" i="18"/>
  <c r="BE196" i="18"/>
  <c r="BA14" i="18"/>
  <c r="BE25" i="18"/>
  <c r="AD125" i="18"/>
  <c r="AD169" i="18"/>
  <c r="BB72" i="18"/>
  <c r="AD350" i="18"/>
  <c r="BD221" i="18"/>
  <c r="BB15" i="18"/>
  <c r="BC291" i="18"/>
  <c r="BA299" i="18"/>
  <c r="AD288" i="18"/>
  <c r="BA74" i="18"/>
  <c r="BB200" i="18"/>
  <c r="BB142" i="18"/>
  <c r="AD329" i="18"/>
  <c r="BB82" i="18"/>
  <c r="BB191" i="18"/>
  <c r="BC106" i="18"/>
  <c r="BC238" i="18"/>
  <c r="AH359" i="18"/>
  <c r="AH309" i="18"/>
  <c r="BB280" i="18"/>
  <c r="BB225" i="18"/>
  <c r="BD77" i="18"/>
  <c r="BB240" i="18"/>
  <c r="BB98" i="18"/>
  <c r="AD26" i="18"/>
  <c r="BD72" i="18"/>
  <c r="AD184" i="18"/>
  <c r="BB329" i="18"/>
  <c r="BC343" i="18"/>
  <c r="BA115" i="18"/>
  <c r="BE63" i="18"/>
  <c r="BC314" i="18"/>
  <c r="BD32" i="18"/>
  <c r="BC57" i="18"/>
  <c r="AD214" i="18"/>
  <c r="AG26" i="18"/>
  <c r="AG167" i="18"/>
  <c r="BC135" i="18"/>
  <c r="BC150" i="18"/>
  <c r="BE39" i="18"/>
  <c r="BC188" i="18"/>
  <c r="BD147" i="18"/>
  <c r="AD357" i="18"/>
  <c r="BB137" i="18"/>
  <c r="BD101" i="18"/>
  <c r="BD305" i="18"/>
  <c r="BB262" i="18"/>
  <c r="BB321" i="18"/>
  <c r="AD101" i="18"/>
  <c r="BB159" i="18"/>
  <c r="BD229" i="18"/>
  <c r="AD56" i="18"/>
  <c r="BB223" i="18"/>
  <c r="AH267" i="18"/>
  <c r="BC220" i="18"/>
  <c r="BD26" i="18"/>
  <c r="BE214" i="18"/>
  <c r="BE212" i="18"/>
  <c r="AD65" i="18"/>
  <c r="BD7" i="18"/>
  <c r="BE345" i="18"/>
  <c r="BC248" i="18"/>
  <c r="BA290" i="18"/>
  <c r="BB206" i="18"/>
  <c r="BE31" i="18"/>
  <c r="BD240" i="18"/>
  <c r="BA268" i="18"/>
  <c r="BD47" i="18"/>
  <c r="AG354" i="18"/>
  <c r="BE157" i="18"/>
  <c r="BE116" i="18"/>
  <c r="BD299" i="18"/>
  <c r="BC334" i="18"/>
  <c r="BD25" i="18"/>
  <c r="BB189" i="18"/>
  <c r="BC361" i="18"/>
  <c r="BB112" i="18"/>
  <c r="BE171" i="18"/>
  <c r="BA178" i="18"/>
  <c r="BE120" i="18"/>
  <c r="BD16" i="18"/>
  <c r="BB108" i="18"/>
  <c r="BE29" i="18"/>
  <c r="BB164" i="18"/>
  <c r="BD97" i="18"/>
  <c r="BE121" i="18"/>
  <c r="BD333" i="18"/>
  <c r="BE54" i="18"/>
  <c r="AG311" i="18"/>
  <c r="AH74" i="18"/>
  <c r="BC20" i="18"/>
  <c r="BA28" i="18"/>
  <c r="AD242" i="18"/>
  <c r="BD216" i="18"/>
  <c r="BE230" i="18"/>
  <c r="BD273" i="18"/>
  <c r="BE318" i="18"/>
  <c r="BE204" i="18"/>
  <c r="AD31" i="18"/>
  <c r="BD76" i="18"/>
  <c r="BA147" i="18"/>
  <c r="BD274" i="18"/>
  <c r="BA217" i="18"/>
  <c r="AH221" i="18"/>
  <c r="BE353" i="18"/>
  <c r="BE339" i="18"/>
  <c r="BD58" i="18"/>
  <c r="BC200" i="18"/>
  <c r="AD209" i="18"/>
  <c r="BB120" i="18"/>
  <c r="BD51" i="18"/>
  <c r="BE330" i="18"/>
  <c r="AG151" i="18"/>
  <c r="AH139" i="18"/>
  <c r="BE255" i="18"/>
  <c r="BD325" i="18"/>
  <c r="AG141" i="18"/>
  <c r="BE218" i="18"/>
  <c r="BB106" i="18"/>
  <c r="AG271" i="18"/>
  <c r="AG185" i="18"/>
  <c r="BA317" i="18"/>
  <c r="AG176" i="18"/>
  <c r="AH192" i="18"/>
  <c r="BD153" i="18"/>
  <c r="AD87" i="18"/>
  <c r="AH62" i="18"/>
  <c r="BD18" i="18"/>
  <c r="BB202" i="18"/>
  <c r="AH130" i="18"/>
  <c r="BC154" i="18"/>
  <c r="BE75" i="18"/>
  <c r="BA78" i="18"/>
  <c r="AH281" i="18"/>
  <c r="AH118" i="18"/>
  <c r="AH230" i="18"/>
  <c r="AG18" i="18"/>
  <c r="BD156" i="18"/>
  <c r="AH247" i="18"/>
  <c r="BC206" i="18"/>
  <c r="BD362" i="18"/>
  <c r="AD287" i="18"/>
  <c r="BB231" i="18"/>
  <c r="BD279" i="18"/>
  <c r="BB99" i="18"/>
  <c r="BE40" i="18"/>
  <c r="BB297" i="18"/>
  <c r="AD80" i="18"/>
  <c r="BE327" i="18"/>
  <c r="AD296" i="18"/>
  <c r="BD163" i="18"/>
  <c r="BD358" i="18"/>
  <c r="AD165" i="18"/>
  <c r="BD220" i="18"/>
  <c r="BB116" i="18"/>
  <c r="AG126" i="18"/>
  <c r="BD312" i="18"/>
  <c r="BD71" i="18"/>
  <c r="BB113" i="18"/>
  <c r="BD302" i="18"/>
  <c r="AD117" i="18"/>
  <c r="BB176" i="18"/>
  <c r="BC299" i="18"/>
  <c r="BA274" i="18"/>
  <c r="BA122" i="18"/>
  <c r="BA241" i="18"/>
  <c r="BB162" i="18"/>
  <c r="AH146" i="18"/>
  <c r="AH256" i="18"/>
  <c r="AH354" i="18"/>
  <c r="AG46" i="18"/>
  <c r="AG12" i="18"/>
  <c r="AH286" i="18"/>
  <c r="AH327" i="18"/>
  <c r="BB242" i="18"/>
  <c r="AH37" i="18"/>
  <c r="BE4" i="18"/>
  <c r="BD215" i="18"/>
  <c r="AD300" i="18"/>
  <c r="BE51" i="18"/>
  <c r="AH217" i="18"/>
  <c r="BE316" i="18"/>
  <c r="AG313" i="18"/>
  <c r="AD102" i="18"/>
  <c r="AH279" i="18"/>
  <c r="AD346" i="18"/>
  <c r="BD314" i="18"/>
  <c r="AG273" i="18"/>
  <c r="AG353" i="18"/>
  <c r="BD293" i="18"/>
  <c r="BC112" i="18"/>
  <c r="BE144" i="18"/>
  <c r="AG39" i="18"/>
  <c r="BE174" i="18"/>
  <c r="BB205" i="18"/>
  <c r="BC228" i="18"/>
  <c r="BE304" i="18"/>
  <c r="BA244" i="18"/>
  <c r="BE37" i="18"/>
  <c r="BE324" i="18"/>
  <c r="AG214" i="18"/>
  <c r="AH20" i="18"/>
  <c r="BD258" i="18"/>
  <c r="BA204" i="18"/>
  <c r="BC290" i="18"/>
  <c r="AG280" i="18"/>
  <c r="AG111" i="18"/>
  <c r="AH175" i="18"/>
  <c r="AH270" i="18"/>
  <c r="BB170" i="18"/>
  <c r="BC145" i="18"/>
  <c r="BD139" i="18"/>
  <c r="AG17" i="18"/>
  <c r="BE275" i="18"/>
  <c r="BA101" i="18"/>
  <c r="AG274" i="18"/>
  <c r="AH138" i="18"/>
  <c r="AH168" i="18"/>
  <c r="BE81" i="18"/>
  <c r="AD195" i="18"/>
  <c r="AG335" i="18"/>
  <c r="AG5" i="18"/>
  <c r="AD327" i="18"/>
  <c r="BC317" i="18"/>
  <c r="BD41" i="18"/>
  <c r="BD135" i="18"/>
  <c r="BA352" i="18"/>
  <c r="BB221" i="18"/>
  <c r="BD11" i="18"/>
  <c r="BA267" i="18"/>
  <c r="BB124" i="18"/>
  <c r="AD202" i="18"/>
  <c r="BD255" i="18"/>
  <c r="BB161" i="18"/>
  <c r="BA55" i="18"/>
  <c r="AH187" i="18"/>
  <c r="AD156" i="18"/>
  <c r="AG239" i="18"/>
  <c r="AH185" i="18"/>
  <c r="AD245" i="18"/>
  <c r="AD188" i="18"/>
  <c r="BC34" i="18"/>
  <c r="AG125" i="18"/>
  <c r="AG117" i="18"/>
  <c r="AH124" i="18"/>
  <c r="BD87" i="18"/>
  <c r="AH115" i="18"/>
  <c r="AH306" i="18"/>
  <c r="BE190" i="18"/>
  <c r="BB103" i="18"/>
  <c r="BB277" i="18"/>
  <c r="BC345" i="18"/>
  <c r="BE87" i="18"/>
  <c r="AH337" i="18"/>
  <c r="AH14" i="18"/>
  <c r="AH351" i="18"/>
  <c r="AG129" i="18"/>
  <c r="BE266" i="18"/>
  <c r="BC340" i="18"/>
  <c r="BC261" i="18"/>
  <c r="AD222" i="18"/>
  <c r="BA139" i="18"/>
  <c r="AD161" i="18"/>
  <c r="BB195" i="18"/>
  <c r="BB311" i="18"/>
  <c r="BE323" i="18"/>
  <c r="BB141" i="18"/>
  <c r="BE326" i="18"/>
  <c r="BC192" i="18"/>
  <c r="AD61" i="18"/>
  <c r="AG195" i="18"/>
  <c r="BC222" i="18"/>
  <c r="BD316" i="18"/>
  <c r="AD63" i="18"/>
  <c r="BE16" i="18"/>
  <c r="BD150" i="18"/>
  <c r="BA344" i="18"/>
  <c r="AG57" i="18"/>
  <c r="AG336" i="18"/>
  <c r="AG27" i="18"/>
  <c r="AH85" i="18"/>
  <c r="BE97" i="18"/>
  <c r="AD180" i="18"/>
  <c r="AG147" i="18"/>
  <c r="AG281" i="18"/>
  <c r="AG4" i="18"/>
  <c r="AH244" i="18"/>
  <c r="BC28" i="18"/>
  <c r="AG227" i="18"/>
  <c r="AH126" i="18"/>
  <c r="AG44" i="18"/>
  <c r="AH287" i="18"/>
  <c r="BE258" i="18"/>
  <c r="AH193" i="18"/>
  <c r="BA208" i="18"/>
  <c r="AH307" i="18"/>
  <c r="AG198" i="18"/>
  <c r="AH92" i="18"/>
  <c r="BB328" i="18"/>
  <c r="AH184" i="18"/>
  <c r="BC278" i="18"/>
  <c r="BA41" i="18"/>
  <c r="BA280" i="18"/>
  <c r="BC225" i="18"/>
  <c r="BD183" i="18"/>
  <c r="BD277" i="18"/>
  <c r="BD182" i="18"/>
  <c r="AG43" i="18"/>
  <c r="BD245" i="18"/>
  <c r="BE141" i="18"/>
  <c r="BC191" i="18"/>
  <c r="AG229" i="18"/>
  <c r="AH295" i="18"/>
  <c r="BC205" i="18"/>
  <c r="BB306" i="18"/>
  <c r="AH91" i="18"/>
  <c r="BD157" i="18"/>
  <c r="BE334" i="18"/>
  <c r="BE49" i="18"/>
  <c r="BC25" i="18"/>
  <c r="AG312" i="18"/>
  <c r="AH147" i="18"/>
  <c r="BC73" i="18"/>
  <c r="BA132" i="18"/>
  <c r="AD363" i="18"/>
  <c r="AG310" i="18"/>
  <c r="BB244" i="18"/>
  <c r="AG178" i="18"/>
  <c r="AH186" i="18"/>
  <c r="AD177" i="18"/>
  <c r="AG170" i="18"/>
  <c r="BC162" i="18"/>
  <c r="AD46" i="18"/>
  <c r="AG118" i="18"/>
  <c r="BD85" i="18"/>
  <c r="AH103" i="18"/>
  <c r="AD278" i="18"/>
  <c r="AG255" i="18"/>
  <c r="AD9" i="18"/>
  <c r="AD96" i="18"/>
  <c r="AH52" i="18"/>
  <c r="BC41" i="18"/>
  <c r="AH5" i="18"/>
  <c r="AH345" i="18"/>
  <c r="AD83" i="18"/>
  <c r="BA91" i="18"/>
  <c r="BD307" i="18"/>
  <c r="BD61" i="18"/>
  <c r="AD199" i="18"/>
  <c r="AD16" i="18"/>
  <c r="BE238" i="18"/>
  <c r="BE139" i="18"/>
  <c r="BE164" i="18"/>
  <c r="AD324" i="18"/>
  <c r="BC166" i="18"/>
  <c r="AH302" i="18"/>
  <c r="BC107" i="18"/>
  <c r="BA231" i="18"/>
  <c r="BA289" i="18"/>
  <c r="AD78" i="18"/>
  <c r="BA7" i="18"/>
  <c r="BD210" i="18"/>
  <c r="BB268" i="18"/>
  <c r="BC233" i="18"/>
  <c r="AD146" i="18"/>
  <c r="BE256" i="18"/>
  <c r="AD213" i="18"/>
  <c r="AD126" i="18"/>
  <c r="BD20" i="18"/>
  <c r="BC76" i="18"/>
  <c r="BC303" i="18"/>
  <c r="BB125" i="18"/>
  <c r="BE118" i="18"/>
  <c r="BC341" i="18"/>
  <c r="BA247" i="18"/>
  <c r="BB183" i="18"/>
  <c r="BE209" i="18"/>
  <c r="BD194" i="18"/>
  <c r="BE253" i="18"/>
  <c r="BB84" i="18"/>
  <c r="AD176" i="18"/>
  <c r="BC337" i="18"/>
  <c r="AH119" i="18"/>
  <c r="BA92" i="18"/>
  <c r="AD130" i="18"/>
  <c r="BE47" i="18"/>
  <c r="BA168" i="18"/>
  <c r="AH68" i="18"/>
  <c r="AG188" i="18"/>
  <c r="BD50" i="18"/>
  <c r="BC42" i="18"/>
  <c r="BE336" i="18"/>
  <c r="BC146" i="18"/>
  <c r="BE33" i="18"/>
  <c r="AD272" i="18"/>
  <c r="BA112" i="18"/>
  <c r="AD314" i="18"/>
  <c r="BC333" i="18"/>
  <c r="BB184" i="18"/>
  <c r="BC197" i="18"/>
  <c r="BA20" i="18"/>
  <c r="BB271" i="18"/>
  <c r="BD140" i="18"/>
  <c r="BD187" i="18"/>
  <c r="BD54" i="18"/>
  <c r="BB178" i="18"/>
  <c r="BC270" i="18"/>
  <c r="BB358" i="18"/>
  <c r="BA262" i="18"/>
  <c r="BD350" i="18"/>
  <c r="AD110" i="18"/>
  <c r="BD35" i="18"/>
  <c r="BE322" i="18"/>
  <c r="BA310" i="18"/>
  <c r="AG346" i="18"/>
  <c r="AH213" i="18"/>
  <c r="BE52" i="18"/>
  <c r="AD12" i="18"/>
  <c r="BC116" i="18"/>
  <c r="BB83" i="18"/>
  <c r="BD131" i="18"/>
  <c r="AD263" i="18"/>
  <c r="AH82" i="18"/>
  <c r="AG28" i="18"/>
  <c r="BA149" i="18"/>
  <c r="BD9" i="18"/>
  <c r="BD276" i="18"/>
  <c r="BB224" i="18"/>
  <c r="BD12" i="18"/>
  <c r="BA44" i="18"/>
  <c r="BC217" i="18"/>
  <c r="AD84" i="18"/>
  <c r="BC241" i="18"/>
  <c r="AD10" i="18"/>
  <c r="BC86" i="18"/>
  <c r="BE357" i="18"/>
  <c r="BA238" i="18"/>
  <c r="BA21" i="18"/>
  <c r="BA250" i="18"/>
  <c r="AD135" i="18"/>
  <c r="BD66" i="18"/>
  <c r="BC95" i="18"/>
  <c r="BE192" i="18"/>
  <c r="BA193" i="18"/>
  <c r="BD238" i="18"/>
  <c r="BB73" i="18"/>
  <c r="BE173" i="18"/>
  <c r="BA175" i="18"/>
  <c r="BB182" i="18"/>
  <c r="BE138" i="18"/>
  <c r="AG283" i="18"/>
  <c r="BE179" i="18"/>
  <c r="AD171" i="18"/>
  <c r="BA128" i="18"/>
  <c r="BA236" i="18"/>
  <c r="BD298" i="18"/>
  <c r="BA328" i="18"/>
  <c r="AD273" i="18"/>
  <c r="AD17" i="18"/>
  <c r="BC14" i="18"/>
  <c r="BC180" i="18"/>
  <c r="BD199" i="18"/>
  <c r="AD190" i="18"/>
  <c r="AH133" i="18"/>
  <c r="BE23" i="18"/>
  <c r="BB296" i="18"/>
  <c r="BB229" i="18"/>
  <c r="BB17" i="18"/>
  <c r="BB272" i="18"/>
  <c r="BC38" i="18"/>
  <c r="BA81" i="18"/>
  <c r="BD202" i="18"/>
  <c r="BB323" i="18"/>
  <c r="AD145" i="18"/>
  <c r="BA10" i="18"/>
  <c r="BD102" i="18"/>
  <c r="BA240" i="18"/>
  <c r="AD48" i="18"/>
  <c r="BB248" i="18"/>
  <c r="BA4" i="18"/>
  <c r="BD95" i="18"/>
  <c r="BD201" i="18"/>
  <c r="BB69" i="18"/>
  <c r="BD355" i="18"/>
  <c r="BB42" i="18"/>
  <c r="BC175" i="18"/>
  <c r="BA318" i="18"/>
  <c r="BA302" i="18"/>
  <c r="BD62" i="18"/>
  <c r="BA255" i="18"/>
  <c r="BE132" i="18"/>
  <c r="BE360" i="18"/>
  <c r="AD129" i="18"/>
  <c r="AD38" i="18"/>
  <c r="AD147" i="18"/>
  <c r="BC196" i="18"/>
  <c r="BD343" i="18"/>
  <c r="BC170" i="18"/>
  <c r="BB266" i="18"/>
  <c r="BB347" i="18"/>
  <c r="BD327" i="18"/>
  <c r="AD120" i="18"/>
  <c r="BB128" i="18"/>
  <c r="BB96" i="18"/>
  <c r="BA170" i="18"/>
  <c r="BC68" i="18"/>
  <c r="BA49" i="18"/>
  <c r="BA124" i="18"/>
  <c r="AD331" i="18"/>
  <c r="AD90" i="18"/>
  <c r="BE22" i="18"/>
  <c r="BC239" i="18"/>
  <c r="BE354" i="18"/>
  <c r="BB35" i="18"/>
  <c r="BB285" i="18"/>
  <c r="BA219" i="18"/>
  <c r="BE329" i="18"/>
  <c r="BC301" i="18"/>
  <c r="BE259" i="18"/>
  <c r="BB93" i="18"/>
  <c r="BB105" i="18"/>
  <c r="BC6" i="18"/>
  <c r="AH239" i="18"/>
  <c r="BD144" i="18"/>
  <c r="BB309" i="18"/>
  <c r="BE346" i="18"/>
  <c r="BC322" i="18"/>
  <c r="BD264" i="18"/>
  <c r="BB107" i="18"/>
  <c r="BB341" i="18"/>
  <c r="BB91" i="18"/>
  <c r="BA278" i="18"/>
  <c r="BB34" i="18"/>
  <c r="BA282" i="18"/>
  <c r="BB58" i="18"/>
  <c r="AD91" i="18"/>
  <c r="BD233" i="18"/>
  <c r="AG201" i="18"/>
  <c r="BC117" i="18"/>
  <c r="AD57" i="18"/>
  <c r="BC27" i="18"/>
  <c r="AG150" i="18"/>
  <c r="AG60" i="18"/>
  <c r="BE268" i="18"/>
  <c r="BE12" i="18"/>
  <c r="AD283" i="18"/>
  <c r="BD8" i="18"/>
  <c r="AH57" i="18"/>
  <c r="BC276" i="18"/>
  <c r="BA197" i="18"/>
  <c r="BD170" i="18"/>
  <c r="BA158" i="18"/>
  <c r="AD44" i="18"/>
  <c r="AD30" i="18"/>
  <c r="AH89" i="18"/>
  <c r="AD218" i="18"/>
  <c r="AH155" i="18"/>
  <c r="BA73" i="18"/>
  <c r="BC207" i="18"/>
  <c r="BE264" i="18"/>
  <c r="AH100" i="18"/>
  <c r="BA275" i="18"/>
  <c r="BE175" i="18"/>
  <c r="AD285" i="18"/>
  <c r="AH156" i="18"/>
  <c r="BA69" i="18"/>
  <c r="AG82" i="18"/>
  <c r="BE61" i="18"/>
  <c r="BB192" i="18"/>
  <c r="BA309" i="18"/>
  <c r="BC346" i="18"/>
  <c r="BA354" i="18"/>
  <c r="BC362" i="18"/>
  <c r="AD155" i="18"/>
  <c r="BC351" i="18"/>
  <c r="AH342" i="18"/>
  <c r="BD323" i="18"/>
  <c r="BE159" i="18"/>
  <c r="BA12" i="18"/>
  <c r="AD246" i="18"/>
  <c r="BC78" i="18"/>
  <c r="BD242" i="18"/>
  <c r="AH240" i="18"/>
  <c r="BB301" i="18"/>
  <c r="BA105" i="18"/>
  <c r="BD217" i="18"/>
  <c r="BD188" i="18"/>
  <c r="AH188" i="18"/>
  <c r="AH54" i="18"/>
  <c r="AH249" i="18"/>
  <c r="AH70" i="18"/>
  <c r="AH50" i="18"/>
  <c r="AH285" i="18"/>
  <c r="BA215" i="18"/>
  <c r="BB208" i="18"/>
  <c r="BD228" i="18"/>
  <c r="AG363" i="18"/>
  <c r="AG317" i="18"/>
  <c r="AH216" i="18"/>
  <c r="AD206" i="18"/>
  <c r="BB350" i="18"/>
  <c r="AG259" i="18"/>
  <c r="AH13" i="18"/>
  <c r="AG131" i="18"/>
  <c r="AG232" i="18"/>
  <c r="AG266" i="18"/>
  <c r="AH83" i="18"/>
  <c r="AH58" i="18"/>
  <c r="BA220" i="18"/>
  <c r="BE35" i="18"/>
  <c r="BD354" i="18"/>
  <c r="BD297" i="18"/>
  <c r="BD186" i="18"/>
  <c r="BE206" i="18"/>
  <c r="BE188" i="18"/>
  <c r="AG252" i="18"/>
  <c r="AG162" i="18"/>
  <c r="BD207" i="18"/>
  <c r="BD49" i="18"/>
  <c r="BD309" i="18"/>
  <c r="AD280" i="18"/>
  <c r="AH144" i="18"/>
  <c r="AG19" i="18"/>
  <c r="AH264" i="18"/>
  <c r="AG289" i="18"/>
  <c r="AD204" i="18"/>
  <c r="BC39" i="18"/>
  <c r="BD270" i="18"/>
  <c r="AG66" i="18"/>
  <c r="BC344" i="18"/>
  <c r="BD197" i="18"/>
  <c r="BA273" i="18"/>
  <c r="BC274" i="18"/>
  <c r="AH114" i="18"/>
  <c r="BA171" i="18"/>
  <c r="AH9" i="18"/>
  <c r="AG287" i="18"/>
  <c r="AH353" i="18"/>
  <c r="AD42" i="18"/>
  <c r="AG231" i="18"/>
  <c r="AG263" i="18"/>
  <c r="BC64" i="18"/>
  <c r="BB201" i="18"/>
  <c r="BA297" i="18"/>
  <c r="AH274" i="18"/>
  <c r="AH294" i="18"/>
  <c r="AG80" i="18"/>
  <c r="AH8" i="18"/>
  <c r="BC47" i="18"/>
  <c r="BA206" i="18"/>
  <c r="BB117" i="18"/>
  <c r="BB48" i="18"/>
  <c r="BA47" i="18"/>
  <c r="BB14" i="18"/>
  <c r="BA201" i="18"/>
  <c r="AD11" i="18"/>
  <c r="BE348" i="18"/>
  <c r="BE123" i="18"/>
  <c r="AG114" i="18"/>
  <c r="AG45" i="18"/>
  <c r="BB74" i="18"/>
  <c r="AH98" i="18"/>
  <c r="BD326" i="18"/>
  <c r="AG260" i="18"/>
  <c r="AG234" i="18"/>
  <c r="BD39" i="18"/>
  <c r="BE99" i="18"/>
  <c r="AH67" i="18"/>
  <c r="AH101" i="18"/>
  <c r="AH289" i="18"/>
  <c r="AG253" i="18"/>
  <c r="BB327" i="18"/>
  <c r="AG268" i="18"/>
  <c r="BE332" i="18"/>
  <c r="BB210" i="18"/>
  <c r="AH28" i="18"/>
  <c r="BB332" i="18"/>
  <c r="BD261" i="18"/>
  <c r="AD113" i="18"/>
  <c r="AH338" i="18"/>
  <c r="BE331" i="18"/>
  <c r="AH180" i="18"/>
  <c r="AG301" i="18"/>
  <c r="AH63" i="18"/>
  <c r="AD109" i="18"/>
  <c r="BC111" i="18"/>
  <c r="AH134" i="18"/>
  <c r="AG38" i="18"/>
  <c r="AG337" i="18"/>
  <c r="BA207" i="18"/>
  <c r="AD73" i="18"/>
  <c r="BC143" i="18"/>
  <c r="AG168" i="18"/>
  <c r="AD131" i="18"/>
  <c r="BC295" i="18"/>
  <c r="BD117" i="18"/>
  <c r="BD288" i="18"/>
  <c r="BD151" i="18"/>
  <c r="AD18" i="18"/>
  <c r="BE172" i="18"/>
  <c r="BA172" i="18"/>
  <c r="BD63" i="18"/>
  <c r="BE249" i="18"/>
  <c r="BD56" i="18"/>
  <c r="AG174" i="18"/>
  <c r="AH40" i="18"/>
  <c r="AD127" i="18"/>
  <c r="BE181" i="18"/>
  <c r="BC45" i="18"/>
  <c r="AG305" i="18"/>
  <c r="AH80" i="18"/>
  <c r="AG191" i="18"/>
  <c r="AH265" i="18"/>
  <c r="AH219" i="18"/>
  <c r="AD235" i="18"/>
  <c r="AG265" i="18"/>
  <c r="AH182" i="18"/>
  <c r="AG154" i="18"/>
  <c r="BD112" i="18"/>
  <c r="AH11" i="18"/>
  <c r="AG35" i="18"/>
  <c r="AH330" i="18"/>
  <c r="AG149" i="18"/>
  <c r="AH132" i="18"/>
  <c r="AH163" i="18"/>
  <c r="AD85" i="18"/>
  <c r="BD21" i="18"/>
  <c r="BB145" i="18"/>
  <c r="BC198" i="18"/>
  <c r="BA37" i="18"/>
  <c r="AG143" i="18"/>
  <c r="BD300" i="18"/>
  <c r="BB276" i="18"/>
  <c r="AG136" i="18"/>
  <c r="AG303" i="18"/>
  <c r="AD106" i="18"/>
  <c r="AH128" i="18"/>
  <c r="BC297" i="18"/>
  <c r="BD46" i="18"/>
  <c r="AH41" i="18"/>
  <c r="AG8" i="18"/>
  <c r="BE308" i="18"/>
  <c r="BC97" i="18"/>
  <c r="AG152" i="18"/>
  <c r="AH77" i="18"/>
  <c r="BA329" i="18"/>
  <c r="BD122" i="18"/>
  <c r="BB36" i="18"/>
  <c r="BE83" i="18"/>
  <c r="AH346" i="18"/>
  <c r="BC212" i="18"/>
  <c r="AH248" i="18"/>
  <c r="BA337" i="18"/>
  <c r="AD13" i="18"/>
  <c r="BD339" i="18"/>
  <c r="AG113" i="18"/>
  <c r="AH303" i="18"/>
  <c r="BA313" i="18"/>
  <c r="AG13" i="18"/>
  <c r="BB326" i="18"/>
  <c r="BD254" i="18"/>
  <c r="BB90" i="18"/>
  <c r="BA46" i="18"/>
  <c r="BC189" i="18"/>
  <c r="AD361" i="18"/>
  <c r="BB19" i="18"/>
  <c r="AG205" i="18"/>
  <c r="BC182" i="18"/>
  <c r="BB118" i="18"/>
  <c r="BB67" i="18"/>
  <c r="BC105" i="18"/>
  <c r="BA335" i="18"/>
  <c r="BB343" i="18"/>
  <c r="BA45" i="18"/>
  <c r="BD223" i="18"/>
  <c r="BE18" i="18"/>
  <c r="BE166" i="18"/>
  <c r="BC49" i="18"/>
  <c r="AH173" i="18"/>
  <c r="BB339" i="18"/>
  <c r="BB188" i="18"/>
  <c r="BB239" i="18"/>
  <c r="AD8" i="18"/>
  <c r="BC92" i="18"/>
  <c r="BD116" i="18"/>
  <c r="BE341" i="18"/>
  <c r="BB77" i="18"/>
  <c r="BC355" i="18"/>
  <c r="AD149" i="18"/>
  <c r="BD322" i="18"/>
  <c r="BE342" i="18"/>
  <c r="BB49" i="18"/>
  <c r="BC147" i="18"/>
  <c r="BA24" i="18"/>
  <c r="BA251" i="18"/>
  <c r="BC55" i="18"/>
  <c r="AD192" i="18"/>
  <c r="AD198" i="18"/>
  <c r="AG316" i="18"/>
  <c r="BD198" i="18"/>
  <c r="AD307" i="18"/>
  <c r="BE136" i="18"/>
  <c r="BC128" i="18"/>
  <c r="BA107" i="18"/>
  <c r="BB87" i="18"/>
  <c r="BB340" i="18"/>
  <c r="BB218" i="18"/>
  <c r="AG218" i="18"/>
  <c r="BD28" i="18"/>
  <c r="BC11" i="18"/>
  <c r="AD281" i="18"/>
  <c r="BD346" i="18"/>
  <c r="BB140" i="18"/>
  <c r="BD67" i="18"/>
  <c r="BA121" i="18"/>
  <c r="BE160" i="18"/>
  <c r="AD230" i="18"/>
  <c r="BA104" i="18"/>
  <c r="BA22" i="18"/>
  <c r="BA86" i="18"/>
  <c r="BC22" i="18"/>
  <c r="BD285" i="18"/>
  <c r="BD19" i="18"/>
  <c r="BD111" i="18"/>
  <c r="BE55" i="18"/>
  <c r="BE84" i="18"/>
  <c r="BC36" i="18"/>
  <c r="AH109" i="18"/>
  <c r="BC131" i="18"/>
  <c r="AG32" i="18"/>
  <c r="AG269" i="18"/>
  <c r="BD268" i="18"/>
  <c r="BE177" i="18"/>
  <c r="BB190" i="18"/>
  <c r="AG62" i="18"/>
  <c r="BB111" i="18"/>
  <c r="BE245" i="18"/>
  <c r="BA150" i="18"/>
  <c r="BB267" i="18"/>
  <c r="BE147" i="18"/>
  <c r="BB232" i="18"/>
  <c r="BE70" i="18"/>
  <c r="BD81" i="18"/>
  <c r="BA145" i="18"/>
  <c r="BB71" i="18"/>
  <c r="AD333" i="18"/>
  <c r="BC242" i="18"/>
  <c r="BB22" i="18"/>
  <c r="BA203" i="18"/>
  <c r="BD263" i="18"/>
  <c r="BB331" i="18"/>
  <c r="BB333" i="18"/>
  <c r="BC358" i="18"/>
  <c r="BB102" i="18"/>
  <c r="AD107" i="18"/>
  <c r="BA26" i="18"/>
  <c r="BD36" i="18"/>
  <c r="BC152" i="18"/>
  <c r="AD249" i="18"/>
  <c r="BB172" i="18"/>
  <c r="BE95" i="18"/>
  <c r="AG209" i="18"/>
  <c r="AD47" i="18"/>
  <c r="AG89" i="18"/>
  <c r="AH106" i="18"/>
  <c r="BC252" i="18"/>
  <c r="BD347" i="18"/>
  <c r="BA161" i="18"/>
  <c r="BC310" i="18"/>
  <c r="BA39" i="18"/>
  <c r="BD30" i="18"/>
  <c r="BC149" i="18"/>
  <c r="BB20" i="18"/>
  <c r="BC269" i="18"/>
  <c r="AD64" i="18"/>
  <c r="BC119" i="18"/>
  <c r="BD128" i="18"/>
  <c r="BD172" i="18"/>
  <c r="BD24" i="18"/>
  <c r="BB278" i="18"/>
  <c r="BC80" i="18"/>
  <c r="BC67" i="18"/>
  <c r="AD248" i="18"/>
  <c r="AD205" i="18"/>
  <c r="BC348" i="18"/>
  <c r="BD235" i="18"/>
  <c r="BB219" i="18"/>
  <c r="BD149" i="18"/>
  <c r="AG228" i="18"/>
  <c r="AD4" i="18"/>
  <c r="AD251" i="18"/>
  <c r="BC177" i="18"/>
  <c r="BE202" i="18"/>
  <c r="BA213" i="18"/>
  <c r="BC83" i="18"/>
  <c r="BD82" i="18"/>
  <c r="BE9" i="18"/>
  <c r="BC247" i="18"/>
  <c r="BE361" i="18"/>
  <c r="BE154" i="18"/>
  <c r="BC169" i="18"/>
  <c r="BA311" i="18"/>
  <c r="BA140" i="18"/>
  <c r="BC275" i="18"/>
  <c r="BE288" i="18"/>
  <c r="AH39" i="18"/>
  <c r="BD318" i="18"/>
  <c r="BC96" i="18"/>
  <c r="BA355" i="18"/>
  <c r="AD139" i="18"/>
  <c r="BA11" i="18"/>
  <c r="BB89" i="18"/>
  <c r="AD116" i="18"/>
  <c r="AD92" i="18"/>
  <c r="BC195" i="18"/>
  <c r="BB253" i="18"/>
  <c r="BB43" i="18"/>
  <c r="BD208" i="18"/>
  <c r="BE74" i="18"/>
  <c r="BD260" i="18"/>
  <c r="BE302" i="18"/>
  <c r="BC335" i="18"/>
  <c r="BE86" i="18"/>
  <c r="BB126" i="18"/>
  <c r="BD129" i="18"/>
  <c r="AD256" i="18"/>
  <c r="BC224" i="18"/>
  <c r="BC65" i="18"/>
  <c r="AD121" i="18"/>
  <c r="BA54" i="18"/>
  <c r="AH183" i="18"/>
  <c r="AH262" i="18"/>
  <c r="BB167" i="18"/>
  <c r="BC121" i="18"/>
  <c r="BE126" i="18"/>
  <c r="BB204" i="18"/>
  <c r="BC251" i="18"/>
  <c r="BA100" i="18"/>
  <c r="BB32" i="18"/>
  <c r="BB181" i="18"/>
  <c r="BE182" i="18"/>
  <c r="BA249" i="18"/>
  <c r="BB241" i="18"/>
  <c r="BE328" i="18"/>
  <c r="BB92" i="18"/>
  <c r="BC89" i="18"/>
  <c r="AG134" i="18"/>
  <c r="AG276" i="18"/>
  <c r="AG94" i="18"/>
  <c r="AH7" i="18"/>
  <c r="BB63" i="18"/>
  <c r="AG99" i="18"/>
  <c r="BB257" i="18"/>
  <c r="AD348" i="18"/>
  <c r="AD352" i="18"/>
  <c r="AH79" i="18"/>
  <c r="AH174" i="18"/>
  <c r="AG9" i="18"/>
  <c r="AD100" i="18"/>
  <c r="AG344" i="18"/>
  <c r="BB174" i="18"/>
  <c r="BC60" i="18"/>
  <c r="AD173" i="18"/>
  <c r="BE93" i="18"/>
  <c r="BA347" i="18"/>
  <c r="AH332" i="18"/>
  <c r="BE8" i="18"/>
  <c r="BA269" i="18"/>
  <c r="AH269" i="18"/>
  <c r="BC271" i="18"/>
  <c r="BB261" i="18"/>
  <c r="BA88" i="18"/>
  <c r="AD265" i="18"/>
  <c r="BB282" i="18"/>
  <c r="AG109" i="18"/>
  <c r="AH142" i="18"/>
  <c r="BD13" i="18"/>
  <c r="BA38" i="18"/>
  <c r="BA194" i="18"/>
  <c r="BC118" i="18"/>
  <c r="BA184" i="18"/>
  <c r="BC164" i="18"/>
  <c r="AD36" i="18"/>
  <c r="BD38" i="18"/>
  <c r="BD10" i="18"/>
  <c r="BA65" i="18"/>
  <c r="BD6" i="18"/>
  <c r="BB249" i="18"/>
  <c r="AD21" i="18"/>
  <c r="BE155" i="18"/>
  <c r="BA257" i="18"/>
  <c r="BD200" i="18"/>
  <c r="BC35" i="18"/>
  <c r="BA176" i="18"/>
  <c r="BD105" i="18"/>
  <c r="AD208" i="18"/>
  <c r="AG146" i="18"/>
  <c r="AH336" i="18"/>
  <c r="BA163" i="18"/>
  <c r="BA332" i="18"/>
  <c r="AG296" i="18"/>
  <c r="AG278" i="18"/>
  <c r="AH69" i="18"/>
  <c r="AH102" i="18"/>
  <c r="AH339" i="18"/>
  <c r="AG246" i="18"/>
  <c r="AD332" i="18"/>
  <c r="AG76" i="18"/>
  <c r="AG319" i="18"/>
  <c r="AD238" i="18"/>
  <c r="BE220" i="18"/>
  <c r="BD340" i="18"/>
  <c r="BE195" i="18"/>
  <c r="AG16" i="18"/>
  <c r="BE156" i="18"/>
  <c r="AG133" i="18"/>
  <c r="AG362" i="18"/>
  <c r="BE185" i="18"/>
  <c r="BC354" i="18"/>
  <c r="AD159" i="18"/>
  <c r="BA60" i="18"/>
  <c r="BB138" i="18"/>
  <c r="BE130" i="18"/>
  <c r="BA222" i="18"/>
  <c r="AD336" i="18"/>
  <c r="BE242" i="18"/>
  <c r="BC332" i="18"/>
  <c r="AG173" i="18"/>
  <c r="AH259" i="18"/>
  <c r="AG130" i="18"/>
  <c r="AD282" i="18"/>
  <c r="AG189" i="18"/>
  <c r="AG202" i="18"/>
  <c r="AH311" i="18"/>
  <c r="BB16" i="18"/>
  <c r="BE36" i="18"/>
  <c r="BD227" i="18"/>
  <c r="BA363" i="18"/>
  <c r="AG204" i="18"/>
  <c r="BA186" i="18"/>
  <c r="AH200" i="18"/>
  <c r="BC292" i="18"/>
  <c r="BC349" i="18"/>
  <c r="BA199" i="18"/>
  <c r="BB115" i="18"/>
  <c r="AH275" i="18"/>
  <c r="AH113" i="18"/>
  <c r="BD171" i="18"/>
  <c r="AH271" i="18"/>
  <c r="AD354" i="18"/>
  <c r="BA234" i="18"/>
  <c r="AG81" i="18"/>
  <c r="BC273" i="18"/>
  <c r="BB165" i="18"/>
  <c r="BB27" i="18"/>
  <c r="BA353" i="18"/>
  <c r="BA113" i="18"/>
  <c r="AD178" i="18"/>
  <c r="BD330" i="18"/>
  <c r="BB314" i="18"/>
  <c r="BA138" i="18"/>
  <c r="AH203" i="18"/>
  <c r="BA25" i="18"/>
  <c r="BA119" i="18"/>
  <c r="BC9" i="18"/>
  <c r="AH53" i="18"/>
  <c r="AG192" i="18"/>
  <c r="BD249" i="18"/>
  <c r="AG277" i="18"/>
  <c r="AH196" i="18"/>
  <c r="AG119" i="18"/>
  <c r="AG308" i="18"/>
  <c r="BB243" i="18"/>
  <c r="BD44" i="18"/>
  <c r="AD58" i="18"/>
  <c r="BB147" i="18"/>
  <c r="BD48" i="18"/>
  <c r="AD74" i="18"/>
  <c r="AH31" i="18"/>
  <c r="BC294" i="18"/>
  <c r="BE103" i="18"/>
  <c r="AH238" i="18"/>
  <c r="AD142" i="18"/>
  <c r="AG264" i="18"/>
  <c r="BA165" i="18"/>
  <c r="BE247" i="18"/>
  <c r="AG309" i="18"/>
  <c r="BC231" i="18"/>
  <c r="AD23" i="18"/>
  <c r="BD342" i="18"/>
  <c r="AD34" i="18"/>
  <c r="AG325" i="18"/>
  <c r="BC144" i="18"/>
  <c r="BE21" i="18"/>
  <c r="BD43" i="18"/>
  <c r="BE343" i="18"/>
  <c r="AG127" i="18"/>
  <c r="AH325" i="18"/>
  <c r="AG145" i="18"/>
  <c r="BE352" i="18"/>
  <c r="BC58" i="18"/>
  <c r="AH308" i="18"/>
  <c r="BB274" i="18"/>
  <c r="BD291" i="18"/>
  <c r="AG341" i="18"/>
  <c r="AG155" i="18"/>
  <c r="BE189" i="18"/>
  <c r="BB47" i="18"/>
  <c r="AG165" i="18"/>
  <c r="AG315" i="18"/>
  <c r="BA131" i="18"/>
  <c r="AD298" i="18"/>
  <c r="BB269" i="18"/>
  <c r="AG244" i="18"/>
  <c r="BA80" i="18"/>
  <c r="BC304" i="18"/>
  <c r="BB26" i="18"/>
  <c r="AH93" i="18"/>
  <c r="AG272" i="18"/>
  <c r="AD343" i="18"/>
  <c r="AH343" i="18"/>
  <c r="BE251" i="18"/>
  <c r="AH159" i="18"/>
  <c r="BE143" i="18"/>
  <c r="BD70" i="18"/>
  <c r="BD22" i="18"/>
  <c r="BC283" i="18"/>
  <c r="AD45" i="18"/>
  <c r="BB264" i="18"/>
  <c r="AD226" i="18"/>
  <c r="AG193" i="18"/>
  <c r="BA126" i="18"/>
  <c r="AH29" i="18"/>
  <c r="BD162" i="18"/>
  <c r="AD342" i="18"/>
  <c r="BC141" i="18"/>
  <c r="BC167" i="18"/>
  <c r="AG53" i="18"/>
  <c r="AG103" i="18"/>
  <c r="BC84" i="18"/>
  <c r="AH24" i="18"/>
  <c r="AH212" i="18"/>
  <c r="BB123" i="18"/>
  <c r="BE133" i="18"/>
  <c r="BC311" i="18"/>
  <c r="AG220" i="18"/>
  <c r="AH324" i="18"/>
  <c r="BD317" i="18"/>
  <c r="BB57" i="18"/>
  <c r="BD146" i="18"/>
  <c r="AH211" i="18"/>
  <c r="BE277" i="18"/>
  <c r="BC186" i="18"/>
  <c r="BC136" i="18"/>
  <c r="BD248" i="18"/>
  <c r="AG106" i="18"/>
  <c r="AH358" i="18"/>
  <c r="BA321" i="18"/>
  <c r="AD293" i="18"/>
  <c r="BD204" i="18"/>
  <c r="BC43" i="18"/>
  <c r="BC347" i="18"/>
  <c r="AH136" i="18"/>
  <c r="AH254" i="18"/>
  <c r="BE301" i="18"/>
  <c r="BC59" i="18"/>
  <c r="BC293" i="18"/>
  <c r="BD256" i="18"/>
  <c r="BE100" i="18"/>
  <c r="BC326" i="18"/>
  <c r="BA75" i="18"/>
  <c r="BD155" i="18"/>
  <c r="BE92" i="18"/>
  <c r="AH305" i="18"/>
  <c r="BA185" i="18"/>
  <c r="AD270" i="18"/>
  <c r="BE279" i="18"/>
  <c r="BC330" i="18"/>
  <c r="BB307" i="18"/>
  <c r="BD320" i="18"/>
  <c r="BE347" i="18"/>
  <c r="BC302" i="18"/>
  <c r="BB62" i="18"/>
  <c r="BD280" i="18"/>
  <c r="BC210" i="18"/>
  <c r="AG247" i="18"/>
  <c r="AG30" i="18"/>
  <c r="AD330" i="18"/>
  <c r="BB110" i="18"/>
  <c r="BA98" i="18"/>
  <c r="BB295" i="18"/>
  <c r="BE250" i="18"/>
  <c r="AD328" i="18"/>
  <c r="AG190" i="18"/>
  <c r="BB94" i="18"/>
  <c r="BD5" i="18"/>
  <c r="AD258" i="18"/>
  <c r="BD224" i="18"/>
  <c r="BB70" i="18"/>
  <c r="BD338" i="18"/>
  <c r="BB360" i="18"/>
  <c r="BC279" i="18"/>
  <c r="BA326" i="18"/>
  <c r="AH148" i="18"/>
  <c r="BC46" i="18"/>
  <c r="AD79" i="18"/>
  <c r="BA343" i="18"/>
  <c r="BE168" i="18"/>
  <c r="BD60" i="18"/>
  <c r="BD250" i="18"/>
  <c r="BA76" i="18"/>
  <c r="AG183" i="18"/>
  <c r="BB4" i="18"/>
  <c r="BA9" i="18"/>
  <c r="BB348" i="18"/>
  <c r="BC53" i="18"/>
  <c r="AD362" i="18"/>
  <c r="BD74" i="18"/>
  <c r="BD177" i="18"/>
  <c r="BA160" i="18"/>
  <c r="AD189" i="18"/>
  <c r="AD114" i="18"/>
  <c r="BC108" i="18"/>
  <c r="AD255" i="18"/>
  <c r="BD115" i="18"/>
  <c r="BD17" i="18"/>
  <c r="BC338" i="18"/>
  <c r="AG10" i="18"/>
  <c r="AG160" i="18"/>
  <c r="AH107" i="18"/>
  <c r="AG14" i="18"/>
  <c r="BE108" i="18"/>
  <c r="BE273" i="18"/>
  <c r="AD50" i="18"/>
  <c r="AD144" i="18"/>
  <c r="BA293" i="18"/>
  <c r="AD232" i="18"/>
  <c r="BD289" i="18"/>
  <c r="BB281" i="18"/>
  <c r="BE17" i="18"/>
  <c r="AD170" i="18"/>
  <c r="BE344" i="18"/>
  <c r="BE235" i="18"/>
  <c r="BE240" i="18"/>
  <c r="BC246" i="18"/>
  <c r="BE124" i="18"/>
  <c r="BA52" i="18"/>
  <c r="BC40" i="18"/>
  <c r="BB292" i="18"/>
  <c r="BB45" i="18"/>
  <c r="AD260" i="18"/>
  <c r="BC236" i="18"/>
  <c r="BE66" i="18"/>
  <c r="AH197" i="18"/>
  <c r="BB6" i="18"/>
  <c r="BD287" i="18"/>
  <c r="BE13" i="18"/>
  <c r="BB30" i="18"/>
  <c r="BC88" i="18"/>
  <c r="BA29" i="18"/>
  <c r="AG93" i="18"/>
  <c r="AG282" i="18"/>
  <c r="AH241" i="18"/>
  <c r="BD351" i="18"/>
  <c r="BC115" i="18"/>
  <c r="BE5" i="18"/>
  <c r="BD86" i="18"/>
  <c r="AH194" i="18"/>
  <c r="BA221" i="18"/>
  <c r="BC125" i="18"/>
  <c r="BE269" i="18"/>
  <c r="BD173" i="18"/>
  <c r="BD161" i="18"/>
  <c r="BB187" i="18"/>
  <c r="BE119" i="18"/>
  <c r="BD294" i="18"/>
  <c r="BE68" i="18"/>
  <c r="BC87" i="18"/>
  <c r="BA134" i="18"/>
  <c r="AD72" i="18"/>
  <c r="BE67" i="18"/>
  <c r="BC342" i="18"/>
  <c r="BA183" i="18"/>
  <c r="BA72" i="18"/>
  <c r="BE180" i="18"/>
  <c r="BE200" i="18"/>
  <c r="BD357" i="18"/>
  <c r="BD214" i="18"/>
  <c r="BA265" i="18"/>
  <c r="BC318" i="18"/>
  <c r="BA279" i="18"/>
  <c r="AD228" i="18"/>
  <c r="BD308" i="18"/>
  <c r="BD65" i="18"/>
  <c r="BE231" i="18"/>
  <c r="AD160" i="18"/>
  <c r="BE114" i="18"/>
  <c r="BA284" i="18"/>
  <c r="BA264" i="18"/>
  <c r="BC218" i="18"/>
  <c r="BA50" i="18"/>
  <c r="BD244" i="18"/>
  <c r="BE191" i="18"/>
  <c r="BC91" i="18"/>
  <c r="BB180" i="18"/>
  <c r="BE227" i="18"/>
  <c r="BE69" i="18"/>
  <c r="BA40" i="18"/>
  <c r="BE263" i="18"/>
  <c r="BD359" i="18"/>
  <c r="BD104" i="18"/>
  <c r="BE294" i="18"/>
  <c r="BA305" i="18"/>
  <c r="AD152" i="18"/>
  <c r="AD215" i="18"/>
  <c r="BE311" i="18"/>
  <c r="BB168" i="18"/>
  <c r="BA191" i="18"/>
  <c r="AH112" i="18"/>
  <c r="BB357" i="18"/>
  <c r="BA345" i="18"/>
  <c r="AD221" i="18"/>
  <c r="AD29" i="18"/>
  <c r="AD319" i="18"/>
  <c r="BE215" i="18"/>
  <c r="BC339" i="18"/>
  <c r="BB349" i="18"/>
  <c r="BD166" i="18"/>
  <c r="BD189" i="18"/>
  <c r="BE226" i="18"/>
  <c r="BC93" i="18"/>
  <c r="BE135" i="18"/>
  <c r="AD217" i="18"/>
  <c r="BB129" i="18"/>
  <c r="BD53" i="18"/>
  <c r="BA94" i="18"/>
  <c r="AH316" i="18"/>
  <c r="BB345" i="18"/>
  <c r="AH95" i="18"/>
  <c r="AG98" i="18"/>
  <c r="AG343" i="18"/>
  <c r="BB9" i="18"/>
  <c r="BE362" i="18"/>
  <c r="AD262" i="18"/>
  <c r="AG291" i="18"/>
  <c r="BE223" i="18"/>
  <c r="AH250" i="18"/>
  <c r="AH252" i="18"/>
  <c r="BB29" i="18"/>
  <c r="BA333" i="18"/>
  <c r="AH201" i="18"/>
  <c r="AG358" i="18"/>
  <c r="BB338" i="18"/>
  <c r="BB352" i="18"/>
  <c r="AD223" i="18"/>
  <c r="AD81" i="18"/>
  <c r="BA34" i="18"/>
  <c r="BC171" i="18"/>
  <c r="AD239" i="18"/>
  <c r="BA227" i="18"/>
  <c r="BB320" i="18"/>
  <c r="BE236" i="18"/>
  <c r="BD110" i="18"/>
  <c r="BE298" i="18"/>
  <c r="BE219" i="18"/>
  <c r="BA349" i="18"/>
  <c r="BB316" i="18"/>
  <c r="AD99" i="18"/>
  <c r="AD27" i="18"/>
  <c r="BC331" i="18"/>
  <c r="BC30" i="18"/>
  <c r="BC264" i="18"/>
  <c r="BE203" i="18"/>
  <c r="BB152" i="18"/>
  <c r="BD337" i="18"/>
  <c r="BA33" i="18"/>
  <c r="BA195" i="18"/>
  <c r="AG294" i="18"/>
  <c r="BC33" i="18"/>
  <c r="AH355" i="18"/>
  <c r="BB346" i="18"/>
  <c r="BA356" i="18"/>
  <c r="AG257" i="18"/>
  <c r="AH260" i="18"/>
  <c r="AG55" i="18"/>
  <c r="AG25" i="18"/>
  <c r="AD196" i="18"/>
  <c r="AH189" i="18"/>
  <c r="AG286" i="18"/>
  <c r="AG355" i="18"/>
  <c r="AD338" i="18"/>
  <c r="AH47" i="18"/>
  <c r="BC183" i="18"/>
  <c r="BA66" i="18"/>
  <c r="AG42" i="18"/>
  <c r="BA153" i="18"/>
  <c r="AD231" i="18"/>
  <c r="AG212" i="18"/>
  <c r="AG210" i="18"/>
  <c r="AG299" i="18"/>
  <c r="BB157" i="18"/>
  <c r="BD226" i="18"/>
  <c r="AH261" i="18"/>
  <c r="AG153" i="18"/>
  <c r="BC202" i="18"/>
  <c r="BD78" i="18"/>
  <c r="AG267" i="18"/>
  <c r="BD315" i="18"/>
  <c r="AG116" i="18"/>
  <c r="AG187" i="18"/>
  <c r="AG233" i="18"/>
  <c r="BE137" i="18"/>
  <c r="AG157" i="18"/>
  <c r="BC56" i="18"/>
  <c r="AG107" i="18"/>
  <c r="BE321" i="18"/>
  <c r="BA174" i="18"/>
  <c r="BB179" i="18"/>
  <c r="BB12" i="18"/>
  <c r="BB54" i="18"/>
  <c r="BD106" i="18"/>
  <c r="BB237" i="18"/>
  <c r="AH326" i="18"/>
  <c r="AG105" i="18"/>
  <c r="AH90" i="18"/>
  <c r="AG219" i="18"/>
  <c r="BE282" i="18"/>
  <c r="BA13" i="18"/>
  <c r="BB78" i="18"/>
  <c r="BE57" i="18"/>
  <c r="AG91" i="18"/>
  <c r="AH299" i="18"/>
  <c r="BB135" i="18"/>
  <c r="BB127" i="18"/>
  <c r="AD253" i="18"/>
  <c r="BC50" i="18"/>
  <c r="BB255" i="18"/>
  <c r="BD134" i="18"/>
  <c r="AH177" i="18"/>
  <c r="AG284" i="18"/>
  <c r="BD192" i="18"/>
  <c r="AH75" i="18"/>
  <c r="AG320" i="18"/>
  <c r="BD247" i="18"/>
  <c r="BB59" i="18"/>
  <c r="BE27" i="18"/>
  <c r="AG161" i="18"/>
  <c r="BD212" i="18"/>
  <c r="AD118" i="18"/>
  <c r="BD113" i="18"/>
  <c r="BC110" i="18"/>
  <c r="BB263" i="18"/>
  <c r="BC260" i="18"/>
  <c r="BA164" i="18"/>
  <c r="AD163" i="18"/>
  <c r="AD274" i="18"/>
  <c r="AG261" i="18"/>
  <c r="BA53" i="18"/>
  <c r="AG356" i="18"/>
  <c r="BC94" i="18"/>
  <c r="AH137" i="18"/>
  <c r="AH283" i="18"/>
  <c r="AD355" i="18"/>
  <c r="AG216" i="18"/>
  <c r="BD98" i="18"/>
  <c r="BE299" i="18"/>
  <c r="BE113" i="18"/>
  <c r="AD132" i="18"/>
  <c r="AH150" i="18"/>
  <c r="AH65" i="18"/>
  <c r="AG258" i="18"/>
  <c r="AG352" i="18"/>
  <c r="BB66" i="18"/>
  <c r="BE274" i="18"/>
  <c r="AD344" i="18"/>
  <c r="BA300" i="18"/>
  <c r="BE241" i="18"/>
  <c r="AH243" i="18"/>
  <c r="BC336" i="18"/>
  <c r="BA276" i="18"/>
  <c r="AD311" i="18"/>
  <c r="AG184" i="18"/>
  <c r="BD103" i="18"/>
  <c r="AG243" i="18"/>
  <c r="BA190" i="18"/>
  <c r="AH25" i="18"/>
  <c r="AG306" i="18"/>
  <c r="AH363" i="18"/>
  <c r="AH282" i="18"/>
  <c r="BD99" i="18"/>
  <c r="BA301" i="18"/>
  <c r="AD94" i="18"/>
  <c r="BA232" i="18"/>
  <c r="BA296" i="18"/>
  <c r="BA17" i="18"/>
  <c r="AD108" i="18"/>
  <c r="AD254" i="18"/>
  <c r="AG307" i="18"/>
  <c r="AH104" i="18"/>
  <c r="AD60" i="18"/>
  <c r="AG108" i="18"/>
  <c r="BD154" i="18"/>
  <c r="BB336" i="18"/>
  <c r="BA286" i="18"/>
  <c r="AH157" i="18"/>
  <c r="BE267" i="18"/>
  <c r="BE201" i="18"/>
  <c r="AG351" i="18"/>
  <c r="AH129" i="18"/>
  <c r="AH242" i="18"/>
  <c r="BC100" i="18"/>
  <c r="BC21" i="18"/>
  <c r="AH235" i="18"/>
  <c r="AG61" i="18"/>
  <c r="AH26" i="18"/>
  <c r="BA108" i="18"/>
  <c r="BE20" i="18"/>
  <c r="AH300" i="18"/>
  <c r="AH72" i="18"/>
  <c r="AH266" i="18"/>
  <c r="BE82" i="18"/>
  <c r="BA303" i="18"/>
  <c r="BA63" i="18"/>
  <c r="AD322" i="18"/>
  <c r="AH318" i="18"/>
  <c r="AG221" i="18"/>
  <c r="AD181" i="18"/>
  <c r="BD34" i="18"/>
  <c r="BD234" i="18"/>
  <c r="AD185" i="18"/>
  <c r="AD77" i="18"/>
  <c r="AD62" i="18"/>
  <c r="BC70" i="18"/>
  <c r="BD329" i="18"/>
  <c r="BC281" i="18"/>
  <c r="BC289" i="18"/>
  <c r="BC328" i="18"/>
  <c r="BD331" i="18"/>
  <c r="AG262" i="18"/>
  <c r="AG75" i="18"/>
  <c r="AG71" i="18"/>
  <c r="AH277" i="18"/>
  <c r="AH208" i="18"/>
  <c r="AD318" i="18"/>
  <c r="BB196" i="18"/>
  <c r="AG285" i="18"/>
  <c r="AH215" i="18"/>
  <c r="AD241" i="18"/>
  <c r="BE286" i="18"/>
  <c r="AD259" i="18"/>
  <c r="BD118" i="18"/>
  <c r="AD49" i="18"/>
  <c r="AH171" i="18"/>
  <c r="AG200" i="18"/>
  <c r="AG347" i="18"/>
  <c r="AH340" i="18"/>
  <c r="BB308" i="18"/>
  <c r="AH204" i="18"/>
  <c r="AH202" i="18"/>
  <c r="AD191" i="18"/>
  <c r="AD95" i="18"/>
  <c r="BC313" i="18"/>
  <c r="AH356" i="18"/>
  <c r="BD190" i="18"/>
  <c r="BE64" i="18"/>
  <c r="BE349" i="18"/>
  <c r="BB41" i="18"/>
  <c r="BB362" i="18"/>
  <c r="BE71" i="18"/>
  <c r="AD309" i="18"/>
  <c r="BC134" i="18"/>
  <c r="BA159" i="18"/>
  <c r="BE158" i="18"/>
  <c r="BD180" i="18"/>
  <c r="BD231" i="18"/>
  <c r="BB213" i="18"/>
  <c r="BE272" i="18"/>
  <c r="BB60" i="18"/>
  <c r="BE24" i="18"/>
  <c r="BD311" i="18"/>
  <c r="BC5" i="18"/>
  <c r="BC61" i="18"/>
  <c r="BA340" i="18"/>
  <c r="BC286" i="18"/>
  <c r="AD359" i="18"/>
  <c r="BC185" i="18"/>
  <c r="BB351" i="18"/>
  <c r="BE290" i="18"/>
  <c r="BB211" i="18"/>
  <c r="AG297" i="18"/>
  <c r="BB275" i="18"/>
  <c r="BA31" i="18"/>
  <c r="BD179" i="18"/>
  <c r="BB134" i="18"/>
  <c r="BD209" i="18"/>
  <c r="BD272" i="18"/>
  <c r="BB133" i="18"/>
  <c r="BC259" i="18"/>
  <c r="AD236" i="18"/>
  <c r="BA157" i="18"/>
  <c r="BD89" i="18"/>
  <c r="BA350" i="18"/>
  <c r="AD304" i="18"/>
  <c r="BE233" i="18"/>
  <c r="BD281" i="18"/>
  <c r="AD15" i="18"/>
  <c r="BB198" i="18"/>
  <c r="AD179" i="18"/>
  <c r="BA202" i="18"/>
  <c r="BC363" i="18"/>
  <c r="AD224" i="18"/>
  <c r="AD351" i="18"/>
  <c r="BC161" i="18"/>
  <c r="BE77" i="18"/>
  <c r="BA154" i="18"/>
  <c r="BE19" i="18"/>
  <c r="AD37" i="18"/>
  <c r="AH49" i="18"/>
  <c r="BD133" i="18"/>
  <c r="BE338" i="18"/>
  <c r="BC155" i="18"/>
  <c r="AD211" i="18"/>
  <c r="BE43" i="18"/>
  <c r="AH34" i="18"/>
  <c r="BB288" i="18"/>
  <c r="BE145" i="18"/>
  <c r="AD306" i="18"/>
  <c r="AD154" i="18"/>
  <c r="BA330" i="18"/>
  <c r="BC284" i="18"/>
  <c r="BB312" i="18"/>
  <c r="BD178" i="18"/>
  <c r="BB144" i="18"/>
  <c r="BA61" i="18"/>
  <c r="BE150" i="18"/>
  <c r="AD28" i="18"/>
  <c r="AD290" i="18"/>
  <c r="BA245" i="18"/>
  <c r="AG203" i="18"/>
  <c r="AD227" i="18"/>
  <c r="AG327" i="18"/>
  <c r="AD158" i="18"/>
  <c r="BE32" i="18"/>
  <c r="AD275" i="18"/>
  <c r="BA338" i="18"/>
  <c r="BD126" i="18"/>
  <c r="BE291" i="18"/>
  <c r="AG314" i="18"/>
  <c r="AG288" i="18"/>
  <c r="AD317" i="18"/>
  <c r="BE208" i="18"/>
  <c r="AD233" i="18"/>
  <c r="BE186" i="18"/>
  <c r="BC298" i="18"/>
  <c r="BC211" i="18"/>
  <c r="BB173" i="18"/>
  <c r="BE111" i="18"/>
  <c r="BC255" i="18"/>
  <c r="BB65" i="18"/>
  <c r="AD305" i="18"/>
  <c r="BD145" i="18"/>
  <c r="BD306" i="18"/>
  <c r="BC256" i="18"/>
  <c r="BA314" i="18"/>
  <c r="BB39" i="18"/>
  <c r="BB149" i="18"/>
  <c r="AH30" i="18"/>
  <c r="AD201" i="18"/>
  <c r="BE287" i="18"/>
  <c r="BE85" i="18"/>
  <c r="BE229" i="18"/>
  <c r="AD334" i="18"/>
  <c r="BD193" i="18"/>
  <c r="AD310" i="18"/>
  <c r="AD313" i="18"/>
  <c r="AH172" i="18"/>
  <c r="AH328" i="18"/>
  <c r="AD347" i="18"/>
  <c r="BA295" i="18"/>
  <c r="AD150" i="18"/>
  <c r="BA212" i="18"/>
  <c r="BE46" i="18"/>
  <c r="BC329" i="18"/>
  <c r="AD323" i="18"/>
  <c r="BE248" i="18"/>
  <c r="AH263" i="18"/>
  <c r="AD182" i="18"/>
  <c r="BD168" i="18"/>
  <c r="BD266" i="18"/>
  <c r="BC327" i="18"/>
  <c r="BD75" i="18"/>
  <c r="AH59" i="18"/>
  <c r="BB169" i="18"/>
  <c r="BB114" i="18"/>
  <c r="BA324" i="18"/>
  <c r="BB363" i="18"/>
  <c r="BD363" i="18"/>
  <c r="BE306" i="18"/>
  <c r="BA129" i="18"/>
  <c r="BA200" i="18"/>
  <c r="BB286" i="18"/>
  <c r="BB220" i="18"/>
  <c r="BC244" i="18"/>
  <c r="BE252" i="18"/>
  <c r="BA198" i="18"/>
  <c r="BC350" i="18"/>
  <c r="AD33" i="18"/>
  <c r="AD66" i="18"/>
  <c r="BA179" i="18"/>
  <c r="AG175" i="18"/>
  <c r="BC114" i="18"/>
  <c r="AD301" i="18"/>
  <c r="BA116" i="18"/>
  <c r="BE210" i="18"/>
  <c r="BA57" i="18"/>
  <c r="BE48" i="18"/>
  <c r="BB324" i="18"/>
  <c r="BE363" i="18"/>
  <c r="AG123" i="18"/>
  <c r="AG235" i="18"/>
  <c r="AG128" i="18"/>
  <c r="BD319" i="18"/>
  <c r="BC132" i="18"/>
  <c r="BA308" i="18"/>
  <c r="BA156" i="18"/>
  <c r="BE325" i="18"/>
  <c r="BC194" i="18"/>
  <c r="BD304" i="18"/>
  <c r="BE104" i="18"/>
  <c r="BE58" i="18"/>
  <c r="AD172" i="18"/>
  <c r="BC232" i="18"/>
  <c r="BE91" i="18"/>
  <c r="BD23" i="18"/>
  <c r="BA181" i="18"/>
  <c r="BB5" i="18"/>
  <c r="BE117" i="18"/>
  <c r="AD203" i="18"/>
  <c r="BC158" i="18"/>
  <c r="BD251" i="18"/>
  <c r="BC81" i="18"/>
  <c r="BA320" i="18"/>
  <c r="BB136" i="18"/>
  <c r="BB254" i="18"/>
  <c r="AD153" i="18"/>
  <c r="BA239" i="18"/>
  <c r="BB143" i="18"/>
  <c r="AH149" i="18"/>
  <c r="BE62" i="18"/>
  <c r="BD259" i="18"/>
  <c r="BA237" i="18"/>
  <c r="AD162" i="18"/>
  <c r="BA59" i="18"/>
  <c r="BD90" i="18"/>
  <c r="BD142" i="18"/>
  <c r="BA135" i="18"/>
  <c r="BA360" i="18"/>
  <c r="BB76" i="18"/>
  <c r="AD51" i="18"/>
  <c r="BD29" i="18"/>
  <c r="BA187" i="18"/>
  <c r="BE110" i="18"/>
  <c r="BB299" i="18"/>
  <c r="V45" i="89"/>
  <c r="V91" i="89"/>
  <c r="V32" i="89"/>
  <c r="V41" i="89"/>
  <c r="V8" i="89"/>
  <c r="V89" i="89"/>
  <c r="V39" i="89"/>
  <c r="V53" i="89"/>
  <c r="V100" i="89"/>
  <c r="V50" i="89"/>
  <c r="V55" i="89"/>
  <c r="V43" i="89"/>
  <c r="V30" i="89"/>
  <c r="V61" i="89"/>
  <c r="V77" i="89"/>
  <c r="V7" i="89"/>
  <c r="V95" i="89"/>
  <c r="V56" i="89"/>
  <c r="V94" i="89"/>
  <c r="V44" i="89"/>
  <c r="V12" i="89"/>
  <c r="V11" i="89"/>
  <c r="V34" i="89"/>
  <c r="V85" i="89"/>
  <c r="V26" i="89"/>
  <c r="V20" i="89"/>
  <c r="V36" i="89"/>
  <c r="V59" i="89"/>
  <c r="V9" i="89"/>
  <c r="V10" i="89"/>
  <c r="V86" i="89"/>
  <c r="V37" i="89"/>
  <c r="V5" i="89"/>
  <c r="V63" i="89"/>
  <c r="V58" i="89"/>
  <c r="V70" i="89"/>
  <c r="V31" i="89"/>
  <c r="V25" i="89"/>
  <c r="V78" i="89"/>
  <c r="V13" i="89"/>
  <c r="V67" i="89"/>
  <c r="V35" i="89"/>
  <c r="V14" i="89"/>
  <c r="V52" i="89"/>
  <c r="V51" i="89"/>
  <c r="V87" i="89"/>
  <c r="V81" i="89"/>
  <c r="V23" i="89"/>
  <c r="V72" i="89"/>
  <c r="V97" i="89"/>
  <c r="V88" i="89"/>
  <c r="V22" i="89"/>
  <c r="V83" i="89"/>
  <c r="V92" i="89"/>
  <c r="V40" i="89"/>
  <c r="V79" i="89"/>
  <c r="V16" i="89"/>
  <c r="V38" i="89"/>
  <c r="V29" i="89"/>
  <c r="V80" i="89"/>
  <c r="V15" i="89"/>
  <c r="V21" i="89"/>
  <c r="V69" i="89"/>
  <c r="V98" i="89"/>
  <c r="V74" i="89"/>
  <c r="V90" i="89"/>
  <c r="V24" i="89"/>
  <c r="V47" i="89"/>
  <c r="X19" i="88" l="1"/>
  <c r="Q22" i="89"/>
  <c r="M23" i="89"/>
  <c r="Q23" i="89" s="1"/>
  <c r="AE204" i="18"/>
  <c r="AE248" i="18"/>
  <c r="AE280" i="18"/>
  <c r="AF183" i="18"/>
  <c r="AE53" i="18"/>
  <c r="AF258" i="18"/>
  <c r="AF350" i="18"/>
  <c r="AF237" i="18"/>
  <c r="AE206" i="18"/>
  <c r="AF351" i="18"/>
  <c r="AF185" i="18"/>
  <c r="AF90" i="18"/>
  <c r="AE236" i="18"/>
  <c r="AF274" i="18"/>
  <c r="AF343" i="18"/>
  <c r="AF336" i="18"/>
  <c r="AE54" i="18"/>
  <c r="AF109" i="18"/>
  <c r="AF299" i="18"/>
  <c r="AE127" i="18"/>
  <c r="AE118" i="18"/>
  <c r="AF204" i="18"/>
  <c r="AE80" i="18"/>
  <c r="AF68" i="18"/>
  <c r="AE253" i="18"/>
  <c r="AF103" i="18"/>
  <c r="AF167" i="18"/>
  <c r="AE312" i="18"/>
  <c r="AF333" i="18"/>
  <c r="AE274" i="18"/>
  <c r="AF294" i="18"/>
  <c r="AF18" i="18"/>
  <c r="AF50" i="18"/>
  <c r="AF172" i="18"/>
  <c r="AF328" i="18"/>
  <c r="AE324" i="18"/>
  <c r="AE268" i="18"/>
  <c r="AE32" i="18"/>
  <c r="AE267" i="18"/>
  <c r="AF149" i="18"/>
  <c r="AF125" i="18"/>
  <c r="AF184" i="18"/>
  <c r="AF102" i="18"/>
  <c r="AF263" i="18"/>
  <c r="AF20" i="18"/>
  <c r="AE83" i="18"/>
  <c r="AE27" i="18"/>
  <c r="AE177" i="18"/>
  <c r="AE359" i="18"/>
  <c r="AF353" i="18"/>
  <c r="AE125" i="18"/>
  <c r="AE281" i="18"/>
  <c r="AF199" i="18"/>
  <c r="AE187" i="18"/>
  <c r="AE19" i="18"/>
  <c r="AF34" i="18"/>
  <c r="AE71" i="18"/>
  <c r="AE278" i="18"/>
  <c r="AE276" i="18"/>
  <c r="AE26" i="18"/>
  <c r="AF51" i="18"/>
  <c r="AE338" i="18"/>
  <c r="AE21" i="18"/>
  <c r="AF281" i="18"/>
  <c r="AE184" i="18"/>
  <c r="AF45" i="18"/>
  <c r="AF256" i="18"/>
  <c r="AE287" i="18"/>
  <c r="AF307" i="18"/>
  <c r="AF47" i="18"/>
  <c r="AE181" i="18"/>
  <c r="AE277" i="18"/>
  <c r="AF244" i="18"/>
  <c r="AE34" i="18"/>
  <c r="AE316" i="18"/>
  <c r="AE330" i="18"/>
  <c r="AF30" i="18"/>
  <c r="AF97" i="18"/>
  <c r="AF209" i="18"/>
  <c r="AE343" i="18"/>
  <c r="AE172" i="18"/>
  <c r="AF75" i="18"/>
  <c r="AE90" i="18"/>
  <c r="AE47" i="18"/>
  <c r="AE261" i="18"/>
  <c r="AF203" i="18"/>
  <c r="AF337" i="18"/>
  <c r="AE284" i="18"/>
  <c r="AE167" i="18"/>
  <c r="AF323" i="18"/>
  <c r="AF35" i="18"/>
  <c r="AF148" i="18"/>
  <c r="AE145" i="18"/>
  <c r="AF319" i="18"/>
  <c r="AE341" i="18"/>
  <c r="AF154" i="18"/>
  <c r="AF280" i="18"/>
  <c r="AE175" i="18"/>
  <c r="AE84" i="18"/>
  <c r="AF99" i="18"/>
  <c r="AF43" i="18"/>
  <c r="AE43" i="18"/>
  <c r="AE94" i="18"/>
  <c r="AF86" i="18"/>
  <c r="AE230" i="18"/>
  <c r="AE110" i="18"/>
  <c r="AE326" i="18"/>
  <c r="AE317" i="18"/>
  <c r="AE142" i="18"/>
  <c r="AE293" i="18"/>
  <c r="AF26" i="18"/>
  <c r="AF187" i="18"/>
  <c r="AF174" i="18"/>
  <c r="AE335" i="18"/>
  <c r="AF190" i="18"/>
  <c r="AE31" i="18"/>
  <c r="AE51" i="18"/>
  <c r="AF119" i="18"/>
  <c r="AF36" i="18"/>
  <c r="AE285" i="18"/>
  <c r="AF279" i="18"/>
  <c r="AE152" i="18"/>
  <c r="AF273" i="18"/>
  <c r="AE15" i="18"/>
  <c r="AF286" i="18"/>
  <c r="AF147" i="18"/>
  <c r="AF227" i="18"/>
  <c r="AE141" i="18"/>
  <c r="AF231" i="18"/>
  <c r="AF327" i="18"/>
  <c r="AE256" i="18"/>
  <c r="AF108" i="18"/>
  <c r="AF293" i="18"/>
  <c r="AF25" i="18"/>
  <c r="AE325" i="18"/>
  <c r="AE173" i="18"/>
  <c r="AE319" i="18"/>
  <c r="AE241" i="18"/>
  <c r="AF137" i="18"/>
  <c r="AF255" i="18"/>
  <c r="AE210" i="18"/>
  <c r="AF246" i="18"/>
  <c r="AE28" i="18"/>
  <c r="AF96" i="18"/>
  <c r="AF13" i="18"/>
  <c r="AE23" i="18"/>
  <c r="AE170" i="18"/>
  <c r="AE138" i="18"/>
  <c r="AE108" i="18"/>
  <c r="AF334" i="18"/>
  <c r="AF283" i="18"/>
  <c r="AE221" i="18"/>
  <c r="AF265" i="18"/>
  <c r="AF317" i="18"/>
  <c r="AF325" i="18"/>
  <c r="AE227" i="18"/>
  <c r="AF342" i="18"/>
  <c r="AE247" i="18"/>
  <c r="AE266" i="18"/>
  <c r="AF340" i="18"/>
  <c r="AF312" i="18"/>
  <c r="AF8" i="18"/>
  <c r="AF101" i="18"/>
  <c r="AE305" i="18"/>
  <c r="AE11" i="18"/>
  <c r="AE273" i="18"/>
  <c r="AF250" i="18"/>
  <c r="AE301" i="18"/>
  <c r="AF359" i="18"/>
  <c r="AE62" i="18"/>
  <c r="AE331" i="18"/>
  <c r="AE7" i="18"/>
  <c r="AE165" i="18"/>
  <c r="AF88" i="18"/>
  <c r="AF277" i="18"/>
  <c r="AF21" i="18"/>
  <c r="AE176" i="18"/>
  <c r="AE350" i="18"/>
  <c r="AE296" i="18"/>
  <c r="AE251" i="18"/>
  <c r="AE131" i="18"/>
  <c r="AF178" i="18"/>
  <c r="AF355" i="18"/>
  <c r="AF146" i="18"/>
  <c r="AF163" i="18"/>
  <c r="AE113" i="18"/>
  <c r="AF303" i="18"/>
  <c r="AF9" i="18"/>
  <c r="AF195" i="18"/>
  <c r="AE102" i="18"/>
  <c r="AF152" i="18"/>
  <c r="AE188" i="18"/>
  <c r="AE329" i="18"/>
  <c r="AF161" i="18"/>
  <c r="AE115" i="18"/>
  <c r="AE263" i="18"/>
  <c r="AE224" i="18"/>
  <c r="AE362" i="18"/>
  <c r="AE226" i="18"/>
  <c r="AF19" i="18"/>
  <c r="AF330" i="18"/>
  <c r="AE48" i="18"/>
  <c r="AE286" i="18"/>
  <c r="AF357" i="18"/>
  <c r="AF297" i="18"/>
  <c r="AE243" i="18"/>
  <c r="AE77" i="18"/>
  <c r="AF17" i="18"/>
  <c r="AF267" i="18"/>
  <c r="AF168" i="18"/>
  <c r="AE93" i="18"/>
  <c r="AE61" i="18"/>
  <c r="AE262" i="18"/>
  <c r="AE92" i="18"/>
  <c r="AF234" i="18"/>
  <c r="AE240" i="18"/>
  <c r="AF290" i="18"/>
  <c r="AE349" i="18"/>
  <c r="AF352" i="18"/>
  <c r="AE183" i="18"/>
  <c r="AE272" i="18"/>
  <c r="AE126" i="18"/>
  <c r="AF98" i="18"/>
  <c r="AF225" i="18"/>
  <c r="AE14" i="18"/>
  <c r="AF166" i="18"/>
  <c r="AE70" i="18"/>
  <c r="AE65" i="18"/>
  <c r="AF133" i="18"/>
  <c r="AF40" i="18"/>
  <c r="AF160" i="18"/>
  <c r="AF85" i="18"/>
  <c r="AF313" i="18"/>
  <c r="AE269" i="18"/>
  <c r="AE186" i="18"/>
  <c r="AE8" i="18"/>
  <c r="AE160" i="18"/>
  <c r="AE49" i="18"/>
  <c r="AE308" i="18"/>
  <c r="AF105" i="18"/>
  <c r="AF77" i="18"/>
  <c r="AF123" i="18"/>
  <c r="AE33" i="18"/>
  <c r="AF31" i="18"/>
  <c r="AF276" i="18"/>
  <c r="AE41" i="18"/>
  <c r="AF272" i="18"/>
  <c r="AE318" i="18"/>
  <c r="AF249" i="18"/>
  <c r="AE192" i="18"/>
  <c r="AF308" i="18"/>
  <c r="AE13" i="18"/>
  <c r="AE67" i="18"/>
  <c r="AF221" i="18"/>
  <c r="AF242" i="18"/>
  <c r="AE200" i="18"/>
  <c r="AF78" i="18"/>
  <c r="AE254" i="18"/>
  <c r="AF56" i="18"/>
  <c r="AE149" i="18"/>
  <c r="AE105" i="18"/>
  <c r="AE294" i="18"/>
  <c r="AF135" i="18"/>
  <c r="AE361" i="18"/>
  <c r="AE235" i="18"/>
  <c r="AE164" i="18"/>
  <c r="AE222" i="18"/>
  <c r="AF252" i="18"/>
  <c r="AE39" i="18"/>
  <c r="AE163" i="18"/>
  <c r="AE228" i="18"/>
  <c r="AE99" i="18"/>
  <c r="AF245" i="18"/>
  <c r="AE323" i="18"/>
  <c r="AF93" i="18"/>
  <c r="AF53" i="18"/>
  <c r="AE202" i="18"/>
  <c r="AF205" i="18"/>
  <c r="AF304" i="18"/>
  <c r="AF349" i="18"/>
  <c r="AE275" i="18"/>
  <c r="AE298" i="18"/>
  <c r="AF363" i="18"/>
  <c r="AF318" i="18"/>
  <c r="AF16" i="18"/>
  <c r="AE97" i="18"/>
  <c r="AF236" i="18"/>
  <c r="AF49" i="18"/>
  <c r="AF61" i="18"/>
  <c r="AE128" i="18"/>
  <c r="AF151" i="18"/>
  <c r="AF48" i="18"/>
  <c r="AF131" i="18"/>
  <c r="AF84" i="18"/>
  <c r="AE239" i="18"/>
  <c r="AE135" i="18"/>
  <c r="AF7" i="18"/>
  <c r="AF266" i="18"/>
  <c r="AF335" i="18"/>
  <c r="AE162" i="18"/>
  <c r="AF189" i="18"/>
  <c r="AF233" i="18"/>
  <c r="AE45" i="18"/>
  <c r="AE208" i="18"/>
  <c r="AE20" i="18"/>
  <c r="AF182" i="18"/>
  <c r="AE307" i="18"/>
  <c r="AE213" i="18"/>
  <c r="AF128" i="18"/>
  <c r="AF218" i="18"/>
  <c r="AE10" i="18"/>
  <c r="AF282" i="18"/>
  <c r="AE139" i="18"/>
  <c r="AF214" i="18"/>
  <c r="AF117" i="18"/>
  <c r="AF175" i="18"/>
  <c r="AE178" i="18"/>
  <c r="AF238" i="18"/>
  <c r="AF259" i="18"/>
  <c r="AF132" i="18"/>
  <c r="AE348" i="18"/>
  <c r="AE201" i="18"/>
  <c r="AE40" i="18"/>
  <c r="AE345" i="18"/>
  <c r="AE214" i="18"/>
  <c r="AF39" i="18"/>
  <c r="AE50" i="18"/>
  <c r="AF110" i="18"/>
  <c r="AE69" i="18"/>
  <c r="AF270" i="18"/>
  <c r="AF300" i="18"/>
  <c r="AE136" i="18"/>
  <c r="AF235" i="18"/>
  <c r="AF305" i="18"/>
  <c r="AF260" i="18"/>
  <c r="AE229" i="18"/>
  <c r="AF339" i="18"/>
  <c r="AE123" i="18"/>
  <c r="AF275" i="18"/>
  <c r="AE143" i="18"/>
  <c r="AF310" i="18"/>
  <c r="AF150" i="18"/>
  <c r="AE111" i="18"/>
  <c r="AE91" i="18"/>
  <c r="AE56" i="18"/>
  <c r="AF169" i="18"/>
  <c r="AE283" i="18"/>
  <c r="AF158" i="18"/>
  <c r="AF27" i="18"/>
  <c r="AE217" i="18"/>
  <c r="AF55" i="18"/>
  <c r="AF66" i="18"/>
  <c r="AE289" i="18"/>
  <c r="AE169" i="18"/>
  <c r="AF338" i="18"/>
  <c r="AE339" i="18"/>
  <c r="AF200" i="18"/>
  <c r="AF348" i="18"/>
  <c r="AE216" i="18"/>
  <c r="AF73" i="18"/>
  <c r="AF180" i="18"/>
  <c r="AE328" i="18"/>
  <c r="AE250" i="18"/>
  <c r="AF329" i="18"/>
  <c r="AF296" i="18"/>
  <c r="AE196" i="18"/>
  <c r="AE189" i="18"/>
  <c r="AF127" i="18"/>
  <c r="AE205" i="18"/>
  <c r="AE195" i="18"/>
  <c r="AE150" i="18"/>
  <c r="AF145" i="18"/>
  <c r="AE303" i="18"/>
  <c r="AF346" i="18"/>
  <c r="AE29" i="18"/>
  <c r="AE314" i="18"/>
  <c r="AF186" i="18"/>
  <c r="AE57" i="18"/>
  <c r="AF326" i="18"/>
  <c r="AF240" i="18"/>
  <c r="AE85" i="18"/>
  <c r="AF130" i="18"/>
  <c r="AE82" i="18"/>
  <c r="AE73" i="18"/>
  <c r="AE215" i="18"/>
  <c r="AF224" i="18"/>
  <c r="AE58" i="18"/>
  <c r="AE182" i="18"/>
  <c r="AE353" i="18"/>
  <c r="AE337" i="18"/>
  <c r="AE242" i="18"/>
  <c r="AF243" i="18"/>
  <c r="AE114" i="18"/>
  <c r="AF15" i="18"/>
  <c r="AE60" i="18"/>
  <c r="AE101" i="18"/>
  <c r="AF29" i="18"/>
  <c r="AE72" i="18"/>
  <c r="AF228" i="18"/>
  <c r="AE212" i="18"/>
  <c r="AF354" i="18"/>
  <c r="AE327" i="18"/>
  <c r="AE96" i="18"/>
  <c r="AF12" i="18"/>
  <c r="AF331" i="18"/>
  <c r="AE271" i="18"/>
  <c r="AF288" i="18"/>
  <c r="AE166" i="18"/>
  <c r="AF120" i="18"/>
  <c r="AE203" i="18"/>
  <c r="AF360" i="18"/>
  <c r="AF347" i="18"/>
  <c r="AF361" i="18"/>
  <c r="AF100" i="18"/>
  <c r="AF170" i="18"/>
  <c r="AF139" i="18"/>
  <c r="AE52" i="18"/>
  <c r="AE116" i="18"/>
  <c r="AF264" i="18"/>
  <c r="AF142" i="18"/>
  <c r="AF156" i="18"/>
  <c r="AF153" i="18"/>
  <c r="AF253" i="18"/>
  <c r="AF292" i="18"/>
  <c r="AF257" i="18"/>
  <c r="AE155" i="18"/>
  <c r="AE363" i="18"/>
  <c r="AF87" i="18"/>
  <c r="AE354" i="18"/>
  <c r="AE133" i="18"/>
  <c r="AE119" i="18"/>
  <c r="AF202" i="18"/>
  <c r="AE37" i="18"/>
  <c r="AF321" i="18"/>
  <c r="AE246" i="18"/>
  <c r="AE79" i="18"/>
  <c r="AF10" i="18"/>
  <c r="AF106" i="18"/>
  <c r="AE153" i="18"/>
  <c r="AE78" i="18"/>
  <c r="AF222" i="18"/>
  <c r="AE193" i="18"/>
  <c r="AE129" i="18"/>
  <c r="AF82" i="18"/>
  <c r="AE249" i="18"/>
  <c r="AF118" i="18"/>
  <c r="AE288" i="18"/>
  <c r="AF215" i="18"/>
  <c r="AF232" i="18"/>
  <c r="AF62" i="18"/>
  <c r="AE257" i="18"/>
  <c r="AE64" i="18"/>
  <c r="AE36" i="18"/>
  <c r="AE237" i="18"/>
  <c r="AF71" i="18"/>
  <c r="AE198" i="18"/>
  <c r="AF196" i="18"/>
  <c r="AE260" i="18"/>
  <c r="AF111" i="18"/>
  <c r="AF324" i="18"/>
  <c r="AE98" i="18"/>
  <c r="AF309" i="18"/>
  <c r="AE340" i="18"/>
  <c r="AE109" i="18"/>
  <c r="AF41" i="18"/>
  <c r="AE22" i="18"/>
  <c r="AE309" i="18"/>
  <c r="AE265" i="18"/>
  <c r="AE258" i="18"/>
  <c r="AF159" i="18"/>
  <c r="AE270" i="18"/>
  <c r="AF165" i="18"/>
  <c r="AF206" i="18"/>
  <c r="AF194" i="18"/>
  <c r="AE147" i="18"/>
  <c r="AE290" i="18"/>
  <c r="AE88" i="18"/>
  <c r="AF207" i="18"/>
  <c r="AF278" i="18"/>
  <c r="AF63" i="18"/>
  <c r="AE342" i="18"/>
  <c r="AF107" i="18"/>
  <c r="AE333" i="18"/>
  <c r="AE106" i="18"/>
  <c r="AE121" i="18"/>
  <c r="AE304" i="18"/>
  <c r="AE297" i="18"/>
  <c r="AF6" i="18"/>
  <c r="AE151" i="18"/>
  <c r="AF247" i="18"/>
  <c r="AE332" i="18"/>
  <c r="AF362" i="18"/>
  <c r="AF173" i="18"/>
  <c r="AF271" i="18"/>
  <c r="AF104" i="18"/>
  <c r="AE158" i="18"/>
  <c r="AE360" i="18"/>
  <c r="AE124" i="18"/>
  <c r="AE144" i="18"/>
  <c r="AE66" i="18"/>
  <c r="AE295" i="18"/>
  <c r="AF129" i="18"/>
  <c r="AF239" i="18"/>
  <c r="AF157" i="18"/>
  <c r="AE313" i="18"/>
  <c r="AF358" i="18"/>
  <c r="AE255" i="18"/>
  <c r="AE146" i="18"/>
  <c r="AE137" i="18"/>
  <c r="AE122" i="18"/>
  <c r="AE232" i="18"/>
  <c r="AF268" i="18"/>
  <c r="AE199" i="18"/>
  <c r="AF201" i="18"/>
  <c r="AE311" i="18"/>
  <c r="AE159" i="18"/>
  <c r="AF89" i="18"/>
  <c r="AE24" i="18"/>
  <c r="AF251" i="18"/>
  <c r="AE299" i="18"/>
  <c r="AF22" i="18"/>
  <c r="AF5" i="18"/>
  <c r="AF177" i="18"/>
  <c r="AE346" i="18"/>
  <c r="AF316" i="18"/>
  <c r="AE292" i="18"/>
  <c r="AF287" i="18"/>
  <c r="AF70" i="18"/>
  <c r="AF115" i="18"/>
  <c r="AF197" i="18"/>
  <c r="AE140" i="18"/>
  <c r="AF155" i="18"/>
  <c r="AE76" i="18"/>
  <c r="AE185" i="18"/>
  <c r="AE157" i="18"/>
  <c r="AF32" i="18"/>
  <c r="AF121" i="18"/>
  <c r="AE233" i="18"/>
  <c r="AE357" i="18"/>
  <c r="AE197" i="18"/>
  <c r="AE104" i="18"/>
  <c r="AE351" i="18"/>
  <c r="AF81" i="18"/>
  <c r="AF64" i="18"/>
  <c r="AF28" i="18"/>
  <c r="AE211" i="18"/>
  <c r="AF229" i="18"/>
  <c r="AF262" i="18"/>
  <c r="AE291" i="18"/>
  <c r="AE321" i="18"/>
  <c r="AF112" i="18"/>
  <c r="AE310" i="18"/>
  <c r="AE306" i="18"/>
  <c r="AF191" i="18"/>
  <c r="AF14" i="18"/>
  <c r="AF219" i="18"/>
  <c r="AE63" i="18"/>
  <c r="AF223" i="18"/>
  <c r="AF11" i="18"/>
  <c r="AF181" i="18"/>
  <c r="AE219" i="18"/>
  <c r="AF289" i="18"/>
  <c r="AE238" i="18"/>
  <c r="AE46" i="18"/>
  <c r="AE207" i="18"/>
  <c r="AF356" i="18"/>
  <c r="AF52" i="18"/>
  <c r="AF269" i="18"/>
  <c r="AE190" i="18"/>
  <c r="AE38" i="18"/>
  <c r="AF122" i="18"/>
  <c r="AE9" i="18"/>
  <c r="AE231" i="18"/>
  <c r="AF72" i="18"/>
  <c r="AE89" i="18"/>
  <c r="AF134" i="18"/>
  <c r="AE25" i="18"/>
  <c r="AF54" i="18"/>
  <c r="AE117" i="18"/>
  <c r="AE355" i="18"/>
  <c r="AE148" i="18"/>
  <c r="AE218" i="18"/>
  <c r="AF138" i="18"/>
  <c r="AF76" i="18"/>
  <c r="AF261" i="18"/>
  <c r="AE59" i="18"/>
  <c r="AF60" i="18"/>
  <c r="AF301" i="18"/>
  <c r="AE68" i="18"/>
  <c r="AE194" i="18"/>
  <c r="AF37" i="18"/>
  <c r="AE107" i="18"/>
  <c r="AE86" i="18"/>
  <c r="AE156" i="18"/>
  <c r="AE191" i="18"/>
  <c r="AF322" i="18"/>
  <c r="AE161" i="18"/>
  <c r="AE103" i="18"/>
  <c r="AF136" i="18"/>
  <c r="AF179" i="18"/>
  <c r="AF220" i="18"/>
  <c r="AE209" i="18"/>
  <c r="AE336" i="18"/>
  <c r="AE220" i="18"/>
  <c r="AF217" i="18"/>
  <c r="AE344" i="18"/>
  <c r="AE55" i="18"/>
  <c r="AF341" i="18"/>
  <c r="AE5" i="18"/>
  <c r="AE132" i="18"/>
  <c r="AF144" i="18"/>
  <c r="AF213" i="18"/>
  <c r="AE244" i="18"/>
  <c r="AF344" i="18"/>
  <c r="AE334" i="18"/>
  <c r="AE4" i="18"/>
  <c r="AF74" i="18"/>
  <c r="AE264" i="18"/>
  <c r="AF298" i="18"/>
  <c r="AF33" i="18"/>
  <c r="AE74" i="18"/>
  <c r="AF65" i="18"/>
  <c r="AE16" i="18"/>
  <c r="AE225" i="18"/>
  <c r="AE245" i="18"/>
  <c r="AE154" i="18"/>
  <c r="AE100" i="18"/>
  <c r="AF4" i="18"/>
  <c r="AF188" i="18"/>
  <c r="AF212" i="18"/>
  <c r="AF140" i="18"/>
  <c r="AF59" i="18"/>
  <c r="AF38" i="18"/>
  <c r="AE17" i="18"/>
  <c r="AF241" i="18"/>
  <c r="AF193" i="18"/>
  <c r="AF116" i="18"/>
  <c r="AF23" i="18"/>
  <c r="AF69" i="18"/>
  <c r="AF80" i="18"/>
  <c r="AE174" i="18"/>
  <c r="AE130" i="18"/>
  <c r="AF95" i="18"/>
  <c r="AE347" i="18"/>
  <c r="AF162" i="18"/>
  <c r="AE6" i="18"/>
  <c r="AF94" i="18"/>
  <c r="AF24" i="18"/>
  <c r="AE112" i="18"/>
  <c r="AE35" i="18"/>
  <c r="AF315" i="18"/>
  <c r="AE322" i="18"/>
  <c r="AF192" i="18"/>
  <c r="AF226" i="18"/>
  <c r="AF141" i="18"/>
  <c r="AF230" i="18"/>
  <c r="AF42" i="18"/>
  <c r="AF314" i="18"/>
  <c r="AE12" i="18"/>
  <c r="AF208" i="18"/>
  <c r="AE18" i="18"/>
  <c r="AF57" i="18"/>
  <c r="AF254" i="18"/>
  <c r="AE30" i="18"/>
  <c r="AE180" i="18"/>
  <c r="AF210" i="18"/>
  <c r="AF285" i="18"/>
  <c r="AE95" i="18"/>
  <c r="AF302" i="18"/>
  <c r="AF320" i="18"/>
  <c r="AE134" i="18"/>
  <c r="AF46" i="18"/>
  <c r="AE42" i="18"/>
  <c r="AF248" i="18"/>
  <c r="AF126" i="18"/>
  <c r="AE252" i="18"/>
  <c r="AF114" i="18"/>
  <c r="AE168" i="18"/>
  <c r="AF83" i="18"/>
  <c r="AE358" i="18"/>
  <c r="AF44" i="18"/>
  <c r="AE75" i="18"/>
  <c r="AE356" i="18"/>
  <c r="AE279" i="18"/>
  <c r="AF345" i="18"/>
  <c r="AF306" i="18"/>
  <c r="AE300" i="18"/>
  <c r="AE223" i="18"/>
  <c r="AE259" i="18"/>
  <c r="AE302" i="18"/>
  <c r="AF92" i="18"/>
  <c r="AF295" i="18"/>
  <c r="AF79" i="18"/>
  <c r="AF332" i="18"/>
  <c r="AE120" i="18"/>
  <c r="AF216" i="18"/>
  <c r="AE87" i="18"/>
  <c r="AE320" i="18"/>
  <c r="AE234" i="18"/>
  <c r="AF67" i="18"/>
  <c r="AF124" i="18"/>
  <c r="AF143" i="18"/>
  <c r="AF91" i="18"/>
  <c r="AF171" i="18"/>
  <c r="AF311" i="18"/>
  <c r="AF164" i="18"/>
  <c r="AF291" i="18"/>
  <c r="AE179" i="18"/>
  <c r="AE352" i="18"/>
  <c r="AE44" i="18"/>
  <c r="AE315" i="18"/>
  <c r="AE81" i="18"/>
  <c r="AF284" i="18"/>
  <c r="AF198" i="18"/>
  <c r="AF211" i="18"/>
  <c r="AF176" i="18"/>
  <c r="AE171" i="18"/>
  <c r="AF113" i="18"/>
  <c r="AF58" i="18"/>
  <c r="AE282" i="18"/>
  <c r="X72" i="89"/>
  <c r="W59" i="89"/>
  <c r="X92" i="89"/>
  <c r="W63" i="89"/>
  <c r="X32" i="89"/>
  <c r="X94" i="89"/>
  <c r="W58" i="89"/>
  <c r="X26" i="89"/>
  <c r="X18" i="89"/>
  <c r="W75" i="89"/>
  <c r="X98" i="89"/>
  <c r="X23" i="89"/>
  <c r="W81" i="89"/>
  <c r="X97" i="89"/>
  <c r="X103" i="89"/>
  <c r="X76" i="89"/>
  <c r="W56" i="89"/>
  <c r="W19" i="89"/>
  <c r="W97" i="89"/>
  <c r="X66" i="89"/>
  <c r="X38" i="89"/>
  <c r="W22" i="89"/>
  <c r="W55" i="89"/>
  <c r="W71" i="89"/>
  <c r="W103" i="89"/>
  <c r="W83" i="89"/>
  <c r="W85" i="89"/>
  <c r="W68" i="89"/>
  <c r="X14" i="89"/>
  <c r="X80" i="89"/>
  <c r="X101" i="89"/>
  <c r="W77" i="89"/>
  <c r="X22" i="89"/>
  <c r="X46" i="89"/>
  <c r="W79" i="89"/>
  <c r="X100" i="89"/>
  <c r="X50" i="89"/>
  <c r="W96" i="89"/>
  <c r="X75" i="89"/>
  <c r="X52" i="89"/>
  <c r="W57" i="89"/>
  <c r="X84" i="89"/>
  <c r="W38" i="89"/>
  <c r="W60" i="89"/>
  <c r="W70" i="89"/>
  <c r="X20" i="89"/>
  <c r="W92" i="89"/>
  <c r="X10" i="89"/>
  <c r="W7" i="89"/>
  <c r="X73" i="89"/>
  <c r="X58" i="89"/>
  <c r="X61" i="89"/>
  <c r="X21" i="89"/>
  <c r="X49" i="89"/>
  <c r="W76" i="89"/>
  <c r="W21" i="89"/>
  <c r="W48" i="89"/>
  <c r="W34" i="89"/>
  <c r="W99" i="89"/>
  <c r="W88" i="89"/>
  <c r="X93" i="89"/>
  <c r="X29" i="89"/>
  <c r="W8" i="89"/>
  <c r="W100" i="89"/>
  <c r="W11" i="89"/>
  <c r="X42" i="89"/>
  <c r="X43" i="89"/>
  <c r="W32" i="89"/>
  <c r="X8" i="89"/>
  <c r="W91" i="89"/>
  <c r="W101" i="89"/>
  <c r="W67" i="89"/>
  <c r="X62" i="89"/>
  <c r="X5" i="89"/>
  <c r="X24" i="89"/>
  <c r="W98" i="89"/>
  <c r="X56" i="89"/>
  <c r="W17" i="89"/>
  <c r="X39" i="89"/>
  <c r="W65" i="89"/>
  <c r="W14" i="89"/>
  <c r="W18" i="89"/>
  <c r="X55" i="89"/>
  <c r="W44" i="89"/>
  <c r="W102" i="89"/>
  <c r="X28" i="89"/>
  <c r="W90" i="89"/>
  <c r="W61" i="89"/>
  <c r="W16" i="89"/>
  <c r="X96" i="89"/>
  <c r="W28" i="89"/>
  <c r="W39" i="89"/>
  <c r="X57" i="89"/>
  <c r="X78" i="89"/>
  <c r="W78" i="89"/>
  <c r="X9" i="89"/>
  <c r="W29" i="89"/>
  <c r="X48" i="89"/>
  <c r="X85" i="89"/>
  <c r="X37" i="89"/>
  <c r="W25" i="89"/>
  <c r="W35" i="89"/>
  <c r="X67" i="89"/>
  <c r="W104" i="89"/>
  <c r="X104" i="89"/>
  <c r="X79" i="89"/>
  <c r="X63" i="89"/>
  <c r="X13" i="89"/>
  <c r="W52" i="89"/>
  <c r="X25" i="89"/>
  <c r="W72" i="89"/>
  <c r="X53" i="89"/>
  <c r="W80" i="89"/>
  <c r="W31" i="89"/>
  <c r="W36" i="89"/>
  <c r="X91" i="89"/>
  <c r="W23" i="89"/>
  <c r="W6" i="89"/>
  <c r="X12" i="89"/>
  <c r="X41" i="89"/>
  <c r="X36" i="89"/>
  <c r="X17" i="89"/>
  <c r="X69" i="89"/>
  <c r="X35" i="89"/>
  <c r="W37" i="89"/>
  <c r="X27" i="89"/>
  <c r="W49" i="89"/>
  <c r="X51" i="89"/>
  <c r="W46" i="89"/>
  <c r="X34" i="89"/>
  <c r="X44" i="89"/>
  <c r="X15" i="89"/>
  <c r="W86" i="89"/>
  <c r="W45" i="89"/>
  <c r="W82" i="89"/>
  <c r="X86" i="89"/>
  <c r="W10" i="89"/>
  <c r="X82" i="89"/>
  <c r="W40" i="89"/>
  <c r="W73" i="89"/>
  <c r="W33" i="89"/>
  <c r="W53" i="89"/>
  <c r="X77" i="89"/>
  <c r="W27" i="89"/>
  <c r="X59" i="89"/>
  <c r="W5" i="89"/>
  <c r="X102" i="89"/>
  <c r="W43" i="89"/>
  <c r="W62" i="89"/>
  <c r="X89" i="89"/>
  <c r="X70" i="89"/>
  <c r="W64" i="89"/>
  <c r="X45" i="89"/>
  <c r="X88" i="89"/>
  <c r="W20" i="89"/>
  <c r="W30" i="89"/>
  <c r="W9" i="89"/>
  <c r="W93" i="89"/>
  <c r="W74" i="89"/>
  <c r="W41" i="89"/>
  <c r="W24" i="89"/>
  <c r="X65" i="89"/>
  <c r="W69" i="89"/>
  <c r="W66" i="89"/>
  <c r="W50" i="89"/>
  <c r="W15" i="89"/>
  <c r="W87" i="89"/>
  <c r="X74" i="89"/>
  <c r="W54" i="89"/>
  <c r="X90" i="89"/>
  <c r="W47" i="89"/>
  <c r="X68" i="89"/>
  <c r="X83" i="89"/>
  <c r="W51" i="89"/>
  <c r="W94" i="89"/>
  <c r="W95" i="89"/>
  <c r="X60" i="89"/>
  <c r="X7" i="89"/>
  <c r="X16" i="89"/>
  <c r="X81" i="89"/>
  <c r="X87" i="89"/>
  <c r="W84" i="89"/>
  <c r="X6" i="89"/>
  <c r="X19" i="89"/>
  <c r="X99" i="89"/>
  <c r="W89" i="89"/>
  <c r="X30" i="89"/>
  <c r="X47" i="89"/>
  <c r="X20" i="88" l="1"/>
  <c r="Y6" i="89"/>
  <c r="AC11" i="88" s="1"/>
  <c r="Y7" i="89"/>
  <c r="AC12" i="88" s="1"/>
  <c r="Y8" i="89"/>
  <c r="AC13" i="88" s="1"/>
  <c r="Y10" i="89"/>
  <c r="AC15" i="88" s="1"/>
  <c r="Y9" i="89"/>
  <c r="AC14" i="88" s="1"/>
  <c r="Y5" i="89"/>
  <c r="AC10" i="88" s="1"/>
  <c r="W26" i="89"/>
  <c r="X95" i="89"/>
  <c r="X40" i="89"/>
  <c r="X33" i="89"/>
  <c r="W13" i="89"/>
  <c r="X64" i="89"/>
  <c r="X31" i="89"/>
  <c r="W12" i="89"/>
  <c r="X11" i="89"/>
  <c r="W42" i="89"/>
  <c r="X54" i="89"/>
  <c r="X71" i="89"/>
  <c r="Y99" i="89" l="1"/>
  <c r="AC104" i="88" s="1"/>
  <c r="AE104" i="88" s="1"/>
  <c r="Y104" i="89"/>
  <c r="AC109" i="88" s="1"/>
  <c r="AE109" i="88" s="1"/>
  <c r="Y45" i="89"/>
  <c r="AC50" i="88" s="1"/>
  <c r="AE50" i="88" s="1"/>
  <c r="Y39" i="89"/>
  <c r="AC44" i="88" s="1"/>
  <c r="AE44" i="88" s="1"/>
  <c r="Y50" i="89"/>
  <c r="AC55" i="88" s="1"/>
  <c r="AE55" i="88" s="1"/>
  <c r="Y89" i="89"/>
  <c r="AC94" i="88" s="1"/>
  <c r="AE94" i="88" s="1"/>
  <c r="Y49" i="89"/>
  <c r="AC54" i="88" s="1"/>
  <c r="AS54" i="88" s="1"/>
  <c r="Y24" i="89"/>
  <c r="AC29" i="88" s="1"/>
  <c r="AS29" i="88" s="1"/>
  <c r="Y71" i="89"/>
  <c r="AC76" i="88" s="1"/>
  <c r="AE76" i="88" s="1"/>
  <c r="Y92" i="89"/>
  <c r="AC97" i="88" s="1"/>
  <c r="AS97" i="88" s="1"/>
  <c r="Y33" i="89"/>
  <c r="AC38" i="88" s="1"/>
  <c r="AE38" i="88" s="1"/>
  <c r="Y69" i="89"/>
  <c r="AC74" i="88" s="1"/>
  <c r="AF74" i="88" s="1"/>
  <c r="Y61" i="89"/>
  <c r="AC66" i="88" s="1"/>
  <c r="AS66" i="88" s="1"/>
  <c r="Y11" i="89"/>
  <c r="AC16" i="88" s="1"/>
  <c r="AE16" i="88" s="1"/>
  <c r="Y48" i="89"/>
  <c r="AC53" i="88" s="1"/>
  <c r="AF53" i="88" s="1"/>
  <c r="Y22" i="89"/>
  <c r="AC27" i="88" s="1"/>
  <c r="AE27" i="88" s="1"/>
  <c r="Y40" i="89"/>
  <c r="AC45" i="88" s="1"/>
  <c r="AS45" i="88" s="1"/>
  <c r="Y42" i="89"/>
  <c r="AC47" i="88" s="1"/>
  <c r="AE47" i="88" s="1"/>
  <c r="Y63" i="89"/>
  <c r="AC68" i="88" s="1"/>
  <c r="AS68" i="88" s="1"/>
  <c r="Y15" i="89"/>
  <c r="AC20" i="88" s="1"/>
  <c r="AE20" i="88" s="1"/>
  <c r="Y25" i="89"/>
  <c r="AC30" i="88" s="1"/>
  <c r="AS30" i="88" s="1"/>
  <c r="Y41" i="89"/>
  <c r="AC46" i="88" s="1"/>
  <c r="AS46" i="88" s="1"/>
  <c r="Y98" i="89"/>
  <c r="AC103" i="88" s="1"/>
  <c r="AF103" i="88" s="1"/>
  <c r="Y64" i="89"/>
  <c r="AC69" i="88" s="1"/>
  <c r="AS69" i="88" s="1"/>
  <c r="Y30" i="89"/>
  <c r="AC35" i="88" s="1"/>
  <c r="AE35" i="88" s="1"/>
  <c r="Y20" i="89"/>
  <c r="AC25" i="88" s="1"/>
  <c r="AS25" i="88" s="1"/>
  <c r="Y90" i="89"/>
  <c r="AC95" i="88" s="1"/>
  <c r="AE95" i="88" s="1"/>
  <c r="Y12" i="89"/>
  <c r="AC17" i="88" s="1"/>
  <c r="AE17" i="88" s="1"/>
  <c r="Y29" i="89"/>
  <c r="AC34" i="88" s="1"/>
  <c r="AE34" i="88" s="1"/>
  <c r="Y93" i="89"/>
  <c r="AC98" i="88" s="1"/>
  <c r="AF98" i="88" s="1"/>
  <c r="Y74" i="89"/>
  <c r="AC79" i="88" s="1"/>
  <c r="AE79" i="88" s="1"/>
  <c r="Y81" i="89"/>
  <c r="AC86" i="88" s="1"/>
  <c r="AS86" i="88" s="1"/>
  <c r="Y56" i="89"/>
  <c r="AC61" i="88" s="1"/>
  <c r="AE61" i="88" s="1"/>
  <c r="Y86" i="89"/>
  <c r="AC91" i="88" s="1"/>
  <c r="AS91" i="88" s="1"/>
  <c r="Y17" i="89"/>
  <c r="AC22" i="88" s="1"/>
  <c r="AE22" i="88" s="1"/>
  <c r="Y51" i="89"/>
  <c r="AC56" i="88" s="1"/>
  <c r="AE56" i="88" s="1"/>
  <c r="Y37" i="89"/>
  <c r="AC42" i="88" s="1"/>
  <c r="AE42" i="88" s="1"/>
  <c r="Y82" i="89"/>
  <c r="AC87" i="88" s="1"/>
  <c r="AF87" i="88" s="1"/>
  <c r="Y52" i="89"/>
  <c r="AC57" i="88" s="1"/>
  <c r="AF57" i="88" s="1"/>
  <c r="Y55" i="89"/>
  <c r="AC60" i="88" s="1"/>
  <c r="AS60" i="88" s="1"/>
  <c r="Y18" i="89"/>
  <c r="AC23" i="88" s="1"/>
  <c r="AS23" i="88" s="1"/>
  <c r="Y26" i="89"/>
  <c r="AC31" i="88" s="1"/>
  <c r="AE31" i="88" s="1"/>
  <c r="Y53" i="89"/>
  <c r="AC58" i="88" s="1"/>
  <c r="AE58" i="88" s="1"/>
  <c r="Y91" i="89"/>
  <c r="AC96" i="88" s="1"/>
  <c r="AS96" i="88" s="1"/>
  <c r="Y76" i="89"/>
  <c r="AC81" i="88" s="1"/>
  <c r="AE81" i="88" s="1"/>
  <c r="Y13" i="89"/>
  <c r="AC18" i="88" s="1"/>
  <c r="AE18" i="88" s="1"/>
  <c r="Y102" i="89"/>
  <c r="AC107" i="88" s="1"/>
  <c r="AF107" i="88" s="1"/>
  <c r="Y101" i="89"/>
  <c r="AC106" i="88" s="1"/>
  <c r="AE106" i="88" s="1"/>
  <c r="Y75" i="89"/>
  <c r="AC80" i="88" s="1"/>
  <c r="AE80" i="88" s="1"/>
  <c r="Y67" i="89"/>
  <c r="AC72" i="88" s="1"/>
  <c r="AE72" i="88" s="1"/>
  <c r="Y19" i="89"/>
  <c r="AC24" i="88" s="1"/>
  <c r="AE24" i="88" s="1"/>
  <c r="Y57" i="89"/>
  <c r="AC62" i="88" s="1"/>
  <c r="AE62" i="88" s="1"/>
  <c r="Y43" i="89"/>
  <c r="AC48" i="88" s="1"/>
  <c r="AS48" i="88" s="1"/>
  <c r="Y28" i="89"/>
  <c r="AC33" i="88" s="1"/>
  <c r="AE33" i="88" s="1"/>
  <c r="Y14" i="89"/>
  <c r="AC19" i="88" s="1"/>
  <c r="AS19" i="88" s="1"/>
  <c r="Y73" i="89"/>
  <c r="AC78" i="88" s="1"/>
  <c r="AE78" i="88" s="1"/>
  <c r="Y83" i="89"/>
  <c r="AC88" i="88" s="1"/>
  <c r="AS88" i="88" s="1"/>
  <c r="Y34" i="89"/>
  <c r="AC39" i="88" s="1"/>
  <c r="AE39" i="88" s="1"/>
  <c r="Y96" i="89"/>
  <c r="AC101" i="88" s="1"/>
  <c r="AE101" i="88" s="1"/>
  <c r="Y85" i="89"/>
  <c r="AC90" i="88" s="1"/>
  <c r="AE90" i="88" s="1"/>
  <c r="Y21" i="89"/>
  <c r="AC26" i="88" s="1"/>
  <c r="Y58" i="89"/>
  <c r="AC63" i="88" s="1"/>
  <c r="AS63" i="88" s="1"/>
  <c r="Y59" i="89"/>
  <c r="AC64" i="88" s="1"/>
  <c r="AS64" i="88" s="1"/>
  <c r="Y78" i="89"/>
  <c r="AC83" i="88" s="1"/>
  <c r="AE83" i="88" s="1"/>
  <c r="Y62" i="89"/>
  <c r="AC67" i="88" s="1"/>
  <c r="AS67" i="88" s="1"/>
  <c r="Y94" i="89"/>
  <c r="AC99" i="88" s="1"/>
  <c r="AE99" i="88" s="1"/>
  <c r="Y31" i="89"/>
  <c r="AC36" i="88" s="1"/>
  <c r="AE36" i="88" s="1"/>
  <c r="Y36" i="89"/>
  <c r="AC41" i="88" s="1"/>
  <c r="AF41" i="88" s="1"/>
  <c r="Y100" i="89"/>
  <c r="AC105" i="88" s="1"/>
  <c r="AS105" i="88" s="1"/>
  <c r="Y79" i="89"/>
  <c r="AC84" i="88" s="1"/>
  <c r="AS84" i="88" s="1"/>
  <c r="Y84" i="89"/>
  <c r="AC89" i="88" s="1"/>
  <c r="AE89" i="88" s="1"/>
  <c r="Y103" i="89"/>
  <c r="AC108" i="88" s="1"/>
  <c r="AE108" i="88" s="1"/>
  <c r="Y72" i="89"/>
  <c r="AC77" i="88" s="1"/>
  <c r="AS77" i="88" s="1"/>
  <c r="Y46" i="89"/>
  <c r="AC51" i="88" s="1"/>
  <c r="AS51" i="88" s="1"/>
  <c r="Y27" i="89"/>
  <c r="AC32" i="88" s="1"/>
  <c r="AS32" i="88" s="1"/>
  <c r="Y65" i="89"/>
  <c r="AC70" i="88" s="1"/>
  <c r="AE70" i="88" s="1"/>
  <c r="Y66" i="89"/>
  <c r="AC71" i="88" s="1"/>
  <c r="AS71" i="88" s="1"/>
  <c r="Y68" i="89"/>
  <c r="AC73" i="88" s="1"/>
  <c r="AS73" i="88" s="1"/>
  <c r="Y35" i="89"/>
  <c r="AC40" i="88" s="1"/>
  <c r="AS40" i="88" s="1"/>
  <c r="Y95" i="89"/>
  <c r="AC100" i="88" s="1"/>
  <c r="AE100" i="88" s="1"/>
  <c r="Y97" i="89"/>
  <c r="AC102" i="88" s="1"/>
  <c r="AS102" i="88" s="1"/>
  <c r="Y70" i="89"/>
  <c r="AC75" i="88" s="1"/>
  <c r="AE75" i="88" s="1"/>
  <c r="Y54" i="89"/>
  <c r="AC59" i="88" s="1"/>
  <c r="AE59" i="88" s="1"/>
  <c r="Y44" i="89"/>
  <c r="AC49" i="88" s="1"/>
  <c r="AE49" i="88" s="1"/>
  <c r="Y32" i="89"/>
  <c r="AC37" i="88" s="1"/>
  <c r="AE37" i="88" s="1"/>
  <c r="Y80" i="89"/>
  <c r="AC85" i="88" s="1"/>
  <c r="AS85" i="88" s="1"/>
  <c r="Y77" i="89"/>
  <c r="AC82" i="88" s="1"/>
  <c r="AF82" i="88" s="1"/>
  <c r="Y88" i="89"/>
  <c r="AC93" i="88" s="1"/>
  <c r="AS93" i="88" s="1"/>
  <c r="Y47" i="89"/>
  <c r="AC52" i="88" s="1"/>
  <c r="AS52" i="88" s="1"/>
  <c r="Y87" i="89"/>
  <c r="AC92" i="88" s="1"/>
  <c r="AE92" i="88" s="1"/>
  <c r="Y60" i="89"/>
  <c r="AC65" i="88" s="1"/>
  <c r="AE65" i="88" s="1"/>
  <c r="Y38" i="89"/>
  <c r="AC43" i="88" s="1"/>
  <c r="AE43" i="88" s="1"/>
  <c r="Y16" i="89"/>
  <c r="AC21" i="88" s="1"/>
  <c r="AE21" i="88" s="1"/>
  <c r="Y23" i="89"/>
  <c r="AC28" i="88" s="1"/>
  <c r="AE28" i="88" s="1"/>
  <c r="AE13" i="88"/>
  <c r="AS13" i="88"/>
  <c r="AE10" i="88"/>
  <c r="AS10" i="88"/>
  <c r="AS14" i="88"/>
  <c r="AE14" i="88"/>
  <c r="AE12" i="88"/>
  <c r="AS12" i="88"/>
  <c r="AE11" i="88"/>
  <c r="AS11" i="88"/>
  <c r="AE15" i="88"/>
  <c r="AS15" i="88"/>
  <c r="X21" i="88"/>
  <c r="AF11" i="88"/>
  <c r="AF15" i="88"/>
  <c r="AF13" i="88"/>
  <c r="AF14" i="88"/>
  <c r="AF12" i="88"/>
  <c r="AF10" i="88"/>
  <c r="AE26" i="88" l="1"/>
  <c r="AS26" i="88"/>
  <c r="AS55" i="88"/>
  <c r="AE107" i="88"/>
  <c r="AE96" i="88"/>
  <c r="AE66" i="88"/>
  <c r="AF50" i="88"/>
  <c r="AF26" i="88"/>
  <c r="AS50" i="88"/>
  <c r="AS17" i="88"/>
  <c r="AE97" i="88"/>
  <c r="AE23" i="88"/>
  <c r="AF94" i="88"/>
  <c r="AS109" i="88"/>
  <c r="AF38" i="88"/>
  <c r="AS38" i="88"/>
  <c r="AE74" i="88"/>
  <c r="AS107" i="88"/>
  <c r="AF77" i="88"/>
  <c r="AE68" i="88"/>
  <c r="AF90" i="88"/>
  <c r="AS34" i="88"/>
  <c r="AF42" i="88"/>
  <c r="AE41" i="88"/>
  <c r="AS81" i="88"/>
  <c r="AF55" i="88"/>
  <c r="AF30" i="88"/>
  <c r="AS41" i="88"/>
  <c r="AF71" i="88"/>
  <c r="AE48" i="88"/>
  <c r="AE105" i="88"/>
  <c r="AF76" i="88"/>
  <c r="AS80" i="88"/>
  <c r="AE63" i="88"/>
  <c r="AF49" i="88"/>
  <c r="AS24" i="88"/>
  <c r="AS31" i="88"/>
  <c r="AF31" i="88"/>
  <c r="AF97" i="88"/>
  <c r="AF109" i="88"/>
  <c r="AS92" i="88"/>
  <c r="AE25" i="88"/>
  <c r="AS39" i="88"/>
  <c r="AS99" i="88"/>
  <c r="AS47" i="88"/>
  <c r="AS75" i="88"/>
  <c r="AF39" i="88"/>
  <c r="AF89" i="88"/>
  <c r="AF28" i="88"/>
  <c r="AE91" i="88"/>
  <c r="AF75" i="88"/>
  <c r="AF25" i="88"/>
  <c r="AF73" i="88"/>
  <c r="AF52" i="88"/>
  <c r="AF104" i="88"/>
  <c r="AS76" i="88"/>
  <c r="AS104" i="88"/>
  <c r="AE45" i="88"/>
  <c r="AF35" i="88"/>
  <c r="AF33" i="88"/>
  <c r="AE77" i="88"/>
  <c r="AE98" i="88"/>
  <c r="AE71" i="88"/>
  <c r="AF61" i="88"/>
  <c r="AF102" i="88"/>
  <c r="AF46" i="88"/>
  <c r="AE88" i="88"/>
  <c r="AS21" i="88"/>
  <c r="AS87" i="88"/>
  <c r="AF23" i="88"/>
  <c r="AF63" i="88"/>
  <c r="AE67" i="88"/>
  <c r="AE52" i="88"/>
  <c r="AE85" i="88"/>
  <c r="AE82" i="88"/>
  <c r="AS79" i="88"/>
  <c r="AF96" i="88"/>
  <c r="AS33" i="88"/>
  <c r="AE73" i="88"/>
  <c r="AE46" i="88"/>
  <c r="AS89" i="88"/>
  <c r="AF45" i="88"/>
  <c r="AF80" i="88"/>
  <c r="AF20" i="88"/>
  <c r="AF79" i="88"/>
  <c r="AS98" i="88"/>
  <c r="AE102" i="88"/>
  <c r="AS94" i="88"/>
  <c r="AS103" i="88"/>
  <c r="AS82" i="88"/>
  <c r="AE40" i="88"/>
  <c r="AE64" i="88"/>
  <c r="AE103" i="88"/>
  <c r="AF40" i="88"/>
  <c r="AF44" i="88"/>
  <c r="AF64" i="88"/>
  <c r="AS74" i="88"/>
  <c r="AS62" i="88"/>
  <c r="AE57" i="88"/>
  <c r="AF83" i="88"/>
  <c r="AS53" i="88"/>
  <c r="AF85" i="88"/>
  <c r="AF19" i="88"/>
  <c r="AE19" i="88"/>
  <c r="AE53" i="88"/>
  <c r="AE84" i="88"/>
  <c r="AS28" i="88"/>
  <c r="AE54" i="88"/>
  <c r="AE87" i="88"/>
  <c r="AF54" i="88"/>
  <c r="AS57" i="88"/>
  <c r="AF16" i="88"/>
  <c r="AF84" i="88"/>
  <c r="AF78" i="88"/>
  <c r="AF27" i="88"/>
  <c r="AS16" i="88"/>
  <c r="AS20" i="88"/>
  <c r="AS18" i="88"/>
  <c r="AS100" i="88"/>
  <c r="AF43" i="88"/>
  <c r="AF18" i="88"/>
  <c r="AS78" i="88"/>
  <c r="AE60" i="88"/>
  <c r="AS43" i="88"/>
  <c r="AF99" i="88"/>
  <c r="AF67" i="88"/>
  <c r="AF105" i="88"/>
  <c r="AF72" i="88"/>
  <c r="AF56" i="88"/>
  <c r="AS90" i="88"/>
  <c r="AE51" i="88"/>
  <c r="AS56" i="88"/>
  <c r="AS42" i="88"/>
  <c r="AS37" i="88"/>
  <c r="AS61" i="88"/>
  <c r="AF62" i="88"/>
  <c r="AF66" i="88"/>
  <c r="AF91" i="88"/>
  <c r="AF81" i="88"/>
  <c r="AF47" i="88"/>
  <c r="AF51" i="88"/>
  <c r="AS70" i="88"/>
  <c r="AS65" i="88"/>
  <c r="AS72" i="88"/>
  <c r="AS44" i="88"/>
  <c r="AS35" i="88"/>
  <c r="AE30" i="88"/>
  <c r="AS49" i="88"/>
  <c r="AF48" i="88"/>
  <c r="AF22" i="88"/>
  <c r="AF95" i="88"/>
  <c r="AF68" i="88"/>
  <c r="AF88" i="88"/>
  <c r="AF34" i="88"/>
  <c r="AF70" i="88"/>
  <c r="AF37" i="88"/>
  <c r="AF92" i="88"/>
  <c r="AS36" i="88"/>
  <c r="AS95" i="88"/>
  <c r="AF24" i="88"/>
  <c r="AF36" i="88"/>
  <c r="AF93" i="88"/>
  <c r="AF58" i="88"/>
  <c r="AF65" i="88"/>
  <c r="AE93" i="88"/>
  <c r="AS83" i="88"/>
  <c r="AE69" i="88"/>
  <c r="AS58" i="88"/>
  <c r="AF32" i="88"/>
  <c r="AF29" i="88"/>
  <c r="AF101" i="88"/>
  <c r="AF106" i="88"/>
  <c r="AS108" i="88"/>
  <c r="AF100" i="88"/>
  <c r="AF59" i="88"/>
  <c r="AF108" i="88"/>
  <c r="AS101" i="88"/>
  <c r="AS59" i="88"/>
  <c r="AE86" i="88"/>
  <c r="AE32" i="88"/>
  <c r="AS22" i="88"/>
  <c r="AS27" i="88"/>
  <c r="AE29" i="88"/>
  <c r="AS106" i="88"/>
  <c r="AF60" i="88"/>
  <c r="AF86" i="88"/>
  <c r="AF69" i="88"/>
  <c r="X22" i="88"/>
  <c r="AG21" i="88"/>
  <c r="AG37" i="88"/>
  <c r="AG17" i="88"/>
  <c r="AG61" i="88"/>
  <c r="AG40" i="88"/>
  <c r="AG55" i="88"/>
  <c r="AG44" i="88"/>
  <c r="AG14" i="88"/>
  <c r="AG50" i="88"/>
  <c r="AG20" i="88"/>
  <c r="AG25" i="88"/>
  <c r="AG96" i="88"/>
  <c r="AG19" i="88"/>
  <c r="AG64" i="88"/>
  <c r="AG98" i="88"/>
  <c r="AG86" i="88"/>
  <c r="AG70" i="88"/>
  <c r="AG49" i="88"/>
  <c r="AG69" i="88"/>
  <c r="AG36" i="88"/>
  <c r="AG100" i="88"/>
  <c r="AG93" i="88"/>
  <c r="AG43" i="88"/>
  <c r="AG97" i="88"/>
  <c r="AG76" i="88"/>
  <c r="AG89" i="88"/>
  <c r="AG35" i="88"/>
  <c r="AG84" i="88"/>
  <c r="AG81" i="88"/>
  <c r="AG54" i="88"/>
  <c r="AG45" i="88"/>
  <c r="AG30" i="88"/>
  <c r="AG13" i="88"/>
  <c r="AG23" i="88"/>
  <c r="AG106" i="88"/>
  <c r="AG78" i="88"/>
  <c r="AG90" i="88"/>
  <c r="AG83" i="88"/>
  <c r="AG74" i="88"/>
  <c r="AG99" i="88"/>
  <c r="AG73" i="88"/>
  <c r="AG82" i="88"/>
  <c r="AG56" i="88"/>
  <c r="AG18" i="88"/>
  <c r="AF21" i="88"/>
  <c r="AG28" i="88"/>
  <c r="AG95" i="88"/>
  <c r="AG77" i="88"/>
  <c r="AG104" i="88"/>
  <c r="AG38" i="88"/>
  <c r="AG47" i="88"/>
  <c r="AG46" i="88"/>
  <c r="AG87" i="88"/>
  <c r="AG31" i="88"/>
  <c r="AG15" i="88"/>
  <c r="AG88" i="88"/>
  <c r="AG26" i="88"/>
  <c r="AG11" i="88"/>
  <c r="AG80" i="88"/>
  <c r="AG72" i="88"/>
  <c r="AG102" i="88"/>
  <c r="AG24" i="88"/>
  <c r="AG27" i="88"/>
  <c r="AG67" i="88"/>
  <c r="AF17" i="88"/>
  <c r="AG16" i="88"/>
  <c r="AG105" i="88"/>
  <c r="AG109" i="88"/>
  <c r="AG68" i="88"/>
  <c r="AG103" i="88"/>
  <c r="AG57" i="88"/>
  <c r="AG58" i="88"/>
  <c r="AG33" i="88"/>
  <c r="AG39" i="88"/>
  <c r="AG63" i="88"/>
  <c r="AG34" i="88"/>
  <c r="AG79" i="88"/>
  <c r="AG51" i="88"/>
  <c r="AG59" i="88"/>
  <c r="AG65" i="88"/>
  <c r="AG108" i="88"/>
  <c r="AG75" i="88"/>
  <c r="AG66" i="88"/>
  <c r="AG41" i="88"/>
  <c r="AG52" i="88"/>
  <c r="AG91" i="88"/>
  <c r="AG48" i="88"/>
  <c r="AG22" i="88"/>
  <c r="AG53" i="88"/>
  <c r="AG94" i="88"/>
  <c r="AG107" i="88"/>
  <c r="AG60" i="88"/>
  <c r="AG101" i="88"/>
  <c r="AG62" i="88"/>
  <c r="AG32" i="88"/>
  <c r="AG71" i="88"/>
  <c r="AG29" i="88"/>
  <c r="AG85" i="88"/>
  <c r="AG92" i="88"/>
  <c r="AG42" i="88"/>
  <c r="AG12" i="88"/>
  <c r="AG10" i="88"/>
  <c r="X23" i="88" l="1"/>
  <c r="X24" i="88" l="1"/>
  <c r="X25" i="88" l="1"/>
  <c r="X26" i="88" l="1"/>
  <c r="X27" i="88" l="1"/>
  <c r="X28" i="88" l="1"/>
  <c r="X29" i="88" l="1"/>
  <c r="X30" i="88" l="1"/>
  <c r="X31" i="88" l="1"/>
  <c r="X32" i="88" l="1"/>
  <c r="X33" i="88" l="1"/>
  <c r="X34" i="88" l="1"/>
  <c r="X35" i="88" l="1"/>
  <c r="X36" i="88" l="1"/>
  <c r="X37" i="88" l="1"/>
  <c r="X38" i="88" l="1"/>
  <c r="X39" i="88" l="1"/>
  <c r="X40" i="88" l="1"/>
  <c r="X41" i="88" l="1"/>
  <c r="X42" i="88" l="1"/>
  <c r="X43" i="88" l="1"/>
  <c r="X44" i="88" l="1"/>
  <c r="X45" i="88" l="1"/>
  <c r="X46" i="88" l="1"/>
  <c r="X47" i="88" l="1"/>
  <c r="X48" i="88" l="1"/>
  <c r="X49" i="88" l="1"/>
  <c r="X50" i="88" l="1"/>
  <c r="X51" i="88" l="1"/>
  <c r="X52" i="88" l="1"/>
  <c r="X53" i="88" l="1"/>
  <c r="X54" i="88" l="1"/>
  <c r="X55" i="88" l="1"/>
  <c r="X56" i="88" l="1"/>
  <c r="X57" i="88" l="1"/>
  <c r="X58" i="88" l="1"/>
  <c r="X59" i="88" l="1"/>
  <c r="X60" i="88" l="1"/>
  <c r="X61" i="88" l="1"/>
  <c r="X62" i="88" l="1"/>
  <c r="X63" i="88" l="1"/>
  <c r="X64" i="88" l="1"/>
  <c r="X65" i="88" l="1"/>
  <c r="X66" i="88" l="1"/>
  <c r="X67" i="88" l="1"/>
  <c r="X68" i="88" l="1"/>
  <c r="X69" i="88" l="1"/>
  <c r="X70" i="88" l="1"/>
  <c r="X71" i="88" l="1"/>
  <c r="X72" i="88" l="1"/>
  <c r="X73" i="88" l="1"/>
  <c r="X74" i="88" l="1"/>
  <c r="X75" i="88" l="1"/>
  <c r="X76" i="88" l="1"/>
  <c r="X77" i="88" l="1"/>
  <c r="X78" i="88" l="1"/>
  <c r="X79" i="88" l="1"/>
  <c r="X80" i="88" l="1"/>
  <c r="X81" i="88" l="1"/>
  <c r="X82" i="88" l="1"/>
  <c r="X83" i="88" l="1"/>
  <c r="X84" i="88" l="1"/>
  <c r="X85" i="88" l="1"/>
  <c r="X86" i="88" l="1"/>
  <c r="X87" i="88" l="1"/>
  <c r="X88" i="88" l="1"/>
  <c r="X89" i="88" l="1"/>
  <c r="X90" i="88" l="1"/>
  <c r="X91" i="88" l="1"/>
  <c r="X92" i="88" l="1"/>
  <c r="X93" i="88" l="1"/>
  <c r="X94" i="88" l="1"/>
  <c r="X95" i="88" l="1"/>
  <c r="X96" i="88" l="1"/>
  <c r="X97" i="88" l="1"/>
  <c r="X98" i="88" l="1"/>
  <c r="X99" i="88" l="1"/>
  <c r="X100" i="88" l="1"/>
  <c r="X101" i="88" l="1"/>
  <c r="X102" i="88" l="1"/>
  <c r="X103" i="88" l="1"/>
  <c r="X104" i="88" l="1"/>
  <c r="X105" i="88" l="1"/>
  <c r="X106" i="88" l="1"/>
  <c r="X107" i="88" l="1"/>
  <c r="X109" i="88" l="1"/>
  <c r="X108" i="8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P21" authorId="0" shapeId="0" xr:uid="{8FCF91EC-B425-44BF-9FC1-5A81B62B663E}">
      <text>
        <r>
          <rPr>
            <b/>
            <sz val="9"/>
            <color indexed="81"/>
            <rFont val="宋体"/>
            <family val="3"/>
            <charset val="134"/>
          </rPr>
          <t>+2为圣人主动技效果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8" authorId="0" shapeId="0" xr:uid="{1B63E0EB-E551-4F64-99B7-20B08C54EE08}">
      <text>
        <r>
          <rPr>
            <b/>
            <sz val="9"/>
            <color indexed="81"/>
            <rFont val="宋体"/>
            <family val="3"/>
            <charset val="134"/>
          </rPr>
          <t>每日获取声望上限值暂定为最高2个等级城池得声望相加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25" authorId="0" shapeId="0" xr:uid="{9B3D36EA-574A-4113-A2CC-C841616867CB}">
      <text>
        <r>
          <rPr>
            <b/>
            <sz val="9"/>
            <color indexed="81"/>
            <rFont val="宋体"/>
            <family val="3"/>
            <charset val="134"/>
          </rPr>
          <t>表示指定国籍武将需求数量为所填值</t>
        </r>
      </text>
    </comment>
    <comment ref="B26" authorId="0" shapeId="0" xr:uid="{E0B50098-E09E-43E6-B932-18F848115599}">
      <text>
        <r>
          <rPr>
            <sz val="9"/>
            <color indexed="81"/>
            <rFont val="宋体"/>
            <family val="3"/>
            <charset val="134"/>
          </rPr>
          <t>表示指定</t>
        </r>
        <r>
          <rPr>
            <b/>
            <sz val="9"/>
            <color indexed="81"/>
            <rFont val="宋体"/>
            <family val="3"/>
            <charset val="134"/>
          </rPr>
          <t>资质及以上</t>
        </r>
        <r>
          <rPr>
            <sz val="9"/>
            <color indexed="81"/>
            <rFont val="宋体"/>
            <family val="3"/>
            <charset val="134"/>
          </rPr>
          <t>的武将需求数量为所填值</t>
        </r>
      </text>
    </comment>
    <comment ref="B28" authorId="0" shapeId="0" xr:uid="{21B44F36-B7B8-4B9F-BF64-81B7E8241D1A}">
      <text>
        <r>
          <rPr>
            <b/>
            <sz val="9"/>
            <color indexed="81"/>
            <rFont val="宋体"/>
            <family val="3"/>
            <charset val="134"/>
          </rPr>
          <t>表示指定职业武将需求数量为所填值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M5" authorId="0" shapeId="0" xr:uid="{3EC60E5C-A0E7-4D3E-ABC8-A10AA80A88F6}">
      <text>
        <r>
          <rPr>
            <sz val="9"/>
            <color indexed="81"/>
            <rFont val="宋体"/>
            <family val="3"/>
            <charset val="134"/>
          </rPr>
          <t>实际每次击飞城池给军团发放的声望</t>
        </r>
        <r>
          <rPr>
            <b/>
            <sz val="9"/>
            <color indexed="81"/>
            <rFont val="宋体"/>
            <family val="3"/>
            <charset val="134"/>
          </rPr>
          <t>=min（剩余声望，声望随机标准值）*随机比例
注：</t>
        </r>
        <r>
          <rPr>
            <sz val="9"/>
            <color indexed="81"/>
            <rFont val="宋体"/>
            <family val="3"/>
            <charset val="134"/>
          </rPr>
          <t>当发放声望值小于声望随机标准值*最小随机比例时，直接发放全部剩余声望</t>
        </r>
      </text>
    </comment>
  </commentList>
</comments>
</file>

<file path=xl/sharedStrings.xml><?xml version="1.0" encoding="utf-8"?>
<sst xmlns="http://schemas.openxmlformats.org/spreadsheetml/2006/main" count="550" uniqueCount="274">
  <si>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</si>
  <si>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</si>
  <si>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</si>
  <si>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</si>
  <si>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</si>
  <si>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</si>
  <si>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</si>
  <si>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</si>
  <si>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</si>
  <si>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</si>
  <si>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</si>
  <si>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</si>
  <si>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</si>
  <si>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</si>
  <si>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</si>
  <si>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</si>
  <si>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</si>
  <si>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兵营等级累积停留时间(天）</t>
    <phoneticPr fontId="1" type="noConversion"/>
  </si>
  <si>
    <t>兵营等级</t>
    <phoneticPr fontId="1" type="noConversion"/>
  </si>
  <si>
    <t>对应玩家等级</t>
    <phoneticPr fontId="1" type="noConversion"/>
  </si>
  <si>
    <t>兵营等级和</t>
    <phoneticPr fontId="1" type="noConversion"/>
  </si>
  <si>
    <t>大殿等级对应兵营等级</t>
    <phoneticPr fontId="1" type="noConversion"/>
  </si>
  <si>
    <t>大殿等级</t>
    <phoneticPr fontId="1" type="noConversion"/>
  </si>
  <si>
    <t>步兵营</t>
    <phoneticPr fontId="1" type="noConversion"/>
  </si>
  <si>
    <t>骑兵营</t>
    <phoneticPr fontId="1" type="noConversion"/>
  </si>
  <si>
    <t>弓兵营</t>
    <phoneticPr fontId="1" type="noConversion"/>
  </si>
  <si>
    <t>器械营</t>
    <phoneticPr fontId="1" type="noConversion"/>
  </si>
  <si>
    <t>定义等级</t>
    <phoneticPr fontId="1" type="noConversion"/>
  </si>
  <si>
    <t>定义等级累积停留天数（天）</t>
    <phoneticPr fontId="1" type="noConversion"/>
  </si>
  <si>
    <t>定义等级阶段停留天数（天）</t>
    <phoneticPr fontId="1" type="noConversion"/>
  </si>
  <si>
    <t>天数对应定义等级</t>
    <phoneticPr fontId="1" type="noConversion"/>
  </si>
  <si>
    <t>非r累积时长定义等级标准</t>
    <phoneticPr fontId="1" type="noConversion"/>
  </si>
  <si>
    <t>训练营等级</t>
    <phoneticPr fontId="1" type="noConversion"/>
  </si>
  <si>
    <t>训练营等级累积停留时间(天）</t>
    <phoneticPr fontId="1" type="noConversion"/>
  </si>
  <si>
    <t>军团声望</t>
    <phoneticPr fontId="1" type="noConversion"/>
  </si>
  <si>
    <t>来源</t>
    <phoneticPr fontId="1" type="noConversion"/>
  </si>
  <si>
    <t>攻占城池</t>
    <phoneticPr fontId="1" type="noConversion"/>
  </si>
  <si>
    <t>军团义军任务</t>
    <phoneticPr fontId="1" type="noConversion"/>
  </si>
  <si>
    <t>效果</t>
    <phoneticPr fontId="1" type="noConversion"/>
  </si>
  <si>
    <t>提升军团可攻占城池数量</t>
    <phoneticPr fontId="1" type="noConversion"/>
  </si>
  <si>
    <t>互市</t>
    <phoneticPr fontId="1" type="noConversion"/>
  </si>
  <si>
    <t>匈奴</t>
    <phoneticPr fontId="1" type="noConversion"/>
  </si>
  <si>
    <t>胡人</t>
    <phoneticPr fontId="1" type="noConversion"/>
  </si>
  <si>
    <t>匈奴声望</t>
    <phoneticPr fontId="1" type="noConversion"/>
  </si>
  <si>
    <t>胡人声望</t>
    <phoneticPr fontId="1" type="noConversion"/>
  </si>
  <si>
    <t>声望来源</t>
    <phoneticPr fontId="1" type="noConversion"/>
  </si>
  <si>
    <t>打野掉落道具</t>
    <phoneticPr fontId="1" type="noConversion"/>
  </si>
  <si>
    <t>交易增加声望</t>
    <phoneticPr fontId="1" type="noConversion"/>
  </si>
  <si>
    <t>匈奴互市</t>
    <phoneticPr fontId="1" type="noConversion"/>
  </si>
  <si>
    <t>胡人互市</t>
    <phoneticPr fontId="1" type="noConversion"/>
  </si>
  <si>
    <t>交换玄铁</t>
    <phoneticPr fontId="1" type="noConversion"/>
  </si>
  <si>
    <t>特性</t>
    <phoneticPr fontId="1" type="noConversion"/>
  </si>
  <si>
    <t>军团等级</t>
    <phoneticPr fontId="1" type="noConversion"/>
  </si>
  <si>
    <t>声望等级</t>
    <phoneticPr fontId="1" type="noConversion"/>
  </si>
  <si>
    <t>升至本级阶段声望值</t>
    <phoneticPr fontId="1" type="noConversion"/>
  </si>
  <si>
    <t>累计声望值</t>
    <phoneticPr fontId="1" type="noConversion"/>
  </si>
  <si>
    <t>预估达成阶段时间</t>
    <phoneticPr fontId="1" type="noConversion"/>
  </si>
  <si>
    <t>城池等级</t>
    <phoneticPr fontId="1" type="noConversion"/>
  </si>
  <si>
    <t>阶段解锁时间</t>
    <phoneticPr fontId="1" type="noConversion"/>
  </si>
  <si>
    <t>累计城池解锁时间</t>
    <phoneticPr fontId="1" type="noConversion"/>
  </si>
  <si>
    <t>赛季天数</t>
    <phoneticPr fontId="1" type="noConversion"/>
  </si>
  <si>
    <t>每日可放弃城池数量</t>
    <phoneticPr fontId="1" type="noConversion"/>
  </si>
  <si>
    <t>可进攻城池最高等级</t>
    <phoneticPr fontId="1" type="noConversion"/>
  </si>
  <si>
    <t>预估达成天数</t>
    <phoneticPr fontId="1" type="noConversion"/>
  </si>
  <si>
    <t>科技</t>
  </si>
  <si>
    <t>仓库上限</t>
  </si>
  <si>
    <t>军团技术捐献上限</t>
  </si>
  <si>
    <t>军团占领城池上限</t>
  </si>
  <si>
    <t>招募速度</t>
  </si>
  <si>
    <t>建筑速度</t>
  </si>
  <si>
    <t>非对阵主公行军速度</t>
  </si>
  <si>
    <t>对阵主公行军速度</t>
  </si>
  <si>
    <t>部队攻城值</t>
  </si>
  <si>
    <t>疲劳上限</t>
  </si>
  <si>
    <t>科技等级对应达成天数</t>
    <phoneticPr fontId="1" type="noConversion"/>
  </si>
  <si>
    <t>军团占领城池上限</t>
    <phoneticPr fontId="1" type="noConversion"/>
  </si>
  <si>
    <t>军团技术等级</t>
    <phoneticPr fontId="1" type="noConversion"/>
  </si>
  <si>
    <t>预估城池数量</t>
    <phoneticPr fontId="1" type="noConversion"/>
  </si>
  <si>
    <t>军团可占领城池上限</t>
    <phoneticPr fontId="1" type="noConversion"/>
  </si>
  <si>
    <t>预估达成累计时间</t>
    <phoneticPr fontId="1" type="noConversion"/>
  </si>
  <si>
    <t>每日可攻占城池次数</t>
    <phoneticPr fontId="1" type="noConversion"/>
  </si>
  <si>
    <t>军团技术</t>
    <phoneticPr fontId="1" type="noConversion"/>
  </si>
  <si>
    <t>城池解锁</t>
    <phoneticPr fontId="1" type="noConversion"/>
  </si>
  <si>
    <t>累计可攻占城池数量</t>
    <phoneticPr fontId="1" type="noConversion"/>
  </si>
  <si>
    <t>奖励声望</t>
    <phoneticPr fontId="1" type="noConversion"/>
  </si>
  <si>
    <t>累计获得声望</t>
    <phoneticPr fontId="1" type="noConversion"/>
  </si>
  <si>
    <t>阶段获得声望</t>
    <phoneticPr fontId="1" type="noConversion"/>
  </si>
  <si>
    <t>军团等级</t>
  </si>
  <si>
    <t>预估1级升至本级的完成天数</t>
  </si>
  <si>
    <t>预估军团人数</t>
  </si>
  <si>
    <t>4赛季军团人数</t>
    <phoneticPr fontId="1" type="noConversion"/>
  </si>
  <si>
    <t>任务品质</t>
    <phoneticPr fontId="1" type="noConversion"/>
  </si>
  <si>
    <t>任务颜色</t>
    <phoneticPr fontId="1" type="noConversion"/>
  </si>
  <si>
    <t>绿</t>
  </si>
  <si>
    <t>绿</t>
    <phoneticPr fontId="1" type="noConversion"/>
  </si>
  <si>
    <t>蓝</t>
  </si>
  <si>
    <t>蓝</t>
    <phoneticPr fontId="1" type="noConversion"/>
  </si>
  <si>
    <t>紫</t>
  </si>
  <si>
    <t>紫</t>
    <phoneticPr fontId="1" type="noConversion"/>
  </si>
  <si>
    <t>橙</t>
  </si>
  <si>
    <t>橙</t>
    <phoneticPr fontId="1" type="noConversion"/>
  </si>
  <si>
    <t>国籍</t>
    <phoneticPr fontId="1" type="noConversion"/>
  </si>
  <si>
    <t>最少上阵武将数量</t>
    <phoneticPr fontId="1" type="noConversion"/>
  </si>
  <si>
    <t>职业</t>
    <phoneticPr fontId="1" type="noConversion"/>
  </si>
  <si>
    <t>资质</t>
    <phoneticPr fontId="1" type="noConversion"/>
  </si>
  <si>
    <t>任务基础条件</t>
    <phoneticPr fontId="1" type="noConversion"/>
  </si>
  <si>
    <t>最大武将空位</t>
    <phoneticPr fontId="1" type="noConversion"/>
  </si>
  <si>
    <t>加成上限</t>
    <phoneticPr fontId="1" type="noConversion"/>
  </si>
  <si>
    <t>设计说明：</t>
    <phoneticPr fontId="1" type="noConversion"/>
  </si>
  <si>
    <t>1、参考了《荣耀新三国》陈情玩法</t>
    <phoneticPr fontId="1" type="noConversion"/>
  </si>
  <si>
    <t>2、基础条件和加成条件2选1控量，默认玩家效用拿满</t>
    <phoneticPr fontId="1" type="noConversion"/>
  </si>
  <si>
    <t>任务加成条件值</t>
    <phoneticPr fontId="1" type="noConversion"/>
  </si>
  <si>
    <t>每日刷新概率</t>
    <phoneticPr fontId="1" type="noConversion"/>
  </si>
  <si>
    <t>每日可完成任务数量</t>
    <phoneticPr fontId="1" type="noConversion"/>
  </si>
  <si>
    <t>任务名称</t>
    <phoneticPr fontId="1" type="noConversion"/>
  </si>
  <si>
    <t>剿除匪患</t>
    <phoneticPr fontId="1" type="noConversion"/>
  </si>
  <si>
    <t>运送粮草</t>
    <phoneticPr fontId="1" type="noConversion"/>
  </si>
  <si>
    <t>大兴土木</t>
    <phoneticPr fontId="1" type="noConversion"/>
  </si>
  <si>
    <t>开山凿石</t>
    <phoneticPr fontId="1" type="noConversion"/>
  </si>
  <si>
    <t>军令如山</t>
    <phoneticPr fontId="1" type="noConversion"/>
  </si>
  <si>
    <t>开采铜山</t>
    <phoneticPr fontId="1" type="noConversion"/>
  </si>
  <si>
    <t>挖掘铁矿</t>
    <phoneticPr fontId="1" type="noConversion"/>
  </si>
  <si>
    <t>洞察秋毫</t>
    <phoneticPr fontId="1" type="noConversion"/>
  </si>
  <si>
    <t>神机妙算</t>
    <phoneticPr fontId="1" type="noConversion"/>
  </si>
  <si>
    <t>溯本求源</t>
    <phoneticPr fontId="1" type="noConversion"/>
  </si>
  <si>
    <t>每日刷新次数</t>
    <phoneticPr fontId="1" type="noConversion"/>
  </si>
  <si>
    <t>花费价格</t>
    <phoneticPr fontId="1" type="noConversion"/>
  </si>
  <si>
    <t>任务完成时长（秒）</t>
    <phoneticPr fontId="1" type="noConversion"/>
  </si>
  <si>
    <t>刷新1次</t>
    <phoneticPr fontId="1" type="noConversion"/>
  </si>
  <si>
    <t>刷新2次</t>
  </si>
  <si>
    <t>刷新3次</t>
  </si>
  <si>
    <t>刷新4次</t>
  </si>
  <si>
    <t>刷新5次</t>
  </si>
  <si>
    <t>刷新6次</t>
  </si>
  <si>
    <t>刷新7次</t>
  </si>
  <si>
    <t>刷新8次</t>
  </si>
  <si>
    <t>刷新9次</t>
  </si>
  <si>
    <t>刷新10次</t>
  </si>
  <si>
    <t>每天</t>
    <phoneticPr fontId="1" type="noConversion"/>
  </si>
  <si>
    <t>期望结果</t>
    <phoneticPr fontId="1" type="noConversion"/>
  </si>
  <si>
    <t>每日自动刷新</t>
    <phoneticPr fontId="1" type="noConversion"/>
  </si>
  <si>
    <t>声望产出</t>
    <phoneticPr fontId="1" type="noConversion"/>
  </si>
  <si>
    <t>非r</t>
  </si>
  <si>
    <t>小r</t>
  </si>
  <si>
    <t>中r</t>
  </si>
  <si>
    <t>大r</t>
  </si>
  <si>
    <t>超r</t>
  </si>
  <si>
    <t>玩家定位</t>
    <phoneticPr fontId="1" type="noConversion"/>
  </si>
  <si>
    <t>天数</t>
  </si>
  <si>
    <t>各r分布比例</t>
    <phoneticPr fontId="1" type="noConversion"/>
  </si>
  <si>
    <t>3、开启赛季为4赛季，开启时间=</t>
    <phoneticPr fontId="1" type="noConversion"/>
  </si>
  <si>
    <t>天</t>
    <phoneticPr fontId="1" type="noConversion"/>
  </si>
  <si>
    <t>产出声望</t>
    <phoneticPr fontId="1" type="noConversion"/>
  </si>
  <si>
    <t>各r对应任务阶段产出声望值</t>
    <phoneticPr fontId="1" type="noConversion"/>
  </si>
  <si>
    <t>累计产出军团声望</t>
    <phoneticPr fontId="1" type="noConversion"/>
  </si>
  <si>
    <t>设计说明</t>
    <phoneticPr fontId="1" type="noConversion"/>
  </si>
  <si>
    <t>国家权重=（全服各国总势力值/国家势力值）^M
注：M支持配置，用来控制各个国家权重差异</t>
    <phoneticPr fontId="1" type="noConversion"/>
  </si>
  <si>
    <t>移动营寨</t>
    <phoneticPr fontId="1" type="noConversion"/>
  </si>
  <si>
    <t>黄金</t>
    <phoneticPr fontId="1" type="noConversion"/>
  </si>
  <si>
    <t>1、刷新规则公式：</t>
    <phoneticPr fontId="1" type="noConversion"/>
  </si>
  <si>
    <t>2、每日刷新数量=</t>
    <phoneticPr fontId="1" type="noConversion"/>
  </si>
  <si>
    <t>3、营寨等级等于所在郡的基础等级</t>
    <phoneticPr fontId="1" type="noConversion"/>
  </si>
  <si>
    <t>声望随机标准值</t>
    <phoneticPr fontId="1" type="noConversion"/>
  </si>
  <si>
    <t>产出声望上限</t>
    <phoneticPr fontId="1" type="noConversion"/>
  </si>
  <si>
    <t>移动营寨信息</t>
    <phoneticPr fontId="1" type="noConversion"/>
  </si>
  <si>
    <t>移动营寨等级</t>
    <phoneticPr fontId="1" type="noConversion"/>
  </si>
  <si>
    <t>min（剩余声望，声望随机标准值）*随机比例</t>
    <phoneticPr fontId="1" type="noConversion"/>
  </si>
  <si>
    <t>下限</t>
    <phoneticPr fontId="1" type="noConversion"/>
  </si>
  <si>
    <t>上限</t>
    <phoneticPr fontId="1" type="noConversion"/>
  </si>
  <si>
    <t>兵家信物</t>
    <phoneticPr fontId="1" type="noConversion"/>
  </si>
  <si>
    <t>1级礼包</t>
    <phoneticPr fontId="1" type="noConversion"/>
  </si>
  <si>
    <t>2级礼包</t>
  </si>
  <si>
    <t>3级礼包</t>
  </si>
  <si>
    <t>5、各等级营寨产出声望一致，每次击飞移动营寨获得的声望公式如下：</t>
    <phoneticPr fontId="1" type="noConversion"/>
  </si>
  <si>
    <t>6、每次击飞营寨获得声望随机比例范围：</t>
    <phoneticPr fontId="1" type="noConversion"/>
  </si>
  <si>
    <t>4级礼包</t>
  </si>
  <si>
    <t>5级礼包</t>
  </si>
  <si>
    <t>6级礼包</t>
  </si>
  <si>
    <t>7级礼包</t>
  </si>
  <si>
    <t>个移动营寨</t>
    <phoneticPr fontId="1" type="noConversion"/>
  </si>
  <si>
    <t>4、每个赛季开服第</t>
    <phoneticPr fontId="1" type="noConversion"/>
  </si>
  <si>
    <t>礼包设计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</si>
  <si>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</si>
  <si>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</si>
  <si>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</si>
  <si>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</si>
  <si>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</si>
  <si>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</si>
  <si>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buff效果</t>
    <phoneticPr fontId="1" type="noConversion"/>
  </si>
  <si>
    <t>单位价值（100%加成/天）</t>
    <phoneticPr fontId="1" type="noConversion"/>
  </si>
  <si>
    <t>奖励内容</t>
    <phoneticPr fontId="1" type="noConversion"/>
  </si>
  <si>
    <t>价值</t>
    <phoneticPr fontId="1" type="noConversion"/>
  </si>
  <si>
    <t>礼包价值</t>
    <phoneticPr fontId="1" type="noConversion"/>
  </si>
  <si>
    <t>礼包名称</t>
    <phoneticPr fontId="1" type="noConversion"/>
  </si>
  <si>
    <t>数量</t>
    <phoneticPr fontId="1" type="noConversion"/>
  </si>
  <si>
    <t>权重</t>
    <phoneticPr fontId="1" type="noConversion"/>
  </si>
  <si>
    <t>军团币</t>
    <phoneticPr fontId="1" type="noConversion"/>
  </si>
  <si>
    <t>高级点将牌</t>
    <phoneticPr fontId="1" type="noConversion"/>
  </si>
  <si>
    <t>通用5分钟加速令</t>
  </si>
  <si>
    <t>通用5分钟加速令</t>
    <phoneticPr fontId="1" type="noConversion"/>
  </si>
  <si>
    <t>一吊刀币</t>
  </si>
  <si>
    <t>一吊刀币</t>
    <phoneticPr fontId="1" type="noConversion"/>
  </si>
  <si>
    <t>普通资源自选宝箱</t>
  </si>
  <si>
    <t>普通资源自选宝箱</t>
    <phoneticPr fontId="1" type="noConversion"/>
  </si>
  <si>
    <t>橙色武将随机宝箱碎片</t>
  </si>
  <si>
    <t>紫色武将随机宝箱碎片</t>
  </si>
  <si>
    <t>黄金</t>
  </si>
  <si>
    <t>高级点将牌</t>
  </si>
  <si>
    <t>兵家信物</t>
  </si>
  <si>
    <t>军团币</t>
  </si>
  <si>
    <t>声望、城池难度、奖励、首通</t>
    <phoneticPr fontId="1" type="noConversion"/>
  </si>
  <si>
    <t>城池难度、奖励</t>
    <phoneticPr fontId="1" type="noConversion"/>
  </si>
  <si>
    <t>刷新内容</t>
    <phoneticPr fontId="1" type="noConversion"/>
  </si>
  <si>
    <t>最后一击奖励</t>
    <phoneticPr fontId="1" type="noConversion"/>
  </si>
  <si>
    <t>军团礼包</t>
    <phoneticPr fontId="1" type="noConversion"/>
  </si>
  <si>
    <t>伤害最高奖励</t>
    <phoneticPr fontId="1" type="noConversion"/>
  </si>
  <si>
    <t>军团</t>
    <phoneticPr fontId="1" type="noConversion"/>
  </si>
  <si>
    <t>个人</t>
    <phoneticPr fontId="1" type="noConversion"/>
  </si>
  <si>
    <t>钻石</t>
    <phoneticPr fontId="1" type="noConversion"/>
  </si>
  <si>
    <t>军团累计声望</t>
    <phoneticPr fontId="1" type="noConversion"/>
  </si>
  <si>
    <t>累积获取行军令</t>
  </si>
  <si>
    <t>定义等级</t>
  </si>
  <si>
    <t>每日领取行军令</t>
  </si>
  <si>
    <t>日常</t>
  </si>
  <si>
    <t>活动预留</t>
  </si>
  <si>
    <t>总计获取</t>
  </si>
  <si>
    <t>每日购买行军令</t>
  </si>
  <si>
    <t>直接购买</t>
  </si>
  <si>
    <t>每日充值</t>
  </si>
  <si>
    <t>每日累计获取</t>
    <phoneticPr fontId="1" type="noConversion"/>
  </si>
  <si>
    <t>非r占比</t>
    <phoneticPr fontId="1" type="noConversion"/>
  </si>
  <si>
    <t>赛季开启天数</t>
    <phoneticPr fontId="1" type="noConversion"/>
  </si>
  <si>
    <t>刷新点</t>
    <phoneticPr fontId="1" type="noConversion"/>
  </si>
  <si>
    <t>任务奖励</t>
    <phoneticPr fontId="1" type="noConversion"/>
  </si>
  <si>
    <t>任务名称设计</t>
    <phoneticPr fontId="1" type="noConversion"/>
  </si>
  <si>
    <t>声望</t>
    <phoneticPr fontId="1" type="noConversion"/>
  </si>
  <si>
    <t>基础奖励</t>
    <phoneticPr fontId="1" type="noConversion"/>
  </si>
  <si>
    <r>
      <t>天开放。</t>
    </r>
    <r>
      <rPr>
        <sz val="9"/>
        <color rgb="FFFF0000"/>
        <rFont val="宋体"/>
        <family val="3"/>
        <charset val="134"/>
        <scheme val="minor"/>
      </rPr>
      <t>（避免前7天退出军团刷奖励）</t>
    </r>
    <phoneticPr fontId="1" type="noConversion"/>
  </si>
  <si>
    <t>每日获取声望上限</t>
    <phoneticPr fontId="1" type="noConversion"/>
  </si>
  <si>
    <t>避免每日刷声望的方法：</t>
    <phoneticPr fontId="1" type="noConversion"/>
  </si>
  <si>
    <t>1、拉开城池等级对应声望值差距</t>
    <phoneticPr fontId="1" type="noConversion"/>
  </si>
  <si>
    <t>2、每日获取经验上限值控制为最高2个等级城池得声望相加</t>
    <phoneticPr fontId="1" type="noConversion"/>
  </si>
  <si>
    <t>占比分配</t>
    <phoneticPr fontId="1" type="noConversion"/>
  </si>
  <si>
    <t>累计产出声望</t>
    <phoneticPr fontId="1" type="noConversion"/>
  </si>
  <si>
    <t>义军任务</t>
    <phoneticPr fontId="1" type="noConversion"/>
  </si>
  <si>
    <t>累计消耗声望</t>
    <phoneticPr fontId="1" type="noConversion"/>
  </si>
  <si>
    <t>产销比</t>
    <phoneticPr fontId="1" type="noConversion"/>
  </si>
  <si>
    <t>强势国家</t>
    <phoneticPr fontId="1" type="noConversion"/>
  </si>
  <si>
    <t>弱势国家</t>
    <phoneticPr fontId="1" type="noConversion"/>
  </si>
  <si>
    <t>3、攻城获得声望占比控制在20%</t>
    <phoneticPr fontId="1" type="noConversion"/>
  </si>
  <si>
    <t>刷声望（演算参考）</t>
    <phoneticPr fontId="1" type="noConversion"/>
  </si>
  <si>
    <t>奖励类型</t>
    <phoneticPr fontId="1" type="noConversion"/>
  </si>
  <si>
    <t>领取次数</t>
    <phoneticPr fontId="1" type="noConversion"/>
  </si>
  <si>
    <t>最后一击</t>
    <phoneticPr fontId="1" type="noConversion"/>
  </si>
  <si>
    <t>伤害最高</t>
    <phoneticPr fontId="1" type="noConversion"/>
  </si>
  <si>
    <t>8、军团每日获得声望上限=</t>
    <phoneticPr fontId="1" type="noConversion"/>
  </si>
  <si>
    <t>9、军团玩家每日可领取军团礼包奖励数量上限=</t>
    <phoneticPr fontId="1" type="noConversion"/>
  </si>
  <si>
    <t>10、个人奖励每日领取次数限制：</t>
    <phoneticPr fontId="1" type="noConversion"/>
  </si>
  <si>
    <t>11、每日首通奖励=</t>
    <phoneticPr fontId="1" type="noConversion"/>
  </si>
  <si>
    <t>12、每日刷新间隔时间：</t>
    <phoneticPr fontId="1" type="noConversion"/>
  </si>
  <si>
    <t>第1名</t>
    <phoneticPr fontId="1" type="noConversion"/>
  </si>
  <si>
    <t>第2名</t>
  </si>
  <si>
    <t>第3名</t>
  </si>
  <si>
    <t>上榜军团数</t>
    <phoneticPr fontId="1" type="noConversion"/>
  </si>
  <si>
    <t>7、攻占营寨军团排名情况对应分配声望比例：</t>
    <phoneticPr fontId="1" type="noConversion"/>
  </si>
  <si>
    <t>倍</t>
    <phoneticPr fontId="1" type="noConversion"/>
  </si>
  <si>
    <t>钻石等价物</t>
    <phoneticPr fontId="1" type="noConversion"/>
  </si>
  <si>
    <t xml:space="preserve"> </t>
    <phoneticPr fontId="1" type="noConversion"/>
  </si>
  <si>
    <t>产出军团声望</t>
    <phoneticPr fontId="1" type="noConversion"/>
  </si>
  <si>
    <t>声望信息</t>
    <phoneticPr fontId="1" type="noConversion"/>
  </si>
  <si>
    <t>阶段奖励军团币</t>
    <phoneticPr fontId="1" type="noConversion"/>
  </si>
  <si>
    <t>累计奖励军团币</t>
    <phoneticPr fontId="1" type="noConversion"/>
  </si>
  <si>
    <t>13、移动城池强度为对应等级城池的</t>
    <phoneticPr fontId="1" type="noConversion"/>
  </si>
  <si>
    <t>木石铜粮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</si>
</sst>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0"/>
      <name val="宋体"/>
      <family val="2"/>
      <scheme val="minor"/>
    </font>
    <font>
      <sz val="9"/>
      <color theme="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9"/>
      <color rgb="FFFF000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>
      <alignment vertical="center"/>
    </xf>
  </cellStyleXfs>
  <cellXfs count="7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9" fontId="2" fillId="8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8889;&#22269;/&#38889;&#22269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>
        <row r="4">
          <cell r="F4">
            <v>10</v>
          </cell>
          <cell r="G4">
            <v>10</v>
          </cell>
          <cell r="H4">
            <v>10</v>
          </cell>
          <cell r="I4">
            <v>10</v>
          </cell>
          <cell r="J4">
            <v>10</v>
          </cell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F7">
            <v>10</v>
          </cell>
          <cell r="G7">
            <v>10</v>
          </cell>
          <cell r="H7">
            <v>10</v>
          </cell>
          <cell r="I7">
            <v>10</v>
          </cell>
          <cell r="J7">
            <v>10</v>
          </cell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F11">
            <v>12</v>
          </cell>
          <cell r="G11">
            <v>21</v>
          </cell>
          <cell r="H11">
            <v>33</v>
          </cell>
          <cell r="I11">
            <v>45</v>
          </cell>
          <cell r="J11">
            <v>45</v>
          </cell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F12">
            <v>0</v>
          </cell>
          <cell r="G12">
            <v>12</v>
          </cell>
          <cell r="H12">
            <v>24</v>
          </cell>
          <cell r="I12">
            <v>24</v>
          </cell>
          <cell r="J12">
            <v>24</v>
          </cell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F14">
            <v>12</v>
          </cell>
          <cell r="G14">
            <v>33</v>
          </cell>
          <cell r="H14">
            <v>57</v>
          </cell>
          <cell r="I14">
            <v>69</v>
          </cell>
          <cell r="J14">
            <v>69</v>
          </cell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</row>
      </sheetData>
      <sheetData sheetId="8"/>
      <sheetData sheetId="9"/>
      <sheetData sheetId="10">
        <row r="6">
          <cell r="O6">
            <v>1</v>
          </cell>
          <cell r="P6">
            <v>1</v>
          </cell>
          <cell r="Q6">
            <v>1</v>
          </cell>
          <cell r="BD6">
            <v>7</v>
          </cell>
          <cell r="BE6">
            <v>1</v>
          </cell>
          <cell r="BY6">
            <v>8</v>
          </cell>
          <cell r="BZ6">
            <v>2</v>
          </cell>
        </row>
        <row r="7">
          <cell r="O7">
            <v>1</v>
          </cell>
          <cell r="P7">
            <v>2</v>
          </cell>
          <cell r="Q7">
            <v>1</v>
          </cell>
          <cell r="BD7">
            <v>9</v>
          </cell>
          <cell r="BE7">
            <v>3</v>
          </cell>
          <cell r="BY7">
            <v>10</v>
          </cell>
          <cell r="BZ7">
            <v>6</v>
          </cell>
        </row>
        <row r="8">
          <cell r="O8">
            <v>2</v>
          </cell>
          <cell r="P8">
            <v>2</v>
          </cell>
          <cell r="Q8">
            <v>1</v>
          </cell>
          <cell r="BD8">
            <v>11</v>
          </cell>
          <cell r="BE8">
            <v>7</v>
          </cell>
          <cell r="BY8">
            <v>12</v>
          </cell>
          <cell r="BZ8">
            <v>10</v>
          </cell>
        </row>
        <row r="9">
          <cell r="O9">
            <v>2</v>
          </cell>
          <cell r="P9">
            <v>2</v>
          </cell>
          <cell r="Q9">
            <v>2</v>
          </cell>
          <cell r="BD9">
            <v>13</v>
          </cell>
          <cell r="BE9">
            <v>11</v>
          </cell>
          <cell r="BY9">
            <v>15</v>
          </cell>
          <cell r="BZ9">
            <v>13</v>
          </cell>
        </row>
        <row r="10">
          <cell r="O10">
            <v>2</v>
          </cell>
          <cell r="P10">
            <v>2</v>
          </cell>
          <cell r="Q10">
            <v>2</v>
          </cell>
          <cell r="BD10">
            <v>16</v>
          </cell>
          <cell r="BE10">
            <v>14</v>
          </cell>
          <cell r="BY10">
            <v>17</v>
          </cell>
          <cell r="BZ10">
            <v>15</v>
          </cell>
        </row>
        <row r="11">
          <cell r="O11">
            <v>2</v>
          </cell>
          <cell r="P11">
            <v>3</v>
          </cell>
          <cell r="Q11">
            <v>2</v>
          </cell>
          <cell r="R11">
            <v>1</v>
          </cell>
          <cell r="BD11">
            <v>18</v>
          </cell>
          <cell r="BE11">
            <v>16</v>
          </cell>
          <cell r="BY11">
            <v>19</v>
          </cell>
          <cell r="BZ11">
            <v>19</v>
          </cell>
        </row>
        <row r="12">
          <cell r="O12">
            <v>3</v>
          </cell>
          <cell r="P12">
            <v>3</v>
          </cell>
          <cell r="Q12">
            <v>2</v>
          </cell>
          <cell r="R12">
            <v>2</v>
          </cell>
          <cell r="BD12">
            <v>20</v>
          </cell>
          <cell r="BE12">
            <v>20</v>
          </cell>
          <cell r="BY12">
            <v>22</v>
          </cell>
          <cell r="BZ12">
            <v>21</v>
          </cell>
        </row>
        <row r="13">
          <cell r="O13">
            <v>3</v>
          </cell>
          <cell r="P13">
            <v>3</v>
          </cell>
          <cell r="Q13">
            <v>3</v>
          </cell>
          <cell r="R13">
            <v>2</v>
          </cell>
          <cell r="BD13">
            <v>23</v>
          </cell>
          <cell r="BE13">
            <v>22</v>
          </cell>
          <cell r="BY13">
            <v>24</v>
          </cell>
          <cell r="BZ13">
            <v>23</v>
          </cell>
        </row>
        <row r="14">
          <cell r="O14">
            <v>3</v>
          </cell>
          <cell r="P14">
            <v>3</v>
          </cell>
          <cell r="Q14">
            <v>3</v>
          </cell>
          <cell r="R14">
            <v>3</v>
          </cell>
          <cell r="BD14">
            <v>25</v>
          </cell>
          <cell r="BE14">
            <v>24</v>
          </cell>
          <cell r="BY14">
            <v>27</v>
          </cell>
          <cell r="BZ14">
            <v>27</v>
          </cell>
        </row>
        <row r="15">
          <cell r="O15">
            <v>3</v>
          </cell>
          <cell r="P15">
            <v>4</v>
          </cell>
          <cell r="Q15">
            <v>3</v>
          </cell>
          <cell r="R15">
            <v>3</v>
          </cell>
          <cell r="BD15">
            <v>28</v>
          </cell>
          <cell r="BE15">
            <v>28</v>
          </cell>
          <cell r="BY15">
            <v>29</v>
          </cell>
          <cell r="BZ15">
            <v>29</v>
          </cell>
        </row>
        <row r="16">
          <cell r="O16">
            <v>4</v>
          </cell>
          <cell r="P16">
            <v>4</v>
          </cell>
          <cell r="Q16">
            <v>4</v>
          </cell>
          <cell r="R16">
            <v>3</v>
          </cell>
          <cell r="BD16">
            <v>30</v>
          </cell>
          <cell r="BE16">
            <v>30</v>
          </cell>
          <cell r="BY16">
            <v>31</v>
          </cell>
          <cell r="BZ16">
            <v>32</v>
          </cell>
        </row>
        <row r="17">
          <cell r="O17">
            <v>4</v>
          </cell>
          <cell r="P17">
            <v>4</v>
          </cell>
          <cell r="Q17">
            <v>4</v>
          </cell>
          <cell r="R17">
            <v>4</v>
          </cell>
          <cell r="BD17">
            <v>32</v>
          </cell>
          <cell r="BE17">
            <v>33</v>
          </cell>
          <cell r="BY17">
            <v>33</v>
          </cell>
          <cell r="BZ17">
            <v>34</v>
          </cell>
        </row>
        <row r="18">
          <cell r="O18">
            <v>4</v>
          </cell>
          <cell r="P18">
            <v>4</v>
          </cell>
          <cell r="Q18">
            <v>4</v>
          </cell>
          <cell r="R18">
            <v>4</v>
          </cell>
          <cell r="BD18">
            <v>34</v>
          </cell>
          <cell r="BE18">
            <v>35</v>
          </cell>
          <cell r="BY18">
            <v>35</v>
          </cell>
          <cell r="BZ18">
            <v>35</v>
          </cell>
        </row>
        <row r="19">
          <cell r="O19">
            <v>5</v>
          </cell>
          <cell r="P19">
            <v>5</v>
          </cell>
          <cell r="Q19">
            <v>5</v>
          </cell>
          <cell r="R19">
            <v>5</v>
          </cell>
          <cell r="BD19">
            <v>36</v>
          </cell>
          <cell r="BE19">
            <v>36</v>
          </cell>
          <cell r="BY19">
            <v>37</v>
          </cell>
          <cell r="BZ19">
            <v>37</v>
          </cell>
        </row>
        <row r="20">
          <cell r="O20">
            <v>5</v>
          </cell>
          <cell r="P20">
            <v>5</v>
          </cell>
          <cell r="Q20">
            <v>5</v>
          </cell>
          <cell r="R20">
            <v>5</v>
          </cell>
          <cell r="BD20">
            <v>38</v>
          </cell>
          <cell r="BE20">
            <v>38</v>
          </cell>
          <cell r="BY20">
            <v>39</v>
          </cell>
          <cell r="BZ20">
            <v>40</v>
          </cell>
        </row>
        <row r="21">
          <cell r="O21">
            <v>6</v>
          </cell>
          <cell r="P21">
            <v>6</v>
          </cell>
          <cell r="Q21">
            <v>6</v>
          </cell>
          <cell r="R21">
            <v>6</v>
          </cell>
          <cell r="BD21">
            <v>40</v>
          </cell>
          <cell r="BE21">
            <v>41</v>
          </cell>
          <cell r="BY21">
            <v>41</v>
          </cell>
          <cell r="BZ21">
            <v>41</v>
          </cell>
        </row>
        <row r="22">
          <cell r="O22">
            <v>6</v>
          </cell>
          <cell r="P22">
            <v>6</v>
          </cell>
          <cell r="Q22">
            <v>6</v>
          </cell>
          <cell r="R22">
            <v>6</v>
          </cell>
          <cell r="BD22">
            <v>42</v>
          </cell>
          <cell r="BE22">
            <v>42</v>
          </cell>
          <cell r="BY22">
            <v>43</v>
          </cell>
          <cell r="BZ22">
            <v>43</v>
          </cell>
        </row>
        <row r="23">
          <cell r="O23">
            <v>6</v>
          </cell>
          <cell r="P23">
            <v>6</v>
          </cell>
          <cell r="Q23">
            <v>6</v>
          </cell>
          <cell r="R23">
            <v>6</v>
          </cell>
          <cell r="BD23">
            <v>44</v>
          </cell>
          <cell r="BE23">
            <v>44</v>
          </cell>
          <cell r="BY23">
            <v>45</v>
          </cell>
          <cell r="BZ23">
            <v>46</v>
          </cell>
        </row>
        <row r="24">
          <cell r="O24">
            <v>6</v>
          </cell>
          <cell r="P24">
            <v>6</v>
          </cell>
          <cell r="Q24">
            <v>6</v>
          </cell>
          <cell r="R24">
            <v>6</v>
          </cell>
          <cell r="BD24">
            <v>46</v>
          </cell>
          <cell r="BE24">
            <v>47</v>
          </cell>
          <cell r="BY24">
            <v>47</v>
          </cell>
          <cell r="BZ24">
            <v>47</v>
          </cell>
        </row>
        <row r="25">
          <cell r="O25">
            <v>7</v>
          </cell>
          <cell r="P25">
            <v>7</v>
          </cell>
          <cell r="Q25">
            <v>7</v>
          </cell>
          <cell r="R25">
            <v>7</v>
          </cell>
          <cell r="BD25">
            <v>48</v>
          </cell>
          <cell r="BE25">
            <v>48</v>
          </cell>
          <cell r="BY25">
            <v>50</v>
          </cell>
          <cell r="BZ25">
            <v>50</v>
          </cell>
        </row>
        <row r="26">
          <cell r="O26">
            <v>7</v>
          </cell>
          <cell r="P26">
            <v>7</v>
          </cell>
          <cell r="Q26">
            <v>7</v>
          </cell>
          <cell r="R26">
            <v>7</v>
          </cell>
          <cell r="BD26">
            <v>51</v>
          </cell>
          <cell r="BE26">
            <v>51</v>
          </cell>
          <cell r="BY26">
            <v>51</v>
          </cell>
          <cell r="BZ26">
            <v>53</v>
          </cell>
        </row>
        <row r="27">
          <cell r="O27">
            <v>8</v>
          </cell>
          <cell r="P27">
            <v>8</v>
          </cell>
          <cell r="Q27">
            <v>8</v>
          </cell>
          <cell r="R27">
            <v>8</v>
          </cell>
          <cell r="BD27">
            <v>52</v>
          </cell>
          <cell r="BE27">
            <v>54</v>
          </cell>
          <cell r="BY27">
            <v>53</v>
          </cell>
          <cell r="BZ27">
            <v>56</v>
          </cell>
        </row>
        <row r="28">
          <cell r="O28">
            <v>8</v>
          </cell>
          <cell r="P28">
            <v>8</v>
          </cell>
          <cell r="Q28">
            <v>8</v>
          </cell>
          <cell r="R28">
            <v>8</v>
          </cell>
          <cell r="BD28">
            <v>54</v>
          </cell>
          <cell r="BE28">
            <v>57</v>
          </cell>
          <cell r="BY28">
            <v>55</v>
          </cell>
          <cell r="BZ28">
            <v>59</v>
          </cell>
        </row>
        <row r="29">
          <cell r="O29">
            <v>9</v>
          </cell>
          <cell r="P29">
            <v>9</v>
          </cell>
          <cell r="Q29">
            <v>9</v>
          </cell>
          <cell r="R29">
            <v>9</v>
          </cell>
          <cell r="BD29">
            <v>56</v>
          </cell>
          <cell r="BE29">
            <v>60</v>
          </cell>
          <cell r="BY29">
            <v>57</v>
          </cell>
          <cell r="BZ29">
            <v>62</v>
          </cell>
        </row>
        <row r="30">
          <cell r="O30">
            <v>9</v>
          </cell>
          <cell r="P30">
            <v>9</v>
          </cell>
          <cell r="Q30">
            <v>9</v>
          </cell>
          <cell r="R30">
            <v>9</v>
          </cell>
          <cell r="BD30">
            <v>58</v>
          </cell>
          <cell r="BE30">
            <v>63</v>
          </cell>
          <cell r="BY30">
            <v>59</v>
          </cell>
          <cell r="BZ30">
            <v>65</v>
          </cell>
        </row>
        <row r="31">
          <cell r="O31">
            <v>9</v>
          </cell>
          <cell r="P31">
            <v>9</v>
          </cell>
          <cell r="Q31">
            <v>9</v>
          </cell>
          <cell r="R31">
            <v>9</v>
          </cell>
          <cell r="BD31">
            <v>60</v>
          </cell>
          <cell r="BE31">
            <v>66</v>
          </cell>
          <cell r="BY31">
            <v>61</v>
          </cell>
          <cell r="BZ31">
            <v>68</v>
          </cell>
        </row>
        <row r="32">
          <cell r="O32">
            <v>9</v>
          </cell>
          <cell r="P32">
            <v>9</v>
          </cell>
          <cell r="Q32">
            <v>9</v>
          </cell>
          <cell r="R32">
            <v>9</v>
          </cell>
          <cell r="BD32">
            <v>62</v>
          </cell>
          <cell r="BE32">
            <v>69</v>
          </cell>
          <cell r="BY32">
            <v>63</v>
          </cell>
          <cell r="BZ32">
            <v>71</v>
          </cell>
        </row>
        <row r="33">
          <cell r="O33">
            <v>10</v>
          </cell>
          <cell r="P33">
            <v>10</v>
          </cell>
          <cell r="Q33">
            <v>10</v>
          </cell>
          <cell r="R33">
            <v>10</v>
          </cell>
          <cell r="BD33">
            <v>64</v>
          </cell>
          <cell r="BE33">
            <v>72</v>
          </cell>
          <cell r="BY33">
            <v>65</v>
          </cell>
          <cell r="BZ33">
            <v>74</v>
          </cell>
        </row>
        <row r="34">
          <cell r="O34">
            <v>10</v>
          </cell>
          <cell r="P34">
            <v>10</v>
          </cell>
          <cell r="Q34">
            <v>10</v>
          </cell>
          <cell r="R34">
            <v>10</v>
          </cell>
          <cell r="BD34">
            <v>66</v>
          </cell>
          <cell r="BE34">
            <v>75</v>
          </cell>
          <cell r="BY34">
            <v>67</v>
          </cell>
          <cell r="BZ34">
            <v>77</v>
          </cell>
        </row>
        <row r="35">
          <cell r="O35">
            <v>11</v>
          </cell>
          <cell r="P35">
            <v>11</v>
          </cell>
          <cell r="Q35">
            <v>11</v>
          </cell>
          <cell r="R35">
            <v>11</v>
          </cell>
          <cell r="BD35">
            <v>68</v>
          </cell>
          <cell r="BE35">
            <v>78</v>
          </cell>
          <cell r="BY35">
            <v>69</v>
          </cell>
          <cell r="BZ35">
            <v>80</v>
          </cell>
        </row>
        <row r="36">
          <cell r="O36">
            <v>11</v>
          </cell>
          <cell r="P36">
            <v>11</v>
          </cell>
          <cell r="Q36">
            <v>11</v>
          </cell>
          <cell r="R36">
            <v>11</v>
          </cell>
          <cell r="BD36">
            <v>70</v>
          </cell>
          <cell r="BY36">
            <v>71</v>
          </cell>
        </row>
        <row r="37">
          <cell r="O37">
            <v>11</v>
          </cell>
          <cell r="P37">
            <v>11</v>
          </cell>
          <cell r="Q37">
            <v>11</v>
          </cell>
          <cell r="R37">
            <v>11</v>
          </cell>
          <cell r="BD37">
            <v>72</v>
          </cell>
          <cell r="BY37">
            <v>73</v>
          </cell>
        </row>
        <row r="38">
          <cell r="O38">
            <v>12</v>
          </cell>
          <cell r="P38">
            <v>12</v>
          </cell>
          <cell r="Q38">
            <v>12</v>
          </cell>
          <cell r="R38">
            <v>12</v>
          </cell>
          <cell r="BD38">
            <v>74</v>
          </cell>
          <cell r="BY38">
            <v>75</v>
          </cell>
        </row>
        <row r="39">
          <cell r="O39">
            <v>12</v>
          </cell>
          <cell r="P39">
            <v>12</v>
          </cell>
          <cell r="Q39">
            <v>12</v>
          </cell>
          <cell r="R39">
            <v>12</v>
          </cell>
          <cell r="BD39">
            <v>76</v>
          </cell>
          <cell r="BY39">
            <v>77</v>
          </cell>
        </row>
        <row r="40">
          <cell r="O40">
            <v>13</v>
          </cell>
          <cell r="P40">
            <v>13</v>
          </cell>
          <cell r="Q40">
            <v>13</v>
          </cell>
          <cell r="R40">
            <v>13</v>
          </cell>
          <cell r="BD40">
            <v>78</v>
          </cell>
          <cell r="BY40">
            <v>79</v>
          </cell>
        </row>
        <row r="41">
          <cell r="O41">
            <v>14</v>
          </cell>
          <cell r="P41">
            <v>14</v>
          </cell>
          <cell r="Q41">
            <v>14</v>
          </cell>
          <cell r="R41">
            <v>14</v>
          </cell>
          <cell r="BD41">
            <v>80</v>
          </cell>
          <cell r="BY41">
            <v>80</v>
          </cell>
        </row>
        <row r="42">
          <cell r="O42">
            <v>14</v>
          </cell>
          <cell r="P42">
            <v>14</v>
          </cell>
          <cell r="Q42">
            <v>14</v>
          </cell>
          <cell r="R42">
            <v>14</v>
          </cell>
        </row>
        <row r="43">
          <cell r="O43">
            <v>15</v>
          </cell>
          <cell r="P43">
            <v>15</v>
          </cell>
          <cell r="Q43">
            <v>15</v>
          </cell>
          <cell r="R43">
            <v>15</v>
          </cell>
        </row>
        <row r="44">
          <cell r="O44">
            <v>15</v>
          </cell>
          <cell r="P44">
            <v>15</v>
          </cell>
          <cell r="Q44">
            <v>15</v>
          </cell>
          <cell r="R44">
            <v>15</v>
          </cell>
        </row>
        <row r="45">
          <cell r="O45">
            <v>15</v>
          </cell>
          <cell r="P45">
            <v>15</v>
          </cell>
          <cell r="Q45">
            <v>15</v>
          </cell>
          <cell r="R45">
            <v>15</v>
          </cell>
        </row>
        <row r="46">
          <cell r="O46">
            <v>16</v>
          </cell>
          <cell r="P46">
            <v>16</v>
          </cell>
          <cell r="Q46">
            <v>16</v>
          </cell>
          <cell r="R46">
            <v>16</v>
          </cell>
        </row>
        <row r="47">
          <cell r="O47">
            <v>17</v>
          </cell>
          <cell r="P47">
            <v>17</v>
          </cell>
          <cell r="Q47">
            <v>17</v>
          </cell>
          <cell r="R47">
            <v>17</v>
          </cell>
        </row>
        <row r="48">
          <cell r="O48">
            <v>17</v>
          </cell>
          <cell r="P48">
            <v>17</v>
          </cell>
          <cell r="Q48">
            <v>17</v>
          </cell>
          <cell r="R48">
            <v>17</v>
          </cell>
        </row>
        <row r="49">
          <cell r="O49">
            <v>18</v>
          </cell>
          <cell r="P49">
            <v>18</v>
          </cell>
          <cell r="Q49">
            <v>18</v>
          </cell>
          <cell r="R49">
            <v>18</v>
          </cell>
        </row>
        <row r="50">
          <cell r="O50">
            <v>18</v>
          </cell>
          <cell r="P50">
            <v>18</v>
          </cell>
          <cell r="Q50">
            <v>18</v>
          </cell>
          <cell r="R50">
            <v>18</v>
          </cell>
        </row>
        <row r="51">
          <cell r="O51">
            <v>18</v>
          </cell>
          <cell r="P51">
            <v>18</v>
          </cell>
          <cell r="Q51">
            <v>18</v>
          </cell>
          <cell r="R51">
            <v>18</v>
          </cell>
        </row>
        <row r="52">
          <cell r="O52">
            <v>19</v>
          </cell>
          <cell r="P52">
            <v>19</v>
          </cell>
          <cell r="Q52">
            <v>19</v>
          </cell>
          <cell r="R52">
            <v>19</v>
          </cell>
        </row>
        <row r="53">
          <cell r="O53">
            <v>20</v>
          </cell>
          <cell r="P53">
            <v>20</v>
          </cell>
          <cell r="Q53">
            <v>20</v>
          </cell>
          <cell r="R53">
            <v>20</v>
          </cell>
        </row>
        <row r="54">
          <cell r="O54">
            <v>20</v>
          </cell>
          <cell r="P54">
            <v>20</v>
          </cell>
          <cell r="Q54">
            <v>20</v>
          </cell>
          <cell r="R54">
            <v>20</v>
          </cell>
        </row>
        <row r="55">
          <cell r="O55">
            <v>20</v>
          </cell>
          <cell r="P55">
            <v>20</v>
          </cell>
          <cell r="Q55">
            <v>20</v>
          </cell>
          <cell r="R55">
            <v>20</v>
          </cell>
        </row>
        <row r="56">
          <cell r="O56">
            <v>21</v>
          </cell>
          <cell r="P56">
            <v>21</v>
          </cell>
          <cell r="Q56">
            <v>21</v>
          </cell>
          <cell r="R56">
            <v>21</v>
          </cell>
        </row>
        <row r="57">
          <cell r="O57">
            <v>21</v>
          </cell>
          <cell r="P57">
            <v>21</v>
          </cell>
          <cell r="Q57">
            <v>21</v>
          </cell>
          <cell r="R57">
            <v>21</v>
          </cell>
        </row>
        <row r="58">
          <cell r="O58">
            <v>21</v>
          </cell>
          <cell r="P58">
            <v>21</v>
          </cell>
          <cell r="Q58">
            <v>21</v>
          </cell>
          <cell r="R58">
            <v>21</v>
          </cell>
        </row>
        <row r="59">
          <cell r="O59">
            <v>22</v>
          </cell>
          <cell r="P59">
            <v>22</v>
          </cell>
          <cell r="Q59">
            <v>22</v>
          </cell>
          <cell r="R59">
            <v>22</v>
          </cell>
        </row>
        <row r="60">
          <cell r="O60">
            <v>22</v>
          </cell>
          <cell r="P60">
            <v>22</v>
          </cell>
          <cell r="Q60">
            <v>22</v>
          </cell>
          <cell r="R60">
            <v>22</v>
          </cell>
        </row>
        <row r="61">
          <cell r="O61">
            <v>22</v>
          </cell>
          <cell r="P61">
            <v>22</v>
          </cell>
          <cell r="Q61">
            <v>22</v>
          </cell>
          <cell r="R61">
            <v>22</v>
          </cell>
        </row>
        <row r="62">
          <cell r="O62">
            <v>23</v>
          </cell>
          <cell r="P62">
            <v>23</v>
          </cell>
          <cell r="Q62">
            <v>23</v>
          </cell>
          <cell r="R62">
            <v>23</v>
          </cell>
        </row>
        <row r="63">
          <cell r="O63">
            <v>23</v>
          </cell>
          <cell r="P63">
            <v>23</v>
          </cell>
          <cell r="Q63">
            <v>23</v>
          </cell>
          <cell r="R63">
            <v>23</v>
          </cell>
        </row>
        <row r="64">
          <cell r="O64">
            <v>23</v>
          </cell>
          <cell r="P64">
            <v>23</v>
          </cell>
          <cell r="Q64">
            <v>23</v>
          </cell>
          <cell r="R64">
            <v>23</v>
          </cell>
        </row>
        <row r="65">
          <cell r="O65">
            <v>24</v>
          </cell>
          <cell r="P65">
            <v>24</v>
          </cell>
          <cell r="Q65">
            <v>24</v>
          </cell>
          <cell r="R65">
            <v>24</v>
          </cell>
        </row>
        <row r="66">
          <cell r="O66">
            <v>24</v>
          </cell>
          <cell r="P66">
            <v>24</v>
          </cell>
          <cell r="Q66">
            <v>24</v>
          </cell>
          <cell r="R66">
            <v>24</v>
          </cell>
        </row>
        <row r="67">
          <cell r="O67">
            <v>24</v>
          </cell>
          <cell r="P67">
            <v>24</v>
          </cell>
          <cell r="Q67">
            <v>24</v>
          </cell>
          <cell r="R67">
            <v>24</v>
          </cell>
        </row>
        <row r="68">
          <cell r="O68">
            <v>25</v>
          </cell>
          <cell r="P68">
            <v>25</v>
          </cell>
          <cell r="Q68">
            <v>25</v>
          </cell>
          <cell r="R68">
            <v>25</v>
          </cell>
        </row>
        <row r="69">
          <cell r="O69">
            <v>25</v>
          </cell>
          <cell r="P69">
            <v>25</v>
          </cell>
          <cell r="Q69">
            <v>25</v>
          </cell>
          <cell r="R69">
            <v>25</v>
          </cell>
        </row>
        <row r="70">
          <cell r="O70">
            <v>25</v>
          </cell>
          <cell r="P70">
            <v>25</v>
          </cell>
          <cell r="Q70">
            <v>25</v>
          </cell>
          <cell r="R70">
            <v>25</v>
          </cell>
        </row>
        <row r="71">
          <cell r="O71">
            <v>26</v>
          </cell>
          <cell r="P71">
            <v>26</v>
          </cell>
          <cell r="Q71">
            <v>26</v>
          </cell>
          <cell r="R71">
            <v>26</v>
          </cell>
        </row>
        <row r="72">
          <cell r="O72">
            <v>26</v>
          </cell>
          <cell r="P72">
            <v>26</v>
          </cell>
          <cell r="Q72">
            <v>26</v>
          </cell>
          <cell r="R72">
            <v>26</v>
          </cell>
        </row>
        <row r="73">
          <cell r="O73">
            <v>26</v>
          </cell>
          <cell r="P73">
            <v>26</v>
          </cell>
          <cell r="Q73">
            <v>26</v>
          </cell>
          <cell r="R73">
            <v>26</v>
          </cell>
        </row>
        <row r="74">
          <cell r="O74">
            <v>27</v>
          </cell>
          <cell r="P74">
            <v>27</v>
          </cell>
          <cell r="Q74">
            <v>27</v>
          </cell>
          <cell r="R74">
            <v>27</v>
          </cell>
        </row>
        <row r="75">
          <cell r="O75">
            <v>27</v>
          </cell>
          <cell r="P75">
            <v>27</v>
          </cell>
          <cell r="Q75">
            <v>27</v>
          </cell>
          <cell r="R75">
            <v>27</v>
          </cell>
        </row>
        <row r="76">
          <cell r="O76">
            <v>27</v>
          </cell>
          <cell r="P76">
            <v>27</v>
          </cell>
          <cell r="Q76">
            <v>27</v>
          </cell>
          <cell r="R76">
            <v>27</v>
          </cell>
        </row>
        <row r="77">
          <cell r="O77">
            <v>28</v>
          </cell>
          <cell r="P77">
            <v>28</v>
          </cell>
          <cell r="Q77">
            <v>28</v>
          </cell>
          <cell r="R77">
            <v>28</v>
          </cell>
        </row>
        <row r="78">
          <cell r="O78">
            <v>28</v>
          </cell>
          <cell r="P78">
            <v>28</v>
          </cell>
          <cell r="Q78">
            <v>28</v>
          </cell>
          <cell r="R78">
            <v>28</v>
          </cell>
        </row>
        <row r="79">
          <cell r="O79">
            <v>28</v>
          </cell>
          <cell r="P79">
            <v>28</v>
          </cell>
          <cell r="Q79">
            <v>28</v>
          </cell>
          <cell r="R79">
            <v>28</v>
          </cell>
        </row>
        <row r="80">
          <cell r="O80">
            <v>29</v>
          </cell>
          <cell r="P80">
            <v>29</v>
          </cell>
          <cell r="Q80">
            <v>29</v>
          </cell>
          <cell r="R80">
            <v>29</v>
          </cell>
        </row>
        <row r="81">
          <cell r="O81">
            <v>29</v>
          </cell>
          <cell r="P81">
            <v>29</v>
          </cell>
          <cell r="Q81">
            <v>29</v>
          </cell>
          <cell r="R81">
            <v>29</v>
          </cell>
        </row>
        <row r="82">
          <cell r="O82">
            <v>29</v>
          </cell>
          <cell r="P82">
            <v>29</v>
          </cell>
          <cell r="Q82">
            <v>29</v>
          </cell>
          <cell r="R82">
            <v>29</v>
          </cell>
        </row>
        <row r="83">
          <cell r="O83">
            <v>30</v>
          </cell>
          <cell r="P83">
            <v>30</v>
          </cell>
          <cell r="Q83">
            <v>30</v>
          </cell>
          <cell r="R83">
            <v>30</v>
          </cell>
        </row>
        <row r="84">
          <cell r="O84">
            <v>30</v>
          </cell>
          <cell r="P84">
            <v>30</v>
          </cell>
          <cell r="Q84">
            <v>30</v>
          </cell>
          <cell r="R84">
            <v>30</v>
          </cell>
        </row>
        <row r="85">
          <cell r="O85">
            <v>30</v>
          </cell>
          <cell r="P85">
            <v>30</v>
          </cell>
          <cell r="Q85">
            <v>30</v>
          </cell>
          <cell r="R85">
            <v>30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22"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  <cell r="AO27">
            <v>44</v>
          </cell>
        </row>
        <row r="28"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  <cell r="AO28">
            <v>50</v>
          </cell>
        </row>
        <row r="29"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  <cell r="AO29">
            <v>42</v>
          </cell>
        </row>
        <row r="30"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  <cell r="AO30">
            <v>26</v>
          </cell>
        </row>
        <row r="31"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  <cell r="AO31">
            <v>12</v>
          </cell>
        </row>
        <row r="32"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  <cell r="AO32">
            <v>5</v>
          </cell>
        </row>
        <row r="33"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  <cell r="AO33">
            <v>1</v>
          </cell>
        </row>
        <row r="34"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D5">
            <v>1</v>
          </cell>
          <cell r="F5">
            <v>225</v>
          </cell>
          <cell r="G5">
            <v>138</v>
          </cell>
        </row>
        <row r="6">
          <cell r="D6">
            <v>2</v>
          </cell>
          <cell r="F6">
            <v>225.1</v>
          </cell>
          <cell r="G6">
            <v>138</v>
          </cell>
        </row>
        <row r="7">
          <cell r="D7">
            <v>3</v>
          </cell>
          <cell r="F7">
            <v>225.22</v>
          </cell>
          <cell r="G7">
            <v>138</v>
          </cell>
        </row>
        <row r="8">
          <cell r="D8">
            <v>4</v>
          </cell>
          <cell r="F8">
            <v>225.38</v>
          </cell>
          <cell r="G8">
            <v>138</v>
          </cell>
        </row>
        <row r="9">
          <cell r="D9">
            <v>5</v>
          </cell>
          <cell r="F9">
            <v>225.6</v>
          </cell>
          <cell r="G9">
            <v>138</v>
          </cell>
        </row>
        <row r="10">
          <cell r="D10">
            <v>6</v>
          </cell>
          <cell r="F10">
            <v>225.9</v>
          </cell>
          <cell r="G10">
            <v>138</v>
          </cell>
        </row>
        <row r="11">
          <cell r="D11">
            <v>7</v>
          </cell>
          <cell r="F11">
            <v>226.3</v>
          </cell>
          <cell r="G11">
            <v>138</v>
          </cell>
        </row>
        <row r="12">
          <cell r="D12">
            <v>8</v>
          </cell>
          <cell r="F12">
            <v>226.82</v>
          </cell>
          <cell r="G12">
            <v>138</v>
          </cell>
        </row>
        <row r="13">
          <cell r="D13">
            <v>9</v>
          </cell>
          <cell r="F13">
            <v>227.48</v>
          </cell>
          <cell r="G13">
            <v>138</v>
          </cell>
        </row>
        <row r="14">
          <cell r="D14">
            <v>10</v>
          </cell>
          <cell r="F14">
            <v>228.3</v>
          </cell>
          <cell r="G14">
            <v>138</v>
          </cell>
        </row>
        <row r="15">
          <cell r="D15">
            <v>11</v>
          </cell>
          <cell r="F15">
            <v>229.3</v>
          </cell>
          <cell r="G15">
            <v>138</v>
          </cell>
        </row>
        <row r="16">
          <cell r="D16">
            <v>12</v>
          </cell>
          <cell r="F16">
            <v>230.5</v>
          </cell>
          <cell r="G16">
            <v>138</v>
          </cell>
        </row>
        <row r="17">
          <cell r="D17">
            <v>13</v>
          </cell>
          <cell r="F17">
            <v>231.92</v>
          </cell>
          <cell r="G17">
            <v>138</v>
          </cell>
        </row>
        <row r="18">
          <cell r="D18">
            <v>14</v>
          </cell>
          <cell r="F18">
            <v>233.58</v>
          </cell>
          <cell r="G18">
            <v>138</v>
          </cell>
        </row>
        <row r="19">
          <cell r="D19">
            <v>15</v>
          </cell>
          <cell r="F19">
            <v>235.5</v>
          </cell>
          <cell r="G19">
            <v>138</v>
          </cell>
        </row>
        <row r="20">
          <cell r="D20">
            <v>16</v>
          </cell>
          <cell r="F20">
            <v>237.7</v>
          </cell>
          <cell r="G20">
            <v>138</v>
          </cell>
        </row>
        <row r="21">
          <cell r="D21">
            <v>17</v>
          </cell>
          <cell r="F21">
            <v>240.2</v>
          </cell>
          <cell r="G21">
            <v>138</v>
          </cell>
        </row>
        <row r="22">
          <cell r="D22">
            <v>18</v>
          </cell>
          <cell r="F22">
            <v>243.02</v>
          </cell>
          <cell r="G22">
            <v>138</v>
          </cell>
        </row>
        <row r="23">
          <cell r="D23">
            <v>19</v>
          </cell>
          <cell r="F23">
            <v>246.18</v>
          </cell>
          <cell r="G23">
            <v>138</v>
          </cell>
        </row>
        <row r="24">
          <cell r="D24">
            <v>20</v>
          </cell>
          <cell r="F24">
            <v>249.7</v>
          </cell>
          <cell r="G24">
            <v>138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8">
          <cell r="FU8">
            <v>1</v>
          </cell>
          <cell r="FV8">
            <v>0.5</v>
          </cell>
          <cell r="FW8">
            <v>1.01</v>
          </cell>
          <cell r="FX8">
            <v>2.0300000000000002</v>
          </cell>
          <cell r="FY8">
            <v>2.57</v>
          </cell>
          <cell r="FZ8">
            <v>4.12</v>
          </cell>
        </row>
        <row r="9">
          <cell r="FU9">
            <v>2</v>
          </cell>
          <cell r="FV9">
            <v>0.6</v>
          </cell>
          <cell r="FW9">
            <v>1.1100000000000001</v>
          </cell>
          <cell r="FX9">
            <v>2.13</v>
          </cell>
          <cell r="FY9">
            <v>2.67</v>
          </cell>
          <cell r="FZ9">
            <v>4.2200000000000006</v>
          </cell>
        </row>
        <row r="10">
          <cell r="FU10">
            <v>2</v>
          </cell>
          <cell r="FV10">
            <v>0.6</v>
          </cell>
          <cell r="FW10">
            <v>1.1100000000000001</v>
          </cell>
          <cell r="FX10">
            <v>2.13</v>
          </cell>
          <cell r="FY10">
            <v>2.67</v>
          </cell>
          <cell r="FZ10">
            <v>4.2200000000000006</v>
          </cell>
        </row>
        <row r="11">
          <cell r="FU11">
            <v>3</v>
          </cell>
          <cell r="FV11">
            <v>0.79</v>
          </cell>
          <cell r="FW11">
            <v>1.31</v>
          </cell>
          <cell r="FX11">
            <v>2.34</v>
          </cell>
          <cell r="FY11">
            <v>2.89</v>
          </cell>
          <cell r="FZ11">
            <v>4.45</v>
          </cell>
        </row>
        <row r="12">
          <cell r="FU12">
            <v>3</v>
          </cell>
          <cell r="FV12">
            <v>0.79</v>
          </cell>
          <cell r="FW12">
            <v>1.31</v>
          </cell>
          <cell r="FX12">
            <v>2.34</v>
          </cell>
          <cell r="FY12">
            <v>2.89</v>
          </cell>
          <cell r="FZ12">
            <v>4.45</v>
          </cell>
        </row>
        <row r="13">
          <cell r="FU13">
            <v>3</v>
          </cell>
          <cell r="FV13">
            <v>0.79</v>
          </cell>
          <cell r="FW13">
            <v>1.31</v>
          </cell>
          <cell r="FX13">
            <v>2.34</v>
          </cell>
          <cell r="FY13">
            <v>2.89</v>
          </cell>
          <cell r="FZ13">
            <v>4.45</v>
          </cell>
        </row>
        <row r="14">
          <cell r="FU14">
            <v>3</v>
          </cell>
          <cell r="FV14">
            <v>0.79</v>
          </cell>
          <cell r="FW14">
            <v>1.31</v>
          </cell>
          <cell r="FX14">
            <v>2.34</v>
          </cell>
          <cell r="FY14">
            <v>2.89</v>
          </cell>
          <cell r="FZ14">
            <v>4.45</v>
          </cell>
        </row>
        <row r="15">
          <cell r="FU15">
            <v>4</v>
          </cell>
          <cell r="FV15">
            <v>1.07</v>
          </cell>
          <cell r="FW15">
            <v>1.59</v>
          </cell>
          <cell r="FX15">
            <v>2.62</v>
          </cell>
          <cell r="FY15">
            <v>3.17</v>
          </cell>
          <cell r="FZ15">
            <v>4.7300000000000004</v>
          </cell>
        </row>
        <row r="16">
          <cell r="FU16">
            <v>4</v>
          </cell>
          <cell r="FV16">
            <v>1.07</v>
          </cell>
          <cell r="FW16">
            <v>1.59</v>
          </cell>
          <cell r="FX16">
            <v>2.62</v>
          </cell>
          <cell r="FY16">
            <v>3.17</v>
          </cell>
          <cell r="FZ16">
            <v>4.7300000000000004</v>
          </cell>
        </row>
        <row r="17">
          <cell r="FU17">
            <v>5</v>
          </cell>
          <cell r="FV17">
            <v>1.52</v>
          </cell>
          <cell r="FW17">
            <v>2.0499999999999998</v>
          </cell>
          <cell r="FX17">
            <v>3.09</v>
          </cell>
          <cell r="FY17">
            <v>3.65</v>
          </cell>
          <cell r="FZ17">
            <v>5.22</v>
          </cell>
        </row>
        <row r="18">
          <cell r="FU18">
            <v>5</v>
          </cell>
          <cell r="FV18">
            <v>1.52</v>
          </cell>
          <cell r="FW18">
            <v>2.0499999999999998</v>
          </cell>
          <cell r="FX18">
            <v>3.09</v>
          </cell>
          <cell r="FY18">
            <v>3.65</v>
          </cell>
          <cell r="FZ18">
            <v>5.22</v>
          </cell>
        </row>
        <row r="19">
          <cell r="FU19">
            <v>5</v>
          </cell>
          <cell r="FV19">
            <v>1.52</v>
          </cell>
          <cell r="FW19">
            <v>2.0499999999999998</v>
          </cell>
          <cell r="FX19">
            <v>3.09</v>
          </cell>
          <cell r="FY19">
            <v>3.65</v>
          </cell>
          <cell r="FZ19">
            <v>5.22</v>
          </cell>
        </row>
        <row r="20">
          <cell r="FU20">
            <v>5</v>
          </cell>
          <cell r="FV20">
            <v>1.52</v>
          </cell>
          <cell r="FW20">
            <v>2.0499999999999998</v>
          </cell>
          <cell r="FX20">
            <v>3.09</v>
          </cell>
          <cell r="FY20">
            <v>3.65</v>
          </cell>
          <cell r="FZ20">
            <v>5.22</v>
          </cell>
        </row>
        <row r="21">
          <cell r="FU21">
            <v>6</v>
          </cell>
          <cell r="FV21">
            <v>2.1800000000000002</v>
          </cell>
          <cell r="FW21">
            <v>2.72</v>
          </cell>
          <cell r="FX21">
            <v>3.77</v>
          </cell>
          <cell r="FY21">
            <v>4.3499999999999996</v>
          </cell>
          <cell r="FZ21">
            <v>5.94</v>
          </cell>
        </row>
        <row r="22">
          <cell r="FU22">
            <v>7</v>
          </cell>
          <cell r="FV22">
            <v>3.11</v>
          </cell>
          <cell r="FW22">
            <v>3.67</v>
          </cell>
          <cell r="FX22">
            <v>4.74</v>
          </cell>
          <cell r="FY22">
            <v>5.33</v>
          </cell>
          <cell r="FZ22">
            <v>6.94</v>
          </cell>
        </row>
        <row r="23">
          <cell r="FU23">
            <v>7</v>
          </cell>
          <cell r="FV23">
            <v>3.11</v>
          </cell>
          <cell r="FW23">
            <v>3.67</v>
          </cell>
          <cell r="FX23">
            <v>4.74</v>
          </cell>
          <cell r="FY23">
            <v>5.33</v>
          </cell>
          <cell r="FZ23">
            <v>6.94</v>
          </cell>
        </row>
        <row r="24">
          <cell r="FU24">
            <v>8</v>
          </cell>
          <cell r="FV24">
            <v>4.3600000000000003</v>
          </cell>
          <cell r="FW24">
            <v>4.95</v>
          </cell>
          <cell r="FX24">
            <v>6.05</v>
          </cell>
          <cell r="FY24">
            <v>6.67</v>
          </cell>
          <cell r="FZ24">
            <v>8.3000000000000007</v>
          </cell>
        </row>
        <row r="25">
          <cell r="FU25">
            <v>8</v>
          </cell>
          <cell r="FV25">
            <v>4.3600000000000003</v>
          </cell>
          <cell r="FW25">
            <v>4.95</v>
          </cell>
          <cell r="FX25">
            <v>6.05</v>
          </cell>
          <cell r="FY25">
            <v>6.67</v>
          </cell>
          <cell r="FZ25">
            <v>8.3000000000000007</v>
          </cell>
        </row>
        <row r="26">
          <cell r="FU26">
            <v>8</v>
          </cell>
          <cell r="FV26">
            <v>4.3600000000000003</v>
          </cell>
          <cell r="FW26">
            <v>4.95</v>
          </cell>
          <cell r="FX26">
            <v>6.05</v>
          </cell>
          <cell r="FY26">
            <v>6.67</v>
          </cell>
          <cell r="FZ26">
            <v>8.3000000000000007</v>
          </cell>
        </row>
        <row r="27">
          <cell r="FU27">
            <v>8</v>
          </cell>
          <cell r="FV27">
            <v>4.3600000000000003</v>
          </cell>
          <cell r="FW27">
            <v>4.95</v>
          </cell>
          <cell r="FX27">
            <v>6.05</v>
          </cell>
          <cell r="FY27">
            <v>6.67</v>
          </cell>
          <cell r="FZ27">
            <v>8.3000000000000007</v>
          </cell>
        </row>
        <row r="28">
          <cell r="FU28">
            <v>9</v>
          </cell>
          <cell r="FV28">
            <v>5.97</v>
          </cell>
          <cell r="FW28">
            <v>6.59</v>
          </cell>
          <cell r="FX28">
            <v>7.72</v>
          </cell>
          <cell r="FY28">
            <v>8.3699999999999992</v>
          </cell>
          <cell r="FZ28">
            <v>10.039999999999999</v>
          </cell>
        </row>
        <row r="29">
          <cell r="FU29">
            <v>9</v>
          </cell>
          <cell r="FV29">
            <v>5.97</v>
          </cell>
          <cell r="FW29">
            <v>6.59</v>
          </cell>
          <cell r="FX29">
            <v>7.72</v>
          </cell>
          <cell r="FY29">
            <v>8.3699999999999992</v>
          </cell>
          <cell r="FZ29">
            <v>10.039999999999999</v>
          </cell>
        </row>
        <row r="30">
          <cell r="FU30">
            <v>10</v>
          </cell>
          <cell r="FV30">
            <v>8</v>
          </cell>
          <cell r="FW30">
            <v>8.66</v>
          </cell>
          <cell r="FX30">
            <v>9.83</v>
          </cell>
          <cell r="FY30">
            <v>10.53</v>
          </cell>
          <cell r="FZ30">
            <v>12.24</v>
          </cell>
        </row>
        <row r="31">
          <cell r="FU31">
            <v>10</v>
          </cell>
          <cell r="FV31">
            <v>8</v>
          </cell>
          <cell r="FW31">
            <v>8.66</v>
          </cell>
          <cell r="FX31">
            <v>9.83</v>
          </cell>
          <cell r="FY31">
            <v>10.53</v>
          </cell>
          <cell r="FZ31">
            <v>12.24</v>
          </cell>
        </row>
        <row r="32">
          <cell r="FU32">
            <v>10</v>
          </cell>
          <cell r="FV32">
            <v>8</v>
          </cell>
          <cell r="FW32">
            <v>8.66</v>
          </cell>
          <cell r="FX32">
            <v>9.83</v>
          </cell>
          <cell r="FY32">
            <v>10.53</v>
          </cell>
          <cell r="FZ32">
            <v>12.24</v>
          </cell>
        </row>
        <row r="33">
          <cell r="FU33">
            <v>10</v>
          </cell>
          <cell r="FV33">
            <v>8</v>
          </cell>
          <cell r="FW33">
            <v>8.66</v>
          </cell>
          <cell r="FX33">
            <v>9.83</v>
          </cell>
          <cell r="FY33">
            <v>10.53</v>
          </cell>
          <cell r="FZ33">
            <v>12.24</v>
          </cell>
        </row>
        <row r="34">
          <cell r="FU34">
            <v>11</v>
          </cell>
          <cell r="FV34">
            <v>10.5</v>
          </cell>
          <cell r="FW34">
            <v>11.21</v>
          </cell>
          <cell r="FX34">
            <v>12.43</v>
          </cell>
          <cell r="FY34">
            <v>13.18</v>
          </cell>
          <cell r="FZ34">
            <v>14.94</v>
          </cell>
        </row>
        <row r="35">
          <cell r="FU35">
            <v>12</v>
          </cell>
          <cell r="FV35">
            <v>13.52</v>
          </cell>
          <cell r="FW35">
            <v>14.29</v>
          </cell>
          <cell r="FX35">
            <v>15.58</v>
          </cell>
          <cell r="FY35">
            <v>16.39</v>
          </cell>
          <cell r="FZ35">
            <v>18.22</v>
          </cell>
        </row>
        <row r="36">
          <cell r="FU36">
            <v>12</v>
          </cell>
          <cell r="FV36">
            <v>13.52</v>
          </cell>
          <cell r="FW36">
            <v>14.29</v>
          </cell>
          <cell r="FX36">
            <v>15.58</v>
          </cell>
          <cell r="FY36">
            <v>16.39</v>
          </cell>
          <cell r="FZ36">
            <v>18.22</v>
          </cell>
        </row>
        <row r="37">
          <cell r="FU37">
            <v>13</v>
          </cell>
          <cell r="FV37">
            <v>17.11</v>
          </cell>
          <cell r="FW37">
            <v>17.95</v>
          </cell>
          <cell r="FX37">
            <v>19.309999999999999</v>
          </cell>
          <cell r="FY37">
            <v>20.2</v>
          </cell>
          <cell r="FZ37">
            <v>22.1</v>
          </cell>
        </row>
        <row r="38">
          <cell r="FU38">
            <v>13</v>
          </cell>
          <cell r="FV38">
            <v>17.11</v>
          </cell>
          <cell r="FW38">
            <v>17.95</v>
          </cell>
          <cell r="FX38">
            <v>19.309999999999999</v>
          </cell>
          <cell r="FY38">
            <v>20.2</v>
          </cell>
          <cell r="FZ38">
            <v>22.1</v>
          </cell>
        </row>
        <row r="39">
          <cell r="FU39">
            <v>13</v>
          </cell>
          <cell r="FV39">
            <v>17.11</v>
          </cell>
          <cell r="FW39">
            <v>17.95</v>
          </cell>
          <cell r="FX39">
            <v>19.309999999999999</v>
          </cell>
          <cell r="FY39">
            <v>20.2</v>
          </cell>
          <cell r="FZ39">
            <v>22.1</v>
          </cell>
        </row>
        <row r="40">
          <cell r="FU40">
            <v>13</v>
          </cell>
          <cell r="FV40">
            <v>17.11</v>
          </cell>
          <cell r="FW40">
            <v>17.95</v>
          </cell>
          <cell r="FX40">
            <v>19.309999999999999</v>
          </cell>
          <cell r="FY40">
            <v>20.2</v>
          </cell>
          <cell r="FZ40">
            <v>22.1</v>
          </cell>
        </row>
        <row r="41">
          <cell r="FU41">
            <v>14</v>
          </cell>
          <cell r="FV41">
            <v>21.32</v>
          </cell>
          <cell r="FW41">
            <v>22.25</v>
          </cell>
          <cell r="FX41">
            <v>23.7</v>
          </cell>
          <cell r="FY41">
            <v>24.67</v>
          </cell>
          <cell r="FZ41">
            <v>26.66</v>
          </cell>
        </row>
        <row r="42">
          <cell r="FU42">
            <v>14</v>
          </cell>
          <cell r="FV42">
            <v>21.32</v>
          </cell>
          <cell r="FW42">
            <v>22.25</v>
          </cell>
          <cell r="FX42">
            <v>23.7</v>
          </cell>
          <cell r="FY42">
            <v>24.67</v>
          </cell>
          <cell r="FZ42">
            <v>26.66</v>
          </cell>
        </row>
        <row r="43">
          <cell r="FU43">
            <v>15</v>
          </cell>
          <cell r="FV43">
            <v>26.2</v>
          </cell>
          <cell r="FW43">
            <v>27.22</v>
          </cell>
          <cell r="FX43">
            <v>28.76</v>
          </cell>
          <cell r="FY43">
            <v>29.84</v>
          </cell>
          <cell r="FZ43">
            <v>31.94</v>
          </cell>
        </row>
        <row r="44">
          <cell r="FU44">
            <v>15</v>
          </cell>
          <cell r="FV44">
            <v>26.2</v>
          </cell>
          <cell r="FW44">
            <v>27.22</v>
          </cell>
          <cell r="FX44">
            <v>28.76</v>
          </cell>
          <cell r="FY44">
            <v>29.84</v>
          </cell>
          <cell r="FZ44">
            <v>31.94</v>
          </cell>
        </row>
        <row r="45">
          <cell r="FU45">
            <v>15</v>
          </cell>
          <cell r="FV45">
            <v>26.2</v>
          </cell>
          <cell r="FW45">
            <v>27.22</v>
          </cell>
          <cell r="FX45">
            <v>28.76</v>
          </cell>
          <cell r="FY45">
            <v>29.84</v>
          </cell>
          <cell r="FZ45">
            <v>31.94</v>
          </cell>
        </row>
        <row r="46">
          <cell r="FU46">
            <v>15</v>
          </cell>
          <cell r="FV46">
            <v>26.2</v>
          </cell>
          <cell r="FW46">
            <v>27.22</v>
          </cell>
          <cell r="FX46">
            <v>28.76</v>
          </cell>
          <cell r="FY46">
            <v>29.84</v>
          </cell>
          <cell r="FZ46">
            <v>31.94</v>
          </cell>
        </row>
        <row r="47">
          <cell r="FU47">
            <v>16</v>
          </cell>
          <cell r="FV47">
            <v>31.81</v>
          </cell>
          <cell r="FW47">
            <v>32.950000000000003</v>
          </cell>
          <cell r="FX47">
            <v>34.61</v>
          </cell>
          <cell r="FY47">
            <v>35.799999999999997</v>
          </cell>
          <cell r="FZ47">
            <v>38.020000000000003</v>
          </cell>
        </row>
        <row r="48">
          <cell r="FU48">
            <v>17</v>
          </cell>
          <cell r="FV48">
            <v>38.200000000000003</v>
          </cell>
          <cell r="FW48">
            <v>39.46</v>
          </cell>
          <cell r="FX48">
            <v>41.25</v>
          </cell>
          <cell r="FY48">
            <v>42.58</v>
          </cell>
          <cell r="FZ48">
            <v>44.93</v>
          </cell>
        </row>
        <row r="49">
          <cell r="FU49">
            <v>17</v>
          </cell>
          <cell r="FV49">
            <v>38.200000000000003</v>
          </cell>
          <cell r="FW49">
            <v>39.46</v>
          </cell>
          <cell r="FX49">
            <v>41.25</v>
          </cell>
          <cell r="FY49">
            <v>42.58</v>
          </cell>
          <cell r="FZ49">
            <v>44.93</v>
          </cell>
        </row>
        <row r="50">
          <cell r="FU50">
            <v>18</v>
          </cell>
          <cell r="FV50">
            <v>45.41</v>
          </cell>
          <cell r="FW50">
            <v>46.82</v>
          </cell>
          <cell r="FX50">
            <v>48.76</v>
          </cell>
          <cell r="FY50">
            <v>50.24</v>
          </cell>
          <cell r="FZ50">
            <v>52.74</v>
          </cell>
        </row>
        <row r="51">
          <cell r="FU51">
            <v>18</v>
          </cell>
          <cell r="FV51">
            <v>45.41</v>
          </cell>
          <cell r="FW51">
            <v>46.82</v>
          </cell>
          <cell r="FX51">
            <v>48.76</v>
          </cell>
          <cell r="FY51">
            <v>50.24</v>
          </cell>
          <cell r="FZ51">
            <v>52.74</v>
          </cell>
        </row>
        <row r="52">
          <cell r="FU52">
            <v>18</v>
          </cell>
          <cell r="FV52">
            <v>45.41</v>
          </cell>
          <cell r="FW52">
            <v>46.82</v>
          </cell>
          <cell r="FX52">
            <v>48.76</v>
          </cell>
          <cell r="FY52">
            <v>50.24</v>
          </cell>
          <cell r="FZ52">
            <v>52.74</v>
          </cell>
        </row>
        <row r="53">
          <cell r="FU53">
            <v>18</v>
          </cell>
          <cell r="FV53">
            <v>45.41</v>
          </cell>
          <cell r="FW53">
            <v>46.82</v>
          </cell>
          <cell r="FX53">
            <v>48.76</v>
          </cell>
          <cell r="FY53">
            <v>50.24</v>
          </cell>
          <cell r="FZ53">
            <v>52.74</v>
          </cell>
        </row>
        <row r="54">
          <cell r="FU54">
            <v>19</v>
          </cell>
          <cell r="FV54">
            <v>53.5</v>
          </cell>
          <cell r="FW54">
            <v>55.07</v>
          </cell>
          <cell r="FX54">
            <v>57.17</v>
          </cell>
          <cell r="FY54">
            <v>58.81</v>
          </cell>
          <cell r="FZ54">
            <v>61.49</v>
          </cell>
        </row>
        <row r="55">
          <cell r="FU55">
            <v>19</v>
          </cell>
          <cell r="FV55">
            <v>53.5</v>
          </cell>
          <cell r="FW55">
            <v>55.07</v>
          </cell>
          <cell r="FX55">
            <v>57.17</v>
          </cell>
          <cell r="FY55">
            <v>58.81</v>
          </cell>
          <cell r="FZ55">
            <v>61.49</v>
          </cell>
        </row>
        <row r="56">
          <cell r="FU56">
            <v>20</v>
          </cell>
          <cell r="FV56">
            <v>62.52</v>
          </cell>
          <cell r="FW56">
            <v>64.27</v>
          </cell>
          <cell r="FX56">
            <v>66.56</v>
          </cell>
          <cell r="FY56">
            <v>68.39</v>
          </cell>
          <cell r="FZ56">
            <v>71.260000000000005</v>
          </cell>
        </row>
        <row r="57">
          <cell r="FU57">
            <v>20</v>
          </cell>
          <cell r="FV57">
            <v>62.52</v>
          </cell>
          <cell r="FW57">
            <v>64.27</v>
          </cell>
          <cell r="FX57">
            <v>66.56</v>
          </cell>
          <cell r="FY57">
            <v>68.39</v>
          </cell>
          <cell r="FZ57">
            <v>71.260000000000005</v>
          </cell>
        </row>
        <row r="58">
          <cell r="FU58">
            <v>20</v>
          </cell>
          <cell r="FV58">
            <v>62.52</v>
          </cell>
          <cell r="FW58">
            <v>64.27</v>
          </cell>
          <cell r="FX58">
            <v>66.56</v>
          </cell>
          <cell r="FY58">
            <v>68.39</v>
          </cell>
          <cell r="FZ58">
            <v>71.260000000000005</v>
          </cell>
        </row>
        <row r="59">
          <cell r="FU59">
            <v>20</v>
          </cell>
          <cell r="FV59">
            <v>62.52</v>
          </cell>
          <cell r="FW59">
            <v>64.27</v>
          </cell>
          <cell r="FX59">
            <v>66.56</v>
          </cell>
          <cell r="FY59">
            <v>68.39</v>
          </cell>
          <cell r="FZ59">
            <v>71.260000000000005</v>
          </cell>
        </row>
      </sheetData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4">
          <cell r="D4" t="str">
            <v>橙色指定武将</v>
          </cell>
          <cell r="E4">
            <v>4800</v>
          </cell>
          <cell r="F4">
            <v>1.2</v>
          </cell>
          <cell r="G4">
            <v>1</v>
          </cell>
          <cell r="H4">
            <v>1</v>
          </cell>
          <cell r="I4">
            <v>5760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1.2</v>
          </cell>
          <cell r="G5">
            <v>1</v>
          </cell>
          <cell r="H5">
            <v>1</v>
          </cell>
          <cell r="I5">
            <v>648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1.2</v>
          </cell>
          <cell r="G6">
            <v>1</v>
          </cell>
          <cell r="H6">
            <v>1</v>
          </cell>
          <cell r="I6">
            <v>12960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1.2</v>
          </cell>
          <cell r="G7">
            <v>1</v>
          </cell>
          <cell r="H7">
            <v>1</v>
          </cell>
          <cell r="I7">
            <v>17280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1.2</v>
          </cell>
          <cell r="G8">
            <v>1</v>
          </cell>
          <cell r="H8">
            <v>1</v>
          </cell>
          <cell r="I8">
            <v>432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1.2</v>
          </cell>
          <cell r="G9">
            <v>1</v>
          </cell>
          <cell r="H9">
            <v>1</v>
          </cell>
          <cell r="I9">
            <v>576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黄金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P10" t="str">
            <v>钻研加速/天</v>
          </cell>
          <cell r="Q10">
            <v>5493.5213862222308</v>
          </cell>
        </row>
        <row r="11">
          <cell r="D11" t="str">
            <v>粮食</v>
          </cell>
          <cell r="E11">
            <v>1.5532286312592918E-4</v>
          </cell>
          <cell r="F11">
            <v>1</v>
          </cell>
          <cell r="G11">
            <v>1</v>
          </cell>
          <cell r="H11">
            <v>1</v>
          </cell>
          <cell r="I11">
            <v>1.5532286312592918E-4</v>
          </cell>
          <cell r="J11">
            <v>1.5532286312592918E-4</v>
          </cell>
          <cell r="K11">
            <v>1.5532286312592918E-4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木材</v>
          </cell>
          <cell r="E12">
            <v>1.5532286312592918E-4</v>
          </cell>
          <cell r="F12">
            <v>1</v>
          </cell>
          <cell r="G12">
            <v>1</v>
          </cell>
          <cell r="H12">
            <v>1</v>
          </cell>
          <cell r="I12">
            <v>1.5532286312592918E-4</v>
          </cell>
          <cell r="J12">
            <v>1.5532286312592918E-4</v>
          </cell>
          <cell r="K12">
            <v>1.5532286312592918E-4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石料</v>
          </cell>
          <cell r="E13">
            <v>1.5532286312592918E-4</v>
          </cell>
          <cell r="F13">
            <v>1</v>
          </cell>
          <cell r="G13">
            <v>1</v>
          </cell>
          <cell r="H13">
            <v>1</v>
          </cell>
          <cell r="I13">
            <v>1.5532286312592918E-4</v>
          </cell>
          <cell r="J13">
            <v>1.5532286312592918E-4</v>
          </cell>
          <cell r="K13">
            <v>1.5532286312592918E-4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铜矿</v>
          </cell>
          <cell r="E14">
            <v>1.5532286312592918E-4</v>
          </cell>
          <cell r="F14">
            <v>1</v>
          </cell>
          <cell r="G14">
            <v>1</v>
          </cell>
          <cell r="H14">
            <v>1</v>
          </cell>
          <cell r="I14">
            <v>1.5532286312592918E-4</v>
          </cell>
          <cell r="J14">
            <v>1.5532286312592918E-4</v>
          </cell>
          <cell r="K14">
            <v>1.5532286312592918E-4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铁矿</v>
          </cell>
          <cell r="E15">
            <v>3.5830021050108204E-4</v>
          </cell>
          <cell r="F15">
            <v>1</v>
          </cell>
          <cell r="G15">
            <v>1</v>
          </cell>
          <cell r="H15">
            <v>1</v>
          </cell>
          <cell r="I15">
            <v>3.5830021050108204E-4</v>
          </cell>
          <cell r="J15">
            <v>3.5830021050108204E-4</v>
          </cell>
          <cell r="K15">
            <v>3.5830021050108204E-4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刀币</v>
          </cell>
          <cell r="E16">
            <v>1.5625000000000001E-3</v>
          </cell>
          <cell r="F16">
            <v>1</v>
          </cell>
          <cell r="G16">
            <v>1</v>
          </cell>
          <cell r="H16">
            <v>1</v>
          </cell>
          <cell r="I16">
            <v>1.5625000000000001E-3</v>
          </cell>
          <cell r="J16">
            <v>1.5625000000000001E-3</v>
          </cell>
          <cell r="K16">
            <v>1.5625000000000001E-3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玉珏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清剿令</v>
          </cell>
          <cell r="E18">
            <v>75</v>
          </cell>
          <cell r="F18">
            <v>1</v>
          </cell>
          <cell r="G18">
            <v>1</v>
          </cell>
          <cell r="H18">
            <v>1</v>
          </cell>
          <cell r="I18">
            <v>75</v>
          </cell>
          <cell r="J18">
            <v>75</v>
          </cell>
          <cell r="K18">
            <v>75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军团币</v>
          </cell>
          <cell r="E19">
            <v>0.1</v>
          </cell>
          <cell r="F19">
            <v>1</v>
          </cell>
          <cell r="G19">
            <v>1</v>
          </cell>
          <cell r="H19">
            <v>1</v>
          </cell>
          <cell r="I19">
            <v>0.1</v>
          </cell>
          <cell r="J19">
            <v>0.1</v>
          </cell>
          <cell r="K19">
            <v>0.1</v>
          </cell>
          <cell r="P19" t="str">
            <v>铜矿采集加速/天</v>
          </cell>
          <cell r="Q19">
            <v>180.80790910307581</v>
          </cell>
        </row>
        <row r="20">
          <cell r="I20" t="str">
            <v/>
          </cell>
          <cell r="J20" t="str">
            <v/>
          </cell>
          <cell r="K20" t="str">
            <v/>
          </cell>
          <cell r="P20" t="str">
            <v>粮食采集加速/天</v>
          </cell>
          <cell r="Q20">
            <v>180.80790910307581</v>
          </cell>
        </row>
        <row r="21">
          <cell r="I21" t="str">
            <v/>
          </cell>
          <cell r="J21" t="str">
            <v/>
          </cell>
          <cell r="K21" t="str">
            <v/>
          </cell>
          <cell r="P21" t="str">
            <v>铁矿采集加速/天</v>
          </cell>
          <cell r="Q21">
            <v>271.21186365461375</v>
          </cell>
        </row>
        <row r="22">
          <cell r="D22" t="str">
            <v>信物*2、武将碎片*10、黄金600三选一（600钻）</v>
          </cell>
          <cell r="E22">
            <v>600</v>
          </cell>
          <cell r="F22">
            <v>1</v>
          </cell>
          <cell r="G22">
            <v>1</v>
          </cell>
          <cell r="H22">
            <v>1</v>
          </cell>
          <cell r="I22">
            <v>600</v>
          </cell>
          <cell r="J22">
            <v>600</v>
          </cell>
          <cell r="K22">
            <v>600</v>
          </cell>
        </row>
        <row r="23">
          <cell r="D23" t="str">
            <v>蓝色门客</v>
          </cell>
          <cell r="E23">
            <v>1000</v>
          </cell>
          <cell r="F23">
            <v>1</v>
          </cell>
          <cell r="G23">
            <v>1</v>
          </cell>
          <cell r="H23">
            <v>1</v>
          </cell>
          <cell r="I23">
            <v>1000</v>
          </cell>
          <cell r="J23">
            <v>1000</v>
          </cell>
          <cell r="K23">
            <v>1000</v>
          </cell>
        </row>
        <row r="24">
          <cell r="D24" t="str">
            <v>紫色门客</v>
          </cell>
          <cell r="E24">
            <v>3000</v>
          </cell>
          <cell r="F24">
            <v>1</v>
          </cell>
          <cell r="G24">
            <v>1</v>
          </cell>
          <cell r="H24">
            <v>1</v>
          </cell>
          <cell r="I24">
            <v>3000</v>
          </cell>
          <cell r="J24">
            <v>3000</v>
          </cell>
          <cell r="K24">
            <v>3000</v>
          </cell>
        </row>
        <row r="25">
          <cell r="D25" t="str">
            <v>橙色门客</v>
          </cell>
          <cell r="E25">
            <v>8000</v>
          </cell>
          <cell r="F25">
            <v>1</v>
          </cell>
          <cell r="G25">
            <v>1</v>
          </cell>
          <cell r="H25">
            <v>1</v>
          </cell>
          <cell r="I25">
            <v>8000</v>
          </cell>
          <cell r="J25">
            <v>8000</v>
          </cell>
          <cell r="K25">
            <v>8000</v>
          </cell>
        </row>
        <row r="26">
          <cell r="D26" t="str">
            <v>红色门客</v>
          </cell>
          <cell r="E26">
            <v>20000</v>
          </cell>
          <cell r="F26">
            <v>1</v>
          </cell>
          <cell r="G26">
            <v>1</v>
          </cell>
          <cell r="H26">
            <v>1</v>
          </cell>
          <cell r="I26">
            <v>20000</v>
          </cell>
          <cell r="J26">
            <v>20000</v>
          </cell>
          <cell r="K26">
            <v>20000</v>
          </cell>
        </row>
        <row r="27">
          <cell r="I27" t="str">
            <v/>
          </cell>
          <cell r="J27" t="str">
            <v/>
          </cell>
          <cell r="K27" t="str">
            <v/>
          </cell>
        </row>
        <row r="28">
          <cell r="D28" t="str">
            <v>绿色军团馈赠</v>
          </cell>
          <cell r="E28">
            <v>20</v>
          </cell>
          <cell r="F28">
            <v>1</v>
          </cell>
          <cell r="G28">
            <v>1</v>
          </cell>
          <cell r="H28">
            <v>1</v>
          </cell>
          <cell r="I28">
            <v>20</v>
          </cell>
          <cell r="J28">
            <v>20</v>
          </cell>
          <cell r="K28">
            <v>20</v>
          </cell>
        </row>
        <row r="29">
          <cell r="D29" t="str">
            <v>蓝色军团馈赠</v>
          </cell>
          <cell r="E29">
            <v>100</v>
          </cell>
          <cell r="F29">
            <v>1</v>
          </cell>
          <cell r="G29">
            <v>1</v>
          </cell>
          <cell r="H29">
            <v>1</v>
          </cell>
          <cell r="I29">
            <v>100</v>
          </cell>
          <cell r="J29">
            <v>100</v>
          </cell>
          <cell r="K29">
            <v>100</v>
          </cell>
        </row>
        <row r="30">
          <cell r="D30" t="str">
            <v>紫色军团馈赠</v>
          </cell>
          <cell r="E30">
            <v>500</v>
          </cell>
          <cell r="F30">
            <v>1</v>
          </cell>
          <cell r="G30">
            <v>1</v>
          </cell>
          <cell r="H30">
            <v>1</v>
          </cell>
          <cell r="I30">
            <v>500</v>
          </cell>
          <cell r="J30">
            <v>500</v>
          </cell>
          <cell r="K30">
            <v>500</v>
          </cell>
        </row>
        <row r="31">
          <cell r="D31" t="str">
            <v>橙色军团馈赠</v>
          </cell>
          <cell r="E31">
            <v>2000</v>
          </cell>
          <cell r="F31">
            <v>1</v>
          </cell>
          <cell r="G31">
            <v>1</v>
          </cell>
          <cell r="H31">
            <v>1</v>
          </cell>
          <cell r="I31">
            <v>2000</v>
          </cell>
          <cell r="J31">
            <v>2000</v>
          </cell>
          <cell r="K31">
            <v>2000</v>
          </cell>
        </row>
        <row r="32">
          <cell r="I32" t="str">
            <v/>
          </cell>
          <cell r="J32" t="str">
            <v/>
          </cell>
          <cell r="K32" t="str">
            <v/>
          </cell>
        </row>
        <row r="33">
          <cell r="D33" t="str">
            <v>文心</v>
          </cell>
          <cell r="E33">
            <v>0.33333333333333331</v>
          </cell>
          <cell r="F33">
            <v>1</v>
          </cell>
          <cell r="G33">
            <v>1</v>
          </cell>
          <cell r="H33">
            <v>1</v>
          </cell>
          <cell r="I33">
            <v>0.33333333333333331</v>
          </cell>
          <cell r="J33">
            <v>0.33333333333333331</v>
          </cell>
          <cell r="K33">
            <v>0.33333333333333331</v>
          </cell>
          <cell r="L33" t="str">
            <v>宝物温养货币</v>
          </cell>
        </row>
        <row r="34">
          <cell r="D34" t="str">
            <v>宝鉴</v>
          </cell>
          <cell r="E34">
            <v>500</v>
          </cell>
          <cell r="F34">
            <v>1</v>
          </cell>
          <cell r="G34">
            <v>1</v>
          </cell>
          <cell r="H34">
            <v>1</v>
          </cell>
          <cell r="I34">
            <v>500</v>
          </cell>
          <cell r="J34">
            <v>500</v>
          </cell>
          <cell r="K34">
            <v>500</v>
          </cell>
          <cell r="L34" t="str">
            <v>鉴赏宝物属性</v>
          </cell>
        </row>
        <row r="35">
          <cell r="D35" t="str">
            <v>密藏之匙</v>
          </cell>
          <cell r="E35">
            <v>330</v>
          </cell>
          <cell r="F35">
            <v>1</v>
          </cell>
          <cell r="G35">
            <v>1</v>
          </cell>
          <cell r="H35">
            <v>1</v>
          </cell>
          <cell r="I35">
            <v>330</v>
          </cell>
          <cell r="J35">
            <v>330</v>
          </cell>
          <cell r="K35">
            <v>330</v>
          </cell>
          <cell r="L35" t="str">
            <v>宝物抽奖道具</v>
          </cell>
        </row>
        <row r="36">
          <cell r="D36" t="str">
            <v>宝物精华</v>
          </cell>
          <cell r="E36">
            <v>100</v>
          </cell>
          <cell r="F36">
            <v>1</v>
          </cell>
          <cell r="G36">
            <v>1</v>
          </cell>
          <cell r="H36">
            <v>1</v>
          </cell>
          <cell r="I36">
            <v>100</v>
          </cell>
          <cell r="J36">
            <v>100</v>
          </cell>
          <cell r="K36">
            <v>100</v>
          </cell>
          <cell r="L36" t="str">
            <v>宝物升星消耗货币</v>
          </cell>
        </row>
        <row r="37">
          <cell r="D37" t="str">
            <v>指定蓝色宝物</v>
          </cell>
          <cell r="E37">
            <v>100</v>
          </cell>
          <cell r="F37">
            <v>2.5</v>
          </cell>
          <cell r="G37">
            <v>2.5</v>
          </cell>
          <cell r="H37">
            <v>2.5</v>
          </cell>
          <cell r="I37">
            <v>250</v>
          </cell>
          <cell r="J37">
            <v>250</v>
          </cell>
          <cell r="K37">
            <v>250</v>
          </cell>
          <cell r="P37"/>
        </row>
        <row r="38">
          <cell r="D38" t="str">
            <v>指定紫色宝物</v>
          </cell>
          <cell r="E38">
            <v>500</v>
          </cell>
          <cell r="F38">
            <v>2.5</v>
          </cell>
          <cell r="G38">
            <v>2.5</v>
          </cell>
          <cell r="H38">
            <v>2.5</v>
          </cell>
          <cell r="I38">
            <v>1250</v>
          </cell>
          <cell r="J38">
            <v>1250</v>
          </cell>
          <cell r="K38">
            <v>1250</v>
          </cell>
          <cell r="P38"/>
        </row>
        <row r="39">
          <cell r="D39" t="str">
            <v>指定橙色宝物</v>
          </cell>
          <cell r="E39">
            <v>4000</v>
          </cell>
          <cell r="F39">
            <v>2.5</v>
          </cell>
          <cell r="G39">
            <v>2.5</v>
          </cell>
          <cell r="H39">
            <v>2.5</v>
          </cell>
          <cell r="I39">
            <v>10000</v>
          </cell>
          <cell r="J39">
            <v>10000</v>
          </cell>
          <cell r="K39">
            <v>10000</v>
          </cell>
        </row>
        <row r="40">
          <cell r="D40" t="str">
            <v>指定橙+宝物</v>
          </cell>
          <cell r="E40">
            <v>20000</v>
          </cell>
          <cell r="F40">
            <v>2.5</v>
          </cell>
          <cell r="G40">
            <v>2.5</v>
          </cell>
          <cell r="H40">
            <v>2.5</v>
          </cell>
          <cell r="I40">
            <v>50000</v>
          </cell>
          <cell r="J40">
            <v>50000</v>
          </cell>
          <cell r="K40">
            <v>50000</v>
          </cell>
        </row>
        <row r="41">
          <cell r="D41" t="str">
            <v>指定橙色宝物碎片</v>
          </cell>
          <cell r="E41">
            <v>133.33333333333334</v>
          </cell>
          <cell r="F41">
            <v>2.5</v>
          </cell>
          <cell r="G41">
            <v>2.5</v>
          </cell>
          <cell r="H41">
            <v>2.5</v>
          </cell>
          <cell r="I41">
            <v>333.33333333333337</v>
          </cell>
          <cell r="J41">
            <v>333.33333333333337</v>
          </cell>
          <cell r="K41">
            <v>333.33333333333337</v>
          </cell>
        </row>
        <row r="42">
          <cell r="D42" t="str">
            <v>指定橙+宝物碎片</v>
          </cell>
          <cell r="E42">
            <v>666.66666666666663</v>
          </cell>
          <cell r="F42">
            <v>2.5</v>
          </cell>
          <cell r="G42">
            <v>2.5</v>
          </cell>
          <cell r="H42">
            <v>2.5</v>
          </cell>
          <cell r="I42">
            <v>1666.6666666666665</v>
          </cell>
          <cell r="J42">
            <v>1666.6666666666665</v>
          </cell>
          <cell r="K42">
            <v>1666.6666666666665</v>
          </cell>
        </row>
        <row r="43">
          <cell r="I43" t="str">
            <v/>
          </cell>
          <cell r="J43" t="str">
            <v/>
          </cell>
          <cell r="K43" t="str">
            <v/>
          </cell>
        </row>
        <row r="44">
          <cell r="D44" t="str">
            <v>随机蓝色宝物</v>
          </cell>
          <cell r="E44">
            <v>100</v>
          </cell>
          <cell r="F44">
            <v>2.5</v>
          </cell>
          <cell r="G44">
            <v>2.5</v>
          </cell>
          <cell r="H44">
            <v>2.5</v>
          </cell>
          <cell r="I44">
            <v>250</v>
          </cell>
          <cell r="J44">
            <v>250</v>
          </cell>
          <cell r="K44">
            <v>250</v>
          </cell>
        </row>
        <row r="45">
          <cell r="D45" t="str">
            <v>随机紫色宝物</v>
          </cell>
          <cell r="E45">
            <v>500</v>
          </cell>
          <cell r="F45">
            <v>2.5</v>
          </cell>
          <cell r="G45">
            <v>2.5</v>
          </cell>
          <cell r="H45">
            <v>2.5</v>
          </cell>
          <cell r="I45">
            <v>1250</v>
          </cell>
          <cell r="J45">
            <v>1250</v>
          </cell>
          <cell r="K45">
            <v>1250</v>
          </cell>
        </row>
        <row r="46">
          <cell r="D46" t="str">
            <v>随机橙色宝物</v>
          </cell>
          <cell r="E46">
            <v>2500</v>
          </cell>
          <cell r="F46">
            <v>2.5</v>
          </cell>
          <cell r="G46">
            <v>2.5</v>
          </cell>
          <cell r="H46">
            <v>2.5</v>
          </cell>
          <cell r="I46">
            <v>6250</v>
          </cell>
          <cell r="J46">
            <v>6250</v>
          </cell>
          <cell r="K46">
            <v>6250</v>
          </cell>
        </row>
        <row r="47">
          <cell r="D47" t="str">
            <v>随机橙+宝物</v>
          </cell>
          <cell r="E47">
            <v>10000</v>
          </cell>
          <cell r="F47">
            <v>2.5</v>
          </cell>
          <cell r="G47">
            <v>2.5</v>
          </cell>
          <cell r="H47">
            <v>2.5</v>
          </cell>
          <cell r="I47">
            <v>25000</v>
          </cell>
          <cell r="J47">
            <v>25000</v>
          </cell>
          <cell r="K47">
            <v>25000</v>
          </cell>
        </row>
        <row r="48">
          <cell r="D48" t="str">
            <v>随机紫色宝物碎片</v>
          </cell>
          <cell r="E48">
            <v>50</v>
          </cell>
          <cell r="F48">
            <v>2.5</v>
          </cell>
          <cell r="G48">
            <v>2.5</v>
          </cell>
          <cell r="H48">
            <v>2.5</v>
          </cell>
          <cell r="I48">
            <v>125</v>
          </cell>
          <cell r="J48">
            <v>125</v>
          </cell>
          <cell r="K48">
            <v>125</v>
          </cell>
        </row>
        <row r="49">
          <cell r="D49" t="str">
            <v>随机橙色宝物碎片</v>
          </cell>
          <cell r="E49">
            <v>83.333333333333329</v>
          </cell>
          <cell r="F49">
            <v>2.5</v>
          </cell>
          <cell r="G49">
            <v>2.5</v>
          </cell>
          <cell r="H49">
            <v>2.5</v>
          </cell>
          <cell r="I49">
            <v>208.33333333333331</v>
          </cell>
          <cell r="J49">
            <v>208.33333333333331</v>
          </cell>
          <cell r="K49">
            <v>208.33333333333331</v>
          </cell>
        </row>
        <row r="50">
          <cell r="D50" t="str">
            <v>随机橙+宝物碎片</v>
          </cell>
          <cell r="E50">
            <v>333.33333333333331</v>
          </cell>
          <cell r="F50">
            <v>2.5</v>
          </cell>
          <cell r="G50">
            <v>2.5</v>
          </cell>
          <cell r="H50">
            <v>2.5</v>
          </cell>
          <cell r="I50">
            <v>833.33333333333326</v>
          </cell>
          <cell r="J50">
            <v>833.33333333333326</v>
          </cell>
          <cell r="K50">
            <v>833.33333333333326</v>
          </cell>
        </row>
        <row r="51">
          <cell r="I51" t="str">
            <v/>
          </cell>
          <cell r="J51" t="str">
            <v/>
          </cell>
          <cell r="K51" t="str">
            <v/>
          </cell>
        </row>
        <row r="52">
          <cell r="D52" t="str">
            <v>紫色藏宝图</v>
          </cell>
          <cell r="E52">
            <v>137.5</v>
          </cell>
          <cell r="F52">
            <v>1</v>
          </cell>
          <cell r="G52">
            <v>1</v>
          </cell>
          <cell r="H52">
            <v>1</v>
          </cell>
          <cell r="I52">
            <v>137.5</v>
          </cell>
          <cell r="J52">
            <v>137.5</v>
          </cell>
          <cell r="K52">
            <v>137.5</v>
          </cell>
        </row>
        <row r="53">
          <cell r="D53" t="str">
            <v>紫色藏宝图碎片</v>
          </cell>
          <cell r="E53">
            <v>13.75</v>
          </cell>
          <cell r="F53">
            <v>1</v>
          </cell>
          <cell r="G53">
            <v>1</v>
          </cell>
          <cell r="H53">
            <v>1</v>
          </cell>
          <cell r="I53">
            <v>13.75</v>
          </cell>
          <cell r="J53">
            <v>13.75</v>
          </cell>
          <cell r="K53">
            <v>13.75</v>
          </cell>
        </row>
        <row r="54">
          <cell r="D54" t="str">
            <v>橙色藏宝图</v>
          </cell>
          <cell r="E54">
            <v>300</v>
          </cell>
          <cell r="F54">
            <v>1</v>
          </cell>
          <cell r="G54">
            <v>1</v>
          </cell>
          <cell r="H54">
            <v>1</v>
          </cell>
          <cell r="I54">
            <v>300</v>
          </cell>
          <cell r="J54">
            <v>300</v>
          </cell>
          <cell r="K54">
            <v>300</v>
          </cell>
        </row>
        <row r="55">
          <cell r="D55" t="str">
            <v>橙色藏宝图碎片</v>
          </cell>
          <cell r="E55">
            <v>10</v>
          </cell>
          <cell r="F55">
            <v>1</v>
          </cell>
          <cell r="G55">
            <v>1</v>
          </cell>
          <cell r="H55">
            <v>1</v>
          </cell>
          <cell r="I55">
            <v>10</v>
          </cell>
          <cell r="J55">
            <v>10</v>
          </cell>
          <cell r="K55">
            <v>10</v>
          </cell>
        </row>
        <row r="56">
          <cell r="I56" t="str">
            <v/>
          </cell>
          <cell r="J56" t="str">
            <v/>
          </cell>
          <cell r="K56" t="str">
            <v/>
          </cell>
        </row>
        <row r="57">
          <cell r="D57" t="str">
            <v>紫色皮肤</v>
          </cell>
          <cell r="E57">
            <v>6000</v>
          </cell>
          <cell r="F57">
            <v>1</v>
          </cell>
          <cell r="G57">
            <v>1</v>
          </cell>
          <cell r="H57">
            <v>1</v>
          </cell>
          <cell r="I57">
            <v>6000</v>
          </cell>
          <cell r="J57">
            <v>6000</v>
          </cell>
          <cell r="K57">
            <v>6000</v>
          </cell>
        </row>
        <row r="58">
          <cell r="D58" t="str">
            <v>橙色皮肤</v>
          </cell>
          <cell r="E58">
            <v>16000</v>
          </cell>
          <cell r="F58">
            <v>1</v>
          </cell>
          <cell r="G58">
            <v>1</v>
          </cell>
          <cell r="H58">
            <v>1</v>
          </cell>
          <cell r="I58">
            <v>16000</v>
          </cell>
          <cell r="J58">
            <v>16000</v>
          </cell>
          <cell r="K58">
            <v>16000</v>
          </cell>
        </row>
        <row r="59">
          <cell r="D59" t="str">
            <v>红色皮肤</v>
          </cell>
          <cell r="E59">
            <v>150000</v>
          </cell>
          <cell r="F59">
            <v>1.3333333333333333</v>
          </cell>
          <cell r="G59">
            <v>1.3333333333333333</v>
          </cell>
          <cell r="H59">
            <v>1.3333333333333333</v>
          </cell>
          <cell r="I59">
            <v>200000</v>
          </cell>
          <cell r="J59">
            <v>200000</v>
          </cell>
          <cell r="K59">
            <v>200000</v>
          </cell>
        </row>
        <row r="60">
          <cell r="D60" t="str">
            <v>红色皮肤碎片</v>
          </cell>
          <cell r="E60">
            <v>3000</v>
          </cell>
          <cell r="F60">
            <v>1.3333333333333333</v>
          </cell>
          <cell r="G60">
            <v>1.3333333333333333</v>
          </cell>
          <cell r="H60">
            <v>1.3333333333333333</v>
          </cell>
          <cell r="I60">
            <v>4000</v>
          </cell>
          <cell r="J60">
            <v>4000</v>
          </cell>
          <cell r="K60">
            <v>4000</v>
          </cell>
        </row>
        <row r="61">
          <cell r="I61" t="str">
            <v/>
          </cell>
          <cell r="J61" t="str">
            <v/>
          </cell>
          <cell r="K61" t="str">
            <v/>
          </cell>
        </row>
        <row r="62">
          <cell r="D62" t="str">
            <v>将军印</v>
          </cell>
          <cell r="E62">
            <v>1000</v>
          </cell>
          <cell r="F62">
            <v>1</v>
          </cell>
          <cell r="G62">
            <v>1</v>
          </cell>
          <cell r="H62">
            <v>1</v>
          </cell>
          <cell r="I62">
            <v>1000</v>
          </cell>
          <cell r="J62">
            <v>1000</v>
          </cell>
          <cell r="K62">
            <v>1000</v>
          </cell>
        </row>
        <row r="63">
          <cell r="D63" t="str">
            <v>上将印</v>
          </cell>
          <cell r="E63">
            <v>2000</v>
          </cell>
          <cell r="F63">
            <v>1</v>
          </cell>
          <cell r="G63">
            <v>1</v>
          </cell>
          <cell r="H63">
            <v>1</v>
          </cell>
          <cell r="I63">
            <v>2000</v>
          </cell>
          <cell r="J63">
            <v>2000</v>
          </cell>
          <cell r="K63">
            <v>2000</v>
          </cell>
        </row>
        <row r="64">
          <cell r="D64" t="str">
            <v>统帅印</v>
          </cell>
          <cell r="E64">
            <v>8000</v>
          </cell>
          <cell r="F64">
            <v>1</v>
          </cell>
          <cell r="G64">
            <v>1</v>
          </cell>
          <cell r="H64">
            <v>1</v>
          </cell>
          <cell r="I64">
            <v>8000</v>
          </cell>
          <cell r="J64">
            <v>8000</v>
          </cell>
          <cell r="K64">
            <v>8000</v>
          </cell>
        </row>
        <row r="65">
          <cell r="D65" t="str">
            <v>将军印碎片</v>
          </cell>
          <cell r="E65">
            <v>33.333333333333336</v>
          </cell>
          <cell r="F65">
            <v>1</v>
          </cell>
          <cell r="G65">
            <v>1</v>
          </cell>
          <cell r="H65">
            <v>1</v>
          </cell>
          <cell r="I65">
            <v>33.333333333333336</v>
          </cell>
          <cell r="J65">
            <v>33.333333333333336</v>
          </cell>
          <cell r="K65">
            <v>33.333333333333336</v>
          </cell>
          <cell r="L65" t="str">
            <v>凑齐30个碎片可以合成1个将军印，可用于解锁武将的第四个特性</v>
          </cell>
        </row>
        <row r="66">
          <cell r="D66" t="str">
            <v>上将印碎片</v>
          </cell>
          <cell r="E66">
            <v>66.666666666666671</v>
          </cell>
          <cell r="F66">
            <v>1</v>
          </cell>
          <cell r="G66">
            <v>1</v>
          </cell>
          <cell r="H66">
            <v>1</v>
          </cell>
          <cell r="I66">
            <v>66.666666666666671</v>
          </cell>
          <cell r="J66">
            <v>66.666666666666671</v>
          </cell>
          <cell r="K66">
            <v>66.666666666666671</v>
          </cell>
          <cell r="L66" t="str">
            <v>凑齐30个碎片可以合成1个上将印，可用于升级武将的第四个特性</v>
          </cell>
        </row>
        <row r="67">
          <cell r="D67" t="str">
            <v>统帅印碎片</v>
          </cell>
          <cell r="E67">
            <v>266.66666666666669</v>
          </cell>
          <cell r="F67">
            <v>1</v>
          </cell>
          <cell r="G67">
            <v>1</v>
          </cell>
          <cell r="H67">
            <v>1</v>
          </cell>
          <cell r="I67">
            <v>266.66666666666669</v>
          </cell>
          <cell r="J67">
            <v>266.66666666666669</v>
          </cell>
          <cell r="K67">
            <v>266.66666666666669</v>
          </cell>
          <cell r="L67" t="str">
            <v>凑齐30个碎片可以合成1个统帅印，可用于升级武将的第四个特性</v>
          </cell>
        </row>
        <row r="68">
          <cell r="I68" t="str">
            <v/>
          </cell>
          <cell r="J68" t="str">
            <v/>
          </cell>
          <cell r="K68" t="str">
            <v/>
          </cell>
        </row>
        <row r="69">
          <cell r="D69" t="str">
            <v>高级免战牌</v>
          </cell>
          <cell r="E69">
            <v>400</v>
          </cell>
          <cell r="F69">
            <v>1</v>
          </cell>
          <cell r="G69">
            <v>1</v>
          </cell>
          <cell r="H69">
            <v>1</v>
          </cell>
          <cell r="I69">
            <v>400</v>
          </cell>
          <cell r="J69">
            <v>400</v>
          </cell>
          <cell r="K69">
            <v>400</v>
          </cell>
        </row>
        <row r="70">
          <cell r="D70" t="str">
            <v>特级免战牌</v>
          </cell>
          <cell r="E70">
            <v>1500</v>
          </cell>
          <cell r="F70">
            <v>1</v>
          </cell>
          <cell r="G70">
            <v>1</v>
          </cell>
          <cell r="H70">
            <v>1</v>
          </cell>
          <cell r="I70">
            <v>1500</v>
          </cell>
          <cell r="J70">
            <v>1500</v>
          </cell>
          <cell r="K70">
            <v>1500</v>
          </cell>
        </row>
        <row r="71">
          <cell r="D71" t="str">
            <v>随机橙色兵法碎片</v>
          </cell>
          <cell r="E71">
            <v>56</v>
          </cell>
          <cell r="F71">
            <v>1</v>
          </cell>
          <cell r="G71">
            <v>1</v>
          </cell>
          <cell r="H71">
            <v>1</v>
          </cell>
          <cell r="I71">
            <v>56</v>
          </cell>
          <cell r="J71">
            <v>56</v>
          </cell>
          <cell r="K71">
            <v>56</v>
          </cell>
        </row>
        <row r="72">
          <cell r="D72" t="str">
            <v>指定or任选紫色兵法碎片</v>
          </cell>
          <cell r="E72">
            <v>75</v>
          </cell>
          <cell r="F72">
            <v>1</v>
          </cell>
          <cell r="G72">
            <v>1</v>
          </cell>
          <cell r="H72">
            <v>1</v>
          </cell>
          <cell r="I72">
            <v>75</v>
          </cell>
          <cell r="J72">
            <v>75</v>
          </cell>
          <cell r="K72">
            <v>75</v>
          </cell>
        </row>
        <row r="73">
          <cell r="D73" t="str">
            <v>指定or任选橙色兵法碎片</v>
          </cell>
          <cell r="E73">
            <v>111.66666666666667</v>
          </cell>
          <cell r="F73">
            <v>1</v>
          </cell>
          <cell r="G73">
            <v>1</v>
          </cell>
          <cell r="H73">
            <v>1</v>
          </cell>
          <cell r="I73">
            <v>111.66666666666667</v>
          </cell>
          <cell r="J73">
            <v>111.66666666666667</v>
          </cell>
          <cell r="K73">
            <v>111.66666666666667</v>
          </cell>
        </row>
        <row r="74">
          <cell r="D74" t="str">
            <v>指定or任选橙+兵法碎片</v>
          </cell>
          <cell r="E74">
            <v>305.5</v>
          </cell>
          <cell r="F74">
            <v>1</v>
          </cell>
          <cell r="G74">
            <v>1</v>
          </cell>
          <cell r="H74">
            <v>1</v>
          </cell>
          <cell r="I74">
            <v>305.5</v>
          </cell>
          <cell r="J74">
            <v>305.5</v>
          </cell>
          <cell r="K74">
            <v>305.5</v>
          </cell>
        </row>
        <row r="75">
          <cell r="I75" t="str">
            <v/>
          </cell>
          <cell r="J75" t="str">
            <v/>
          </cell>
          <cell r="K75" t="str">
            <v/>
          </cell>
        </row>
        <row r="76">
          <cell r="D76" t="str">
            <v>红色装备自选碎片</v>
          </cell>
          <cell r="E76">
            <v>144</v>
          </cell>
          <cell r="F76">
            <v>1</v>
          </cell>
          <cell r="G76">
            <v>1</v>
          </cell>
          <cell r="H76">
            <v>1</v>
          </cell>
          <cell r="I76">
            <v>144</v>
          </cell>
          <cell r="J76">
            <v>144</v>
          </cell>
          <cell r="K76">
            <v>144</v>
          </cell>
        </row>
        <row r="77">
          <cell r="D77" t="str">
            <v>红+装备自选碎片</v>
          </cell>
          <cell r="E77">
            <v>288</v>
          </cell>
          <cell r="F77">
            <v>1.56</v>
          </cell>
          <cell r="G77">
            <v>1.56</v>
          </cell>
          <cell r="H77">
            <v>1.56</v>
          </cell>
          <cell r="I77">
            <v>449.28000000000003</v>
          </cell>
          <cell r="J77">
            <v>449.28000000000003</v>
          </cell>
          <cell r="K77">
            <v>449.28000000000003</v>
          </cell>
        </row>
        <row r="78">
          <cell r="D78" t="str">
            <v>自选礼包</v>
          </cell>
          <cell r="E78">
            <v>300</v>
          </cell>
          <cell r="F78">
            <v>1</v>
          </cell>
          <cell r="G78">
            <v>1</v>
          </cell>
          <cell r="H78">
            <v>1</v>
          </cell>
          <cell r="I78">
            <v>300</v>
          </cell>
          <cell r="J78">
            <v>300</v>
          </cell>
          <cell r="K78">
            <v>300</v>
          </cell>
        </row>
        <row r="79">
          <cell r="I79"/>
          <cell r="J79"/>
          <cell r="K79"/>
        </row>
        <row r="80">
          <cell r="D80" t="str">
            <v>随机蓝色阵法</v>
          </cell>
          <cell r="E80">
            <v>100</v>
          </cell>
          <cell r="F80">
            <v>1</v>
          </cell>
          <cell r="G80">
            <v>1</v>
          </cell>
          <cell r="H80">
            <v>1</v>
          </cell>
          <cell r="I80">
            <v>100</v>
          </cell>
          <cell r="J80">
            <v>100</v>
          </cell>
          <cell r="K80">
            <v>100</v>
          </cell>
        </row>
        <row r="81">
          <cell r="D81" t="str">
            <v>随机紫色阵法</v>
          </cell>
          <cell r="E81">
            <v>1000</v>
          </cell>
          <cell r="F81">
            <v>1</v>
          </cell>
          <cell r="G81">
            <v>0.75</v>
          </cell>
          <cell r="H81">
            <v>0.5</v>
          </cell>
          <cell r="I81">
            <v>1000</v>
          </cell>
          <cell r="J81">
            <v>750</v>
          </cell>
          <cell r="K81">
            <v>500</v>
          </cell>
        </row>
        <row r="82">
          <cell r="D82" t="str">
            <v>随机橙色阵法</v>
          </cell>
          <cell r="E82">
            <v>5000</v>
          </cell>
          <cell r="F82">
            <v>1</v>
          </cell>
          <cell r="G82">
            <v>0.8</v>
          </cell>
          <cell r="H82">
            <v>0.5</v>
          </cell>
          <cell r="I82">
            <v>5000</v>
          </cell>
          <cell r="J82">
            <v>4000</v>
          </cell>
          <cell r="K82">
            <v>2500</v>
          </cell>
        </row>
        <row r="83">
          <cell r="D83" t="str">
            <v>随机红色阵法</v>
          </cell>
          <cell r="E83">
            <v>25000</v>
          </cell>
          <cell r="F83">
            <v>2</v>
          </cell>
          <cell r="G83">
            <v>1.5</v>
          </cell>
          <cell r="H83">
            <v>1</v>
          </cell>
          <cell r="I83">
            <v>50000</v>
          </cell>
          <cell r="J83">
            <v>37500</v>
          </cell>
          <cell r="K83">
            <v>25000</v>
          </cell>
        </row>
        <row r="84">
          <cell r="F84">
            <v>1</v>
          </cell>
          <cell r="G84">
            <v>1</v>
          </cell>
          <cell r="H84">
            <v>1</v>
          </cell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随机紫色阵法碎片</v>
          </cell>
          <cell r="E85">
            <v>100</v>
          </cell>
          <cell r="F85">
            <v>1</v>
          </cell>
          <cell r="G85">
            <v>0.75</v>
          </cell>
          <cell r="H85">
            <v>0.5</v>
          </cell>
          <cell r="I85">
            <v>100</v>
          </cell>
          <cell r="J85">
            <v>75</v>
          </cell>
          <cell r="K85">
            <v>50</v>
          </cell>
        </row>
        <row r="86">
          <cell r="D86" t="str">
            <v>随机橙色阵法碎片</v>
          </cell>
          <cell r="E86">
            <v>166.66666666666666</v>
          </cell>
          <cell r="F86">
            <v>1</v>
          </cell>
          <cell r="G86">
            <v>0.8</v>
          </cell>
          <cell r="H86">
            <v>0.5</v>
          </cell>
          <cell r="I86">
            <v>166.66666666666666</v>
          </cell>
          <cell r="J86">
            <v>133.33333333333334</v>
          </cell>
          <cell r="K86">
            <v>83.333333333333329</v>
          </cell>
        </row>
        <row r="87">
          <cell r="D87" t="str">
            <v>随机红色阵法碎片</v>
          </cell>
          <cell r="E87">
            <v>500</v>
          </cell>
          <cell r="F87">
            <v>2</v>
          </cell>
          <cell r="G87">
            <v>1.5</v>
          </cell>
          <cell r="H87">
            <v>1</v>
          </cell>
          <cell r="I87">
            <v>1000</v>
          </cell>
          <cell r="J87">
            <v>750</v>
          </cell>
          <cell r="K87">
            <v>500</v>
          </cell>
        </row>
        <row r="88">
          <cell r="F88">
            <v>1</v>
          </cell>
          <cell r="G88">
            <v>1</v>
          </cell>
          <cell r="H88">
            <v>1</v>
          </cell>
          <cell r="I88" t="str">
            <v/>
          </cell>
          <cell r="J88" t="str">
            <v/>
          </cell>
          <cell r="K88" t="str">
            <v/>
          </cell>
        </row>
        <row r="89">
          <cell r="D89" t="str">
            <v>指定蓝色阵法</v>
          </cell>
          <cell r="E89">
            <v>100</v>
          </cell>
          <cell r="F89">
            <v>1</v>
          </cell>
          <cell r="G89">
            <v>1</v>
          </cell>
          <cell r="H89">
            <v>1</v>
          </cell>
          <cell r="I89">
            <v>100</v>
          </cell>
          <cell r="J89">
            <v>100</v>
          </cell>
          <cell r="K89">
            <v>100</v>
          </cell>
        </row>
        <row r="90">
          <cell r="D90" t="str">
            <v>指定紫色阵法</v>
          </cell>
          <cell r="E90">
            <v>1000</v>
          </cell>
          <cell r="F90">
            <v>1.5</v>
          </cell>
          <cell r="G90">
            <v>1</v>
          </cell>
          <cell r="H90">
            <v>1</v>
          </cell>
          <cell r="I90">
            <v>1500</v>
          </cell>
          <cell r="J90">
            <v>1000</v>
          </cell>
          <cell r="K90">
            <v>1000</v>
          </cell>
        </row>
        <row r="91">
          <cell r="D91" t="str">
            <v>指定橙色阵法</v>
          </cell>
          <cell r="E91">
            <v>5000</v>
          </cell>
          <cell r="F91">
            <v>2</v>
          </cell>
          <cell r="G91">
            <v>1.5</v>
          </cell>
          <cell r="H91">
            <v>1</v>
          </cell>
          <cell r="I91">
            <v>10000</v>
          </cell>
          <cell r="J91">
            <v>7500</v>
          </cell>
          <cell r="K91">
            <v>5000</v>
          </cell>
        </row>
        <row r="92">
          <cell r="D92" t="str">
            <v>指定红色阵法</v>
          </cell>
          <cell r="E92">
            <v>25000</v>
          </cell>
          <cell r="F92">
            <v>2</v>
          </cell>
          <cell r="G92">
            <v>1.5</v>
          </cell>
          <cell r="H92">
            <v>1</v>
          </cell>
          <cell r="I92">
            <v>50000</v>
          </cell>
          <cell r="J92">
            <v>37500</v>
          </cell>
          <cell r="K92">
            <v>25000</v>
          </cell>
        </row>
        <row r="93">
          <cell r="F93">
            <v>1</v>
          </cell>
          <cell r="G93">
            <v>1</v>
          </cell>
          <cell r="H93">
            <v>1</v>
          </cell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指定紫色阵法碎片</v>
          </cell>
          <cell r="E94">
            <v>100</v>
          </cell>
          <cell r="F94">
            <v>1.5</v>
          </cell>
          <cell r="G94">
            <v>1</v>
          </cell>
          <cell r="H94">
            <v>1</v>
          </cell>
          <cell r="I94">
            <v>150</v>
          </cell>
          <cell r="J94">
            <v>100</v>
          </cell>
          <cell r="K94">
            <v>100</v>
          </cell>
        </row>
        <row r="95">
          <cell r="D95" t="str">
            <v>指定橙色阵法碎片</v>
          </cell>
          <cell r="E95">
            <v>166.66666666666666</v>
          </cell>
          <cell r="F95">
            <v>2</v>
          </cell>
          <cell r="G95">
            <v>1.5</v>
          </cell>
          <cell r="H95">
            <v>1</v>
          </cell>
          <cell r="I95">
            <v>333.33333333333331</v>
          </cell>
          <cell r="J95">
            <v>250</v>
          </cell>
          <cell r="K95">
            <v>166.66666666666666</v>
          </cell>
        </row>
        <row r="96">
          <cell r="D96" t="str">
            <v>指定红色阵法碎片</v>
          </cell>
          <cell r="E96">
            <v>500</v>
          </cell>
          <cell r="F96">
            <v>2</v>
          </cell>
          <cell r="G96">
            <v>1.5</v>
          </cell>
          <cell r="H96">
            <v>1</v>
          </cell>
          <cell r="I96">
            <v>1000</v>
          </cell>
          <cell r="J96">
            <v>750</v>
          </cell>
          <cell r="K96">
            <v>500</v>
          </cell>
        </row>
        <row r="97">
          <cell r="F97">
            <v>1</v>
          </cell>
          <cell r="G97">
            <v>1</v>
          </cell>
          <cell r="H97">
            <v>1</v>
          </cell>
          <cell r="I97" t="str">
            <v/>
          </cell>
          <cell r="J97" t="str">
            <v/>
          </cell>
          <cell r="K97" t="str">
            <v/>
          </cell>
        </row>
        <row r="98">
          <cell r="D98" t="str">
            <v>阵意</v>
          </cell>
          <cell r="E98">
            <v>100</v>
          </cell>
          <cell r="F98">
            <v>1</v>
          </cell>
          <cell r="G98">
            <v>1</v>
          </cell>
          <cell r="H98">
            <v>1</v>
          </cell>
          <cell r="I98">
            <v>100</v>
          </cell>
          <cell r="J98">
            <v>100</v>
          </cell>
          <cell r="K98">
            <v>100</v>
          </cell>
        </row>
        <row r="99">
          <cell r="D99" t="str">
            <v>阵法心得</v>
          </cell>
          <cell r="E99">
            <v>100</v>
          </cell>
          <cell r="F99">
            <v>1</v>
          </cell>
          <cell r="G99">
            <v>1</v>
          </cell>
          <cell r="H99">
            <v>1</v>
          </cell>
          <cell r="I99">
            <v>100</v>
          </cell>
          <cell r="J99">
            <v>100</v>
          </cell>
          <cell r="K99">
            <v>100</v>
          </cell>
        </row>
        <row r="100">
          <cell r="D100" t="str">
            <v>1级阵旗</v>
          </cell>
          <cell r="E100">
            <v>11</v>
          </cell>
          <cell r="F100">
            <v>1</v>
          </cell>
          <cell r="G100">
            <v>1</v>
          </cell>
          <cell r="H100">
            <v>1</v>
          </cell>
          <cell r="I100">
            <v>11</v>
          </cell>
          <cell r="J100">
            <v>11</v>
          </cell>
          <cell r="K100">
            <v>11</v>
          </cell>
        </row>
        <row r="101">
          <cell r="D101" t="str">
            <v>2级阵旗</v>
          </cell>
          <cell r="E101">
            <v>143</v>
          </cell>
          <cell r="F101">
            <v>1</v>
          </cell>
          <cell r="G101">
            <v>1</v>
          </cell>
          <cell r="H101">
            <v>1</v>
          </cell>
          <cell r="I101">
            <v>143</v>
          </cell>
          <cell r="J101">
            <v>143</v>
          </cell>
          <cell r="K101">
            <v>143</v>
          </cell>
        </row>
        <row r="102">
          <cell r="D102" t="str">
            <v>3级阵旗</v>
          </cell>
          <cell r="E102">
            <v>935</v>
          </cell>
          <cell r="F102">
            <v>1</v>
          </cell>
          <cell r="G102">
            <v>1</v>
          </cell>
          <cell r="H102">
            <v>1</v>
          </cell>
          <cell r="I102">
            <v>935</v>
          </cell>
          <cell r="J102">
            <v>935</v>
          </cell>
          <cell r="K102">
            <v>935</v>
          </cell>
        </row>
        <row r="103">
          <cell r="D103" t="str">
            <v>4级阵旗</v>
          </cell>
          <cell r="E103">
            <v>4895</v>
          </cell>
          <cell r="F103">
            <v>1</v>
          </cell>
          <cell r="G103">
            <v>1</v>
          </cell>
          <cell r="H103">
            <v>1</v>
          </cell>
          <cell r="I103">
            <v>4895</v>
          </cell>
          <cell r="J103">
            <v>4895</v>
          </cell>
          <cell r="K103">
            <v>4895</v>
          </cell>
        </row>
        <row r="104">
          <cell r="D104" t="str">
            <v>5级阵旗</v>
          </cell>
          <cell r="E104">
            <v>22495</v>
          </cell>
          <cell r="F104">
            <v>1</v>
          </cell>
          <cell r="G104">
            <v>1</v>
          </cell>
          <cell r="H104">
            <v>1</v>
          </cell>
          <cell r="I104">
            <v>22495</v>
          </cell>
          <cell r="J104">
            <v>22495</v>
          </cell>
          <cell r="K104">
            <v>22495</v>
          </cell>
        </row>
        <row r="105">
          <cell r="D105" t="str">
            <v>6级阵旗</v>
          </cell>
          <cell r="E105">
            <v>57695</v>
          </cell>
          <cell r="F105">
            <v>1</v>
          </cell>
          <cell r="G105">
            <v>1</v>
          </cell>
          <cell r="H105">
            <v>1</v>
          </cell>
          <cell r="I105">
            <v>57695</v>
          </cell>
          <cell r="J105">
            <v>57695</v>
          </cell>
          <cell r="K105">
            <v>57695</v>
          </cell>
        </row>
        <row r="106">
          <cell r="D106" t="str">
            <v>7级阵旗</v>
          </cell>
          <cell r="E106">
            <v>114895</v>
          </cell>
          <cell r="F106">
            <v>1</v>
          </cell>
          <cell r="G106">
            <v>1</v>
          </cell>
          <cell r="H106">
            <v>1</v>
          </cell>
          <cell r="I106">
            <v>114895</v>
          </cell>
          <cell r="J106">
            <v>114895</v>
          </cell>
          <cell r="K106">
            <v>114895</v>
          </cell>
        </row>
        <row r="107">
          <cell r="D107" t="str">
            <v>8级阵旗</v>
          </cell>
          <cell r="E107">
            <v>200695</v>
          </cell>
          <cell r="F107">
            <v>1</v>
          </cell>
          <cell r="G107">
            <v>1</v>
          </cell>
          <cell r="H107">
            <v>1</v>
          </cell>
          <cell r="I107">
            <v>200695</v>
          </cell>
          <cell r="J107">
            <v>200695</v>
          </cell>
          <cell r="K107">
            <v>200695</v>
          </cell>
        </row>
        <row r="108">
          <cell r="D108" t="str">
            <v>9级阵旗</v>
          </cell>
          <cell r="E108">
            <v>321695</v>
          </cell>
          <cell r="F108">
            <v>1</v>
          </cell>
          <cell r="G108">
            <v>1</v>
          </cell>
          <cell r="H108">
            <v>1</v>
          </cell>
          <cell r="I108">
            <v>321695</v>
          </cell>
          <cell r="J108">
            <v>321695</v>
          </cell>
          <cell r="K108">
            <v>321695</v>
          </cell>
        </row>
        <row r="109">
          <cell r="E109"/>
          <cell r="I109"/>
          <cell r="J109"/>
          <cell r="K109"/>
        </row>
        <row r="110">
          <cell r="E110"/>
          <cell r="I110"/>
          <cell r="J110"/>
          <cell r="K110"/>
        </row>
        <row r="111">
          <cell r="I111" t="str">
            <v/>
          </cell>
          <cell r="J111" t="str">
            <v/>
          </cell>
          <cell r="K111" t="str">
            <v/>
          </cell>
        </row>
        <row r="112">
          <cell r="C112">
            <v>21001</v>
          </cell>
          <cell r="D112" t="str">
            <v>一担粮食</v>
          </cell>
          <cell r="E112">
            <v>6</v>
          </cell>
          <cell r="F112">
            <v>1</v>
          </cell>
          <cell r="G112">
            <v>1</v>
          </cell>
          <cell r="H112">
            <v>1</v>
          </cell>
          <cell r="I112">
            <v>6</v>
          </cell>
          <cell r="J112">
            <v>6</v>
          </cell>
          <cell r="K112">
            <v>6</v>
          </cell>
          <cell r="L112" t="str">
            <v>使用后获得10000安全粮食</v>
          </cell>
        </row>
        <row r="113">
          <cell r="C113">
            <v>21002</v>
          </cell>
          <cell r="D113" t="str">
            <v>一堆粮食</v>
          </cell>
          <cell r="E113">
            <v>20</v>
          </cell>
          <cell r="F113">
            <v>1</v>
          </cell>
          <cell r="G113">
            <v>1</v>
          </cell>
          <cell r="H113">
            <v>1</v>
          </cell>
          <cell r="I113">
            <v>20</v>
          </cell>
          <cell r="J113">
            <v>20</v>
          </cell>
          <cell r="K113">
            <v>20</v>
          </cell>
          <cell r="L113" t="str">
            <v>使用后获得50000安全粮食</v>
          </cell>
        </row>
        <row r="114">
          <cell r="C114">
            <v>21003</v>
          </cell>
          <cell r="D114" t="str">
            <v>一箱粮食</v>
          </cell>
          <cell r="E114">
            <v>45</v>
          </cell>
          <cell r="F114">
            <v>1.333</v>
          </cell>
          <cell r="G114">
            <v>1</v>
          </cell>
          <cell r="H114">
            <v>1</v>
          </cell>
          <cell r="I114">
            <v>59.984999999999999</v>
          </cell>
          <cell r="J114">
            <v>45</v>
          </cell>
          <cell r="K114">
            <v>45</v>
          </cell>
          <cell r="L114" t="str">
            <v>使用后获得150000安全粮食</v>
          </cell>
        </row>
        <row r="115">
          <cell r="C115">
            <v>21004</v>
          </cell>
          <cell r="D115" t="str">
            <v>一车粮食</v>
          </cell>
          <cell r="E115">
            <v>100</v>
          </cell>
          <cell r="F115">
            <v>2</v>
          </cell>
          <cell r="G115">
            <v>1.5</v>
          </cell>
          <cell r="H115">
            <v>1</v>
          </cell>
          <cell r="I115">
            <v>200</v>
          </cell>
          <cell r="J115">
            <v>150</v>
          </cell>
          <cell r="K115">
            <v>100</v>
          </cell>
          <cell r="L115" t="str">
            <v>使用后获得500000安全粮食</v>
          </cell>
        </row>
        <row r="116">
          <cell r="C116">
            <v>21005</v>
          </cell>
          <cell r="D116" t="str">
            <v>一担木材</v>
          </cell>
          <cell r="E116">
            <v>6</v>
          </cell>
          <cell r="F116">
            <v>1</v>
          </cell>
          <cell r="G116">
            <v>1</v>
          </cell>
          <cell r="H116">
            <v>1</v>
          </cell>
          <cell r="I116">
            <v>6</v>
          </cell>
          <cell r="J116">
            <v>6</v>
          </cell>
          <cell r="K116">
            <v>6</v>
          </cell>
          <cell r="L116" t="str">
            <v>使用后获得10000安全木材</v>
          </cell>
        </row>
        <row r="117">
          <cell r="C117">
            <v>21006</v>
          </cell>
          <cell r="D117" t="str">
            <v>一堆木材</v>
          </cell>
          <cell r="E117">
            <v>20</v>
          </cell>
          <cell r="F117">
            <v>1</v>
          </cell>
          <cell r="G117">
            <v>1</v>
          </cell>
          <cell r="H117">
            <v>1</v>
          </cell>
          <cell r="I117">
            <v>20</v>
          </cell>
          <cell r="J117">
            <v>20</v>
          </cell>
          <cell r="K117">
            <v>20</v>
          </cell>
          <cell r="L117" t="str">
            <v>使用后获得50000安全木材</v>
          </cell>
        </row>
        <row r="118">
          <cell r="C118">
            <v>21007</v>
          </cell>
          <cell r="D118" t="str">
            <v>一箱木材</v>
          </cell>
          <cell r="E118">
            <v>45</v>
          </cell>
          <cell r="F118">
            <v>1.333</v>
          </cell>
          <cell r="G118">
            <v>1</v>
          </cell>
          <cell r="H118">
            <v>1</v>
          </cell>
          <cell r="I118">
            <v>59.984999999999999</v>
          </cell>
          <cell r="J118">
            <v>45</v>
          </cell>
          <cell r="K118">
            <v>45</v>
          </cell>
          <cell r="L118" t="str">
            <v>使用后获得150000安全木材</v>
          </cell>
        </row>
        <row r="119">
          <cell r="C119">
            <v>21008</v>
          </cell>
          <cell r="D119" t="str">
            <v>一车木材</v>
          </cell>
          <cell r="E119">
            <v>100</v>
          </cell>
          <cell r="F119">
            <v>2</v>
          </cell>
          <cell r="G119">
            <v>1.5</v>
          </cell>
          <cell r="H119">
            <v>1</v>
          </cell>
          <cell r="I119">
            <v>200</v>
          </cell>
          <cell r="J119">
            <v>150</v>
          </cell>
          <cell r="K119">
            <v>100</v>
          </cell>
          <cell r="L119" t="str">
            <v>使用后获得500000安全木材</v>
          </cell>
        </row>
        <row r="120">
          <cell r="C120">
            <v>21009</v>
          </cell>
          <cell r="D120" t="str">
            <v>一担石料</v>
          </cell>
          <cell r="E120">
            <v>6</v>
          </cell>
          <cell r="F120">
            <v>1</v>
          </cell>
          <cell r="G120">
            <v>1</v>
          </cell>
          <cell r="H120">
            <v>1</v>
          </cell>
          <cell r="I120">
            <v>6</v>
          </cell>
          <cell r="J120">
            <v>6</v>
          </cell>
          <cell r="K120">
            <v>6</v>
          </cell>
          <cell r="L120" t="str">
            <v>使用后获得10000安全石料</v>
          </cell>
        </row>
        <row r="121">
          <cell r="C121">
            <v>21010</v>
          </cell>
          <cell r="D121" t="str">
            <v>一堆石料</v>
          </cell>
          <cell r="E121">
            <v>20</v>
          </cell>
          <cell r="F121">
            <v>1</v>
          </cell>
          <cell r="G121">
            <v>1</v>
          </cell>
          <cell r="H121">
            <v>1</v>
          </cell>
          <cell r="I121">
            <v>20</v>
          </cell>
          <cell r="J121">
            <v>20</v>
          </cell>
          <cell r="K121">
            <v>20</v>
          </cell>
          <cell r="L121" t="str">
            <v>使用后获得50000安全石料</v>
          </cell>
        </row>
        <row r="122">
          <cell r="C122">
            <v>21011</v>
          </cell>
          <cell r="D122" t="str">
            <v>一箱石料</v>
          </cell>
          <cell r="E122">
            <v>45</v>
          </cell>
          <cell r="F122">
            <v>1.333</v>
          </cell>
          <cell r="G122">
            <v>1</v>
          </cell>
          <cell r="H122">
            <v>1</v>
          </cell>
          <cell r="I122">
            <v>59.984999999999999</v>
          </cell>
          <cell r="J122">
            <v>45</v>
          </cell>
          <cell r="K122">
            <v>45</v>
          </cell>
          <cell r="L122" t="str">
            <v>使用后获得150000安全石料</v>
          </cell>
        </row>
        <row r="123">
          <cell r="C123">
            <v>21012</v>
          </cell>
          <cell r="D123" t="str">
            <v>一车石料</v>
          </cell>
          <cell r="E123">
            <v>100</v>
          </cell>
          <cell r="F123">
            <v>2</v>
          </cell>
          <cell r="G123">
            <v>1.5</v>
          </cell>
          <cell r="H123">
            <v>1</v>
          </cell>
          <cell r="I123">
            <v>200</v>
          </cell>
          <cell r="J123">
            <v>150</v>
          </cell>
          <cell r="K123">
            <v>100</v>
          </cell>
          <cell r="L123" t="str">
            <v>使用后获得500000安全石料</v>
          </cell>
        </row>
        <row r="124">
          <cell r="C124">
            <v>21013</v>
          </cell>
          <cell r="D124" t="str">
            <v>一担铁矿</v>
          </cell>
          <cell r="E124">
            <v>12</v>
          </cell>
          <cell r="F124">
            <v>1</v>
          </cell>
          <cell r="G124">
            <v>1</v>
          </cell>
          <cell r="H124">
            <v>1</v>
          </cell>
          <cell r="I124">
            <v>12</v>
          </cell>
          <cell r="J124">
            <v>12</v>
          </cell>
          <cell r="K124">
            <v>12</v>
          </cell>
          <cell r="L124" t="str">
            <v>使用后获得10000安全铁矿</v>
          </cell>
        </row>
        <row r="125">
          <cell r="C125">
            <v>21014</v>
          </cell>
          <cell r="D125" t="str">
            <v>一堆铁矿</v>
          </cell>
          <cell r="E125">
            <v>40</v>
          </cell>
          <cell r="F125">
            <v>1</v>
          </cell>
          <cell r="G125">
            <v>1</v>
          </cell>
          <cell r="H125">
            <v>1</v>
          </cell>
          <cell r="I125">
            <v>40</v>
          </cell>
          <cell r="J125">
            <v>40</v>
          </cell>
          <cell r="K125">
            <v>40</v>
          </cell>
          <cell r="L125" t="str">
            <v>使用后获得50000安全铁矿</v>
          </cell>
        </row>
        <row r="126">
          <cell r="C126">
            <v>21015</v>
          </cell>
          <cell r="D126" t="str">
            <v>一箱铁矿</v>
          </cell>
          <cell r="E126">
            <v>90</v>
          </cell>
          <cell r="F126">
            <v>1.333</v>
          </cell>
          <cell r="G126">
            <v>1</v>
          </cell>
          <cell r="H126">
            <v>1</v>
          </cell>
          <cell r="I126">
            <v>119.97</v>
          </cell>
          <cell r="J126">
            <v>90</v>
          </cell>
          <cell r="K126">
            <v>90</v>
          </cell>
          <cell r="L126" t="str">
            <v>使用后获得150000安全铁矿</v>
          </cell>
        </row>
        <row r="127">
          <cell r="C127">
            <v>21016</v>
          </cell>
          <cell r="D127" t="str">
            <v>一车铁矿</v>
          </cell>
          <cell r="E127">
            <v>200</v>
          </cell>
          <cell r="F127">
            <v>2</v>
          </cell>
          <cell r="G127">
            <v>1.5</v>
          </cell>
          <cell r="H127">
            <v>1</v>
          </cell>
          <cell r="I127">
            <v>400</v>
          </cell>
          <cell r="J127">
            <v>300</v>
          </cell>
          <cell r="K127">
            <v>200</v>
          </cell>
          <cell r="L127" t="str">
            <v>使用后获得500000安全铁矿</v>
          </cell>
        </row>
        <row r="128">
          <cell r="C128">
            <v>21017</v>
          </cell>
          <cell r="D128" t="str">
            <v>一担铜矿</v>
          </cell>
          <cell r="E128">
            <v>6</v>
          </cell>
          <cell r="F128">
            <v>1</v>
          </cell>
          <cell r="G128">
            <v>1</v>
          </cell>
          <cell r="H128">
            <v>1</v>
          </cell>
          <cell r="I128">
            <v>6</v>
          </cell>
          <cell r="J128">
            <v>6</v>
          </cell>
          <cell r="K128">
            <v>6</v>
          </cell>
          <cell r="L128" t="str">
            <v>使用后获得10000安全铜矿</v>
          </cell>
        </row>
        <row r="129">
          <cell r="C129">
            <v>21018</v>
          </cell>
          <cell r="D129" t="str">
            <v>一堆铜矿</v>
          </cell>
          <cell r="E129">
            <v>20</v>
          </cell>
          <cell r="F129">
            <v>1</v>
          </cell>
          <cell r="G129">
            <v>1</v>
          </cell>
          <cell r="H129">
            <v>1</v>
          </cell>
          <cell r="I129">
            <v>20</v>
          </cell>
          <cell r="J129">
            <v>20</v>
          </cell>
          <cell r="K129">
            <v>20</v>
          </cell>
          <cell r="L129" t="str">
            <v>使用后获得50000安全铜矿</v>
          </cell>
        </row>
        <row r="130">
          <cell r="C130">
            <v>21019</v>
          </cell>
          <cell r="D130" t="str">
            <v>一箱铜矿</v>
          </cell>
          <cell r="E130">
            <v>45</v>
          </cell>
          <cell r="F130">
            <v>1.333</v>
          </cell>
          <cell r="G130">
            <v>1</v>
          </cell>
          <cell r="H130">
            <v>1</v>
          </cell>
          <cell r="I130">
            <v>59.984999999999999</v>
          </cell>
          <cell r="J130">
            <v>45</v>
          </cell>
          <cell r="K130">
            <v>45</v>
          </cell>
          <cell r="L130" t="str">
            <v>使用后获得150000安全铜矿</v>
          </cell>
        </row>
        <row r="131">
          <cell r="C131">
            <v>21020</v>
          </cell>
          <cell r="D131" t="str">
            <v>一车铜矿</v>
          </cell>
          <cell r="E131">
            <v>100</v>
          </cell>
          <cell r="F131">
            <v>2</v>
          </cell>
          <cell r="G131">
            <v>1.5</v>
          </cell>
          <cell r="H131">
            <v>1</v>
          </cell>
          <cell r="I131">
            <v>200</v>
          </cell>
          <cell r="J131">
            <v>150</v>
          </cell>
          <cell r="K131">
            <v>100</v>
          </cell>
          <cell r="L131" t="str">
            <v>使用后获得500000安全铜矿</v>
          </cell>
        </row>
        <row r="132">
          <cell r="C132">
            <v>21021</v>
          </cell>
          <cell r="D132" t="str">
            <v>一吊刀币</v>
          </cell>
          <cell r="E132">
            <v>50</v>
          </cell>
          <cell r="F132">
            <v>1</v>
          </cell>
          <cell r="G132">
            <v>1</v>
          </cell>
          <cell r="H132">
            <v>1</v>
          </cell>
          <cell r="I132">
            <v>50</v>
          </cell>
          <cell r="J132">
            <v>50</v>
          </cell>
          <cell r="K132">
            <v>50</v>
          </cell>
          <cell r="L132" t="str">
            <v>使用后获得10000刀币</v>
          </cell>
        </row>
        <row r="133">
          <cell r="C133">
            <v>21022</v>
          </cell>
          <cell r="D133" t="str">
            <v>一贯刀币</v>
          </cell>
          <cell r="E133">
            <v>150</v>
          </cell>
          <cell r="F133">
            <v>1</v>
          </cell>
          <cell r="G133">
            <v>1</v>
          </cell>
          <cell r="H133">
            <v>1</v>
          </cell>
          <cell r="I133">
            <v>150</v>
          </cell>
          <cell r="J133">
            <v>150</v>
          </cell>
          <cell r="K133">
            <v>150</v>
          </cell>
          <cell r="L133" t="str">
            <v>使用后获得50000刀币</v>
          </cell>
        </row>
        <row r="134">
          <cell r="C134">
            <v>21023</v>
          </cell>
          <cell r="D134" t="str">
            <v>一袋刀币</v>
          </cell>
          <cell r="E134">
            <v>300</v>
          </cell>
          <cell r="F134">
            <v>1.5</v>
          </cell>
          <cell r="G134">
            <v>1</v>
          </cell>
          <cell r="H134">
            <v>1</v>
          </cell>
          <cell r="I134">
            <v>450</v>
          </cell>
          <cell r="J134">
            <v>300</v>
          </cell>
          <cell r="K134">
            <v>300</v>
          </cell>
          <cell r="L134" t="str">
            <v>使用后获得150000刀币</v>
          </cell>
        </row>
        <row r="135">
          <cell r="C135" t="str">
            <v/>
          </cell>
          <cell r="D135" t="str">
            <v/>
          </cell>
          <cell r="E135">
            <v>800</v>
          </cell>
          <cell r="F135">
            <v>1.875</v>
          </cell>
          <cell r="G135">
            <v>1.25</v>
          </cell>
          <cell r="H135">
            <v>1</v>
          </cell>
          <cell r="I135">
            <v>1500</v>
          </cell>
          <cell r="J135">
            <v>1000</v>
          </cell>
          <cell r="K135">
            <v>800</v>
          </cell>
          <cell r="L135" t="str">
            <v>使用后获得500000刀币</v>
          </cell>
        </row>
        <row r="136">
          <cell r="C136">
            <v>21024</v>
          </cell>
          <cell r="D136" t="str">
            <v>普通资源自选宝箱</v>
          </cell>
          <cell r="E136">
            <v>6</v>
          </cell>
          <cell r="F136">
            <v>1</v>
          </cell>
          <cell r="G136">
            <v>1</v>
          </cell>
          <cell r="H136">
            <v>1</v>
          </cell>
          <cell r="I136">
            <v>6</v>
          </cell>
          <cell r="J136">
            <v>6</v>
          </cell>
          <cell r="K136">
            <v>6</v>
          </cell>
          <cell r="L136" t="str">
            <v>使用后可选择获得10000资源(可选择资源类型：粮食、木材、石料和铜矿)</v>
          </cell>
        </row>
        <row r="137">
          <cell r="C137">
            <v>21025</v>
          </cell>
          <cell r="D137" t="str">
            <v>初级资源自选宝箱</v>
          </cell>
          <cell r="E137">
            <v>20</v>
          </cell>
          <cell r="F137">
            <v>1</v>
          </cell>
          <cell r="G137">
            <v>1</v>
          </cell>
          <cell r="H137">
            <v>1</v>
          </cell>
          <cell r="I137">
            <v>20</v>
          </cell>
          <cell r="J137">
            <v>20</v>
          </cell>
          <cell r="K137">
            <v>20</v>
          </cell>
          <cell r="L137" t="str">
            <v>使用后可选择获得50000资源(可选择资源类型：粮食、木材、石料和铜矿)</v>
          </cell>
        </row>
        <row r="138">
          <cell r="C138">
            <v>21026</v>
          </cell>
          <cell r="D138" t="str">
            <v>中级资源自选宝箱</v>
          </cell>
          <cell r="E138">
            <v>45</v>
          </cell>
          <cell r="F138">
            <v>1.333</v>
          </cell>
          <cell r="G138">
            <v>1</v>
          </cell>
          <cell r="H138">
            <v>1</v>
          </cell>
          <cell r="I138">
            <v>59.984999999999999</v>
          </cell>
          <cell r="J138">
            <v>45</v>
          </cell>
          <cell r="K138">
            <v>45</v>
          </cell>
          <cell r="L138" t="str">
            <v>使用后可选择获得150000资源(可选择资源类型：粮食、木材、石料和铜矿)</v>
          </cell>
        </row>
        <row r="139">
          <cell r="C139">
            <v>21027</v>
          </cell>
          <cell r="D139" t="str">
            <v>高级资源自选宝箱</v>
          </cell>
          <cell r="E139">
            <v>100</v>
          </cell>
          <cell r="F139">
            <v>2</v>
          </cell>
          <cell r="G139">
            <v>1.5</v>
          </cell>
          <cell r="H139">
            <v>1</v>
          </cell>
          <cell r="I139">
            <v>200</v>
          </cell>
          <cell r="J139">
            <v>150</v>
          </cell>
          <cell r="K139">
            <v>100</v>
          </cell>
          <cell r="L139" t="str">
            <v>使用后可选择获得500000资源(可选择资源类型：粮食、木材、石料和铜矿)</v>
          </cell>
        </row>
        <row r="140">
          <cell r="C140">
            <v>21031</v>
          </cell>
          <cell r="D140" t="str">
            <v>普通资源宝箱</v>
          </cell>
          <cell r="E140">
            <v>30</v>
          </cell>
          <cell r="F140">
            <v>1</v>
          </cell>
          <cell r="G140">
            <v>1</v>
          </cell>
          <cell r="H140">
            <v>1</v>
          </cell>
          <cell r="I140">
            <v>30</v>
          </cell>
          <cell r="J140">
            <v>30</v>
          </cell>
          <cell r="K140">
            <v>30</v>
          </cell>
          <cell r="L140" t="str">
            <v>使用后直接获得10000粮食、木材、石料和铜矿</v>
          </cell>
        </row>
        <row r="141">
          <cell r="C141">
            <v>21032</v>
          </cell>
          <cell r="D141" t="str">
            <v>初级资源宝箱</v>
          </cell>
          <cell r="E141">
            <v>80</v>
          </cell>
          <cell r="F141">
            <v>1</v>
          </cell>
          <cell r="G141">
            <v>1</v>
          </cell>
          <cell r="H141">
            <v>1</v>
          </cell>
          <cell r="I141">
            <v>80</v>
          </cell>
          <cell r="J141">
            <v>80</v>
          </cell>
          <cell r="K141">
            <v>80</v>
          </cell>
          <cell r="L141" t="str">
            <v>使用后直接获得50000粮食、木材、石料和铜矿</v>
          </cell>
        </row>
        <row r="142">
          <cell r="C142">
            <v>21033</v>
          </cell>
          <cell r="D142" t="str">
            <v>中级资源宝箱</v>
          </cell>
          <cell r="E142">
            <v>180</v>
          </cell>
          <cell r="F142">
            <v>1.333</v>
          </cell>
          <cell r="G142">
            <v>1</v>
          </cell>
          <cell r="H142">
            <v>1</v>
          </cell>
          <cell r="I142">
            <v>239.94</v>
          </cell>
          <cell r="J142">
            <v>180</v>
          </cell>
          <cell r="K142">
            <v>180</v>
          </cell>
          <cell r="L142" t="str">
            <v>使用后直接获得150000粮食、木材、石料和铜矿</v>
          </cell>
        </row>
        <row r="143">
          <cell r="C143">
            <v>21034</v>
          </cell>
          <cell r="D143" t="str">
            <v>高级资源宝箱</v>
          </cell>
          <cell r="E143">
            <v>400</v>
          </cell>
          <cell r="F143">
            <v>2</v>
          </cell>
          <cell r="G143">
            <v>1.5</v>
          </cell>
          <cell r="H143">
            <v>1</v>
          </cell>
          <cell r="I143">
            <v>800</v>
          </cell>
          <cell r="J143">
            <v>600</v>
          </cell>
          <cell r="K143">
            <v>400</v>
          </cell>
          <cell r="L143" t="str">
            <v>使用后直接获得500000粮食、木材、石料和铜矿</v>
          </cell>
        </row>
        <row r="144">
          <cell r="C144" t="str">
            <v/>
          </cell>
          <cell r="D144" t="str">
            <v/>
          </cell>
          <cell r="E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</row>
        <row r="145">
          <cell r="C145">
            <v>21061</v>
          </cell>
          <cell r="D145" t="str">
            <v>初级经验书</v>
          </cell>
          <cell r="E145">
            <v>2</v>
          </cell>
          <cell r="F145">
            <v>1</v>
          </cell>
          <cell r="G145">
            <v>1</v>
          </cell>
          <cell r="H145">
            <v>1</v>
          </cell>
          <cell r="I145">
            <v>2</v>
          </cell>
          <cell r="J145">
            <v>2</v>
          </cell>
          <cell r="K145">
            <v>2</v>
          </cell>
          <cell r="L145" t="str">
            <v>武将使用后获得200经验</v>
          </cell>
        </row>
        <row r="146">
          <cell r="C146">
            <v>21062</v>
          </cell>
          <cell r="D146" t="str">
            <v>中级经验书</v>
          </cell>
          <cell r="E146">
            <v>5</v>
          </cell>
          <cell r="F146">
            <v>1</v>
          </cell>
          <cell r="G146">
            <v>1</v>
          </cell>
          <cell r="H146">
            <v>1</v>
          </cell>
          <cell r="I146">
            <v>5</v>
          </cell>
          <cell r="J146">
            <v>5</v>
          </cell>
          <cell r="K146">
            <v>5</v>
          </cell>
          <cell r="L146" t="str">
            <v>武将使用后获得1000经验</v>
          </cell>
        </row>
        <row r="147">
          <cell r="C147">
            <v>21063</v>
          </cell>
          <cell r="D147" t="str">
            <v>高级经验书</v>
          </cell>
          <cell r="E147">
            <v>10</v>
          </cell>
          <cell r="F147">
            <v>1</v>
          </cell>
          <cell r="G147">
            <v>1</v>
          </cell>
          <cell r="H147">
            <v>1</v>
          </cell>
          <cell r="I147">
            <v>10</v>
          </cell>
          <cell r="J147">
            <v>10</v>
          </cell>
          <cell r="K147">
            <v>10</v>
          </cell>
          <cell r="L147" t="str">
            <v>武将使用后获得5000经验</v>
          </cell>
        </row>
        <row r="148">
          <cell r="C148">
            <v>21064</v>
          </cell>
          <cell r="D148" t="str">
            <v>特级经验书</v>
          </cell>
          <cell r="E148">
            <v>20</v>
          </cell>
          <cell r="F148">
            <v>2</v>
          </cell>
          <cell r="G148">
            <v>1</v>
          </cell>
          <cell r="H148">
            <v>1</v>
          </cell>
          <cell r="I148">
            <v>40</v>
          </cell>
          <cell r="J148">
            <v>20</v>
          </cell>
          <cell r="K148">
            <v>20</v>
          </cell>
          <cell r="L148" t="str">
            <v>武将使用后获得20000经验</v>
          </cell>
        </row>
        <row r="149">
          <cell r="C149">
            <v>21065</v>
          </cell>
          <cell r="D149" t="str">
            <v>超级经验书</v>
          </cell>
          <cell r="E149">
            <v>40</v>
          </cell>
          <cell r="F149">
            <v>5</v>
          </cell>
          <cell r="G149">
            <v>2.5</v>
          </cell>
          <cell r="H149">
            <v>1</v>
          </cell>
          <cell r="I149">
            <v>200</v>
          </cell>
          <cell r="J149">
            <v>100</v>
          </cell>
          <cell r="K149">
            <v>40</v>
          </cell>
          <cell r="L149" t="str">
            <v>武将使用后获得100000经验</v>
          </cell>
        </row>
        <row r="150">
          <cell r="C150" t="str">
            <v/>
          </cell>
          <cell r="D150" t="str">
            <v/>
          </cell>
          <cell r="E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</row>
        <row r="151">
          <cell r="C151">
            <v>21073</v>
          </cell>
          <cell r="D151" t="str">
            <v>1个行军令</v>
          </cell>
          <cell r="E151">
            <v>75</v>
          </cell>
          <cell r="F151">
            <v>1</v>
          </cell>
          <cell r="G151">
            <v>1</v>
          </cell>
          <cell r="H151">
            <v>1</v>
          </cell>
          <cell r="I151">
            <v>75</v>
          </cell>
          <cell r="J151">
            <v>75</v>
          </cell>
          <cell r="K151">
            <v>75</v>
          </cell>
          <cell r="L151" t="str">
            <v>使用后获得1个行军令</v>
          </cell>
        </row>
        <row r="152">
          <cell r="C152">
            <v>21074</v>
          </cell>
          <cell r="D152" t="str">
            <v>大捆行军令</v>
          </cell>
          <cell r="E152">
            <v>225</v>
          </cell>
          <cell r="F152">
            <v>1</v>
          </cell>
          <cell r="G152">
            <v>1</v>
          </cell>
          <cell r="H152">
            <v>1</v>
          </cell>
          <cell r="I152">
            <v>225</v>
          </cell>
          <cell r="J152">
            <v>225</v>
          </cell>
          <cell r="K152">
            <v>225</v>
          </cell>
          <cell r="L152" t="str">
            <v>使用后获得3个行军令</v>
          </cell>
        </row>
        <row r="153">
          <cell r="C153" t="str">
            <v/>
          </cell>
          <cell r="D153" t="str">
            <v/>
          </cell>
          <cell r="E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</row>
        <row r="154">
          <cell r="C154">
            <v>21081</v>
          </cell>
          <cell r="D154" t="str">
            <v>木材增产令</v>
          </cell>
          <cell r="E154">
            <v>35</v>
          </cell>
          <cell r="F154">
            <v>1</v>
          </cell>
          <cell r="G154">
            <v>1</v>
          </cell>
          <cell r="H154">
            <v>1</v>
          </cell>
          <cell r="I154">
            <v>35</v>
          </cell>
          <cell r="J154">
            <v>35</v>
          </cell>
          <cell r="K154">
            <v>35</v>
          </cell>
          <cell r="L154" t="str">
            <v>使用后伐木场产量提高50%，持续12小时</v>
          </cell>
        </row>
        <row r="155">
          <cell r="C155">
            <v>21082</v>
          </cell>
          <cell r="D155" t="str">
            <v>铁矿增产令</v>
          </cell>
          <cell r="E155">
            <v>50</v>
          </cell>
          <cell r="F155">
            <v>1</v>
          </cell>
          <cell r="G155">
            <v>1</v>
          </cell>
          <cell r="H155">
            <v>1</v>
          </cell>
          <cell r="I155">
            <v>50</v>
          </cell>
          <cell r="J155">
            <v>50</v>
          </cell>
          <cell r="K155">
            <v>50</v>
          </cell>
          <cell r="L155" t="str">
            <v>使用后冶炼厂产量提高50%，持续12小时</v>
          </cell>
        </row>
        <row r="156">
          <cell r="C156">
            <v>21083</v>
          </cell>
          <cell r="D156" t="str">
            <v>石料增产令</v>
          </cell>
          <cell r="E156">
            <v>35</v>
          </cell>
          <cell r="F156">
            <v>1</v>
          </cell>
          <cell r="G156">
            <v>1</v>
          </cell>
          <cell r="H156">
            <v>1</v>
          </cell>
          <cell r="I156">
            <v>35</v>
          </cell>
          <cell r="J156">
            <v>35</v>
          </cell>
          <cell r="K156">
            <v>35</v>
          </cell>
          <cell r="L156" t="str">
            <v>使用后采石场产量提高50%，持续12小时</v>
          </cell>
        </row>
        <row r="157">
          <cell r="C157">
            <v>21084</v>
          </cell>
          <cell r="D157" t="str">
            <v>粮食增产令</v>
          </cell>
          <cell r="E157">
            <v>35</v>
          </cell>
          <cell r="F157">
            <v>1</v>
          </cell>
          <cell r="G157">
            <v>1</v>
          </cell>
          <cell r="H157">
            <v>1</v>
          </cell>
          <cell r="I157">
            <v>35</v>
          </cell>
          <cell r="J157">
            <v>35</v>
          </cell>
          <cell r="K157">
            <v>35</v>
          </cell>
          <cell r="L157" t="str">
            <v>使用后农田产量提高50%，持续12小时</v>
          </cell>
        </row>
        <row r="158">
          <cell r="C158">
            <v>21085</v>
          </cell>
          <cell r="D158" t="str">
            <v>赋税增收令</v>
          </cell>
          <cell r="E158">
            <v>85</v>
          </cell>
          <cell r="F158">
            <v>1</v>
          </cell>
          <cell r="G158">
            <v>1</v>
          </cell>
          <cell r="H158">
            <v>1</v>
          </cell>
          <cell r="I158">
            <v>85</v>
          </cell>
          <cell r="J158">
            <v>85</v>
          </cell>
          <cell r="K158">
            <v>85</v>
          </cell>
          <cell r="L158" t="str">
            <v>使用后民居税收提高25%，持续12小时</v>
          </cell>
        </row>
        <row r="159">
          <cell r="C159">
            <v>21086</v>
          </cell>
          <cell r="D159" t="str">
            <v>铜矿增产令</v>
          </cell>
          <cell r="E159">
            <v>35</v>
          </cell>
          <cell r="F159">
            <v>1</v>
          </cell>
          <cell r="G159">
            <v>1</v>
          </cell>
          <cell r="H159">
            <v>1</v>
          </cell>
          <cell r="I159">
            <v>35</v>
          </cell>
          <cell r="J159">
            <v>35</v>
          </cell>
          <cell r="K159">
            <v>35</v>
          </cell>
          <cell r="L159" t="str">
            <v>使用后铜矿产量提高50%，持续12小时</v>
          </cell>
        </row>
        <row r="160">
          <cell r="C160" t="str">
            <v/>
          </cell>
          <cell r="D160" t="str">
            <v/>
          </cell>
          <cell r="E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</row>
        <row r="161">
          <cell r="C161">
            <v>21100</v>
          </cell>
          <cell r="D161" t="str">
            <v>免战牌</v>
          </cell>
          <cell r="E161">
            <v>100</v>
          </cell>
          <cell r="F161">
            <v>1</v>
          </cell>
          <cell r="G161">
            <v>1</v>
          </cell>
          <cell r="H161">
            <v>1</v>
          </cell>
          <cell r="I161">
            <v>100</v>
          </cell>
          <cell r="J161">
            <v>100</v>
          </cell>
          <cell r="K161">
            <v>100</v>
          </cell>
          <cell r="L161" t="str">
            <v>使用后城池不会遭受来自玩家的攻击，主动进攻玩家后失效，持续8小时</v>
          </cell>
        </row>
        <row r="162">
          <cell r="C162">
            <v>21101</v>
          </cell>
          <cell r="D162" t="str">
            <v>普通点将牌</v>
          </cell>
          <cell r="E162">
            <v>65</v>
          </cell>
          <cell r="F162">
            <v>1</v>
          </cell>
          <cell r="G162">
            <v>1</v>
          </cell>
          <cell r="H162">
            <v>1</v>
          </cell>
          <cell r="I162">
            <v>65</v>
          </cell>
          <cell r="J162">
            <v>65</v>
          </cell>
          <cell r="K162">
            <v>65</v>
          </cell>
          <cell r="L162" t="str">
            <v>点将台普通招募时消耗的令牌</v>
          </cell>
        </row>
        <row r="163">
          <cell r="C163">
            <v>21102</v>
          </cell>
          <cell r="D163" t="str">
            <v>高级点将牌</v>
          </cell>
          <cell r="E163">
            <v>240</v>
          </cell>
          <cell r="F163">
            <v>1</v>
          </cell>
          <cell r="G163">
            <v>1</v>
          </cell>
          <cell r="H163">
            <v>1</v>
          </cell>
          <cell r="I163">
            <v>240</v>
          </cell>
          <cell r="J163">
            <v>240</v>
          </cell>
          <cell r="K163">
            <v>240</v>
          </cell>
          <cell r="L163" t="str">
            <v>点将台高级招募时消耗的令牌</v>
          </cell>
        </row>
        <row r="164">
          <cell r="C164" t="str">
            <v/>
          </cell>
          <cell r="D164" t="str">
            <v>行军丸（旧版)</v>
          </cell>
          <cell r="E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>使用后每次可增加部队100%的行军速度</v>
          </cell>
        </row>
        <row r="165">
          <cell r="C165">
            <v>21104</v>
          </cell>
          <cell r="D165" t="str">
            <v>撤军令</v>
          </cell>
          <cell r="E165">
            <v>60</v>
          </cell>
          <cell r="F165">
            <v>1</v>
          </cell>
          <cell r="G165">
            <v>1</v>
          </cell>
          <cell r="H165">
            <v>1</v>
          </cell>
          <cell r="I165">
            <v>60</v>
          </cell>
          <cell r="J165">
            <v>60</v>
          </cell>
          <cell r="K165">
            <v>60</v>
          </cell>
          <cell r="L165" t="str">
            <v>使用后使一支出征队伍立即撤军回城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</row>
        <row r="167">
          <cell r="C167">
            <v>21110</v>
          </cell>
          <cell r="D167" t="str">
            <v>城建1分钟加速令</v>
          </cell>
          <cell r="E167">
            <v>2</v>
          </cell>
          <cell r="F167">
            <v>1</v>
          </cell>
          <cell r="G167">
            <v>1</v>
          </cell>
          <cell r="H167">
            <v>1</v>
          </cell>
          <cell r="I167">
            <v>2</v>
          </cell>
          <cell r="J167">
            <v>2</v>
          </cell>
          <cell r="K167">
            <v>2</v>
          </cell>
          <cell r="L167" t="str">
            <v>使用后城池建设加速1分钟</v>
          </cell>
        </row>
        <row r="168">
          <cell r="C168">
            <v>21111</v>
          </cell>
          <cell r="D168" t="str">
            <v>城建5分钟加速令</v>
          </cell>
          <cell r="E168">
            <v>8</v>
          </cell>
          <cell r="F168">
            <v>1</v>
          </cell>
          <cell r="G168">
            <v>1</v>
          </cell>
          <cell r="H168">
            <v>1</v>
          </cell>
          <cell r="I168">
            <v>8</v>
          </cell>
          <cell r="J168">
            <v>8</v>
          </cell>
          <cell r="K168">
            <v>8</v>
          </cell>
          <cell r="L168" t="str">
            <v>使用后城池建设加速5分钟</v>
          </cell>
        </row>
        <row r="169">
          <cell r="C169">
            <v>21112</v>
          </cell>
          <cell r="D169" t="str">
            <v>城建20分钟加速令</v>
          </cell>
          <cell r="E169">
            <v>20</v>
          </cell>
          <cell r="F169">
            <v>1</v>
          </cell>
          <cell r="G169">
            <v>1</v>
          </cell>
          <cell r="H169">
            <v>1</v>
          </cell>
          <cell r="I169">
            <v>20</v>
          </cell>
          <cell r="J169">
            <v>20</v>
          </cell>
          <cell r="K169">
            <v>20</v>
          </cell>
          <cell r="L169" t="str">
            <v>使用后城池建设加速20分钟</v>
          </cell>
        </row>
        <row r="170">
          <cell r="C170">
            <v>21113</v>
          </cell>
          <cell r="D170" t="str">
            <v>城建1小时加速令</v>
          </cell>
          <cell r="E170">
            <v>50</v>
          </cell>
          <cell r="F170">
            <v>1.2</v>
          </cell>
          <cell r="G170">
            <v>1</v>
          </cell>
          <cell r="H170">
            <v>1</v>
          </cell>
          <cell r="I170">
            <v>60</v>
          </cell>
          <cell r="J170">
            <v>50</v>
          </cell>
          <cell r="K170">
            <v>50</v>
          </cell>
          <cell r="L170" t="str">
            <v>使用后城池建设加速1小时</v>
          </cell>
        </row>
        <row r="171">
          <cell r="C171">
            <v>21114</v>
          </cell>
          <cell r="D171" t="str">
            <v>城建3小时加速令</v>
          </cell>
          <cell r="E171">
            <v>100</v>
          </cell>
          <cell r="F171">
            <v>1.8</v>
          </cell>
          <cell r="G171">
            <v>1.5</v>
          </cell>
          <cell r="H171">
            <v>1</v>
          </cell>
          <cell r="I171">
            <v>180</v>
          </cell>
          <cell r="J171">
            <v>150</v>
          </cell>
          <cell r="K171">
            <v>100</v>
          </cell>
          <cell r="L171" t="str">
            <v>使用后城池建设加速3小时</v>
          </cell>
        </row>
        <row r="172">
          <cell r="C172">
            <v>21135</v>
          </cell>
          <cell r="D172" t="str">
            <v>城建8小时加速令</v>
          </cell>
          <cell r="E172">
            <v>160</v>
          </cell>
          <cell r="F172">
            <v>3</v>
          </cell>
          <cell r="G172">
            <v>2.5</v>
          </cell>
          <cell r="H172">
            <v>1</v>
          </cell>
          <cell r="I172">
            <v>480</v>
          </cell>
          <cell r="J172">
            <v>400</v>
          </cell>
          <cell r="K172">
            <v>160</v>
          </cell>
          <cell r="L172" t="str">
            <v>使用后城池建设加速8小时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</row>
        <row r="174">
          <cell r="C174">
            <v>21115</v>
          </cell>
          <cell r="D174" t="str">
            <v>招募1分钟加速令</v>
          </cell>
          <cell r="E174">
            <v>2</v>
          </cell>
          <cell r="F174">
            <v>1</v>
          </cell>
          <cell r="G174">
            <v>1</v>
          </cell>
          <cell r="H174">
            <v>1</v>
          </cell>
          <cell r="I174">
            <v>2</v>
          </cell>
          <cell r="J174">
            <v>2</v>
          </cell>
          <cell r="K174">
            <v>2</v>
          </cell>
          <cell r="L174" t="str">
            <v>使用后士兵招募加速1分钟</v>
          </cell>
        </row>
        <row r="175">
          <cell r="C175">
            <v>21116</v>
          </cell>
          <cell r="D175" t="str">
            <v>招募5分钟加速令</v>
          </cell>
          <cell r="E175">
            <v>8</v>
          </cell>
          <cell r="F175">
            <v>1</v>
          </cell>
          <cell r="G175">
            <v>1</v>
          </cell>
          <cell r="H175">
            <v>1</v>
          </cell>
          <cell r="I175">
            <v>8</v>
          </cell>
          <cell r="J175">
            <v>8</v>
          </cell>
          <cell r="K175">
            <v>8</v>
          </cell>
          <cell r="L175" t="str">
            <v>使用后士兵招募加速5分钟</v>
          </cell>
        </row>
        <row r="176">
          <cell r="C176">
            <v>21117</v>
          </cell>
          <cell r="D176" t="str">
            <v>招募20分钟加速令</v>
          </cell>
          <cell r="E176">
            <v>20</v>
          </cell>
          <cell r="F176">
            <v>1</v>
          </cell>
          <cell r="G176">
            <v>1</v>
          </cell>
          <cell r="H176">
            <v>1</v>
          </cell>
          <cell r="I176">
            <v>20</v>
          </cell>
          <cell r="J176">
            <v>20</v>
          </cell>
          <cell r="K176">
            <v>20</v>
          </cell>
          <cell r="L176" t="str">
            <v>使用后士兵招募加速20分钟</v>
          </cell>
        </row>
        <row r="177">
          <cell r="C177">
            <v>21118</v>
          </cell>
          <cell r="D177" t="str">
            <v>招募1小时加速令</v>
          </cell>
          <cell r="E177">
            <v>50</v>
          </cell>
          <cell r="F177">
            <v>1.2</v>
          </cell>
          <cell r="G177">
            <v>1</v>
          </cell>
          <cell r="H177">
            <v>1</v>
          </cell>
          <cell r="I177">
            <v>60</v>
          </cell>
          <cell r="J177">
            <v>50</v>
          </cell>
          <cell r="K177">
            <v>50</v>
          </cell>
          <cell r="L177" t="str">
            <v>使用后士兵招募加速1小时</v>
          </cell>
        </row>
        <row r="178">
          <cell r="C178">
            <v>21119</v>
          </cell>
          <cell r="D178" t="str">
            <v>招募3小时加速令</v>
          </cell>
          <cell r="E178">
            <v>100</v>
          </cell>
          <cell r="F178">
            <v>1.8</v>
          </cell>
          <cell r="G178">
            <v>1.5</v>
          </cell>
          <cell r="H178">
            <v>1</v>
          </cell>
          <cell r="I178">
            <v>180</v>
          </cell>
          <cell r="J178">
            <v>150</v>
          </cell>
          <cell r="K178">
            <v>100</v>
          </cell>
          <cell r="L178" t="str">
            <v>使用后士兵招募加速3小时</v>
          </cell>
        </row>
        <row r="179">
          <cell r="C179">
            <v>21136</v>
          </cell>
          <cell r="D179" t="str">
            <v>招募8小时加速令</v>
          </cell>
          <cell r="E179">
            <v>160</v>
          </cell>
          <cell r="F179">
            <v>3</v>
          </cell>
          <cell r="G179">
            <v>2.5</v>
          </cell>
          <cell r="H179">
            <v>1</v>
          </cell>
          <cell r="I179">
            <v>480</v>
          </cell>
          <cell r="J179">
            <v>400</v>
          </cell>
          <cell r="K179">
            <v>160</v>
          </cell>
          <cell r="L179" t="str">
            <v>使用后士兵招募加速8小时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</row>
        <row r="181">
          <cell r="C181">
            <v>21120</v>
          </cell>
          <cell r="D181" t="str">
            <v>治疗1分钟加速令</v>
          </cell>
          <cell r="E181">
            <v>2</v>
          </cell>
          <cell r="F181">
            <v>1</v>
          </cell>
          <cell r="G181">
            <v>1</v>
          </cell>
          <cell r="H181">
            <v>1</v>
          </cell>
          <cell r="I181">
            <v>2</v>
          </cell>
          <cell r="J181">
            <v>2</v>
          </cell>
          <cell r="K181">
            <v>2</v>
          </cell>
          <cell r="L181" t="str">
            <v>使用后士兵治疗加速1分钟</v>
          </cell>
        </row>
        <row r="182">
          <cell r="C182">
            <v>21121</v>
          </cell>
          <cell r="D182" t="str">
            <v>治疗5分钟加速令</v>
          </cell>
          <cell r="E182">
            <v>8</v>
          </cell>
          <cell r="F182">
            <v>1</v>
          </cell>
          <cell r="G182">
            <v>1</v>
          </cell>
          <cell r="H182">
            <v>1</v>
          </cell>
          <cell r="I182">
            <v>8</v>
          </cell>
          <cell r="J182">
            <v>8</v>
          </cell>
          <cell r="K182">
            <v>8</v>
          </cell>
          <cell r="L182" t="str">
            <v>使用后士兵治疗加速5分钟</v>
          </cell>
        </row>
        <row r="183">
          <cell r="C183">
            <v>21122</v>
          </cell>
          <cell r="D183" t="str">
            <v>治疗20分钟加速令</v>
          </cell>
          <cell r="E183">
            <v>20</v>
          </cell>
          <cell r="F183">
            <v>1</v>
          </cell>
          <cell r="G183">
            <v>1</v>
          </cell>
          <cell r="H183">
            <v>1</v>
          </cell>
          <cell r="I183">
            <v>20</v>
          </cell>
          <cell r="J183">
            <v>20</v>
          </cell>
          <cell r="K183">
            <v>20</v>
          </cell>
          <cell r="L183" t="str">
            <v>使用后士兵治疗加速20分钟</v>
          </cell>
        </row>
        <row r="184">
          <cell r="C184">
            <v>21123</v>
          </cell>
          <cell r="D184" t="str">
            <v>治疗1小时加速令</v>
          </cell>
          <cell r="E184">
            <v>50</v>
          </cell>
          <cell r="F184">
            <v>1.2</v>
          </cell>
          <cell r="G184">
            <v>1</v>
          </cell>
          <cell r="H184">
            <v>1</v>
          </cell>
          <cell r="I184">
            <v>60</v>
          </cell>
          <cell r="J184">
            <v>50</v>
          </cell>
          <cell r="K184">
            <v>50</v>
          </cell>
          <cell r="L184" t="str">
            <v>使用后士兵治疗加速1小时</v>
          </cell>
        </row>
        <row r="185">
          <cell r="C185">
            <v>21124</v>
          </cell>
          <cell r="D185" t="str">
            <v>治疗3小时加速令</v>
          </cell>
          <cell r="E185">
            <v>100</v>
          </cell>
          <cell r="F185">
            <v>1.8</v>
          </cell>
          <cell r="G185">
            <v>1.5</v>
          </cell>
          <cell r="H185">
            <v>1</v>
          </cell>
          <cell r="I185">
            <v>180</v>
          </cell>
          <cell r="J185">
            <v>150</v>
          </cell>
          <cell r="K185">
            <v>100</v>
          </cell>
          <cell r="L185" t="str">
            <v>使用后士兵治疗加速3小时</v>
          </cell>
        </row>
        <row r="186">
          <cell r="C186">
            <v>21137</v>
          </cell>
          <cell r="D186" t="str">
            <v>治疗8小时加速令</v>
          </cell>
          <cell r="E186">
            <v>160</v>
          </cell>
          <cell r="F186">
            <v>3</v>
          </cell>
          <cell r="G186">
            <v>2.5</v>
          </cell>
          <cell r="H186">
            <v>1</v>
          </cell>
          <cell r="I186">
            <v>480</v>
          </cell>
          <cell r="J186">
            <v>400</v>
          </cell>
          <cell r="K186">
            <v>160</v>
          </cell>
          <cell r="L186" t="str">
            <v>使用后士兵治疗加速8小时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</row>
        <row r="188">
          <cell r="C188">
            <v>21130</v>
          </cell>
          <cell r="D188" t="str">
            <v>训练1分钟加速令</v>
          </cell>
          <cell r="E188">
            <v>2</v>
          </cell>
          <cell r="F188">
            <v>1</v>
          </cell>
          <cell r="G188">
            <v>1</v>
          </cell>
          <cell r="H188">
            <v>1</v>
          </cell>
          <cell r="I188">
            <v>2</v>
          </cell>
          <cell r="J188">
            <v>2</v>
          </cell>
          <cell r="K188">
            <v>2</v>
          </cell>
          <cell r="L188" t="str">
            <v>使用后士兵训练加速1分钟</v>
          </cell>
        </row>
        <row r="189">
          <cell r="C189">
            <v>21131</v>
          </cell>
          <cell r="D189" t="str">
            <v>训练5分钟加速令</v>
          </cell>
          <cell r="E189">
            <v>8</v>
          </cell>
          <cell r="F189">
            <v>1</v>
          </cell>
          <cell r="G189">
            <v>1</v>
          </cell>
          <cell r="H189">
            <v>1</v>
          </cell>
          <cell r="I189">
            <v>8</v>
          </cell>
          <cell r="J189">
            <v>8</v>
          </cell>
          <cell r="K189">
            <v>8</v>
          </cell>
          <cell r="L189" t="str">
            <v>使用后士兵训练加速5分钟</v>
          </cell>
        </row>
        <row r="190">
          <cell r="C190">
            <v>21132</v>
          </cell>
          <cell r="D190" t="str">
            <v>训练20分钟加速令</v>
          </cell>
          <cell r="E190">
            <v>20</v>
          </cell>
          <cell r="F190">
            <v>1</v>
          </cell>
          <cell r="G190">
            <v>1</v>
          </cell>
          <cell r="H190">
            <v>1</v>
          </cell>
          <cell r="I190">
            <v>20</v>
          </cell>
          <cell r="J190">
            <v>20</v>
          </cell>
          <cell r="K190">
            <v>20</v>
          </cell>
          <cell r="L190" t="str">
            <v>使用后士兵训练加速20分钟</v>
          </cell>
        </row>
        <row r="191">
          <cell r="C191">
            <v>21133</v>
          </cell>
          <cell r="D191" t="str">
            <v>训练1小时加速令</v>
          </cell>
          <cell r="E191">
            <v>50</v>
          </cell>
          <cell r="F191">
            <v>1.2</v>
          </cell>
          <cell r="G191">
            <v>1</v>
          </cell>
          <cell r="H191">
            <v>1</v>
          </cell>
          <cell r="I191">
            <v>60</v>
          </cell>
          <cell r="J191">
            <v>50</v>
          </cell>
          <cell r="K191">
            <v>50</v>
          </cell>
          <cell r="L191" t="str">
            <v>使用后士兵训练加速1小时</v>
          </cell>
        </row>
        <row r="192">
          <cell r="C192">
            <v>21134</v>
          </cell>
          <cell r="D192" t="str">
            <v>训练3小时加速令</v>
          </cell>
          <cell r="E192">
            <v>100</v>
          </cell>
          <cell r="F192">
            <v>1.8</v>
          </cell>
          <cell r="G192">
            <v>1.5</v>
          </cell>
          <cell r="H192">
            <v>1</v>
          </cell>
          <cell r="I192">
            <v>180</v>
          </cell>
          <cell r="J192">
            <v>150</v>
          </cell>
          <cell r="K192">
            <v>100</v>
          </cell>
          <cell r="L192" t="str">
            <v>使用后士兵训练加速3小时</v>
          </cell>
        </row>
        <row r="193">
          <cell r="C193">
            <v>21139</v>
          </cell>
          <cell r="D193" t="str">
            <v>训练8小时加速令</v>
          </cell>
          <cell r="E193">
            <v>160</v>
          </cell>
          <cell r="F193">
            <v>3</v>
          </cell>
          <cell r="G193">
            <v>2.5</v>
          </cell>
          <cell r="H193">
            <v>1</v>
          </cell>
          <cell r="I193">
            <v>480</v>
          </cell>
          <cell r="J193">
            <v>400</v>
          </cell>
          <cell r="K193">
            <v>160</v>
          </cell>
          <cell r="L193" t="str">
            <v>使用后士兵训练加速8小时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</row>
        <row r="195">
          <cell r="C195">
            <v>21140</v>
          </cell>
          <cell r="D195" t="str">
            <v>圣人1分钟加速令</v>
          </cell>
          <cell r="E195">
            <v>2</v>
          </cell>
          <cell r="F195">
            <v>1</v>
          </cell>
          <cell r="G195">
            <v>1</v>
          </cell>
          <cell r="H195">
            <v>1</v>
          </cell>
          <cell r="I195">
            <v>2</v>
          </cell>
          <cell r="J195">
            <v>2</v>
          </cell>
          <cell r="K195">
            <v>2</v>
          </cell>
          <cell r="L195" t="str">
            <v>使用后士兵训练加速1分钟</v>
          </cell>
        </row>
        <row r="196">
          <cell r="C196">
            <v>21141</v>
          </cell>
          <cell r="D196" t="str">
            <v>圣人5分钟加速令</v>
          </cell>
          <cell r="E196">
            <v>8</v>
          </cell>
          <cell r="F196">
            <v>1</v>
          </cell>
          <cell r="G196">
            <v>1</v>
          </cell>
          <cell r="H196">
            <v>1</v>
          </cell>
          <cell r="I196">
            <v>8</v>
          </cell>
          <cell r="J196">
            <v>8</v>
          </cell>
          <cell r="K196">
            <v>8</v>
          </cell>
          <cell r="L196" t="str">
            <v>使用后士兵训练加速5分钟</v>
          </cell>
        </row>
        <row r="197">
          <cell r="C197">
            <v>21142</v>
          </cell>
          <cell r="D197" t="str">
            <v>圣人20分钟加速令</v>
          </cell>
          <cell r="E197">
            <v>20</v>
          </cell>
          <cell r="F197">
            <v>1</v>
          </cell>
          <cell r="G197">
            <v>1</v>
          </cell>
          <cell r="H197">
            <v>1</v>
          </cell>
          <cell r="I197">
            <v>20</v>
          </cell>
          <cell r="J197">
            <v>20</v>
          </cell>
          <cell r="K197">
            <v>20</v>
          </cell>
          <cell r="L197" t="str">
            <v>使用后士兵训练加速20分钟</v>
          </cell>
        </row>
        <row r="198">
          <cell r="C198">
            <v>21143</v>
          </cell>
          <cell r="D198" t="str">
            <v>圣人1小时加速令</v>
          </cell>
          <cell r="E198">
            <v>50</v>
          </cell>
          <cell r="F198">
            <v>1.2</v>
          </cell>
          <cell r="G198">
            <v>1</v>
          </cell>
          <cell r="H198">
            <v>1</v>
          </cell>
          <cell r="I198">
            <v>60</v>
          </cell>
          <cell r="J198">
            <v>50</v>
          </cell>
          <cell r="K198">
            <v>50</v>
          </cell>
          <cell r="L198" t="str">
            <v>使用后士兵训练加速1小时</v>
          </cell>
        </row>
        <row r="199">
          <cell r="C199">
            <v>21144</v>
          </cell>
          <cell r="D199" t="str">
            <v>圣人3小时加速令</v>
          </cell>
          <cell r="E199">
            <v>100</v>
          </cell>
          <cell r="F199">
            <v>1.8</v>
          </cell>
          <cell r="G199">
            <v>1.5</v>
          </cell>
          <cell r="H199">
            <v>1</v>
          </cell>
          <cell r="I199">
            <v>180</v>
          </cell>
          <cell r="J199">
            <v>150</v>
          </cell>
          <cell r="K199">
            <v>100</v>
          </cell>
          <cell r="L199" t="str">
            <v>使用后士兵训练加速3小时</v>
          </cell>
        </row>
        <row r="200">
          <cell r="C200">
            <v>21145</v>
          </cell>
          <cell r="D200" t="str">
            <v>圣人8小时加速令</v>
          </cell>
          <cell r="E200">
            <v>160</v>
          </cell>
          <cell r="F200">
            <v>3</v>
          </cell>
          <cell r="G200">
            <v>2.5</v>
          </cell>
          <cell r="H200">
            <v>1</v>
          </cell>
          <cell r="I200">
            <v>480</v>
          </cell>
          <cell r="J200">
            <v>400</v>
          </cell>
          <cell r="K200">
            <v>160</v>
          </cell>
          <cell r="L200" t="str">
            <v>使用后士兵训练加速8小时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</row>
        <row r="202">
          <cell r="C202">
            <v>21125</v>
          </cell>
          <cell r="D202" t="str">
            <v>通用1分钟加速令</v>
          </cell>
          <cell r="E202">
            <v>2</v>
          </cell>
          <cell r="F202">
            <v>1</v>
          </cell>
          <cell r="G202">
            <v>1</v>
          </cell>
          <cell r="H202">
            <v>1</v>
          </cell>
          <cell r="I202">
            <v>2</v>
          </cell>
          <cell r="J202">
            <v>2</v>
          </cell>
          <cell r="K202">
            <v>2</v>
          </cell>
          <cell r="L202" t="str">
            <v>使用后任意队列加速1分钟</v>
          </cell>
        </row>
        <row r="203">
          <cell r="C203">
            <v>21126</v>
          </cell>
          <cell r="D203" t="str">
            <v>通用5分钟加速令</v>
          </cell>
          <cell r="E203">
            <v>8</v>
          </cell>
          <cell r="F203">
            <v>1</v>
          </cell>
          <cell r="G203">
            <v>1</v>
          </cell>
          <cell r="H203">
            <v>1</v>
          </cell>
          <cell r="I203">
            <v>8</v>
          </cell>
          <cell r="J203">
            <v>8</v>
          </cell>
          <cell r="K203">
            <v>8</v>
          </cell>
          <cell r="L203" t="str">
            <v>使用后任意队列加速5分钟</v>
          </cell>
        </row>
        <row r="204">
          <cell r="C204">
            <v>21127</v>
          </cell>
          <cell r="D204" t="str">
            <v>通用20分钟加速令</v>
          </cell>
          <cell r="E204">
            <v>20</v>
          </cell>
          <cell r="F204">
            <v>1</v>
          </cell>
          <cell r="G204">
            <v>1</v>
          </cell>
          <cell r="H204">
            <v>1</v>
          </cell>
          <cell r="I204">
            <v>20</v>
          </cell>
          <cell r="J204">
            <v>20</v>
          </cell>
          <cell r="K204">
            <v>20</v>
          </cell>
          <cell r="L204" t="str">
            <v>使用后任意队列加速20分钟</v>
          </cell>
        </row>
        <row r="205">
          <cell r="C205">
            <v>21128</v>
          </cell>
          <cell r="D205" t="str">
            <v>通用1小时加速令</v>
          </cell>
          <cell r="E205">
            <v>50</v>
          </cell>
          <cell r="F205">
            <v>1.2</v>
          </cell>
          <cell r="G205">
            <v>1</v>
          </cell>
          <cell r="H205">
            <v>1</v>
          </cell>
          <cell r="I205">
            <v>60</v>
          </cell>
          <cell r="J205">
            <v>50</v>
          </cell>
          <cell r="K205">
            <v>50</v>
          </cell>
          <cell r="L205" t="str">
            <v>使用后任意队列加速1小时</v>
          </cell>
        </row>
        <row r="206">
          <cell r="C206">
            <v>21129</v>
          </cell>
          <cell r="D206" t="str">
            <v>通用3小时加速令</v>
          </cell>
          <cell r="E206">
            <v>100</v>
          </cell>
          <cell r="F206">
            <v>1.8</v>
          </cell>
          <cell r="G206">
            <v>1.5</v>
          </cell>
          <cell r="H206">
            <v>1</v>
          </cell>
          <cell r="I206">
            <v>180</v>
          </cell>
          <cell r="J206">
            <v>150</v>
          </cell>
          <cell r="K206">
            <v>100</v>
          </cell>
          <cell r="L206" t="str">
            <v>使用后任意队列加速3小时</v>
          </cell>
        </row>
        <row r="207">
          <cell r="C207">
            <v>21138</v>
          </cell>
          <cell r="D207" t="str">
            <v>通用8小时加速令</v>
          </cell>
          <cell r="E207">
            <v>160</v>
          </cell>
          <cell r="F207">
            <v>3</v>
          </cell>
          <cell r="G207">
            <v>2.5</v>
          </cell>
          <cell r="H207">
            <v>1</v>
          </cell>
          <cell r="I207">
            <v>480</v>
          </cell>
          <cell r="J207">
            <v>400</v>
          </cell>
          <cell r="K207">
            <v>160</v>
          </cell>
          <cell r="L207" t="str">
            <v>使用后任意队列加速8小时</v>
          </cell>
        </row>
        <row r="208">
          <cell r="C208" t="str">
            <v/>
          </cell>
          <cell r="D208" t="str">
            <v/>
          </cell>
          <cell r="E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</row>
        <row r="210">
          <cell r="C210">
            <v>21150</v>
          </cell>
          <cell r="D210" t="str">
            <v>初级装备淬炼</v>
          </cell>
          <cell r="E210">
            <v>10</v>
          </cell>
          <cell r="F210">
            <v>1</v>
          </cell>
          <cell r="G210">
            <v>1</v>
          </cell>
          <cell r="H210">
            <v>1</v>
          </cell>
          <cell r="I210">
            <v>10</v>
          </cell>
          <cell r="J210">
            <v>10</v>
          </cell>
          <cell r="K210">
            <v>10</v>
          </cell>
          <cell r="L210" t="str">
            <v>装备使用后获得10经验</v>
          </cell>
        </row>
        <row r="211">
          <cell r="C211">
            <v>21151</v>
          </cell>
          <cell r="D211" t="str">
            <v>中级装备淬炼</v>
          </cell>
          <cell r="E211">
            <v>20</v>
          </cell>
          <cell r="F211">
            <v>1</v>
          </cell>
          <cell r="G211">
            <v>1</v>
          </cell>
          <cell r="H211">
            <v>1</v>
          </cell>
          <cell r="I211">
            <v>20</v>
          </cell>
          <cell r="J211">
            <v>20</v>
          </cell>
          <cell r="K211">
            <v>20</v>
          </cell>
          <cell r="L211" t="str">
            <v>装备使用后获得20经验</v>
          </cell>
        </row>
        <row r="212">
          <cell r="C212">
            <v>21152</v>
          </cell>
          <cell r="D212" t="str">
            <v>高级装备淬炼</v>
          </cell>
          <cell r="E212">
            <v>40</v>
          </cell>
          <cell r="F212">
            <v>1</v>
          </cell>
          <cell r="G212">
            <v>1</v>
          </cell>
          <cell r="H212">
            <v>1</v>
          </cell>
          <cell r="I212">
            <v>40</v>
          </cell>
          <cell r="J212">
            <v>40</v>
          </cell>
          <cell r="K212">
            <v>40</v>
          </cell>
          <cell r="L212" t="str">
            <v>装备使用后获得40经验</v>
          </cell>
        </row>
        <row r="213">
          <cell r="C213">
            <v>21153</v>
          </cell>
          <cell r="D213" t="str">
            <v>特级装备淬炼</v>
          </cell>
          <cell r="E213">
            <v>75</v>
          </cell>
          <cell r="F213">
            <v>1.25</v>
          </cell>
          <cell r="G213">
            <v>1</v>
          </cell>
          <cell r="H213">
            <v>1</v>
          </cell>
          <cell r="I213">
            <v>93.75</v>
          </cell>
          <cell r="J213">
            <v>75</v>
          </cell>
          <cell r="K213">
            <v>75</v>
          </cell>
          <cell r="L213" t="str">
            <v>装备使用后获得75经验</v>
          </cell>
        </row>
        <row r="214">
          <cell r="C214">
            <v>21154</v>
          </cell>
          <cell r="D214" t="str">
            <v>超级装备淬炼</v>
          </cell>
          <cell r="E214">
            <v>150</v>
          </cell>
          <cell r="F214">
            <v>1.5</v>
          </cell>
          <cell r="G214">
            <v>1</v>
          </cell>
          <cell r="H214">
            <v>1</v>
          </cell>
          <cell r="I214">
            <v>225</v>
          </cell>
          <cell r="J214">
            <v>150</v>
          </cell>
          <cell r="K214">
            <v>150</v>
          </cell>
          <cell r="L214" t="str">
            <v>装备使用后获得150经验</v>
          </cell>
        </row>
        <row r="215">
          <cell r="C215" t="str">
            <v/>
          </cell>
          <cell r="D215" t="str">
            <v/>
          </cell>
          <cell r="E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</row>
        <row r="216">
          <cell r="C216">
            <v>21500</v>
          </cell>
          <cell r="D216" t="str">
            <v>随机迁城令</v>
          </cell>
          <cell r="E216">
            <v>100</v>
          </cell>
          <cell r="F216">
            <v>1</v>
          </cell>
          <cell r="G216">
            <v>1</v>
          </cell>
          <cell r="H216">
            <v>1</v>
          </cell>
          <cell r="I216">
            <v>100</v>
          </cell>
          <cell r="J216">
            <v>100</v>
          </cell>
          <cell r="K216">
            <v>100</v>
          </cell>
          <cell r="L216" t="str">
            <v>使用后城池迁移到随机位置</v>
          </cell>
        </row>
        <row r="217">
          <cell r="C217">
            <v>21501</v>
          </cell>
          <cell r="D217" t="str">
            <v>九州迁城令</v>
          </cell>
          <cell r="E217">
            <v>300</v>
          </cell>
          <cell r="F217">
            <v>1</v>
          </cell>
          <cell r="G217">
            <v>1</v>
          </cell>
          <cell r="H217">
            <v>1</v>
          </cell>
          <cell r="I217">
            <v>300</v>
          </cell>
          <cell r="J217">
            <v>300</v>
          </cell>
          <cell r="K217">
            <v>300</v>
          </cell>
          <cell r="L217" t="str">
            <v>使用后城池迁移到指定位置</v>
          </cell>
        </row>
        <row r="218">
          <cell r="C218">
            <v>21504</v>
          </cell>
          <cell r="D218" t="str">
            <v>国内迁城令</v>
          </cell>
          <cell r="E218">
            <v>100</v>
          </cell>
          <cell r="F218">
            <v>1</v>
          </cell>
          <cell r="G218">
            <v>1</v>
          </cell>
          <cell r="H218">
            <v>1</v>
          </cell>
          <cell r="I218">
            <v>100</v>
          </cell>
          <cell r="J218">
            <v>100</v>
          </cell>
          <cell r="K218">
            <v>100</v>
          </cell>
          <cell r="L218" t="str">
            <v>使用后城池迁移到国内指定位置</v>
          </cell>
        </row>
        <row r="219">
          <cell r="C219">
            <v>21502</v>
          </cell>
          <cell r="D219" t="str">
            <v>校武牌</v>
          </cell>
          <cell r="E219">
            <v>20</v>
          </cell>
          <cell r="F219">
            <v>1</v>
          </cell>
          <cell r="G219">
            <v>1</v>
          </cell>
          <cell r="H219">
            <v>1</v>
          </cell>
          <cell r="I219">
            <v>20</v>
          </cell>
          <cell r="J219">
            <v>20</v>
          </cell>
          <cell r="K219">
            <v>20</v>
          </cell>
          <cell r="L219" t="str">
            <v>使用后增加1次校场挑战机会</v>
          </cell>
        </row>
        <row r="220">
          <cell r="C220">
            <v>21503</v>
          </cell>
          <cell r="D220" t="str">
            <v>复仇令</v>
          </cell>
          <cell r="E220">
            <v>50</v>
          </cell>
          <cell r="F220">
            <v>1</v>
          </cell>
          <cell r="G220">
            <v>1</v>
          </cell>
          <cell r="H220">
            <v>1</v>
          </cell>
          <cell r="I220">
            <v>50</v>
          </cell>
          <cell r="J220">
            <v>50</v>
          </cell>
          <cell r="K220">
            <v>50</v>
          </cell>
          <cell r="L220" t="str">
            <v>被其他玩家攻击后，可以通过复仇令追查到该玩家城池所在坐标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</row>
        <row r="222">
          <cell r="C222">
            <v>26400</v>
          </cell>
          <cell r="D222" t="str">
            <v>步兵虎符</v>
          </cell>
          <cell r="E222">
            <v>200</v>
          </cell>
          <cell r="F222">
            <v>1</v>
          </cell>
          <cell r="G222">
            <v>1</v>
          </cell>
          <cell r="H222">
            <v>1</v>
          </cell>
          <cell r="I222">
            <v>200</v>
          </cell>
          <cell r="J222">
            <v>200</v>
          </cell>
          <cell r="K222">
            <v>200</v>
          </cell>
          <cell r="L222" t="str">
            <v>使用后立即获得10000步兵新兵</v>
          </cell>
        </row>
        <row r="223">
          <cell r="C223">
            <v>26401</v>
          </cell>
          <cell r="D223" t="str">
            <v>骑兵虎符</v>
          </cell>
          <cell r="E223">
            <v>200</v>
          </cell>
          <cell r="F223">
            <v>1</v>
          </cell>
          <cell r="G223">
            <v>1</v>
          </cell>
          <cell r="H223">
            <v>1</v>
          </cell>
          <cell r="I223">
            <v>200</v>
          </cell>
          <cell r="J223">
            <v>200</v>
          </cell>
          <cell r="K223">
            <v>200</v>
          </cell>
          <cell r="L223" t="str">
            <v>使用后立即获得10000骑兵新兵</v>
          </cell>
        </row>
        <row r="224">
          <cell r="C224">
            <v>26402</v>
          </cell>
          <cell r="D224" t="str">
            <v>弓箭虎符</v>
          </cell>
          <cell r="E224">
            <v>200</v>
          </cell>
          <cell r="F224">
            <v>1</v>
          </cell>
          <cell r="G224">
            <v>1</v>
          </cell>
          <cell r="H224">
            <v>1</v>
          </cell>
          <cell r="I224">
            <v>200</v>
          </cell>
          <cell r="J224">
            <v>200</v>
          </cell>
          <cell r="K224">
            <v>200</v>
          </cell>
          <cell r="L224" t="str">
            <v>使用后立即获得10000弓箭新兵</v>
          </cell>
        </row>
        <row r="225">
          <cell r="C225">
            <v>26403</v>
          </cell>
          <cell r="D225" t="str">
            <v>器械虎符</v>
          </cell>
          <cell r="E225">
            <v>200</v>
          </cell>
          <cell r="F225">
            <v>1</v>
          </cell>
          <cell r="G225">
            <v>1</v>
          </cell>
          <cell r="H225">
            <v>1</v>
          </cell>
          <cell r="I225">
            <v>200</v>
          </cell>
          <cell r="J225">
            <v>200</v>
          </cell>
          <cell r="K225">
            <v>200</v>
          </cell>
          <cell r="L225" t="str">
            <v>使用后立即获得10000器械兵新兵</v>
          </cell>
        </row>
        <row r="226">
          <cell r="C226" t="str">
            <v/>
          </cell>
          <cell r="D226" t="str">
            <v/>
          </cell>
          <cell r="E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</row>
        <row r="227">
          <cell r="C227">
            <v>26500</v>
          </cell>
          <cell r="D227" t="str">
            <v>兵法宝箱</v>
          </cell>
          <cell r="E227">
            <v>250</v>
          </cell>
          <cell r="F227">
            <v>1</v>
          </cell>
          <cell r="G227">
            <v>1</v>
          </cell>
          <cell r="H227">
            <v>1</v>
          </cell>
          <cell r="I227">
            <v>250</v>
          </cell>
          <cell r="J227">
            <v>250</v>
          </cell>
          <cell r="K227">
            <v>250</v>
          </cell>
          <cell r="L227" t="str">
            <v>使用后随机获得1个兵法</v>
          </cell>
        </row>
        <row r="228">
          <cell r="C228">
            <v>26501</v>
          </cell>
          <cell r="D228" t="str">
            <v>蓝色兵法宝箱</v>
          </cell>
          <cell r="E228">
            <v>50</v>
          </cell>
          <cell r="F228">
            <v>1</v>
          </cell>
          <cell r="G228">
            <v>1</v>
          </cell>
          <cell r="H228">
            <v>1</v>
          </cell>
          <cell r="I228">
            <v>50</v>
          </cell>
          <cell r="J228">
            <v>50</v>
          </cell>
          <cell r="K228">
            <v>50</v>
          </cell>
          <cell r="L228" t="str">
            <v>使用后随机获得1个蓝色品质兵法</v>
          </cell>
        </row>
        <row r="229">
          <cell r="C229">
            <v>26502</v>
          </cell>
          <cell r="D229" t="str">
            <v>紫色兵法宝箱</v>
          </cell>
          <cell r="E229">
            <v>500</v>
          </cell>
          <cell r="F229">
            <v>1</v>
          </cell>
          <cell r="G229">
            <v>1</v>
          </cell>
          <cell r="H229">
            <v>1</v>
          </cell>
          <cell r="I229">
            <v>500</v>
          </cell>
          <cell r="J229">
            <v>500</v>
          </cell>
          <cell r="K229">
            <v>500</v>
          </cell>
          <cell r="L229" t="str">
            <v>使用后随机获得1个紫色品质兵法</v>
          </cell>
        </row>
        <row r="230">
          <cell r="C230">
            <v>26503</v>
          </cell>
          <cell r="D230" t="str">
            <v>橙色兵法宝箱</v>
          </cell>
          <cell r="E230">
            <v>1680</v>
          </cell>
          <cell r="F230">
            <v>1</v>
          </cell>
          <cell r="G230">
            <v>1</v>
          </cell>
          <cell r="H230">
            <v>1</v>
          </cell>
          <cell r="I230">
            <v>1680</v>
          </cell>
          <cell r="J230">
            <v>1680</v>
          </cell>
          <cell r="K230">
            <v>1680</v>
          </cell>
          <cell r="L230" t="str">
            <v>使用后随机获得1个橙色品质兵法</v>
          </cell>
        </row>
        <row r="231">
          <cell r="C231">
            <v>26504</v>
          </cell>
          <cell r="D231" t="str">
            <v>橙色+兵法宝箱</v>
          </cell>
          <cell r="E231">
            <v>14100</v>
          </cell>
          <cell r="F231">
            <v>1</v>
          </cell>
          <cell r="G231">
            <v>1</v>
          </cell>
          <cell r="H231">
            <v>1</v>
          </cell>
          <cell r="I231">
            <v>14100</v>
          </cell>
          <cell r="J231">
            <v>14100</v>
          </cell>
          <cell r="K231">
            <v>14100</v>
          </cell>
          <cell r="L231" t="str">
            <v>使用后随机获得1个红色品质兵法</v>
          </cell>
        </row>
        <row r="232">
          <cell r="C232" t="str">
            <v/>
          </cell>
          <cell r="D232" t="str">
            <v>指定or任选蓝色兵法</v>
          </cell>
          <cell r="E232">
            <v>35</v>
          </cell>
          <cell r="F232">
            <v>1</v>
          </cell>
          <cell r="G232">
            <v>1</v>
          </cell>
          <cell r="H232">
            <v>1</v>
          </cell>
          <cell r="I232">
            <v>35</v>
          </cell>
          <cell r="J232">
            <v>35</v>
          </cell>
          <cell r="K232">
            <v>35</v>
          </cell>
          <cell r="L232" t="str">
            <v/>
          </cell>
        </row>
        <row r="233">
          <cell r="C233" t="str">
            <v/>
          </cell>
          <cell r="D233" t="str">
            <v>指定or任选紫色兵法</v>
          </cell>
          <cell r="E233">
            <v>750</v>
          </cell>
          <cell r="F233">
            <v>1</v>
          </cell>
          <cell r="G233">
            <v>1</v>
          </cell>
          <cell r="H233">
            <v>1</v>
          </cell>
          <cell r="I233">
            <v>750</v>
          </cell>
          <cell r="J233">
            <v>750</v>
          </cell>
          <cell r="K233">
            <v>750</v>
          </cell>
          <cell r="L233" t="str">
            <v/>
          </cell>
        </row>
        <row r="234">
          <cell r="C234" t="str">
            <v/>
          </cell>
          <cell r="D234" t="str">
            <v>指定or任选橙色兵法</v>
          </cell>
          <cell r="E234">
            <v>3350</v>
          </cell>
          <cell r="F234">
            <v>1</v>
          </cell>
          <cell r="G234">
            <v>1</v>
          </cell>
          <cell r="H234">
            <v>1</v>
          </cell>
          <cell r="I234">
            <v>3350</v>
          </cell>
          <cell r="J234">
            <v>3350</v>
          </cell>
          <cell r="K234">
            <v>3350</v>
          </cell>
          <cell r="L234" t="str">
            <v/>
          </cell>
        </row>
        <row r="235">
          <cell r="C235" t="str">
            <v/>
          </cell>
          <cell r="D235" t="str">
            <v>指定or任选橙色+兵法</v>
          </cell>
          <cell r="E235">
            <v>9165</v>
          </cell>
          <cell r="F235">
            <v>1</v>
          </cell>
          <cell r="G235">
            <v>1</v>
          </cell>
          <cell r="H235">
            <v>1</v>
          </cell>
          <cell r="I235">
            <v>9165</v>
          </cell>
          <cell r="J235">
            <v>9165</v>
          </cell>
          <cell r="K235">
            <v>9165</v>
          </cell>
          <cell r="L235" t="str">
            <v/>
          </cell>
        </row>
        <row r="236">
          <cell r="C236">
            <v>26505</v>
          </cell>
          <cell r="D236" t="str">
            <v>兵家信物</v>
          </cell>
          <cell r="E236">
            <v>300</v>
          </cell>
          <cell r="F236">
            <v>1</v>
          </cell>
          <cell r="G236">
            <v>1</v>
          </cell>
          <cell r="H236">
            <v>1</v>
          </cell>
          <cell r="I236">
            <v>300</v>
          </cell>
          <cell r="J236">
            <v>300</v>
          </cell>
          <cell r="K236">
            <v>300</v>
          </cell>
          <cell r="L236" t="str">
            <v>抽取兵法时消耗的道具（赠送10个5分钟通用加速）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</row>
        <row r="238">
          <cell r="C238" t="str">
            <v/>
          </cell>
          <cell r="D238" t="str">
            <v/>
          </cell>
          <cell r="E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</row>
        <row r="239">
          <cell r="C239">
            <v>26520</v>
          </cell>
          <cell r="D239" t="str">
            <v>紫色兵法自选宝箱</v>
          </cell>
          <cell r="E239">
            <v>750</v>
          </cell>
          <cell r="F239">
            <v>1</v>
          </cell>
          <cell r="G239">
            <v>1</v>
          </cell>
          <cell r="H239">
            <v>1</v>
          </cell>
          <cell r="I239">
            <v>750</v>
          </cell>
          <cell r="J239">
            <v>750</v>
          </cell>
          <cell r="K239">
            <v>750</v>
          </cell>
          <cell r="L239" t="str">
            <v>使用后可选择一个紫色兵法。紫色兵法：攻其不备、出奇制胜、破军夺志</v>
          </cell>
        </row>
        <row r="240">
          <cell r="C240">
            <v>26521</v>
          </cell>
          <cell r="D240" t="str">
            <v>橙色兵法自选宝箱</v>
          </cell>
          <cell r="E240">
            <v>3350</v>
          </cell>
          <cell r="F240">
            <v>1</v>
          </cell>
          <cell r="G240">
            <v>1</v>
          </cell>
          <cell r="H240">
            <v>1</v>
          </cell>
          <cell r="I240">
            <v>3350</v>
          </cell>
          <cell r="J240">
            <v>3350</v>
          </cell>
          <cell r="K240">
            <v>3350</v>
          </cell>
          <cell r="L240" t="str">
            <v>使用后可选择一个橙色兵法。橙色兵法：援军秘策、养精蓄锐、退敌千里、奇佐鬼谋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</row>
        <row r="242">
          <cell r="C242">
            <v>26551</v>
          </cell>
          <cell r="D242" t="str">
            <v>虎符宝箱</v>
          </cell>
          <cell r="E242">
            <v>160</v>
          </cell>
          <cell r="F242">
            <v>1</v>
          </cell>
          <cell r="G242">
            <v>1</v>
          </cell>
          <cell r="H242">
            <v>1</v>
          </cell>
          <cell r="I242">
            <v>160</v>
          </cell>
          <cell r="J242">
            <v>160</v>
          </cell>
          <cell r="K242">
            <v>160</v>
          </cell>
          <cell r="L242" t="str">
            <v>使用后随机获得1个虎符</v>
          </cell>
        </row>
        <row r="243">
          <cell r="C243">
            <v>26552</v>
          </cell>
          <cell r="D243" t="str">
            <v>1级贡品宝箱</v>
          </cell>
          <cell r="E243">
            <v>40</v>
          </cell>
          <cell r="F243">
            <v>1</v>
          </cell>
          <cell r="G243">
            <v>1</v>
          </cell>
          <cell r="H243">
            <v>1</v>
          </cell>
          <cell r="I243">
            <v>40</v>
          </cell>
          <cell r="J243">
            <v>40</v>
          </cell>
          <cell r="K243">
            <v>40</v>
          </cell>
          <cell r="L243" t="str">
            <v>使用后随机获得铜镜、陶罐中的1个贡品</v>
          </cell>
        </row>
        <row r="244">
          <cell r="C244">
            <v>26553</v>
          </cell>
          <cell r="D244" t="str">
            <v>2级贡品宝箱</v>
          </cell>
          <cell r="E244">
            <v>60</v>
          </cell>
          <cell r="F244">
            <v>1</v>
          </cell>
          <cell r="G244">
            <v>1</v>
          </cell>
          <cell r="H244">
            <v>1</v>
          </cell>
          <cell r="I244">
            <v>60</v>
          </cell>
          <cell r="J244">
            <v>60</v>
          </cell>
          <cell r="K244">
            <v>60</v>
          </cell>
          <cell r="L244" t="str">
            <v>使用后随机获得水晶杯、香鼎、铜壶中的1个贡品</v>
          </cell>
        </row>
        <row r="245">
          <cell r="C245">
            <v>26554</v>
          </cell>
          <cell r="D245" t="str">
            <v>3级贡品宝箱</v>
          </cell>
          <cell r="E245">
            <v>80</v>
          </cell>
          <cell r="F245">
            <v>1</v>
          </cell>
          <cell r="G245">
            <v>1</v>
          </cell>
          <cell r="H245">
            <v>1</v>
          </cell>
          <cell r="I245">
            <v>80</v>
          </cell>
          <cell r="J245">
            <v>80</v>
          </cell>
          <cell r="K245">
            <v>80</v>
          </cell>
          <cell r="L245" t="str">
            <v>使用后随机获得长颈壶、方陶皿、兽头觥、象形尊中的1个贡品</v>
          </cell>
        </row>
        <row r="246">
          <cell r="C246">
            <v>26555</v>
          </cell>
          <cell r="D246" t="str">
            <v>4级贡品宝箱</v>
          </cell>
          <cell r="E246">
            <v>100</v>
          </cell>
          <cell r="F246">
            <v>1</v>
          </cell>
          <cell r="G246">
            <v>1</v>
          </cell>
          <cell r="H246">
            <v>1</v>
          </cell>
          <cell r="I246">
            <v>100</v>
          </cell>
          <cell r="J246">
            <v>100</v>
          </cell>
          <cell r="K246">
            <v>100</v>
          </cell>
          <cell r="L246" t="str">
            <v>使用后随机获得冰鉴、螭首盉、三足爵、鎏金缶中的1个贡品</v>
          </cell>
        </row>
        <row r="247">
          <cell r="C247">
            <v>26556</v>
          </cell>
          <cell r="D247" t="str">
            <v>5级贡品宝箱</v>
          </cell>
          <cell r="E247">
            <v>120</v>
          </cell>
          <cell r="F247">
            <v>1</v>
          </cell>
          <cell r="G247">
            <v>1</v>
          </cell>
          <cell r="H247">
            <v>1</v>
          </cell>
          <cell r="I247">
            <v>120</v>
          </cell>
          <cell r="J247">
            <v>120</v>
          </cell>
          <cell r="K247">
            <v>120</v>
          </cell>
          <cell r="L247" t="str">
            <v>使用后随机获得锦瑟、编钟、石磬、瑶琴中的1个贡品</v>
          </cell>
        </row>
        <row r="248">
          <cell r="C248">
            <v>26557</v>
          </cell>
          <cell r="D248" t="str">
            <v>6级贡品宝箱</v>
          </cell>
          <cell r="E248">
            <v>140</v>
          </cell>
          <cell r="F248">
            <v>1</v>
          </cell>
          <cell r="G248">
            <v>1</v>
          </cell>
          <cell r="H248">
            <v>1</v>
          </cell>
          <cell r="I248">
            <v>140</v>
          </cell>
          <cell r="J248">
            <v>140</v>
          </cell>
          <cell r="K248">
            <v>140</v>
          </cell>
          <cell r="L248" t="str">
            <v>使用后随机获得青圭、赤璋、白琥、玄璜中的1个贡品</v>
          </cell>
        </row>
        <row r="249">
          <cell r="C249" t="str">
            <v/>
          </cell>
          <cell r="D249" t="str">
            <v/>
          </cell>
          <cell r="E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</row>
        <row r="250">
          <cell r="C250">
            <v>21251</v>
          </cell>
          <cell r="D250" t="str">
            <v>绿色装备宝箱</v>
          </cell>
          <cell r="E250">
            <v>35</v>
          </cell>
          <cell r="F250">
            <v>1</v>
          </cell>
          <cell r="G250">
            <v>1</v>
          </cell>
          <cell r="H250">
            <v>1</v>
          </cell>
          <cell r="I250">
            <v>35</v>
          </cell>
          <cell r="J250">
            <v>35</v>
          </cell>
          <cell r="K250">
            <v>35</v>
          </cell>
          <cell r="L250" t="str">
            <v>使用后随机获得1件品质为绿色的装备</v>
          </cell>
        </row>
        <row r="251">
          <cell r="C251">
            <v>21252</v>
          </cell>
          <cell r="D251" t="str">
            <v>蓝色装备宝箱</v>
          </cell>
          <cell r="E251">
            <v>75</v>
          </cell>
          <cell r="F251">
            <v>1</v>
          </cell>
          <cell r="G251">
            <v>1</v>
          </cell>
          <cell r="H251">
            <v>1</v>
          </cell>
          <cell r="I251">
            <v>75</v>
          </cell>
          <cell r="J251">
            <v>75</v>
          </cell>
          <cell r="K251">
            <v>75</v>
          </cell>
          <cell r="L251" t="str">
            <v>使用后随机获得1件品质为蓝色的装备</v>
          </cell>
        </row>
        <row r="252">
          <cell r="C252">
            <v>21253</v>
          </cell>
          <cell r="D252" t="str">
            <v>紫色装备宝箱</v>
          </cell>
          <cell r="E252">
            <v>150</v>
          </cell>
          <cell r="F252">
            <v>1</v>
          </cell>
          <cell r="G252">
            <v>1</v>
          </cell>
          <cell r="H252">
            <v>1</v>
          </cell>
          <cell r="I252">
            <v>150</v>
          </cell>
          <cell r="J252">
            <v>150</v>
          </cell>
          <cell r="K252">
            <v>150</v>
          </cell>
          <cell r="L252" t="str">
            <v>使用后随机获得1件品质为紫色的装备</v>
          </cell>
        </row>
        <row r="253">
          <cell r="C253">
            <v>21254</v>
          </cell>
          <cell r="D253" t="str">
            <v>橙色装备宝箱</v>
          </cell>
          <cell r="E253">
            <v>320</v>
          </cell>
          <cell r="F253">
            <v>1</v>
          </cell>
          <cell r="G253">
            <v>1</v>
          </cell>
          <cell r="H253">
            <v>1</v>
          </cell>
          <cell r="I253">
            <v>320</v>
          </cell>
          <cell r="J253">
            <v>320</v>
          </cell>
          <cell r="K253">
            <v>320</v>
          </cell>
          <cell r="L253" t="str">
            <v>使用后随机获得1件品质为橙色的装备</v>
          </cell>
        </row>
        <row r="254">
          <cell r="C254">
            <v>21255</v>
          </cell>
          <cell r="D254" t="str">
            <v>红色装备宝箱</v>
          </cell>
          <cell r="E254">
            <v>2400</v>
          </cell>
          <cell r="F254">
            <v>1</v>
          </cell>
          <cell r="G254">
            <v>1</v>
          </cell>
          <cell r="H254">
            <v>1</v>
          </cell>
          <cell r="I254">
            <v>2400</v>
          </cell>
          <cell r="J254">
            <v>2400</v>
          </cell>
          <cell r="K254">
            <v>2400</v>
          </cell>
          <cell r="L254" t="str">
            <v>使用后随机获得1件品质为红色的装备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</row>
        <row r="256">
          <cell r="C256">
            <v>20052</v>
          </cell>
          <cell r="D256" t="str">
            <v>练军心得·觉</v>
          </cell>
          <cell r="E256">
            <v>40</v>
          </cell>
          <cell r="F256">
            <v>1</v>
          </cell>
          <cell r="G256">
            <v>1</v>
          </cell>
          <cell r="H256">
            <v>1</v>
          </cell>
          <cell r="I256">
            <v>40</v>
          </cell>
          <cell r="J256">
            <v>40</v>
          </cell>
          <cell r="K256">
            <v>40</v>
          </cell>
          <cell r="L256" t="str">
            <v>掌军之策，厉兵秣马，可用于武将觉醒</v>
          </cell>
        </row>
        <row r="257">
          <cell r="C257">
            <v>20053</v>
          </cell>
          <cell r="D257" t="str">
            <v>策论心得·觉</v>
          </cell>
          <cell r="E257">
            <v>40</v>
          </cell>
          <cell r="F257">
            <v>1</v>
          </cell>
          <cell r="G257">
            <v>1</v>
          </cell>
          <cell r="H257">
            <v>1</v>
          </cell>
          <cell r="I257">
            <v>40</v>
          </cell>
          <cell r="J257">
            <v>40</v>
          </cell>
          <cell r="K257">
            <v>40</v>
          </cell>
          <cell r="L257" t="str">
            <v>书山万卷，算无遗策，可用于武将觉醒</v>
          </cell>
        </row>
        <row r="258">
          <cell r="C258">
            <v>20054</v>
          </cell>
          <cell r="D258" t="str">
            <v>兵书心得·觉</v>
          </cell>
          <cell r="E258">
            <v>40</v>
          </cell>
          <cell r="F258">
            <v>1</v>
          </cell>
          <cell r="G258">
            <v>1</v>
          </cell>
          <cell r="H258">
            <v>1</v>
          </cell>
          <cell r="I258">
            <v>40</v>
          </cell>
          <cell r="J258">
            <v>40</v>
          </cell>
          <cell r="K258">
            <v>40</v>
          </cell>
          <cell r="L258" t="str">
            <v>千军万马，文韬武略，可用于武将觉醒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20055</v>
          </cell>
          <cell r="D260" t="str">
            <v>虎咬佩剑·觉</v>
          </cell>
          <cell r="E260">
            <v>60</v>
          </cell>
          <cell r="F260">
            <v>1</v>
          </cell>
          <cell r="G260">
            <v>1</v>
          </cell>
          <cell r="H260">
            <v>1</v>
          </cell>
          <cell r="I260">
            <v>60</v>
          </cell>
          <cell r="J260">
            <v>60</v>
          </cell>
          <cell r="K260">
            <v>60</v>
          </cell>
          <cell r="L260" t="str">
            <v>卧虎藏龙，剑及履及，可用于武将觉醒</v>
          </cell>
        </row>
        <row r="261">
          <cell r="C261">
            <v>20056</v>
          </cell>
          <cell r="D261" t="str">
            <v>灵蛇佩剑·觉</v>
          </cell>
          <cell r="E261">
            <v>60</v>
          </cell>
          <cell r="F261">
            <v>1</v>
          </cell>
          <cell r="G261">
            <v>1</v>
          </cell>
          <cell r="H261">
            <v>1</v>
          </cell>
          <cell r="I261">
            <v>60</v>
          </cell>
          <cell r="J261">
            <v>60</v>
          </cell>
          <cell r="K261">
            <v>60</v>
          </cell>
          <cell r="L261" t="str">
            <v>灵蛇之珠，剑态箫心，可用于武将觉醒</v>
          </cell>
        </row>
        <row r="262">
          <cell r="C262">
            <v>20057</v>
          </cell>
          <cell r="D262" t="str">
            <v>狼头佩剑·觉</v>
          </cell>
          <cell r="E262">
            <v>60</v>
          </cell>
          <cell r="F262">
            <v>1</v>
          </cell>
          <cell r="G262">
            <v>1</v>
          </cell>
          <cell r="H262">
            <v>1</v>
          </cell>
          <cell r="I262">
            <v>60</v>
          </cell>
          <cell r="J262">
            <v>60</v>
          </cell>
          <cell r="K262">
            <v>60</v>
          </cell>
          <cell r="L262" t="str">
            <v>封狼居胥，剑气纵横，可用于武将觉醒</v>
          </cell>
        </row>
        <row r="263">
          <cell r="C263" t="str">
            <v/>
          </cell>
          <cell r="D263" t="str">
            <v/>
          </cell>
          <cell r="E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</row>
        <row r="264">
          <cell r="C264">
            <v>20059</v>
          </cell>
          <cell r="D264" t="str">
            <v>勇之授印·觉</v>
          </cell>
          <cell r="E264">
            <v>80</v>
          </cell>
          <cell r="F264">
            <v>1</v>
          </cell>
          <cell r="G264">
            <v>1</v>
          </cell>
          <cell r="H264">
            <v>1</v>
          </cell>
          <cell r="I264">
            <v>80</v>
          </cell>
          <cell r="J264">
            <v>80</v>
          </cell>
          <cell r="K264">
            <v>80</v>
          </cell>
          <cell r="L264" t="str">
            <v>拔山盖世，气吞山河，可用于武将觉醒</v>
          </cell>
        </row>
        <row r="265">
          <cell r="C265">
            <v>20060</v>
          </cell>
          <cell r="D265" t="str">
            <v>谋之授印·觉</v>
          </cell>
          <cell r="E265">
            <v>80</v>
          </cell>
          <cell r="F265">
            <v>1</v>
          </cell>
          <cell r="G265">
            <v>1</v>
          </cell>
          <cell r="H265">
            <v>1</v>
          </cell>
          <cell r="I265">
            <v>80</v>
          </cell>
          <cell r="J265">
            <v>80</v>
          </cell>
          <cell r="K265">
            <v>80</v>
          </cell>
          <cell r="L265" t="str">
            <v>渊谋远略，运筹帷幄，可用于武将觉醒</v>
          </cell>
        </row>
        <row r="266">
          <cell r="C266">
            <v>20061</v>
          </cell>
          <cell r="D266" t="str">
            <v>御之授印·觉</v>
          </cell>
          <cell r="E266">
            <v>80</v>
          </cell>
          <cell r="F266">
            <v>1</v>
          </cell>
          <cell r="G266">
            <v>1</v>
          </cell>
          <cell r="H266">
            <v>1</v>
          </cell>
          <cell r="I266">
            <v>80</v>
          </cell>
          <cell r="J266">
            <v>80</v>
          </cell>
          <cell r="K266">
            <v>80</v>
          </cell>
          <cell r="L266" t="str">
            <v>御下有方，论功行赏，可用于武将觉醒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</row>
        <row r="268">
          <cell r="C268">
            <v>20064</v>
          </cell>
          <cell r="D268" t="str">
            <v>战阵精研·极</v>
          </cell>
          <cell r="E268">
            <v>100</v>
          </cell>
          <cell r="F268">
            <v>1</v>
          </cell>
          <cell r="G268">
            <v>1</v>
          </cell>
          <cell r="H268">
            <v>1</v>
          </cell>
          <cell r="I268">
            <v>100</v>
          </cell>
          <cell r="J268">
            <v>100</v>
          </cell>
          <cell r="K268">
            <v>100</v>
          </cell>
          <cell r="L268" t="str">
            <v>行兵布阵，勇往直前，可用于武将觉醒</v>
          </cell>
        </row>
        <row r="269">
          <cell r="C269">
            <v>20065</v>
          </cell>
          <cell r="D269" t="str">
            <v>谋略精研·极</v>
          </cell>
          <cell r="E269">
            <v>100</v>
          </cell>
          <cell r="F269">
            <v>1</v>
          </cell>
          <cell r="G269">
            <v>1</v>
          </cell>
          <cell r="H269">
            <v>1</v>
          </cell>
          <cell r="I269">
            <v>100</v>
          </cell>
          <cell r="J269">
            <v>100</v>
          </cell>
          <cell r="K269">
            <v>100</v>
          </cell>
          <cell r="L269" t="str">
            <v>目达耳通，上兵伐谋，可用于武将觉醒</v>
          </cell>
        </row>
        <row r="270">
          <cell r="C270">
            <v>20066</v>
          </cell>
          <cell r="D270" t="str">
            <v>御军精研·极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持筹握算，精兵简政，可用于武将觉醒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</row>
        <row r="272">
          <cell r="C272">
            <v>20070</v>
          </cell>
          <cell r="D272" t="str">
            <v>白虎白琥·极</v>
          </cell>
          <cell r="E272">
            <v>120</v>
          </cell>
          <cell r="F272">
            <v>1</v>
          </cell>
          <cell r="G272">
            <v>1</v>
          </cell>
          <cell r="H272">
            <v>1</v>
          </cell>
          <cell r="I272">
            <v>120</v>
          </cell>
          <cell r="J272">
            <v>120</v>
          </cell>
          <cell r="K272">
            <v>120</v>
          </cell>
          <cell r="L272" t="str">
            <v>形神兼备，虎啸龙吟，可用于武将觉醒</v>
          </cell>
        </row>
        <row r="273">
          <cell r="C273">
            <v>20071</v>
          </cell>
          <cell r="D273" t="str">
            <v>朱雀赤璋·极</v>
          </cell>
          <cell r="E273">
            <v>120</v>
          </cell>
          <cell r="F273">
            <v>1</v>
          </cell>
          <cell r="G273">
            <v>1</v>
          </cell>
          <cell r="H273">
            <v>1</v>
          </cell>
          <cell r="I273">
            <v>120</v>
          </cell>
          <cell r="J273">
            <v>120</v>
          </cell>
          <cell r="K273">
            <v>120</v>
          </cell>
          <cell r="L273" t="str">
            <v>烈火真金，朱雀玄武，可用于武将觉醒</v>
          </cell>
        </row>
        <row r="274">
          <cell r="C274">
            <v>20072</v>
          </cell>
          <cell r="D274" t="str">
            <v>青龙青圭·极</v>
          </cell>
          <cell r="E274">
            <v>120</v>
          </cell>
          <cell r="F274">
            <v>1</v>
          </cell>
          <cell r="G274">
            <v>1</v>
          </cell>
          <cell r="H274">
            <v>1</v>
          </cell>
          <cell r="I274">
            <v>120</v>
          </cell>
          <cell r="J274">
            <v>120</v>
          </cell>
          <cell r="K274">
            <v>120</v>
          </cell>
          <cell r="L274" t="str">
            <v>青云直上，龙飞凤舞，可用于武将觉醒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20077</v>
          </cell>
          <cell r="D276" t="str">
            <v>战将护符·极</v>
          </cell>
          <cell r="E276">
            <v>140</v>
          </cell>
          <cell r="F276">
            <v>1</v>
          </cell>
          <cell r="G276">
            <v>1</v>
          </cell>
          <cell r="H276">
            <v>1</v>
          </cell>
          <cell r="I276">
            <v>140</v>
          </cell>
          <cell r="J276">
            <v>140</v>
          </cell>
          <cell r="K276">
            <v>140</v>
          </cell>
          <cell r="L276" t="str">
            <v>王侯将相，功成名就，可用于武将觉醒</v>
          </cell>
        </row>
        <row r="277">
          <cell r="C277">
            <v>20078</v>
          </cell>
          <cell r="D277" t="str">
            <v>军师护符·极</v>
          </cell>
          <cell r="E277">
            <v>140</v>
          </cell>
          <cell r="F277">
            <v>1</v>
          </cell>
          <cell r="G277">
            <v>1</v>
          </cell>
          <cell r="H277">
            <v>1</v>
          </cell>
          <cell r="I277">
            <v>140</v>
          </cell>
          <cell r="J277">
            <v>140</v>
          </cell>
          <cell r="K277">
            <v>140</v>
          </cell>
          <cell r="L277" t="str">
            <v>神机妙算，才华横溢，可用于武将觉醒</v>
          </cell>
        </row>
        <row r="278">
          <cell r="C278">
            <v>20079</v>
          </cell>
          <cell r="D278" t="str">
            <v>统帅护符·极</v>
          </cell>
          <cell r="E278">
            <v>140</v>
          </cell>
          <cell r="F278">
            <v>1</v>
          </cell>
          <cell r="G278">
            <v>1</v>
          </cell>
          <cell r="H278">
            <v>1</v>
          </cell>
          <cell r="I278">
            <v>140</v>
          </cell>
          <cell r="J278">
            <v>140</v>
          </cell>
          <cell r="K278">
            <v>140</v>
          </cell>
          <cell r="L278" t="str">
            <v>号令如山，统帅三军，可用于武将觉醒</v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</row>
        <row r="280">
          <cell r="C280" t="str">
            <v/>
          </cell>
          <cell r="D280" t="str">
            <v/>
          </cell>
          <cell r="E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</row>
        <row r="281">
          <cell r="C281">
            <v>23001</v>
          </cell>
          <cell r="D281" t="str">
            <v>紫色步将自选宝箱</v>
          </cell>
          <cell r="E281">
            <v>600</v>
          </cell>
          <cell r="F281">
            <v>1.2</v>
          </cell>
          <cell r="G281">
            <v>1</v>
          </cell>
          <cell r="H281">
            <v>1</v>
          </cell>
          <cell r="I281">
            <v>720</v>
          </cell>
          <cell r="J281">
            <v>600</v>
          </cell>
          <cell r="K281">
            <v>600</v>
          </cell>
          <cell r="L281" t="str">
            <v>使用后选择获得一个紫色步将</v>
          </cell>
        </row>
        <row r="282">
          <cell r="C282">
            <v>23002</v>
          </cell>
          <cell r="D282" t="str">
            <v>橙色步将自选宝箱</v>
          </cell>
          <cell r="E282">
            <v>4800</v>
          </cell>
          <cell r="F282">
            <v>1.2</v>
          </cell>
          <cell r="G282">
            <v>1</v>
          </cell>
          <cell r="H282">
            <v>1</v>
          </cell>
          <cell r="I282">
            <v>5760</v>
          </cell>
          <cell r="J282">
            <v>4800</v>
          </cell>
          <cell r="K282">
            <v>4800</v>
          </cell>
          <cell r="L282" t="str">
            <v>使用后选择获得一个橙色武将</v>
          </cell>
        </row>
        <row r="283">
          <cell r="C283">
            <v>23003</v>
          </cell>
          <cell r="D283" t="str">
            <v>红色步将自选宝箱</v>
          </cell>
          <cell r="E283">
            <v>14400</v>
          </cell>
          <cell r="F283">
            <v>1.2</v>
          </cell>
          <cell r="G283">
            <v>1</v>
          </cell>
          <cell r="H283">
            <v>1</v>
          </cell>
          <cell r="I283">
            <v>17280</v>
          </cell>
          <cell r="J283">
            <v>14400</v>
          </cell>
          <cell r="K283">
            <v>14400</v>
          </cell>
          <cell r="L283" t="str">
            <v>使用后选择获得一个红色步将</v>
          </cell>
        </row>
        <row r="284">
          <cell r="C284">
            <v>23004</v>
          </cell>
          <cell r="D284" t="str">
            <v>紫色骑将自选宝箱</v>
          </cell>
          <cell r="E284">
            <v>600</v>
          </cell>
          <cell r="F284">
            <v>1.2</v>
          </cell>
          <cell r="G284">
            <v>1</v>
          </cell>
          <cell r="H284">
            <v>1</v>
          </cell>
          <cell r="I284">
            <v>720</v>
          </cell>
          <cell r="J284">
            <v>600</v>
          </cell>
          <cell r="K284">
            <v>600</v>
          </cell>
          <cell r="L284" t="str">
            <v>使用后选择获得一个紫色骑将</v>
          </cell>
        </row>
        <row r="285">
          <cell r="C285">
            <v>23005</v>
          </cell>
          <cell r="D285" t="str">
            <v>橙色骑将自选宝箱</v>
          </cell>
          <cell r="E285">
            <v>4800</v>
          </cell>
          <cell r="F285">
            <v>1.2</v>
          </cell>
          <cell r="G285">
            <v>1</v>
          </cell>
          <cell r="H285">
            <v>1</v>
          </cell>
          <cell r="I285">
            <v>5760</v>
          </cell>
          <cell r="J285">
            <v>4800</v>
          </cell>
          <cell r="K285">
            <v>4800</v>
          </cell>
          <cell r="L285" t="str">
            <v>使用后选择获得一个橙色骑将</v>
          </cell>
        </row>
        <row r="286">
          <cell r="C286">
            <v>23006</v>
          </cell>
          <cell r="D286" t="str">
            <v>红色骑将自选宝箱</v>
          </cell>
          <cell r="E286">
            <v>14400</v>
          </cell>
          <cell r="F286">
            <v>1.2</v>
          </cell>
          <cell r="G286">
            <v>1</v>
          </cell>
          <cell r="H286">
            <v>1</v>
          </cell>
          <cell r="I286">
            <v>17280</v>
          </cell>
          <cell r="J286">
            <v>14400</v>
          </cell>
          <cell r="K286">
            <v>14400</v>
          </cell>
          <cell r="L286" t="str">
            <v>使用后选择获得一个红色骑将</v>
          </cell>
        </row>
        <row r="287">
          <cell r="C287">
            <v>23007</v>
          </cell>
          <cell r="D287" t="str">
            <v>紫色弓将自选宝箱</v>
          </cell>
          <cell r="E287">
            <v>600</v>
          </cell>
          <cell r="F287">
            <v>1.2</v>
          </cell>
          <cell r="G287">
            <v>1</v>
          </cell>
          <cell r="H287">
            <v>1</v>
          </cell>
          <cell r="I287">
            <v>720</v>
          </cell>
          <cell r="J287">
            <v>600</v>
          </cell>
          <cell r="K287">
            <v>600</v>
          </cell>
          <cell r="L287" t="str">
            <v>使用后选择获得一个紫色弓将</v>
          </cell>
        </row>
        <row r="288">
          <cell r="C288">
            <v>23008</v>
          </cell>
          <cell r="D288" t="str">
            <v>橙色弓将自选宝箱</v>
          </cell>
          <cell r="E288">
            <v>4800</v>
          </cell>
          <cell r="F288">
            <v>1.2</v>
          </cell>
          <cell r="G288">
            <v>1</v>
          </cell>
          <cell r="H288">
            <v>1</v>
          </cell>
          <cell r="I288">
            <v>5760</v>
          </cell>
          <cell r="J288">
            <v>4800</v>
          </cell>
          <cell r="K288">
            <v>4800</v>
          </cell>
          <cell r="L288" t="str">
            <v>使用后选择获得一个橙色弓将</v>
          </cell>
        </row>
        <row r="289">
          <cell r="C289">
            <v>23009</v>
          </cell>
          <cell r="D289" t="str">
            <v>红色弓将自选宝箱</v>
          </cell>
          <cell r="E289">
            <v>14400</v>
          </cell>
          <cell r="F289">
            <v>1.2</v>
          </cell>
          <cell r="G289">
            <v>1</v>
          </cell>
          <cell r="H289">
            <v>1</v>
          </cell>
          <cell r="I289">
            <v>17280</v>
          </cell>
          <cell r="J289">
            <v>14400</v>
          </cell>
          <cell r="K289">
            <v>14400</v>
          </cell>
          <cell r="L289" t="str">
            <v>使用后选择获得一个红色弓将</v>
          </cell>
        </row>
        <row r="290">
          <cell r="C290">
            <v>23010</v>
          </cell>
          <cell r="D290" t="str">
            <v>君主自选宝箱</v>
          </cell>
          <cell r="E290">
            <v>4800</v>
          </cell>
          <cell r="F290">
            <v>1.2</v>
          </cell>
          <cell r="G290">
            <v>1</v>
          </cell>
          <cell r="H290">
            <v>1</v>
          </cell>
          <cell r="I290">
            <v>5760</v>
          </cell>
          <cell r="J290">
            <v>4800</v>
          </cell>
          <cell r="K290">
            <v>4800</v>
          </cell>
          <cell r="L290" t="str">
            <v>使用后选择获得一个君主武将</v>
          </cell>
        </row>
        <row r="291">
          <cell r="C291">
            <v>23011</v>
          </cell>
          <cell r="D291" t="str">
            <v>紫色武将随机宝箱</v>
          </cell>
          <cell r="E291">
            <v>400</v>
          </cell>
          <cell r="F291">
            <v>1.3</v>
          </cell>
          <cell r="G291">
            <v>1</v>
          </cell>
          <cell r="H291">
            <v>1</v>
          </cell>
          <cell r="I291">
            <v>520</v>
          </cell>
          <cell r="J291">
            <v>400</v>
          </cell>
          <cell r="K291">
            <v>400</v>
          </cell>
          <cell r="L291" t="str">
            <v>使用后随机获得一个紫色武将</v>
          </cell>
        </row>
        <row r="292">
          <cell r="C292">
            <v>23012</v>
          </cell>
          <cell r="D292" t="str">
            <v>橙色武将随机宝箱</v>
          </cell>
          <cell r="E292">
            <v>1800</v>
          </cell>
          <cell r="F292">
            <v>1.3</v>
          </cell>
          <cell r="G292">
            <v>1.2</v>
          </cell>
          <cell r="H292">
            <v>1.2</v>
          </cell>
          <cell r="I292">
            <v>2340</v>
          </cell>
          <cell r="J292">
            <v>2160</v>
          </cell>
          <cell r="K292">
            <v>2160</v>
          </cell>
          <cell r="L292" t="str">
            <v>使用后随机获得一个橙色武将</v>
          </cell>
        </row>
        <row r="293">
          <cell r="C293">
            <v>23013</v>
          </cell>
          <cell r="D293" t="str">
            <v>红色武将随机宝箱</v>
          </cell>
          <cell r="E293">
            <v>14400</v>
          </cell>
          <cell r="F293">
            <v>1.3</v>
          </cell>
          <cell r="G293">
            <v>1.2</v>
          </cell>
          <cell r="H293">
            <v>1.2</v>
          </cell>
          <cell r="I293">
            <v>18720</v>
          </cell>
          <cell r="J293">
            <v>17280</v>
          </cell>
          <cell r="K293">
            <v>17280</v>
          </cell>
          <cell r="L293" t="str">
            <v>使用后随机获得一个红色武将</v>
          </cell>
        </row>
        <row r="294">
          <cell r="C294" t="str">
            <v/>
          </cell>
          <cell r="D294" t="str">
            <v/>
          </cell>
          <cell r="E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</row>
        <row r="295">
          <cell r="C295">
            <v>23014</v>
          </cell>
          <cell r="D295" t="str">
            <v>橙色武将自选宝箱碎片</v>
          </cell>
          <cell r="E295">
            <v>160</v>
          </cell>
          <cell r="F295">
            <v>1.2</v>
          </cell>
          <cell r="G295">
            <v>1</v>
          </cell>
          <cell r="H295">
            <v>1</v>
          </cell>
          <cell r="I295">
            <v>192</v>
          </cell>
          <cell r="J295">
            <v>160</v>
          </cell>
          <cell r="K295">
            <v>160</v>
          </cell>
          <cell r="L295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96">
          <cell r="C296">
            <v>23015</v>
          </cell>
          <cell r="D296" t="str">
            <v>橙色武将随机宝箱碎片</v>
          </cell>
          <cell r="E296">
            <v>60</v>
          </cell>
          <cell r="F296">
            <v>1.3</v>
          </cell>
          <cell r="G296">
            <v>1.2</v>
          </cell>
          <cell r="H296">
            <v>1.2</v>
          </cell>
          <cell r="I296">
            <v>78</v>
          </cell>
          <cell r="J296">
            <v>72</v>
          </cell>
          <cell r="K296">
            <v>72</v>
          </cell>
          <cell r="L296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97">
          <cell r="C297">
            <v>23016</v>
          </cell>
          <cell r="D297" t="str">
            <v>紫色武将随机宝箱碎片</v>
          </cell>
          <cell r="E297">
            <v>36</v>
          </cell>
          <cell r="F297">
            <v>1.2</v>
          </cell>
          <cell r="G297">
            <v>1</v>
          </cell>
          <cell r="H297">
            <v>1</v>
          </cell>
          <cell r="I297">
            <v>43.199999999999996</v>
          </cell>
          <cell r="J297">
            <v>36</v>
          </cell>
          <cell r="K297">
            <v>36</v>
          </cell>
          <cell r="L297" t="str">
            <v>集齐10个碎片可以合成，随机获得下列武将中的一个：\n聂荌、专诸、钟无艳、田忌、春申君、莫邪、孙叔敖、西门豹、暴鸢、秦开</v>
          </cell>
        </row>
        <row r="298">
          <cell r="C298" t="str">
            <v/>
          </cell>
          <cell r="D298" t="str">
            <v/>
          </cell>
          <cell r="E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</row>
        <row r="299">
          <cell r="C299" t="str">
            <v/>
          </cell>
          <cell r="D299" t="str">
            <v>指定绿色装备</v>
          </cell>
          <cell r="E299">
            <v>35</v>
          </cell>
          <cell r="F299">
            <v>1</v>
          </cell>
          <cell r="G299">
            <v>1</v>
          </cell>
          <cell r="H299">
            <v>1</v>
          </cell>
          <cell r="I299">
            <v>35</v>
          </cell>
          <cell r="J299">
            <v>35</v>
          </cell>
          <cell r="K299">
            <v>35</v>
          </cell>
          <cell r="L299">
            <v>1</v>
          </cell>
        </row>
        <row r="300">
          <cell r="C300" t="str">
            <v/>
          </cell>
          <cell r="D300" t="str">
            <v>指定蓝色装备</v>
          </cell>
          <cell r="E300">
            <v>120</v>
          </cell>
          <cell r="F300">
            <v>1</v>
          </cell>
          <cell r="G300">
            <v>1</v>
          </cell>
          <cell r="H300">
            <v>1</v>
          </cell>
          <cell r="I300">
            <v>120</v>
          </cell>
          <cell r="J300">
            <v>120</v>
          </cell>
          <cell r="K300">
            <v>120</v>
          </cell>
          <cell r="L300">
            <v>1.5</v>
          </cell>
        </row>
        <row r="301">
          <cell r="C301" t="str">
            <v/>
          </cell>
          <cell r="D301" t="str">
            <v>指定紫色装备</v>
          </cell>
          <cell r="E301">
            <v>300</v>
          </cell>
          <cell r="F301">
            <v>1</v>
          </cell>
          <cell r="G301">
            <v>1</v>
          </cell>
          <cell r="H301">
            <v>1</v>
          </cell>
          <cell r="I301">
            <v>300</v>
          </cell>
          <cell r="J301">
            <v>300</v>
          </cell>
          <cell r="K301">
            <v>300</v>
          </cell>
          <cell r="L301">
            <v>2</v>
          </cell>
        </row>
        <row r="302">
          <cell r="C302" t="str">
            <v/>
          </cell>
          <cell r="D302" t="str">
            <v>指定橙色装备</v>
          </cell>
          <cell r="E302">
            <v>800</v>
          </cell>
          <cell r="F302">
            <v>1</v>
          </cell>
          <cell r="G302">
            <v>1</v>
          </cell>
          <cell r="H302">
            <v>1</v>
          </cell>
          <cell r="I302">
            <v>800</v>
          </cell>
          <cell r="J302">
            <v>800</v>
          </cell>
          <cell r="K302">
            <v>800</v>
          </cell>
          <cell r="L302">
            <v>2.5</v>
          </cell>
        </row>
        <row r="303">
          <cell r="C303" t="str">
            <v/>
          </cell>
          <cell r="D303" t="str">
            <v>指定红色装备</v>
          </cell>
          <cell r="E303">
            <v>7200</v>
          </cell>
          <cell r="F303">
            <v>1</v>
          </cell>
          <cell r="G303">
            <v>1</v>
          </cell>
          <cell r="H303">
            <v>1</v>
          </cell>
          <cell r="I303">
            <v>7200</v>
          </cell>
          <cell r="J303">
            <v>7200</v>
          </cell>
          <cell r="K303">
            <v>7200</v>
          </cell>
          <cell r="L303">
            <v>3</v>
          </cell>
        </row>
        <row r="304">
          <cell r="C304" t="str">
            <v/>
          </cell>
          <cell r="D304" t="str">
            <v>指定红+装备</v>
          </cell>
          <cell r="E304">
            <v>14400</v>
          </cell>
          <cell r="F304">
            <v>1.56</v>
          </cell>
          <cell r="G304">
            <v>1.56</v>
          </cell>
          <cell r="H304">
            <v>1.56</v>
          </cell>
          <cell r="I304">
            <v>22464</v>
          </cell>
          <cell r="J304">
            <v>22464</v>
          </cell>
          <cell r="K304">
            <v>22464</v>
          </cell>
          <cell r="L304" t="str">
            <v/>
          </cell>
        </row>
        <row r="305">
          <cell r="C305">
            <v>23215</v>
          </cell>
          <cell r="D305" t="str">
            <v>紫色武力装备礼包</v>
          </cell>
          <cell r="E305" t="str">
            <v/>
          </cell>
          <cell r="F305">
            <v>1</v>
          </cell>
          <cell r="G305">
            <v>1</v>
          </cell>
          <cell r="H305">
            <v>1</v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</row>
        <row r="306">
          <cell r="C306">
            <v>23216</v>
          </cell>
          <cell r="D306" t="str">
            <v>紫色智力装备礼包</v>
          </cell>
          <cell r="E306" t="str">
            <v/>
          </cell>
          <cell r="F306">
            <v>1</v>
          </cell>
          <cell r="G306">
            <v>1</v>
          </cell>
          <cell r="H306">
            <v>1</v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</row>
        <row r="307">
          <cell r="C307">
            <v>23217</v>
          </cell>
          <cell r="D307" t="str">
            <v>橙色统率装备礼包</v>
          </cell>
          <cell r="E307" t="str">
            <v/>
          </cell>
          <cell r="F307">
            <v>1</v>
          </cell>
          <cell r="G307">
            <v>1</v>
          </cell>
          <cell r="H307">
            <v>1</v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</row>
        <row r="308">
          <cell r="C308">
            <v>23218</v>
          </cell>
          <cell r="D308" t="str">
            <v>橙色智力装备礼包</v>
          </cell>
          <cell r="E308" t="str">
            <v/>
          </cell>
          <cell r="F308">
            <v>1</v>
          </cell>
          <cell r="G308">
            <v>1</v>
          </cell>
          <cell r="H308">
            <v>1</v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</row>
        <row r="309">
          <cell r="C309">
            <v>23219</v>
          </cell>
          <cell r="D309" t="str">
            <v>橙色武力装备礼包</v>
          </cell>
          <cell r="E309" t="str">
            <v/>
          </cell>
          <cell r="F309">
            <v>1</v>
          </cell>
          <cell r="G309">
            <v>1</v>
          </cell>
          <cell r="H309">
            <v>1</v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</row>
        <row r="310">
          <cell r="C310">
            <v>22118</v>
          </cell>
          <cell r="D310" t="str">
            <v>负荆请罪武魂</v>
          </cell>
          <cell r="E310" t="str">
            <v/>
          </cell>
          <cell r="F310">
            <v>1</v>
          </cell>
          <cell r="G310">
            <v>1</v>
          </cell>
          <cell r="H310">
            <v>1</v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 t="str">
            <v/>
          </cell>
          <cell r="D311" t="str">
            <v/>
          </cell>
          <cell r="E311" t="str">
            <v/>
          </cell>
          <cell r="F311">
            <v>1</v>
          </cell>
          <cell r="G311">
            <v>1</v>
          </cell>
          <cell r="H311">
            <v>1</v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</row>
        <row r="312">
          <cell r="C312">
            <v>23348</v>
          </cell>
          <cell r="D312" t="str">
            <v>清剿令</v>
          </cell>
          <cell r="E312" t="str">
            <v/>
          </cell>
          <cell r="F312">
            <v>1</v>
          </cell>
          <cell r="G312">
            <v>1</v>
          </cell>
          <cell r="H312">
            <v>1</v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</row>
        <row r="313">
          <cell r="C313" t="str">
            <v/>
          </cell>
          <cell r="D313" t="str">
            <v/>
          </cell>
          <cell r="E313" t="str">
            <v/>
          </cell>
          <cell r="F313">
            <v>1</v>
          </cell>
          <cell r="G313">
            <v>1</v>
          </cell>
          <cell r="H313">
            <v>1</v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F314">
            <v>1</v>
          </cell>
          <cell r="G314">
            <v>1</v>
          </cell>
          <cell r="H314">
            <v>1</v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>
            <v>1</v>
          </cell>
          <cell r="G315">
            <v>1</v>
          </cell>
          <cell r="H315">
            <v>1</v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</row>
        <row r="316">
          <cell r="C316">
            <v>22116</v>
          </cell>
          <cell r="D316" t="str">
            <v>倾国倾城武魂</v>
          </cell>
          <cell r="E316" t="str">
            <v/>
          </cell>
          <cell r="F316">
            <v>1</v>
          </cell>
          <cell r="G316">
            <v>1</v>
          </cell>
          <cell r="H316">
            <v>1</v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</row>
        <row r="317">
          <cell r="C317">
            <v>22117</v>
          </cell>
          <cell r="D317" t="str">
            <v>墨行天下武魂</v>
          </cell>
          <cell r="E317" t="str">
            <v/>
          </cell>
          <cell r="F317">
            <v>1</v>
          </cell>
          <cell r="G317">
            <v>1</v>
          </cell>
          <cell r="H317">
            <v>1</v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>
            <v>23220</v>
          </cell>
          <cell r="D318" t="str">
            <v>红色统智装备礼包</v>
          </cell>
          <cell r="E318" t="str">
            <v/>
          </cell>
          <cell r="F318">
            <v>1</v>
          </cell>
          <cell r="G318">
            <v>1</v>
          </cell>
          <cell r="H318">
            <v>1</v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23221</v>
          </cell>
          <cell r="D319" t="str">
            <v>紫色兵法自选宝箱</v>
          </cell>
          <cell r="E319" t="str">
            <v/>
          </cell>
          <cell r="F319">
            <v>1</v>
          </cell>
          <cell r="G319">
            <v>1</v>
          </cell>
          <cell r="H319">
            <v>1</v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</row>
        <row r="320">
          <cell r="C320">
            <v>23222</v>
          </cell>
          <cell r="D320" t="str">
            <v>橙色兵法自选宝箱</v>
          </cell>
          <cell r="E320" t="str">
            <v/>
          </cell>
          <cell r="F320">
            <v>1</v>
          </cell>
          <cell r="G320">
            <v>1</v>
          </cell>
          <cell r="H320">
            <v>1</v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</row>
        <row r="321">
          <cell r="C321">
            <v>23364</v>
          </cell>
          <cell r="D321" t="str">
            <v>自选橙色兵法碎片</v>
          </cell>
          <cell r="E321" t="str">
            <v/>
          </cell>
          <cell r="F321">
            <v>1</v>
          </cell>
          <cell r="G321">
            <v>1</v>
          </cell>
          <cell r="H321">
            <v>1</v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</row>
        <row r="322">
          <cell r="C322">
            <v>23365</v>
          </cell>
          <cell r="D322" t="str">
            <v>自选紫色兵法碎片</v>
          </cell>
          <cell r="E322" t="str">
            <v/>
          </cell>
          <cell r="F322">
            <v>1</v>
          </cell>
          <cell r="G322">
            <v>1</v>
          </cell>
          <cell r="H322">
            <v>1</v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>
            <v>1</v>
          </cell>
          <cell r="G323">
            <v>1</v>
          </cell>
          <cell r="H323">
            <v>1</v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</row>
        <row r="324">
          <cell r="C324">
            <v>21075</v>
          </cell>
          <cell r="D324" t="str">
            <v>中级免战牌</v>
          </cell>
          <cell r="E324">
            <v>200</v>
          </cell>
          <cell r="F324">
            <v>1</v>
          </cell>
          <cell r="G324">
            <v>1</v>
          </cell>
          <cell r="H324">
            <v>1</v>
          </cell>
          <cell r="I324">
            <v>200</v>
          </cell>
          <cell r="J324">
            <v>200</v>
          </cell>
          <cell r="K324">
            <v>200</v>
          </cell>
          <cell r="L324" t="str">
            <v>使用后城池不会遭受来自其他玩家的攻击，主动进攻其他玩家后失效，持续12小时</v>
          </cell>
        </row>
        <row r="325">
          <cell r="C325">
            <v>21071</v>
          </cell>
          <cell r="D325" t="str">
            <v>高级免战牌</v>
          </cell>
          <cell r="E325">
            <v>500</v>
          </cell>
          <cell r="F325">
            <v>1</v>
          </cell>
          <cell r="G325">
            <v>1</v>
          </cell>
          <cell r="H325">
            <v>1</v>
          </cell>
          <cell r="I325">
            <v>500</v>
          </cell>
          <cell r="J325">
            <v>500</v>
          </cell>
          <cell r="K325">
            <v>500</v>
          </cell>
          <cell r="L325" t="str">
            <v>使用后城池不会遭受来自其他玩家的攻击，主动进攻其他玩家后失效，持续24小时</v>
          </cell>
        </row>
        <row r="326">
          <cell r="C326">
            <v>21072</v>
          </cell>
          <cell r="D326" t="str">
            <v>特级免战牌</v>
          </cell>
          <cell r="E326">
            <v>1800</v>
          </cell>
          <cell r="F326">
            <v>1</v>
          </cell>
          <cell r="G326">
            <v>1</v>
          </cell>
          <cell r="H326">
            <v>1</v>
          </cell>
          <cell r="I326">
            <v>1800</v>
          </cell>
          <cell r="J326">
            <v>1800</v>
          </cell>
          <cell r="K326">
            <v>1800</v>
          </cell>
          <cell r="L326" t="str">
            <v>使用后城池不会遭受来自其他玩家的攻击，主动进攻其他玩家后失效，持续72小时</v>
          </cell>
        </row>
        <row r="327">
          <cell r="C327">
            <v>90512</v>
          </cell>
          <cell r="D327" t="str">
            <v>文心</v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>消灭野怪获得，用于宝物温养。</v>
          </cell>
        </row>
        <row r="328">
          <cell r="C328">
            <v>23359</v>
          </cell>
          <cell r="D328" t="str">
            <v>宝鉴</v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>持有宝鉴名册，可鉴天下珍宝</v>
          </cell>
        </row>
        <row r="329">
          <cell r="C329">
            <v>23526</v>
          </cell>
          <cell r="D329" t="str">
            <v>极品装备宝箱碎片</v>
          </cell>
          <cell r="E329" t="str">
            <v/>
          </cell>
          <cell r="F329">
            <v>1</v>
          </cell>
          <cell r="G329">
            <v>1</v>
          </cell>
          <cell r="H329">
            <v>1</v>
          </cell>
          <cell r="I329" t="str">
            <v/>
          </cell>
          <cell r="J329" t="str">
            <v/>
          </cell>
          <cell r="K329" t="str">
            <v/>
          </cell>
          <cell r="L329" t="str">
            <v>使用后可以获得一个极品红色装备宝箱</v>
          </cell>
        </row>
        <row r="330">
          <cell r="C330">
            <v>23527</v>
          </cell>
          <cell r="D330" t="str">
            <v>极品装备宝箱</v>
          </cell>
          <cell r="E330" t="str">
            <v/>
          </cell>
          <cell r="F330">
            <v>1</v>
          </cell>
          <cell r="G330">
            <v>1</v>
          </cell>
          <cell r="H330">
            <v>1</v>
          </cell>
          <cell r="I330" t="str">
            <v/>
          </cell>
          <cell r="J330" t="str">
            <v/>
          </cell>
          <cell r="K330" t="str">
            <v/>
          </cell>
          <cell r="L330" t="str">
            <v>使用后可以选择获得一件极品红色装备</v>
          </cell>
        </row>
        <row r="331">
          <cell r="C331">
            <v>23528</v>
          </cell>
          <cell r="D331" t="str">
            <v>极品统武装备宝箱</v>
          </cell>
          <cell r="E331" t="str">
            <v/>
          </cell>
          <cell r="F331">
            <v>1</v>
          </cell>
          <cell r="G331">
            <v>1</v>
          </cell>
          <cell r="H331">
            <v>1</v>
          </cell>
          <cell r="I331" t="str">
            <v/>
          </cell>
          <cell r="J331" t="str">
            <v/>
          </cell>
          <cell r="K331" t="str">
            <v/>
          </cell>
          <cell r="L331" t="str">
            <v>使用后获得十方古璃套装3件套装备</v>
          </cell>
        </row>
        <row r="332">
          <cell r="C332">
            <v>23529</v>
          </cell>
          <cell r="D332" t="str">
            <v>极品统智装备宝箱</v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>使用后获得墨霜广焱3件套装备</v>
          </cell>
        </row>
        <row r="333">
          <cell r="C333">
            <v>23530</v>
          </cell>
          <cell r="D333" t="str">
            <v>红色装备宝箱碎片</v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>使用后可以获得一个红色装备宝箱</v>
          </cell>
        </row>
        <row r="334">
          <cell r="C334">
            <v>23531</v>
          </cell>
          <cell r="D334" t="str">
            <v>红色装备宝箱</v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>使用后可以选择获得一件红色装备</v>
          </cell>
        </row>
        <row r="335">
          <cell r="C335">
            <v>23532</v>
          </cell>
          <cell r="D335" t="str">
            <v>抛砖引玉·极-残片</v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23389</v>
          </cell>
          <cell r="D336" t="str">
            <v>秦阳陵虎符碎片</v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</row>
        <row r="337">
          <cell r="C337">
            <v>180024</v>
          </cell>
          <cell r="D337" t="str">
            <v>高级盗贼</v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</row>
        <row r="338">
          <cell r="C338">
            <v>180023</v>
          </cell>
          <cell r="D338" t="str">
            <v>高级间谍</v>
          </cell>
          <cell r="E338" t="str">
            <v/>
          </cell>
          <cell r="F338">
            <v>1</v>
          </cell>
          <cell r="G338">
            <v>1</v>
          </cell>
          <cell r="H338">
            <v>1</v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</row>
        <row r="339">
          <cell r="C339">
            <v>180022</v>
          </cell>
          <cell r="D339" t="str">
            <v>高级刺客</v>
          </cell>
          <cell r="E339" t="str">
            <v/>
          </cell>
          <cell r="F339">
            <v>1</v>
          </cell>
          <cell r="G339">
            <v>1</v>
          </cell>
          <cell r="H339">
            <v>1</v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</row>
        <row r="340">
          <cell r="C340">
            <v>23521</v>
          </cell>
          <cell r="D340" t="str">
            <v>将军印碎片</v>
          </cell>
          <cell r="E340" t="str">
            <v/>
          </cell>
          <cell r="F340">
            <v>1</v>
          </cell>
          <cell r="G340">
            <v>1</v>
          </cell>
          <cell r="H340">
            <v>1</v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</row>
        <row r="341">
          <cell r="C341">
            <v>23542</v>
          </cell>
          <cell r="D341" t="str">
            <v>十方装备宝箱碎片</v>
          </cell>
          <cell r="E341" t="str">
            <v/>
          </cell>
          <cell r="F341">
            <v>1</v>
          </cell>
          <cell r="G341">
            <v>1</v>
          </cell>
          <cell r="H341">
            <v>1</v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</row>
        <row r="342">
          <cell r="C342">
            <v>23543</v>
          </cell>
          <cell r="D342" t="str">
            <v>墨霜装备宝箱碎片</v>
          </cell>
          <cell r="E342" t="str">
            <v/>
          </cell>
          <cell r="F342">
            <v>1</v>
          </cell>
          <cell r="G342">
            <v>1</v>
          </cell>
          <cell r="H342">
            <v>1</v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>
            <v>1</v>
          </cell>
          <cell r="G343">
            <v>1</v>
          </cell>
          <cell r="H343">
            <v>1</v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</row>
        <row r="344">
          <cell r="C344">
            <v>23356</v>
          </cell>
          <cell r="D344" t="str">
            <v>紫色藏宝图</v>
          </cell>
          <cell r="E344">
            <v>300</v>
          </cell>
          <cell r="F344">
            <v>1</v>
          </cell>
          <cell r="G344">
            <v>1</v>
          </cell>
          <cell r="H344">
            <v>1</v>
          </cell>
          <cell r="I344">
            <v>300</v>
          </cell>
          <cell r="J344">
            <v>300</v>
          </cell>
          <cell r="K344">
            <v>300</v>
          </cell>
          <cell r="L344" t="str">
            <v/>
          </cell>
        </row>
        <row r="345">
          <cell r="C345">
            <v>23541</v>
          </cell>
          <cell r="D345" t="str">
            <v>宝物精华小宝箱</v>
          </cell>
          <cell r="E345">
            <v>100</v>
          </cell>
          <cell r="F345">
            <v>1</v>
          </cell>
          <cell r="G345">
            <v>1</v>
          </cell>
          <cell r="H345">
            <v>1</v>
          </cell>
          <cell r="I345">
            <v>100</v>
          </cell>
          <cell r="J345">
            <v>100</v>
          </cell>
          <cell r="K345">
            <v>100</v>
          </cell>
          <cell r="L345" t="str">
            <v/>
          </cell>
        </row>
        <row r="346">
          <cell r="C346">
            <v>23537</v>
          </cell>
          <cell r="D346" t="str">
            <v>文心宝箱</v>
          </cell>
          <cell r="E346">
            <v>200</v>
          </cell>
          <cell r="F346">
            <v>1</v>
          </cell>
          <cell r="G346">
            <v>1</v>
          </cell>
          <cell r="H346">
            <v>1</v>
          </cell>
          <cell r="I346">
            <v>200</v>
          </cell>
          <cell r="J346">
            <v>200</v>
          </cell>
          <cell r="K346">
            <v>200</v>
          </cell>
          <cell r="L346" t="str">
            <v/>
          </cell>
        </row>
        <row r="347">
          <cell r="C347">
            <v>23540</v>
          </cell>
          <cell r="D347" t="str">
            <v>500偕作玉宝箱</v>
          </cell>
          <cell r="E347">
            <v>500</v>
          </cell>
          <cell r="F347">
            <v>1</v>
          </cell>
          <cell r="G347">
            <v>1</v>
          </cell>
          <cell r="H347">
            <v>1</v>
          </cell>
          <cell r="I347">
            <v>500</v>
          </cell>
          <cell r="J347">
            <v>500</v>
          </cell>
          <cell r="K347">
            <v>500</v>
          </cell>
          <cell r="L347" t="str">
            <v/>
          </cell>
        </row>
        <row r="348">
          <cell r="C348">
            <v>90510</v>
          </cell>
          <cell r="D348" t="str">
            <v>偕作玉</v>
          </cell>
          <cell r="E348">
            <v>1</v>
          </cell>
          <cell r="F348">
            <v>1</v>
          </cell>
          <cell r="G348">
            <v>1</v>
          </cell>
          <cell r="H348">
            <v>1</v>
          </cell>
          <cell r="I348">
            <v>1</v>
          </cell>
          <cell r="J348">
            <v>1</v>
          </cell>
          <cell r="K348">
            <v>1</v>
          </cell>
          <cell r="L348" t="str">
            <v/>
          </cell>
        </row>
        <row r="349">
          <cell r="C349">
            <v>90512</v>
          </cell>
          <cell r="D349" t="str">
            <v>文心</v>
          </cell>
          <cell r="E349">
            <v>0.33333333333333331</v>
          </cell>
          <cell r="F349">
            <v>1</v>
          </cell>
          <cell r="G349">
            <v>1</v>
          </cell>
          <cell r="H349">
            <v>1</v>
          </cell>
          <cell r="I349">
            <v>0.33333333333333331</v>
          </cell>
          <cell r="J349">
            <v>0.33333333333333331</v>
          </cell>
          <cell r="K349">
            <v>0.33333333333333331</v>
          </cell>
          <cell r="L349" t="str">
            <v/>
          </cell>
        </row>
        <row r="350">
          <cell r="C350">
            <v>90513</v>
          </cell>
          <cell r="D350" t="str">
            <v>宝物精华</v>
          </cell>
          <cell r="E350">
            <v>100</v>
          </cell>
          <cell r="F350">
            <v>1</v>
          </cell>
          <cell r="G350">
            <v>1</v>
          </cell>
          <cell r="H350">
            <v>1</v>
          </cell>
          <cell r="I350">
            <v>100</v>
          </cell>
          <cell r="J350">
            <v>100</v>
          </cell>
          <cell r="K350">
            <v>100</v>
          </cell>
          <cell r="L350" t="str">
            <v/>
          </cell>
        </row>
        <row r="351">
          <cell r="C351">
            <v>23652</v>
          </cell>
          <cell r="D351" t="str">
            <v>流云装备宝箱碎片</v>
          </cell>
          <cell r="E351" t="str">
            <v/>
          </cell>
          <cell r="F351">
            <v>1</v>
          </cell>
          <cell r="G351">
            <v>1</v>
          </cell>
          <cell r="H351">
            <v>1</v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</row>
        <row r="352">
          <cell r="C352">
            <v>23658</v>
          </cell>
          <cell r="D352" t="str">
            <v>乱世王者碎片</v>
          </cell>
          <cell r="E352" t="str">
            <v/>
          </cell>
          <cell r="F352">
            <v>1</v>
          </cell>
          <cell r="G352">
            <v>1</v>
          </cell>
          <cell r="H352">
            <v>1</v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</row>
        <row r="353">
          <cell r="C353" t="str">
            <v/>
          </cell>
          <cell r="D353" t="str">
            <v/>
          </cell>
          <cell r="E353" t="str">
            <v/>
          </cell>
          <cell r="F353">
            <v>1</v>
          </cell>
          <cell r="G353">
            <v>1</v>
          </cell>
          <cell r="H353">
            <v>1</v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</row>
        <row r="354">
          <cell r="C354">
            <v>23641</v>
          </cell>
          <cell r="D354" t="str">
            <v>普通加速宝箱</v>
          </cell>
          <cell r="E354">
            <v>40</v>
          </cell>
          <cell r="F354">
            <v>1</v>
          </cell>
          <cell r="G354">
            <v>1</v>
          </cell>
          <cell r="H354">
            <v>1</v>
          </cell>
          <cell r="I354">
            <v>40</v>
          </cell>
          <cell r="J354">
            <v>40</v>
          </cell>
          <cell r="K354">
            <v>40</v>
          </cell>
          <cell r="L354"/>
        </row>
        <row r="355">
          <cell r="C355">
            <v>23642</v>
          </cell>
          <cell r="D355" t="str">
            <v>初级加速宝箱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/>
        </row>
        <row r="356">
          <cell r="C356">
            <v>23643</v>
          </cell>
          <cell r="D356" t="str">
            <v>中级加速宝箱</v>
          </cell>
          <cell r="E356">
            <v>250</v>
          </cell>
          <cell r="F356">
            <v>1.2</v>
          </cell>
          <cell r="G356">
            <v>1</v>
          </cell>
          <cell r="H356">
            <v>1</v>
          </cell>
          <cell r="I356">
            <v>300</v>
          </cell>
          <cell r="J356">
            <v>250</v>
          </cell>
          <cell r="K356">
            <v>250</v>
          </cell>
          <cell r="L356"/>
        </row>
        <row r="357">
          <cell r="C357">
            <v>23644</v>
          </cell>
          <cell r="D357" t="str">
            <v>高级加速宝箱</v>
          </cell>
          <cell r="E357">
            <v>500</v>
          </cell>
          <cell r="F357">
            <v>1.8</v>
          </cell>
          <cell r="G357">
            <v>1.5</v>
          </cell>
          <cell r="H357">
            <v>1</v>
          </cell>
          <cell r="I357">
            <v>900</v>
          </cell>
          <cell r="J357">
            <v>750</v>
          </cell>
          <cell r="K357">
            <v>500</v>
          </cell>
          <cell r="L357"/>
        </row>
        <row r="358">
          <cell r="C358">
            <v>23645</v>
          </cell>
          <cell r="D358" t="str">
            <v>特级加速宝箱</v>
          </cell>
          <cell r="E358">
            <v>800</v>
          </cell>
          <cell r="F358">
            <v>3</v>
          </cell>
          <cell r="G358">
            <v>2.5</v>
          </cell>
          <cell r="H358">
            <v>1</v>
          </cell>
          <cell r="I358">
            <v>2400</v>
          </cell>
          <cell r="J358">
            <v>2000</v>
          </cell>
          <cell r="K358">
            <v>800</v>
          </cell>
          <cell r="L358"/>
        </row>
        <row r="359">
          <cell r="C359" t="str">
            <v/>
          </cell>
          <cell r="D359" t="str">
            <v/>
          </cell>
          <cell r="E359" t="str">
            <v/>
          </cell>
          <cell r="F359">
            <v>1</v>
          </cell>
          <cell r="G359">
            <v>1</v>
          </cell>
          <cell r="H359">
            <v>1</v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>
            <v>1</v>
          </cell>
          <cell r="G360">
            <v>1</v>
          </cell>
          <cell r="H360">
            <v>1</v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</row>
        <row r="361">
          <cell r="C361" t="str">
            <v/>
          </cell>
          <cell r="D361" t="str">
            <v/>
          </cell>
          <cell r="E361"/>
          <cell r="F361">
            <v>1</v>
          </cell>
          <cell r="G361">
            <v>1</v>
          </cell>
          <cell r="H361">
            <v>1</v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</row>
        <row r="362">
          <cell r="C362" t="str">
            <v/>
          </cell>
          <cell r="D362" t="str">
            <v/>
          </cell>
          <cell r="E362"/>
          <cell r="F362">
            <v>1</v>
          </cell>
          <cell r="G362">
            <v>1</v>
          </cell>
          <cell r="H362">
            <v>1</v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</row>
        <row r="363">
          <cell r="C363" t="str">
            <v/>
          </cell>
          <cell r="D363" t="str">
            <v/>
          </cell>
          <cell r="E363"/>
          <cell r="F363">
            <v>1</v>
          </cell>
          <cell r="G363">
            <v>1</v>
          </cell>
          <cell r="H363">
            <v>1</v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</row>
        <row r="364">
          <cell r="C364" t="str">
            <v/>
          </cell>
          <cell r="D364" t="str">
            <v/>
          </cell>
          <cell r="E364"/>
          <cell r="F364">
            <v>1</v>
          </cell>
          <cell r="G364">
            <v>1</v>
          </cell>
          <cell r="H364">
            <v>1</v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 t="str">
            <v/>
          </cell>
          <cell r="D365" t="str">
            <v/>
          </cell>
          <cell r="E365"/>
          <cell r="F365">
            <v>1</v>
          </cell>
          <cell r="G365">
            <v>1</v>
          </cell>
          <cell r="H365">
            <v>1</v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</row>
        <row r="366">
          <cell r="C366" t="str">
            <v/>
          </cell>
          <cell r="D366" t="str">
            <v/>
          </cell>
          <cell r="E366"/>
          <cell r="F366">
            <v>1</v>
          </cell>
          <cell r="G366">
            <v>1</v>
          </cell>
          <cell r="H366">
            <v>1</v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</row>
        <row r="367">
          <cell r="C367" t="str">
            <v/>
          </cell>
          <cell r="D367" t="str">
            <v/>
          </cell>
          <cell r="E367"/>
          <cell r="F367">
            <v>1</v>
          </cell>
          <cell r="G367">
            <v>1</v>
          </cell>
          <cell r="H367">
            <v>1</v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</row>
        <row r="368">
          <cell r="C368" t="str">
            <v/>
          </cell>
          <cell r="D368" t="str">
            <v/>
          </cell>
          <cell r="E368"/>
          <cell r="F368">
            <v>1</v>
          </cell>
          <cell r="G368">
            <v>1</v>
          </cell>
          <cell r="H368">
            <v>1</v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 t="str">
            <v/>
          </cell>
          <cell r="D369" t="str">
            <v/>
          </cell>
          <cell r="E369" t="str">
            <v/>
          </cell>
          <cell r="F369">
            <v>1</v>
          </cell>
          <cell r="G369">
            <v>1</v>
          </cell>
          <cell r="H369">
            <v>1</v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</row>
        <row r="370">
          <cell r="C370" t="str">
            <v/>
          </cell>
          <cell r="D370" t="str">
            <v/>
          </cell>
          <cell r="E370" t="str">
            <v/>
          </cell>
          <cell r="F370">
            <v>1</v>
          </cell>
          <cell r="G370">
            <v>1</v>
          </cell>
          <cell r="H370">
            <v>1</v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</row>
        <row r="371">
          <cell r="C371" t="str">
            <v/>
          </cell>
          <cell r="D371" t="str">
            <v/>
          </cell>
          <cell r="E371" t="str">
            <v/>
          </cell>
          <cell r="F371">
            <v>1</v>
          </cell>
          <cell r="G371">
            <v>1</v>
          </cell>
          <cell r="H371">
            <v>1</v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W363"/>
  <sheetViews>
    <sheetView topLeftCell="G1" workbookViewId="0">
      <selection activeCell="T95" sqref="T95"/>
    </sheetView>
  </sheetViews>
  <sheetFormatPr defaultColWidth="8.125" defaultRowHeight="11.25" x14ac:dyDescent="0.15"/>
  <cols>
    <col min="1" max="12" width="8.125" style="4"/>
    <col min="13" max="13" width="4.375" style="2" customWidth="1"/>
    <col min="14" max="14" width="8.125" style="4"/>
    <col min="15" max="15" width="9.75" style="4" bestFit="1" customWidth="1"/>
    <col min="16" max="16" width="9" style="4" bestFit="1" customWidth="1"/>
    <col min="17" max="20" width="8.125" style="4"/>
    <col min="21" max="35" width="8.125" style="4" customWidth="1"/>
    <col min="36" max="36" width="3" style="2" customWidth="1"/>
    <col min="37" max="43" width="8.125" style="4" customWidth="1"/>
    <col min="44" max="44" width="8.125" style="3" customWidth="1"/>
    <col min="45" max="50" width="8.125" style="4" customWidth="1"/>
    <col min="51" max="51" width="8.125" style="3" customWidth="1"/>
    <col min="52" max="58" width="8.125" style="4" customWidth="1"/>
    <col min="59" max="59" width="3" style="2" customWidth="1"/>
    <col min="60" max="67" width="8.125" style="4"/>
    <col min="68" max="68" width="3" style="2" customWidth="1"/>
    <col min="69" max="16384" width="8.125" style="4"/>
  </cols>
  <sheetData>
    <row r="1" spans="2:75" x14ac:dyDescent="0.15">
      <c r="F1" s="67" t="s">
        <v>27</v>
      </c>
      <c r="G1" s="67" t="s">
        <v>5</v>
      </c>
      <c r="H1" s="1"/>
      <c r="I1" s="67" t="s">
        <v>6</v>
      </c>
      <c r="J1" s="67" t="s">
        <v>5</v>
      </c>
      <c r="K1" s="67" t="s">
        <v>7</v>
      </c>
      <c r="BR1" s="4" t="s">
        <v>21</v>
      </c>
    </row>
    <row r="2" spans="2:75" ht="13.5" customHeight="1" x14ac:dyDescent="0.15">
      <c r="F2" s="67"/>
      <c r="G2" s="67"/>
      <c r="H2" s="1"/>
      <c r="I2" s="67"/>
      <c r="J2" s="67"/>
      <c r="K2" s="67"/>
      <c r="P2" s="66" t="s">
        <v>28</v>
      </c>
      <c r="Q2" s="66"/>
      <c r="R2" s="66"/>
      <c r="S2" s="66"/>
      <c r="T2" s="66"/>
      <c r="W2" s="66" t="s">
        <v>29</v>
      </c>
      <c r="X2" s="66"/>
      <c r="Y2" s="66"/>
      <c r="Z2" s="66"/>
      <c r="AA2" s="66"/>
      <c r="AD2" s="66" t="s">
        <v>30</v>
      </c>
      <c r="AE2" s="66"/>
      <c r="AF2" s="66"/>
      <c r="AG2" s="66"/>
      <c r="AH2" s="66"/>
      <c r="AM2" s="66" t="s">
        <v>8</v>
      </c>
      <c r="AN2" s="66"/>
      <c r="AO2" s="66"/>
      <c r="AP2" s="66"/>
      <c r="AQ2" s="66"/>
      <c r="AT2" s="66" t="s">
        <v>9</v>
      </c>
      <c r="AU2" s="66"/>
      <c r="AV2" s="66"/>
      <c r="AW2" s="66"/>
      <c r="AX2" s="66"/>
      <c r="BA2" s="66" t="s">
        <v>10</v>
      </c>
      <c r="BB2" s="66"/>
      <c r="BC2" s="66"/>
      <c r="BD2" s="66"/>
      <c r="BE2" s="66"/>
      <c r="BJ2" s="66" t="s">
        <v>17</v>
      </c>
      <c r="BK2" s="66"/>
      <c r="BL2" s="66"/>
      <c r="BM2" s="66"/>
      <c r="BN2" s="66"/>
    </row>
    <row r="3" spans="2:75" ht="13.5" customHeight="1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4">
        <f>[1]节奏总纲!K3</f>
        <v>0.1</v>
      </c>
      <c r="N3" s="5" t="s">
        <v>19</v>
      </c>
      <c r="O3" s="4" t="s">
        <v>27</v>
      </c>
      <c r="P3" s="4" t="s">
        <v>0</v>
      </c>
      <c r="Q3" s="4" t="s">
        <v>3</v>
      </c>
      <c r="R3" s="4" t="s">
        <v>1</v>
      </c>
      <c r="S3" s="4" t="s">
        <v>4</v>
      </c>
      <c r="T3" s="4" t="s">
        <v>2</v>
      </c>
      <c r="V3" s="4" t="s">
        <v>27</v>
      </c>
      <c r="W3" s="4" t="s">
        <v>0</v>
      </c>
      <c r="X3" s="4" t="s">
        <v>3</v>
      </c>
      <c r="Y3" s="4" t="s">
        <v>1</v>
      </c>
      <c r="Z3" s="4" t="s">
        <v>4</v>
      </c>
      <c r="AA3" s="4" t="s">
        <v>2</v>
      </c>
      <c r="AC3" s="4" t="s">
        <v>11</v>
      </c>
      <c r="AD3" s="4" t="s">
        <v>0</v>
      </c>
      <c r="AE3" s="4" t="s">
        <v>3</v>
      </c>
      <c r="AF3" s="4" t="s">
        <v>1</v>
      </c>
      <c r="AG3" s="4" t="s">
        <v>4</v>
      </c>
      <c r="AH3" s="4" t="s">
        <v>2</v>
      </c>
      <c r="AL3" s="4" t="s">
        <v>6</v>
      </c>
      <c r="AM3" s="4" t="s">
        <v>0</v>
      </c>
      <c r="AN3" s="4" t="s">
        <v>3</v>
      </c>
      <c r="AO3" s="4" t="s">
        <v>1</v>
      </c>
      <c r="AP3" s="4" t="s">
        <v>4</v>
      </c>
      <c r="AQ3" s="4" t="s">
        <v>2</v>
      </c>
      <c r="AS3" s="4" t="s">
        <v>6</v>
      </c>
      <c r="AT3" s="4" t="s">
        <v>0</v>
      </c>
      <c r="AU3" s="4" t="s">
        <v>3</v>
      </c>
      <c r="AV3" s="4" t="s">
        <v>1</v>
      </c>
      <c r="AW3" s="4" t="s">
        <v>4</v>
      </c>
      <c r="AX3" s="4" t="s">
        <v>2</v>
      </c>
      <c r="AZ3" s="4" t="s">
        <v>11</v>
      </c>
      <c r="BA3" s="4" t="s">
        <v>0</v>
      </c>
      <c r="BB3" s="4" t="s">
        <v>3</v>
      </c>
      <c r="BC3" s="4" t="s">
        <v>1</v>
      </c>
      <c r="BD3" s="4" t="s">
        <v>4</v>
      </c>
      <c r="BE3" s="4" t="s">
        <v>2</v>
      </c>
      <c r="BI3" s="4" t="s">
        <v>18</v>
      </c>
      <c r="BJ3" s="4" t="s">
        <v>0</v>
      </c>
      <c r="BK3" s="4" t="s">
        <v>3</v>
      </c>
      <c r="BL3" s="4" t="s">
        <v>1</v>
      </c>
      <c r="BM3" s="4" t="s">
        <v>4</v>
      </c>
      <c r="BN3" s="4" t="s">
        <v>2</v>
      </c>
      <c r="BR3" s="4" t="s">
        <v>22</v>
      </c>
      <c r="BS3" s="4" t="s">
        <v>24</v>
      </c>
      <c r="BT3" s="4" t="s">
        <v>23</v>
      </c>
      <c r="BU3" s="4" t="s">
        <v>25</v>
      </c>
      <c r="BV3" s="4" t="s">
        <v>26</v>
      </c>
      <c r="BW3" s="4" t="s">
        <v>20</v>
      </c>
    </row>
    <row r="4" spans="2:75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4">
        <f>[1]节奏总纲!K4</f>
        <v>0.15</v>
      </c>
      <c r="N4" s="4">
        <f>[1]节奏总纲!N4</f>
        <v>2</v>
      </c>
      <c r="O4" s="4">
        <f>[1]节奏总纲!O4</f>
        <v>1</v>
      </c>
      <c r="P4" s="4">
        <f>[1]节奏总纲!P4</f>
        <v>7.1773462536293131E-2</v>
      </c>
      <c r="Q4" s="6">
        <f>[1]节奏总纲!Q4</f>
        <v>5.9787294292732177E-2</v>
      </c>
      <c r="R4" s="6">
        <f>[1]节奏总纲!R4</f>
        <v>4.677476553490223E-2</v>
      </c>
      <c r="S4" s="6">
        <f>[1]节奏总纲!S4</f>
        <v>3.2585151991477081E-2</v>
      </c>
      <c r="T4" s="6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  <c r="BI4" s="4">
        <v>1</v>
      </c>
      <c r="BJ4" s="4">
        <f>求节点($AL$4:$AL$83,AM$4:AM$83,('[1]功能-城建'!$BE6+'[1]功能-城建'!$BZ6)/2)</f>
        <v>1.5699005528909408E-2</v>
      </c>
      <c r="BK4" s="4">
        <f>求节点($AL$4:$AL$83,AN$4:AN$83,('[1]功能-城建'!$BE6+'[1]功能-城建'!$BZ6)/2)</f>
        <v>1.2559204423127529E-2</v>
      </c>
      <c r="BL4" s="4">
        <f>求节点($AL$4:$AL$83,AO$4:AO$83,('[1]功能-城建'!$BE6+'[1]功能-城建'!$BZ6)/2)</f>
        <v>9.4194033173456461E-3</v>
      </c>
      <c r="BM4" s="4">
        <f>求节点($AL$4:$AL$83,AP$4:AP$83,('[1]功能-城建'!$BE6+'[1]功能-城建'!$BZ6)/2)</f>
        <v>6.2796022115637644E-3</v>
      </c>
      <c r="BN4" s="4">
        <f>求节点($AL$4:$AL$83,AQ$4:AQ$83,('[1]功能-城建'!$BE6+'[1]功能-城建'!$BZ6)/2)</f>
        <v>3.1398011057818822E-3</v>
      </c>
      <c r="BR4" s="4">
        <v>1</v>
      </c>
      <c r="BS4" s="4">
        <f>'[1]功能-城建'!O6</f>
        <v>1</v>
      </c>
      <c r="BT4" s="4">
        <f>'[1]功能-城建'!P6</f>
        <v>1</v>
      </c>
      <c r="BU4" s="4">
        <f>'[1]功能-城建'!Q6</f>
        <v>1</v>
      </c>
      <c r="BV4" s="4">
        <f>'[1]功能-城建'!R6</f>
        <v>0</v>
      </c>
      <c r="BW4" s="4">
        <f>SUM(BS4:BV4)</f>
        <v>3</v>
      </c>
    </row>
    <row r="5" spans="2:75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4">
        <f>[1]节奏总纲!K5</f>
        <v>0.2</v>
      </c>
      <c r="N5" s="4">
        <f>[1]节奏总纲!N5</f>
        <v>4</v>
      </c>
      <c r="O5" s="4">
        <f>[1]节奏总纲!O5</f>
        <v>2</v>
      </c>
      <c r="P5" s="6">
        <f>[1]节奏总纲!P5</f>
        <v>0.1486983549970351</v>
      </c>
      <c r="Q5" s="6">
        <f>[1]节奏总纲!Q5</f>
        <v>0.12505531655250651</v>
      </c>
      <c r="R5" s="6">
        <f>[1]节奏总纲!R5</f>
        <v>9.883979656652922E-2</v>
      </c>
      <c r="S5" s="6">
        <f>[1]节奏总纲!S5</f>
        <v>6.9828747506607683E-2</v>
      </c>
      <c r="T5" s="6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  <c r="BI5" s="4">
        <v>2</v>
      </c>
      <c r="BJ5" s="4">
        <f>求节点($AL$4:$AL$83,AM$4:AM$83,('[1]功能-城建'!$BE7+'[1]功能-城建'!$BZ7)/2)</f>
        <v>0.12131882041201551</v>
      </c>
      <c r="BK5" s="4">
        <f>求节点($AL$4:$AL$83,AN$4:AN$83,('[1]功能-城建'!$BE7+'[1]功能-城建'!$BZ7)/2)</f>
        <v>9.7055056329612421E-2</v>
      </c>
      <c r="BL5" s="4">
        <f>求节点($AL$4:$AL$83,AO$4:AO$83,('[1]功能-城建'!$BE7+'[1]功能-城建'!$BZ7)/2)</f>
        <v>7.2791292247209302E-2</v>
      </c>
      <c r="BM5" s="4">
        <f>求节点($AL$4:$AL$83,AP$4:AP$83,('[1]功能-城建'!$BE7+'[1]功能-城建'!$BZ7)/2)</f>
        <v>4.8527528164806211E-2</v>
      </c>
      <c r="BN5" s="4">
        <f>求节点($AL$4:$AL$83,AQ$4:AQ$83,('[1]功能-城建'!$BE7+'[1]功能-城建'!$BZ7)/2)</f>
        <v>2.4263764082403105E-2</v>
      </c>
      <c r="BR5" s="4">
        <v>2</v>
      </c>
      <c r="BS5" s="4">
        <f>'[1]功能-城建'!O7</f>
        <v>1</v>
      </c>
      <c r="BT5" s="4">
        <f>'[1]功能-城建'!P7</f>
        <v>2</v>
      </c>
      <c r="BU5" s="4">
        <f>'[1]功能-城建'!Q7</f>
        <v>1</v>
      </c>
      <c r="BV5" s="4">
        <f>'[1]功能-城建'!R7</f>
        <v>0</v>
      </c>
      <c r="BW5" s="4">
        <f t="shared" ref="BW5:BW53" si="0">SUM(BS5:BV5)</f>
        <v>4</v>
      </c>
    </row>
    <row r="6" spans="2:75" x14ac:dyDescent="0.15">
      <c r="B6" s="66" t="s">
        <v>31</v>
      </c>
      <c r="C6" s="66"/>
      <c r="D6" s="66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4">
        <f>[1]节奏总纲!K6</f>
        <v>0.25</v>
      </c>
      <c r="N6" s="4">
        <f>[1]节奏总纲!N6</f>
        <v>6</v>
      </c>
      <c r="O6" s="4">
        <f>[1]节奏总纲!O6</f>
        <v>3</v>
      </c>
      <c r="P6" s="6">
        <f>[1]节奏总纲!P6</f>
        <v>0.23114441334491631</v>
      </c>
      <c r="Q6" s="6">
        <f>[1]节奏总纲!Q6</f>
        <v>0.19582554698581309</v>
      </c>
      <c r="R6" s="6">
        <f>[1]节奏总纲!R6</f>
        <v>0.15616116565582547</v>
      </c>
      <c r="S6" s="6">
        <f>[1]节奏总纲!S6</f>
        <v>0.11120357726023924</v>
      </c>
      <c r="T6" s="6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  <c r="BI6" s="4">
        <v>3</v>
      </c>
      <c r="BJ6" s="4">
        <f>求节点($AL$4:$AL$83,AM$4:AM$83,('[1]功能-城建'!$BE8+'[1]功能-城建'!$BZ8)/2)</f>
        <v>0.49875373808340068</v>
      </c>
      <c r="BK6" s="4">
        <f>求节点($AL$4:$AL$83,AN$4:AN$83,('[1]功能-城建'!$BE8+'[1]功能-城建'!$BZ8)/2)</f>
        <v>0.39900299046672055</v>
      </c>
      <c r="BL6" s="4">
        <f>求节点($AL$4:$AL$83,AO$4:AO$83,('[1]功能-城建'!$BE8+'[1]功能-城建'!$BZ8)/2)</f>
        <v>0.29925224285004037</v>
      </c>
      <c r="BM6" s="4">
        <f>求节点($AL$4:$AL$83,AP$4:AP$83,('[1]功能-城建'!$BE8+'[1]功能-城建'!$BZ8)/2)</f>
        <v>0.19950149523336028</v>
      </c>
      <c r="BN6" s="4">
        <f>求节点($AL$4:$AL$83,AQ$4:AQ$83,('[1]功能-城建'!$BE8+'[1]功能-城建'!$BZ8)/2)</f>
        <v>9.9750747616680138E-2</v>
      </c>
      <c r="BR6" s="4">
        <v>3</v>
      </c>
      <c r="BS6" s="4">
        <f>'[1]功能-城建'!O8</f>
        <v>2</v>
      </c>
      <c r="BT6" s="4">
        <f>'[1]功能-城建'!P8</f>
        <v>2</v>
      </c>
      <c r="BU6" s="4">
        <f>'[1]功能-城建'!Q8</f>
        <v>1</v>
      </c>
      <c r="BV6" s="4">
        <f>'[1]功能-城建'!R8</f>
        <v>0</v>
      </c>
      <c r="BW6" s="4">
        <f t="shared" si="0"/>
        <v>5</v>
      </c>
    </row>
    <row r="7" spans="2:75" x14ac:dyDescent="0.15">
      <c r="B7" s="4" t="s">
        <v>27</v>
      </c>
      <c r="C7" s="4" t="s">
        <v>12</v>
      </c>
      <c r="D7" s="4" t="s">
        <v>13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4">
        <f>[1]节奏总纲!K7</f>
        <v>0.3</v>
      </c>
      <c r="N7" s="4">
        <f>[1]节奏总纲!N7</f>
        <v>8</v>
      </c>
      <c r="O7" s="4">
        <f>[1]节奏总纲!O7</f>
        <v>4</v>
      </c>
      <c r="P7" s="6">
        <f>[1]节奏总纲!P7</f>
        <v>0.3195079107728942</v>
      </c>
      <c r="Q7" s="6">
        <f>[1]节奏总纲!Q7</f>
        <v>0.2719651336498875</v>
      </c>
      <c r="R7" s="6">
        <f>[1]节奏总纲!R7</f>
        <v>0.21816000147573214</v>
      </c>
      <c r="S7" s="6">
        <f>[1]节奏总纲!S7</f>
        <v>0.15607961441255883</v>
      </c>
      <c r="T7" s="6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  <c r="BI7" s="4">
        <v>4</v>
      </c>
      <c r="BJ7" s="4">
        <f>求节点($AL$4:$AL$83,AM$4:AM$83,('[1]功能-城建'!$BE9+'[1]功能-城建'!$BZ9)/2)</f>
        <v>1.1550685436347259</v>
      </c>
      <c r="BK7" s="4">
        <f>求节点($AL$4:$AL$83,AN$4:AN$83,('[1]功能-城建'!$BE9+'[1]功能-城建'!$BZ9)/2)</f>
        <v>0.92405483490778073</v>
      </c>
      <c r="BL7" s="4">
        <f>求节点($AL$4:$AL$83,AO$4:AO$83,('[1]功能-城建'!$BE9+'[1]功能-城建'!$BZ9)/2)</f>
        <v>0.69304112618083547</v>
      </c>
      <c r="BM7" s="4">
        <f>求节点($AL$4:$AL$83,AP$4:AP$83,('[1]功能-城建'!$BE9+'[1]功能-城建'!$BZ9)/2)</f>
        <v>0.46202741745389037</v>
      </c>
      <c r="BN7" s="4">
        <f>求节点($AL$4:$AL$83,AQ$4:AQ$83,('[1]功能-城建'!$BE9+'[1]功能-城建'!$BZ9)/2)</f>
        <v>0.23101370872694518</v>
      </c>
      <c r="BR7" s="4">
        <v>4</v>
      </c>
      <c r="BS7" s="4">
        <f>'[1]功能-城建'!O9</f>
        <v>2</v>
      </c>
      <c r="BT7" s="4">
        <f>'[1]功能-城建'!P9</f>
        <v>2</v>
      </c>
      <c r="BU7" s="4">
        <f>'[1]功能-城建'!Q9</f>
        <v>2</v>
      </c>
      <c r="BV7" s="4">
        <f>'[1]功能-城建'!R9</f>
        <v>0</v>
      </c>
      <c r="BW7" s="4">
        <f t="shared" si="0"/>
        <v>6</v>
      </c>
    </row>
    <row r="8" spans="2:75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4">
        <f>[1]节奏总纲!K8</f>
        <v>0.34</v>
      </c>
      <c r="N8" s="4">
        <f>[1]节奏总纲!N8</f>
        <v>10</v>
      </c>
      <c r="O8" s="4">
        <f>[1]节奏总纲!O8</f>
        <v>5</v>
      </c>
      <c r="P8" s="6">
        <f>[1]节奏总纲!P8</f>
        <v>0.41421356237309515</v>
      </c>
      <c r="Q8" s="6">
        <f>[1]节奏总纲!Q8</f>
        <v>0.35241289886702937</v>
      </c>
      <c r="R8" s="6">
        <f>[1]节奏总纲!R8</f>
        <v>0.28315639123824782</v>
      </c>
      <c r="S8" s="6">
        <f>[1]节奏总纲!S8</f>
        <v>0.20296464556281663</v>
      </c>
      <c r="T8" s="6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  <c r="BI8" s="4">
        <v>5</v>
      </c>
      <c r="BJ8" s="4">
        <f>求节点($AL$4:$AL$83,AM$4:AM$83,('[1]功能-城建'!$BE10+'[1]功能-城建'!$BZ10)/2)</f>
        <v>1.9148386534235038</v>
      </c>
      <c r="BK8" s="4">
        <f>求节点($AL$4:$AL$83,AN$4:AN$83,('[1]功能-城建'!$BE10+'[1]功能-城建'!$BZ10)/2)</f>
        <v>1.5318709227388032</v>
      </c>
      <c r="BL8" s="4">
        <f>求节点($AL$4:$AL$83,AO$4:AO$83,('[1]功能-城建'!$BE10+'[1]功能-城建'!$BZ10)/2)</f>
        <v>1.1489031920541022</v>
      </c>
      <c r="BM8" s="4">
        <f>求节点($AL$4:$AL$83,AP$4:AP$83,('[1]功能-城建'!$BE10+'[1]功能-城建'!$BZ10)/2)</f>
        <v>0.7659354613694016</v>
      </c>
      <c r="BN8" s="4">
        <f>求节点($AL$4:$AL$83,AQ$4:AQ$83,('[1]功能-城建'!$BE10+'[1]功能-城建'!$BZ10)/2)</f>
        <v>0.3829677306847008</v>
      </c>
      <c r="BR8" s="4">
        <v>5</v>
      </c>
      <c r="BS8" s="4">
        <f>'[1]功能-城建'!O10</f>
        <v>2</v>
      </c>
      <c r="BT8" s="4">
        <f>'[1]功能-城建'!P10</f>
        <v>2</v>
      </c>
      <c r="BU8" s="4">
        <f>'[1]功能-城建'!Q10</f>
        <v>2</v>
      </c>
      <c r="BV8" s="4">
        <f>'[1]功能-城建'!R10</f>
        <v>0</v>
      </c>
      <c r="BW8" s="4">
        <f t="shared" si="0"/>
        <v>6</v>
      </c>
    </row>
    <row r="9" spans="2:75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4">
        <f>[1]节奏总纲!K9</f>
        <v>0.38</v>
      </c>
      <c r="N9" s="4">
        <f>[1]节奏总纲!N9</f>
        <v>12</v>
      </c>
      <c r="O9" s="4">
        <f>[1]节奏总纲!O9</f>
        <v>6</v>
      </c>
      <c r="P9" s="6">
        <f>[1]节奏总纲!P9</f>
        <v>0.51571656651039799</v>
      </c>
      <c r="Q9" s="6">
        <f>[1]节奏总纲!Q9</f>
        <v>0.43939051466685908</v>
      </c>
      <c r="R9" s="6">
        <f>[1]节奏总纲!R9</f>
        <v>0.35336899137292471</v>
      </c>
      <c r="S9" s="6">
        <f>[1]节奏总纲!S9</f>
        <v>0.25440298225957936</v>
      </c>
      <c r="T9" s="6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  <c r="BI9" s="4">
        <v>6</v>
      </c>
      <c r="BJ9" s="4">
        <f>求节点($AL$4:$AL$83,AM$4:AM$83,('[1]功能-城建'!$BE11+'[1]功能-城建'!$BZ11)/2)</f>
        <v>3.3647159935830295</v>
      </c>
      <c r="BK9" s="4">
        <f>求节点($AL$4:$AL$83,AN$4:AN$83,('[1]功能-城建'!$BE11+'[1]功能-城建'!$BZ11)/2)</f>
        <v>2.6917727948664236</v>
      </c>
      <c r="BL9" s="4">
        <f>求节点($AL$4:$AL$83,AO$4:AO$83,('[1]功能-城建'!$BE11+'[1]功能-城建'!$BZ11)/2)</f>
        <v>2.0188295961498177</v>
      </c>
      <c r="BM9" s="4">
        <f>求节点($AL$4:$AL$83,AP$4:AP$83,('[1]功能-城建'!$BE11+'[1]功能-城建'!$BZ11)/2)</f>
        <v>1.3458863974332118</v>
      </c>
      <c r="BN9" s="4">
        <f>求节点($AL$4:$AL$83,AQ$4:AQ$83,('[1]功能-城建'!$BE11+'[1]功能-城建'!$BZ11)/2)</f>
        <v>0.67294319871660591</v>
      </c>
      <c r="BR9" s="4">
        <v>6</v>
      </c>
      <c r="BS9" s="4">
        <f>'[1]功能-城建'!O11</f>
        <v>2</v>
      </c>
      <c r="BT9" s="4">
        <f>'[1]功能-城建'!P11</f>
        <v>3</v>
      </c>
      <c r="BU9" s="4">
        <f>'[1]功能-城建'!Q11</f>
        <v>2</v>
      </c>
      <c r="BV9" s="4">
        <f>'[1]功能-城建'!R11</f>
        <v>1</v>
      </c>
      <c r="BW9" s="4">
        <f t="shared" si="0"/>
        <v>8</v>
      </c>
    </row>
    <row r="10" spans="2:75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4">
        <f>[1]节奏总纲!K10</f>
        <v>0.42</v>
      </c>
      <c r="N10" s="4">
        <f>[1]节奏总纲!N10</f>
        <v>14</v>
      </c>
      <c r="O10" s="4">
        <f>[1]节奏总纲!O10</f>
        <v>7</v>
      </c>
      <c r="P10" s="6">
        <f>[1]节奏总纲!P10</f>
        <v>0.62450479271247095</v>
      </c>
      <c r="Q10" s="6">
        <f>[1]节奏总纲!Q10</f>
        <v>0.53413894920697635</v>
      </c>
      <c r="R10" s="6">
        <f>[1]节奏总纲!R10</f>
        <v>0.43072095553379119</v>
      </c>
      <c r="S10" s="6">
        <f>[1]节奏总纲!S10</f>
        <v>0.30950457526830061</v>
      </c>
      <c r="T10" s="6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  <c r="BI10" s="4">
        <v>7</v>
      </c>
      <c r="BJ10" s="4">
        <f>求节点($AL$4:$AL$83,AM$4:AM$83,('[1]功能-城建'!$BE12+'[1]功能-城建'!$BZ12)/2)</f>
        <v>5.7532512623914602</v>
      </c>
      <c r="BK10" s="4">
        <f>求节点($AL$4:$AL$83,AN$4:AN$83,('[1]功能-城建'!$BE12+'[1]功能-城建'!$BZ12)/2)</f>
        <v>4.6026010099131689</v>
      </c>
      <c r="BL10" s="4">
        <f>求节点($AL$4:$AL$83,AO$4:AO$83,('[1]功能-城建'!$BE12+'[1]功能-城建'!$BZ12)/2)</f>
        <v>3.4519507574348758</v>
      </c>
      <c r="BM10" s="4">
        <f>求节点($AL$4:$AL$83,AP$4:AP$83,('[1]功能-城建'!$BE12+'[1]功能-城建'!$BZ12)/2)</f>
        <v>2.3013005049565844</v>
      </c>
      <c r="BN10" s="4">
        <f>求节点($AL$4:$AL$83,AQ$4:AQ$83,('[1]功能-城建'!$BE12+'[1]功能-城建'!$BZ12)/2)</f>
        <v>1.1506502524782922</v>
      </c>
      <c r="BR10" s="4">
        <v>7</v>
      </c>
      <c r="BS10" s="4">
        <f>'[1]功能-城建'!O12</f>
        <v>3</v>
      </c>
      <c r="BT10" s="4">
        <f>'[1]功能-城建'!P12</f>
        <v>3</v>
      </c>
      <c r="BU10" s="4">
        <f>'[1]功能-城建'!Q12</f>
        <v>2</v>
      </c>
      <c r="BV10" s="4">
        <f>'[1]功能-城建'!R12</f>
        <v>2</v>
      </c>
      <c r="BW10" s="4">
        <f t="shared" si="0"/>
        <v>10</v>
      </c>
    </row>
    <row r="11" spans="2:75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4">
        <f>[1]节奏总纲!K11</f>
        <v>0.46</v>
      </c>
      <c r="N11" s="4">
        <f>[1]节奏总纲!N11</f>
        <v>16</v>
      </c>
      <c r="O11" s="4">
        <f>[1]节奏总纲!O11</f>
        <v>8</v>
      </c>
      <c r="P11" s="6">
        <f>[1]节奏总纲!P11</f>
        <v>0.74110112659224825</v>
      </c>
      <c r="Q11" s="6">
        <f>[1]节奏总纲!Q11</f>
        <v>0.63089938906798093</v>
      </c>
      <c r="R11" s="6">
        <f>[1]节奏总纲!R11</f>
        <v>0.50550507844857251</v>
      </c>
      <c r="S11" s="6">
        <f>[1]节奏总纲!S11</f>
        <v>0.36195379022765406</v>
      </c>
      <c r="T11" s="6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  <c r="BI11" s="4">
        <v>8</v>
      </c>
      <c r="BJ11" s="4">
        <f>求节点($AL$4:$AL$83,AM$4:AM$83,('[1]功能-城建'!$BE13+'[1]功能-城建'!$BZ13)/2)</f>
        <v>8.1385217780793742</v>
      </c>
      <c r="BK11" s="4">
        <f>求节点($AL$4:$AL$83,AN$4:AN$83,('[1]功能-城建'!$BE13+'[1]功能-城建'!$BZ13)/2)</f>
        <v>6.5108174224635</v>
      </c>
      <c r="BL11" s="4">
        <f>求节点($AL$4:$AL$83,AO$4:AO$83,('[1]功能-城建'!$BE13+'[1]功能-城建'!$BZ13)/2)</f>
        <v>4.8831130668476241</v>
      </c>
      <c r="BM11" s="4">
        <f>求节点($AL$4:$AL$83,AP$4:AP$83,('[1]功能-城建'!$BE13+'[1]功能-城建'!$BZ13)/2)</f>
        <v>3.25540871123175</v>
      </c>
      <c r="BN11" s="4">
        <f>求节点($AL$4:$AL$83,AQ$4:AQ$83,('[1]功能-城建'!$BE13+'[1]功能-城建'!$BZ13)/2)</f>
        <v>1.627704355615875</v>
      </c>
      <c r="BR11" s="4">
        <v>8</v>
      </c>
      <c r="BS11" s="4">
        <f>'[1]功能-城建'!O13</f>
        <v>3</v>
      </c>
      <c r="BT11" s="4">
        <f>'[1]功能-城建'!P13</f>
        <v>3</v>
      </c>
      <c r="BU11" s="4">
        <f>'[1]功能-城建'!Q13</f>
        <v>3</v>
      </c>
      <c r="BV11" s="4">
        <f>'[1]功能-城建'!R13</f>
        <v>2</v>
      </c>
      <c r="BW11" s="4">
        <f t="shared" si="0"/>
        <v>11</v>
      </c>
    </row>
    <row r="12" spans="2:75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4">
        <f>[1]节奏总纲!K12</f>
        <v>0.5</v>
      </c>
      <c r="N12" s="4">
        <f>[1]节奏总纲!N12</f>
        <v>18</v>
      </c>
      <c r="O12" s="4">
        <f>[1]节奏总纲!O12</f>
        <v>9</v>
      </c>
      <c r="P12" s="6">
        <f>[1]节奏总纲!P12</f>
        <v>0.86606598307361482</v>
      </c>
      <c r="Q12" s="6">
        <f>[1]节奏总纲!Q12</f>
        <v>0.73702215159564621</v>
      </c>
      <c r="R12" s="6">
        <f>[1]节奏总纲!R12</f>
        <v>0.59282216541388932</v>
      </c>
      <c r="S12" s="6">
        <f>[1]节奏总纲!S12</f>
        <v>0.42766338244175101</v>
      </c>
      <c r="T12" s="6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  <c r="BI12" s="4">
        <v>9</v>
      </c>
      <c r="BJ12" s="4">
        <f>求节点($AL$4:$AL$83,AM$4:AM$83,('[1]功能-城建'!$BE14+'[1]功能-城建'!$BZ14)/2)</f>
        <v>13.530461208780551</v>
      </c>
      <c r="BK12" s="4">
        <f>求节点($AL$4:$AL$83,AN$4:AN$83,('[1]功能-城建'!$BE14+'[1]功能-城建'!$BZ14)/2)</f>
        <v>10.824368967024441</v>
      </c>
      <c r="BL12" s="4">
        <f>求节点($AL$4:$AL$83,AO$4:AO$83,('[1]功能-城建'!$BE14+'[1]功能-城建'!$BZ14)/2)</f>
        <v>8.1182767252683306</v>
      </c>
      <c r="BM12" s="4">
        <f>求节点($AL$4:$AL$83,AP$4:AP$83,('[1]功能-城建'!$BE14+'[1]功能-城建'!$BZ14)/2)</f>
        <v>5.4121844835122204</v>
      </c>
      <c r="BN12" s="4">
        <f>求节点($AL$4:$AL$83,AQ$4:AQ$83,('[1]功能-城建'!$BE14+'[1]功能-城建'!$BZ14)/2)</f>
        <v>2.7060922417561102</v>
      </c>
      <c r="BR12" s="4">
        <v>9</v>
      </c>
      <c r="BS12" s="4">
        <f>'[1]功能-城建'!O14</f>
        <v>3</v>
      </c>
      <c r="BT12" s="4">
        <f>'[1]功能-城建'!P14</f>
        <v>3</v>
      </c>
      <c r="BU12" s="4">
        <f>'[1]功能-城建'!Q14</f>
        <v>3</v>
      </c>
      <c r="BV12" s="4">
        <f>'[1]功能-城建'!R14</f>
        <v>3</v>
      </c>
      <c r="BW12" s="4">
        <f t="shared" si="0"/>
        <v>12</v>
      </c>
    </row>
    <row r="13" spans="2:75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4">
        <f>[1]节奏总纲!K13</f>
        <v>0.52</v>
      </c>
      <c r="N13" s="4">
        <f>[1]节奏总纲!N13</f>
        <v>20</v>
      </c>
      <c r="O13" s="4">
        <f>[1]节奏总纲!O13</f>
        <v>10</v>
      </c>
      <c r="P13" s="6">
        <f>[1]节奏总纲!P13</f>
        <v>1</v>
      </c>
      <c r="Q13" s="6">
        <f>[1]节奏总纲!Q13</f>
        <v>0.8548</v>
      </c>
      <c r="R13" s="6">
        <f>[1]节奏总纲!R13</f>
        <v>0.6895</v>
      </c>
      <c r="S13" s="6">
        <f>[1]节奏总纲!S13</f>
        <v>0.49980000000000002</v>
      </c>
      <c r="T13" s="6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  <c r="BI13" s="4">
        <v>10</v>
      </c>
      <c r="BJ13" s="4">
        <f>求节点($AL$4:$AL$83,AM$4:AM$83,('[1]功能-城建'!$BE15+'[1]功能-城建'!$BZ15)/2)</f>
        <v>22.250481908800957</v>
      </c>
      <c r="BK13" s="4">
        <f>求节点($AL$4:$AL$83,AN$4:AN$83,('[1]功能-城建'!$BE15+'[1]功能-城建'!$BZ15)/2)</f>
        <v>17.800385527040767</v>
      </c>
      <c r="BL13" s="4">
        <f>求节点($AL$4:$AL$83,AO$4:AO$83,('[1]功能-城建'!$BE15+'[1]功能-城建'!$BZ15)/2)</f>
        <v>13.350289145280575</v>
      </c>
      <c r="BM13" s="4">
        <f>求节点($AL$4:$AL$83,AP$4:AP$83,('[1]功能-城建'!$BE15+'[1]功能-城建'!$BZ15)/2)</f>
        <v>8.9001927635203835</v>
      </c>
      <c r="BN13" s="4">
        <f>求节点($AL$4:$AL$83,AQ$4:AQ$83,('[1]功能-城建'!$BE15+'[1]功能-城建'!$BZ15)/2)</f>
        <v>4.4500963817601917</v>
      </c>
      <c r="BR13" s="4">
        <v>10</v>
      </c>
      <c r="BS13" s="4">
        <f>'[1]功能-城建'!O15</f>
        <v>3</v>
      </c>
      <c r="BT13" s="4">
        <f>'[1]功能-城建'!P15</f>
        <v>4</v>
      </c>
      <c r="BU13" s="4">
        <f>'[1]功能-城建'!Q15</f>
        <v>3</v>
      </c>
      <c r="BV13" s="4">
        <f>'[1]功能-城建'!R15</f>
        <v>3</v>
      </c>
      <c r="BW13" s="4">
        <f t="shared" si="0"/>
        <v>13</v>
      </c>
    </row>
    <row r="14" spans="2:75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4">
        <f>[1]节奏总纲!K14</f>
        <v>0.54</v>
      </c>
      <c r="N14" s="4">
        <f>[1]节奏总纲!N14</f>
        <v>21</v>
      </c>
      <c r="O14" s="4">
        <f>[1]节奏总纲!O14</f>
        <v>11</v>
      </c>
      <c r="P14" s="6">
        <f>[1]节奏总纲!P14</f>
        <v>1.1435469250725863</v>
      </c>
      <c r="Q14" s="6">
        <f>[1]节奏总纲!Q14</f>
        <v>0.98036277886472811</v>
      </c>
      <c r="R14" s="6">
        <f>[1]节奏总纲!R14</f>
        <v>0.79453640354043287</v>
      </c>
      <c r="S14" s="6">
        <f>[1]节奏总纲!S14</f>
        <v>0.57577587677404707</v>
      </c>
      <c r="T14" s="6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  <c r="BI14" s="4">
        <v>11</v>
      </c>
      <c r="BJ14" s="4">
        <f>求节点($AL$4:$AL$83,AM$4:AM$83,('[1]功能-城建'!$BE16+'[1]功能-城建'!$BZ16)/2)</f>
        <v>33.357679571112705</v>
      </c>
      <c r="BK14" s="4">
        <f>求节点($AL$4:$AL$83,AN$4:AN$83,('[1]功能-城建'!$BE16+'[1]功能-城建'!$BZ16)/2)</f>
        <v>26.686143656890167</v>
      </c>
      <c r="BL14" s="4">
        <f>求节点($AL$4:$AL$83,AO$4:AO$83,('[1]功能-城建'!$BE16+'[1]功能-城建'!$BZ16)/2)</f>
        <v>20.014607742667621</v>
      </c>
      <c r="BM14" s="4">
        <f>求节点($AL$4:$AL$83,AP$4:AP$83,('[1]功能-城建'!$BE16+'[1]功能-城建'!$BZ16)/2)</f>
        <v>13.343071828445083</v>
      </c>
      <c r="BN14" s="4">
        <f>求节点($AL$4:$AL$83,AQ$4:AQ$83,('[1]功能-城建'!$BE16+'[1]功能-城建'!$BZ16)/2)</f>
        <v>6.6715359142225417</v>
      </c>
      <c r="BR14" s="4">
        <v>11</v>
      </c>
      <c r="BS14" s="4">
        <f>'[1]功能-城建'!O16</f>
        <v>4</v>
      </c>
      <c r="BT14" s="4">
        <f>'[1]功能-城建'!P16</f>
        <v>4</v>
      </c>
      <c r="BU14" s="4">
        <f>'[1]功能-城建'!Q16</f>
        <v>4</v>
      </c>
      <c r="BV14" s="4">
        <f>'[1]功能-城建'!R16</f>
        <v>3</v>
      </c>
      <c r="BW14" s="4">
        <f t="shared" si="0"/>
        <v>15</v>
      </c>
    </row>
    <row r="15" spans="2:75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4">
        <f>[1]节奏总纲!K15</f>
        <v>0.56000000000000005</v>
      </c>
      <c r="N15" s="4">
        <f>[1]节奏总纲!N15</f>
        <v>22</v>
      </c>
      <c r="O15" s="4">
        <f>[1]节奏总纲!O15</f>
        <v>12</v>
      </c>
      <c r="P15" s="6">
        <f>[1]节奏总纲!P15</f>
        <v>1.2973967099940702</v>
      </c>
      <c r="Q15" s="6">
        <f>[1]节奏总纲!Q15</f>
        <v>1.1126474184909145</v>
      </c>
      <c r="R15" s="6">
        <f>[1]节奏总纲!R15</f>
        <v>0.9058423829178599</v>
      </c>
      <c r="S15" s="6">
        <f>[1]节奏总纲!S15</f>
        <v>0.66219128078097333</v>
      </c>
      <c r="T15" s="6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  <c r="BI15" s="4">
        <v>12</v>
      </c>
      <c r="BJ15" s="4">
        <f>求节点($AL$4:$AL$83,AM$4:AM$83,('[1]功能-城建'!$BE17+'[1]功能-城建'!$BZ17)/2)</f>
        <v>50.096872126566154</v>
      </c>
      <c r="BK15" s="4">
        <f>求节点($AL$4:$AL$83,AN$4:AN$83,('[1]功能-城建'!$BE17+'[1]功能-城建'!$BZ17)/2)</f>
        <v>40.077497701252923</v>
      </c>
      <c r="BL15" s="4">
        <f>求节点($AL$4:$AL$83,AO$4:AO$83,('[1]功能-城建'!$BE17+'[1]功能-城建'!$BZ17)/2)</f>
        <v>30.058123275939693</v>
      </c>
      <c r="BM15" s="4">
        <f>求节点($AL$4:$AL$83,AP$4:AP$83,('[1]功能-城建'!$BE17+'[1]功能-城建'!$BZ17)/2)</f>
        <v>20.038748850626462</v>
      </c>
      <c r="BN15" s="4">
        <f>求节点($AL$4:$AL$83,AQ$4:AQ$83,('[1]功能-城建'!$BE17+'[1]功能-城建'!$BZ17)/2)</f>
        <v>10.019374425313231</v>
      </c>
      <c r="BR15" s="4">
        <v>12</v>
      </c>
      <c r="BS15" s="4">
        <f>'[1]功能-城建'!O17</f>
        <v>4</v>
      </c>
      <c r="BT15" s="4">
        <f>'[1]功能-城建'!P17</f>
        <v>4</v>
      </c>
      <c r="BU15" s="4">
        <f>'[1]功能-城建'!Q17</f>
        <v>4</v>
      </c>
      <c r="BV15" s="4">
        <f>'[1]功能-城建'!R17</f>
        <v>4</v>
      </c>
      <c r="BW15" s="4">
        <f t="shared" si="0"/>
        <v>16</v>
      </c>
    </row>
    <row r="16" spans="2:75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4">
        <f>[1]节奏总纲!K16</f>
        <v>0.57999999999999996</v>
      </c>
      <c r="N16" s="4">
        <f>[1]节奏总纲!N16</f>
        <v>23</v>
      </c>
      <c r="O16" s="4">
        <f>[1]节奏总纲!O16</f>
        <v>13</v>
      </c>
      <c r="P16" s="6">
        <f>[1]节奏总纲!P16</f>
        <v>1.4622888266898326</v>
      </c>
      <c r="Q16" s="6">
        <f>[1]节奏总纲!Q16</f>
        <v>1.2628326307293396</v>
      </c>
      <c r="R16" s="6">
        <f>[1]节奏总纲!R16</f>
        <v>1.0294513339896421</v>
      </c>
      <c r="S16" s="6">
        <f>[1]节奏总纲!S16</f>
        <v>0.75556463675063656</v>
      </c>
      <c r="T16" s="6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  <c r="BI16" s="4">
        <v>13</v>
      </c>
      <c r="BJ16" s="4">
        <f>求节点($AL$4:$AL$83,AM$4:AM$83,('[1]功能-城建'!$BE18+'[1]功能-城建'!$BZ18)/2)</f>
        <v>63.5</v>
      </c>
      <c r="BK16" s="4">
        <f>求节点($AL$4:$AL$83,AN$4:AN$83,('[1]功能-城建'!$BE18+'[1]功能-城建'!$BZ18)/2)</f>
        <v>50.800000000000004</v>
      </c>
      <c r="BL16" s="4">
        <f>求节点($AL$4:$AL$83,AO$4:AO$83,('[1]功能-城建'!$BE18+'[1]功能-城建'!$BZ18)/2)</f>
        <v>38.1</v>
      </c>
      <c r="BM16" s="4">
        <f>求节点($AL$4:$AL$83,AP$4:AP$83,('[1]功能-城建'!$BE18+'[1]功能-城建'!$BZ18)/2)</f>
        <v>25.400000000000002</v>
      </c>
      <c r="BN16" s="4">
        <f>求节点($AL$4:$AL$83,AQ$4:AQ$83,('[1]功能-城建'!$BE18+'[1]功能-城建'!$BZ18)/2)</f>
        <v>12.700000000000001</v>
      </c>
      <c r="BR16" s="4">
        <v>13</v>
      </c>
      <c r="BS16" s="4">
        <f>'[1]功能-城建'!O18</f>
        <v>4</v>
      </c>
      <c r="BT16" s="4">
        <f>'[1]功能-城建'!P18</f>
        <v>4</v>
      </c>
      <c r="BU16" s="4">
        <f>'[1]功能-城建'!Q18</f>
        <v>4</v>
      </c>
      <c r="BV16" s="4">
        <f>'[1]功能-城建'!R18</f>
        <v>4</v>
      </c>
      <c r="BW16" s="4">
        <f t="shared" si="0"/>
        <v>16</v>
      </c>
    </row>
    <row r="17" spans="2:75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4">
        <f>[1]节奏总纲!K17</f>
        <v>0.6</v>
      </c>
      <c r="N17" s="4">
        <f>[1]节奏总纲!N17</f>
        <v>24</v>
      </c>
      <c r="O17" s="4">
        <f>[1]节奏总纲!O17</f>
        <v>14</v>
      </c>
      <c r="P17" s="6">
        <f>[1]节奏总纲!P17</f>
        <v>1.6390158215457884</v>
      </c>
      <c r="Q17" s="6">
        <f>[1]节奏总纲!Q17</f>
        <v>1.4136511460832426</v>
      </c>
      <c r="R17" s="6">
        <f>[1]节奏总纲!R17</f>
        <v>1.1545227446968533</v>
      </c>
      <c r="S17" s="6">
        <f>[1]节奏总纲!S17</f>
        <v>0.84605996708193598</v>
      </c>
      <c r="T17" s="6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  <c r="BI17" s="4">
        <v>14</v>
      </c>
      <c r="BJ17" s="4">
        <f>求节点($AL$4:$AL$83,AM$4:AM$83,('[1]功能-城建'!$BE19+'[1]功能-城建'!$BZ19)/2)</f>
        <v>79.687169041131426</v>
      </c>
      <c r="BK17" s="4">
        <f>求节点($AL$4:$AL$83,AN$4:AN$83,('[1]功能-城建'!$BE19+'[1]功能-城建'!$BZ19)/2)</f>
        <v>63.749735232905138</v>
      </c>
      <c r="BL17" s="4">
        <f>求节点($AL$4:$AL$83,AO$4:AO$83,('[1]功能-城建'!$BE19+'[1]功能-城建'!$BZ19)/2)</f>
        <v>47.81230142467885</v>
      </c>
      <c r="BM17" s="4">
        <f>求节点($AL$4:$AL$83,AP$4:AP$83,('[1]功能-城建'!$BE19+'[1]功能-城建'!$BZ19)/2)</f>
        <v>31.874867616452569</v>
      </c>
      <c r="BN17" s="4">
        <f>求节点($AL$4:$AL$83,AQ$4:AQ$83,('[1]功能-城建'!$BE19+'[1]功能-城建'!$BZ19)/2)</f>
        <v>15.937433808226285</v>
      </c>
      <c r="BR17" s="4">
        <v>14</v>
      </c>
      <c r="BS17" s="4">
        <f>'[1]功能-城建'!O19</f>
        <v>5</v>
      </c>
      <c r="BT17" s="4">
        <f>'[1]功能-城建'!P19</f>
        <v>5</v>
      </c>
      <c r="BU17" s="4">
        <f>'[1]功能-城建'!Q19</f>
        <v>5</v>
      </c>
      <c r="BV17" s="4">
        <f>'[1]功能-城建'!R19</f>
        <v>5</v>
      </c>
      <c r="BW17" s="4">
        <f t="shared" si="0"/>
        <v>20</v>
      </c>
    </row>
    <row r="18" spans="2:75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4">
        <f>[1]节奏总纲!K18</f>
        <v>0.62</v>
      </c>
      <c r="N18" s="4">
        <f>[1]节奏总纲!N18</f>
        <v>25</v>
      </c>
      <c r="O18" s="4">
        <f>[1]节奏总纲!O18</f>
        <v>15</v>
      </c>
      <c r="P18" s="6">
        <f>[1]节奏总纲!P18</f>
        <v>1.8284271247461898</v>
      </c>
      <c r="Q18" s="6">
        <f>[1]节奏总纲!Q18</f>
        <v>1.5793953503557587</v>
      </c>
      <c r="R18" s="6">
        <f>[1]节奏总纲!R18</f>
        <v>1.2928808199080308</v>
      </c>
      <c r="S18" s="6">
        <f>[1]节奏总纲!S18</f>
        <v>0.94895367774327255</v>
      </c>
      <c r="T18" s="6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  <c r="BI18" s="4">
        <v>15</v>
      </c>
      <c r="BJ18" s="4">
        <f>求节点($AL$4:$AL$83,AM$4:AM$83,('[1]功能-城建'!$BE20+'[1]功能-城建'!$BZ20)/2)</f>
        <v>115.36769098598003</v>
      </c>
      <c r="BK18" s="4">
        <f>求节点($AL$4:$AL$83,AN$4:AN$83,('[1]功能-城建'!$BE20+'[1]功能-城建'!$BZ20)/2)</f>
        <v>92.294152788784032</v>
      </c>
      <c r="BL18" s="4">
        <f>求节点($AL$4:$AL$83,AO$4:AO$83,('[1]功能-城建'!$BE20+'[1]功能-城建'!$BZ20)/2)</f>
        <v>69.220614591588017</v>
      </c>
      <c r="BM18" s="4">
        <f>求节点($AL$4:$AL$83,AP$4:AP$83,('[1]功能-城建'!$BE20+'[1]功能-城建'!$BZ20)/2)</f>
        <v>46.147076394392016</v>
      </c>
      <c r="BN18" s="4">
        <f>求节点($AL$4:$AL$83,AQ$4:AQ$83,('[1]功能-城建'!$BE20+'[1]功能-城建'!$BZ20)/2)</f>
        <v>23.073538197196008</v>
      </c>
      <c r="BR18" s="4">
        <v>15</v>
      </c>
      <c r="BS18" s="4">
        <f>'[1]功能-城建'!O20</f>
        <v>5</v>
      </c>
      <c r="BT18" s="4">
        <f>'[1]功能-城建'!P20</f>
        <v>5</v>
      </c>
      <c r="BU18" s="4">
        <f>'[1]功能-城建'!Q20</f>
        <v>5</v>
      </c>
      <c r="BV18" s="4">
        <f>'[1]功能-城建'!R20</f>
        <v>5</v>
      </c>
      <c r="BW18" s="4">
        <f t="shared" si="0"/>
        <v>20</v>
      </c>
    </row>
    <row r="19" spans="2:75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4">
        <f>[1]节奏总纲!K19</f>
        <v>0.64</v>
      </c>
      <c r="N19" s="4">
        <f>[1]节奏总纲!N19</f>
        <v>26</v>
      </c>
      <c r="O19" s="4">
        <f>[1]节奏总纲!O19</f>
        <v>16</v>
      </c>
      <c r="P19" s="6">
        <f>[1]节奏总纲!P19</f>
        <v>2.031433133020796</v>
      </c>
      <c r="Q19" s="6">
        <f>[1]节奏总纲!Q19</f>
        <v>1.7586116632561031</v>
      </c>
      <c r="R19" s="6">
        <f>[1]节奏总纲!R19</f>
        <v>1.4398798046851402</v>
      </c>
      <c r="S19" s="6">
        <f>[1]节奏总纲!S19</f>
        <v>1.0618300986299702</v>
      </c>
      <c r="T19" s="6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  <c r="BI19" s="4">
        <v>16</v>
      </c>
      <c r="BJ19" s="4">
        <f>求节点($AL$4:$AL$83,AM$4:AM$83,('[1]功能-城建'!$BE21+'[1]功能-城建'!$BZ21)/2)</f>
        <v>155.32539280599755</v>
      </c>
      <c r="BK19" s="4">
        <f>求节点($AL$4:$AL$83,AN$4:AN$83,('[1]功能-城建'!$BE21+'[1]功能-城建'!$BZ21)/2)</f>
        <v>124.26031424479805</v>
      </c>
      <c r="BL19" s="4">
        <f>求节点($AL$4:$AL$83,AO$4:AO$83,('[1]功能-城建'!$BE21+'[1]功能-城建'!$BZ21)/2)</f>
        <v>93.195235683598526</v>
      </c>
      <c r="BM19" s="4">
        <f>求节点($AL$4:$AL$83,AP$4:AP$83,('[1]功能-城建'!$BE21+'[1]功能-城建'!$BZ21)/2)</f>
        <v>62.130157122399027</v>
      </c>
      <c r="BN19" s="4">
        <f>求节点($AL$4:$AL$83,AQ$4:AQ$83,('[1]功能-城建'!$BE21+'[1]功能-城建'!$BZ21)/2)</f>
        <v>31.065078561199513</v>
      </c>
      <c r="BR19" s="4">
        <v>16</v>
      </c>
      <c r="BS19" s="4">
        <f>'[1]功能-城建'!O21</f>
        <v>6</v>
      </c>
      <c r="BT19" s="4">
        <f>'[1]功能-城建'!P21</f>
        <v>6</v>
      </c>
      <c r="BU19" s="4">
        <f>'[1]功能-城建'!Q21</f>
        <v>6</v>
      </c>
      <c r="BV19" s="4">
        <f>'[1]功能-城建'!R21</f>
        <v>6</v>
      </c>
      <c r="BW19" s="4">
        <f t="shared" si="0"/>
        <v>24</v>
      </c>
    </row>
    <row r="20" spans="2:75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4">
        <f>[1]节奏总纲!K20</f>
        <v>0.66</v>
      </c>
      <c r="N20" s="4">
        <f>[1]节奏总纲!N20</f>
        <v>27</v>
      </c>
      <c r="O20" s="4">
        <f>[1]节奏总纲!O20</f>
        <v>17</v>
      </c>
      <c r="P20" s="6">
        <f>[1]节奏总纲!P20</f>
        <v>2.2490095854249419</v>
      </c>
      <c r="Q20" s="6">
        <f>[1]节奏总纲!Q20</f>
        <v>1.9433691827656923</v>
      </c>
      <c r="R20" s="6">
        <f>[1]节奏总纲!R20</f>
        <v>1.5904995788125189</v>
      </c>
      <c r="S20" s="6">
        <f>[1]节奏总纲!S20</f>
        <v>1.1742079045503622</v>
      </c>
      <c r="T20" s="6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  <c r="BI20" s="4">
        <v>17</v>
      </c>
      <c r="BJ20" s="4">
        <f>求节点($AL$4:$AL$83,AM$4:AM$83,('[1]功能-城建'!$BE22+'[1]功能-城建'!$BZ22)/2)</f>
        <v>194.58873080692649</v>
      </c>
      <c r="BK20" s="4">
        <f>求节点($AL$4:$AL$83,AN$4:AN$83,('[1]功能-城建'!$BE22+'[1]功能-城建'!$BZ22)/2)</f>
        <v>155.67098464554121</v>
      </c>
      <c r="BL20" s="4">
        <f>求节点($AL$4:$AL$83,AO$4:AO$83,('[1]功能-城建'!$BE22+'[1]功能-城建'!$BZ22)/2)</f>
        <v>116.75323848415589</v>
      </c>
      <c r="BM20" s="4">
        <f>求节点($AL$4:$AL$83,AP$4:AP$83,('[1]功能-城建'!$BE22+'[1]功能-城建'!$BZ22)/2)</f>
        <v>77.835492322770605</v>
      </c>
      <c r="BN20" s="4">
        <f>求节点($AL$4:$AL$83,AQ$4:AQ$83,('[1]功能-城建'!$BE22+'[1]功能-城建'!$BZ22)/2)</f>
        <v>38.917746161385303</v>
      </c>
      <c r="BR20" s="4">
        <v>17</v>
      </c>
      <c r="BS20" s="4">
        <f>'[1]功能-城建'!O22</f>
        <v>6</v>
      </c>
      <c r="BT20" s="4">
        <f>'[1]功能-城建'!P22</f>
        <v>6</v>
      </c>
      <c r="BU20" s="4">
        <f>'[1]功能-城建'!Q22</f>
        <v>6</v>
      </c>
      <c r="BV20" s="4">
        <f>'[1]功能-城建'!R22</f>
        <v>6</v>
      </c>
      <c r="BW20" s="4">
        <f t="shared" si="0"/>
        <v>24</v>
      </c>
    </row>
    <row r="21" spans="2:75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4">
        <f>[1]节奏总纲!K21</f>
        <v>0.68</v>
      </c>
      <c r="N21" s="4">
        <f>[1]节奏总纲!N21</f>
        <v>28</v>
      </c>
      <c r="O21" s="4">
        <f>[1]节奏总纲!O21</f>
        <v>18</v>
      </c>
      <c r="P21" s="6">
        <f>[1]节奏总纲!P21</f>
        <v>2.4822022531844965</v>
      </c>
      <c r="Q21" s="6">
        <f>[1]节奏总纲!Q21</f>
        <v>2.1515729130603214</v>
      </c>
      <c r="R21" s="6">
        <f>[1]节奏总纲!R21</f>
        <v>1.7690655458445907</v>
      </c>
      <c r="S21" s="6">
        <f>[1]节奏总纲!S21</f>
        <v>1.3066312660763189</v>
      </c>
      <c r="T21" s="6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  <c r="BI21" s="4">
        <v>18</v>
      </c>
      <c r="BJ21" s="4">
        <f>求节点($AL$4:$AL$83,AM$4:AM$83,('[1]功能-城建'!$BE23+'[1]功能-城建'!$BZ23)/2)</f>
        <v>281.05</v>
      </c>
      <c r="BK21" s="4">
        <f>求节点($AL$4:$AL$83,AN$4:AN$83,('[1]功能-城建'!$BE23+'[1]功能-城建'!$BZ23)/2)</f>
        <v>224.84000000000003</v>
      </c>
      <c r="BL21" s="4">
        <f>求节点($AL$4:$AL$83,AO$4:AO$83,('[1]功能-城建'!$BE23+'[1]功能-城建'!$BZ23)/2)</f>
        <v>168.63</v>
      </c>
      <c r="BM21" s="4">
        <f>求节点($AL$4:$AL$83,AP$4:AP$83,('[1]功能-城建'!$BE23+'[1]功能-城建'!$BZ23)/2)</f>
        <v>112.42000000000002</v>
      </c>
      <c r="BN21" s="4">
        <f>求节点($AL$4:$AL$83,AQ$4:AQ$83,('[1]功能-城建'!$BE23+'[1]功能-城建'!$BZ23)/2)</f>
        <v>56.210000000000008</v>
      </c>
      <c r="BR21" s="4">
        <v>18</v>
      </c>
      <c r="BS21" s="4">
        <f>'[1]功能-城建'!O23</f>
        <v>6</v>
      </c>
      <c r="BT21" s="4">
        <f>'[1]功能-城建'!P23</f>
        <v>6</v>
      </c>
      <c r="BU21" s="4">
        <f>'[1]功能-城建'!Q23</f>
        <v>6</v>
      </c>
      <c r="BV21" s="4">
        <f>'[1]功能-城建'!R23</f>
        <v>6</v>
      </c>
      <c r="BW21" s="4">
        <f t="shared" si="0"/>
        <v>24</v>
      </c>
    </row>
    <row r="22" spans="2:75" x14ac:dyDescent="0.15">
      <c r="B22" s="66" t="s">
        <v>14</v>
      </c>
      <c r="C22" s="66"/>
      <c r="D22" s="66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4">
        <f>[1]节奏总纲!K22</f>
        <v>0.7</v>
      </c>
      <c r="N22" s="4">
        <f>[1]节奏总纲!N22</f>
        <v>29</v>
      </c>
      <c r="O22" s="4">
        <f>[1]节奏总纲!O22</f>
        <v>19</v>
      </c>
      <c r="P22" s="6">
        <f>[1]节奏总纲!P22</f>
        <v>2.7321319661472296</v>
      </c>
      <c r="Q22" s="6">
        <f>[1]节奏总纲!Q22</f>
        <v>2.3734030389920986</v>
      </c>
      <c r="R22" s="6">
        <f>[1]节奏总纲!R22</f>
        <v>1.9510154370257367</v>
      </c>
      <c r="S22" s="6">
        <f>[1]节奏总纲!S22</f>
        <v>1.4395603329629754</v>
      </c>
      <c r="T22" s="6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  <c r="BI22" s="4">
        <v>19</v>
      </c>
      <c r="BJ22" s="4">
        <f>求节点($AL$4:$AL$83,AM$4:AM$83,('[1]功能-城建'!$BE24+'[1]功能-城建'!$BZ24)/2)</f>
        <v>377.76930817680426</v>
      </c>
      <c r="BK22" s="4">
        <f>求节点($AL$4:$AL$83,AN$4:AN$83,('[1]功能-城建'!$BE24+'[1]功能-城建'!$BZ24)/2)</f>
        <v>302.21544654144344</v>
      </c>
      <c r="BL22" s="4">
        <f>求节点($AL$4:$AL$83,AO$4:AO$83,('[1]功能-城建'!$BE24+'[1]功能-城建'!$BZ24)/2)</f>
        <v>226.66158490608254</v>
      </c>
      <c r="BM22" s="4">
        <f>求节点($AL$4:$AL$83,AP$4:AP$83,('[1]功能-城建'!$BE24+'[1]功能-城建'!$BZ24)/2)</f>
        <v>151.10772327072172</v>
      </c>
      <c r="BN22" s="4">
        <f>求节点($AL$4:$AL$83,AQ$4:AQ$83,('[1]功能-城建'!$BE24+'[1]功能-城建'!$BZ24)/2)</f>
        <v>75.55386163536086</v>
      </c>
      <c r="BR22" s="4">
        <v>19</v>
      </c>
      <c r="BS22" s="4">
        <f>'[1]功能-城建'!O24</f>
        <v>6</v>
      </c>
      <c r="BT22" s="4">
        <f>'[1]功能-城建'!P24</f>
        <v>6</v>
      </c>
      <c r="BU22" s="4">
        <f>'[1]功能-城建'!Q24</f>
        <v>6</v>
      </c>
      <c r="BV22" s="4">
        <f>'[1]功能-城建'!R24</f>
        <v>6</v>
      </c>
      <c r="BW22" s="4">
        <f t="shared" si="0"/>
        <v>24</v>
      </c>
    </row>
    <row r="23" spans="2:75" x14ac:dyDescent="0.15">
      <c r="B23" s="4" t="s">
        <v>27</v>
      </c>
      <c r="C23" s="4" t="s">
        <v>15</v>
      </c>
      <c r="D23" s="4" t="s">
        <v>16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4">
        <f>[1]节奏总纲!K23</f>
        <v>0.72</v>
      </c>
      <c r="N23" s="4">
        <f>[1]节奏总纲!N23</f>
        <v>30</v>
      </c>
      <c r="O23" s="4">
        <f>[1]节奏总纲!O23</f>
        <v>20</v>
      </c>
      <c r="P23" s="6">
        <f>[1]节奏总纲!P23</f>
        <v>3</v>
      </c>
      <c r="Q23" s="6">
        <f>[1]节奏总纲!Q23</f>
        <v>2.6036999999999999</v>
      </c>
      <c r="R23" s="6">
        <f>[1]节奏总纲!R23</f>
        <v>2.1372</v>
      </c>
      <c r="S23" s="6">
        <f>[1]节奏总纲!S23</f>
        <v>1.5800999999999998</v>
      </c>
      <c r="T23" s="6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  <c r="BI23" s="4">
        <v>20</v>
      </c>
      <c r="BJ23" s="4">
        <f>求节点($AL$4:$AL$83,AM$4:AM$83,('[1]功能-城建'!$BE25+'[1]功能-城建'!$BZ25)/2)</f>
        <v>507.55295278468168</v>
      </c>
      <c r="BK23" s="4">
        <f>求节点($AL$4:$AL$83,AN$4:AN$83,('[1]功能-城建'!$BE25+'[1]功能-城建'!$BZ25)/2)</f>
        <v>406.04236222774534</v>
      </c>
      <c r="BL23" s="4">
        <f>求节点($AL$4:$AL$83,AO$4:AO$83,('[1]功能-城建'!$BE25+'[1]功能-城建'!$BZ25)/2)</f>
        <v>304.53177167080901</v>
      </c>
      <c r="BM23" s="4">
        <f>求节点($AL$4:$AL$83,AP$4:AP$83,('[1]功能-城建'!$BE25+'[1]功能-城建'!$BZ25)/2)</f>
        <v>203.02118111387267</v>
      </c>
      <c r="BN23" s="4">
        <f>求节点($AL$4:$AL$83,AQ$4:AQ$83,('[1]功能-城建'!$BE25+'[1]功能-城建'!$BZ25)/2)</f>
        <v>101.51059055693634</v>
      </c>
      <c r="BR23" s="4">
        <v>20</v>
      </c>
      <c r="BS23" s="4">
        <f>'[1]功能-城建'!O25</f>
        <v>7</v>
      </c>
      <c r="BT23" s="4">
        <f>'[1]功能-城建'!P25</f>
        <v>7</v>
      </c>
      <c r="BU23" s="4">
        <f>'[1]功能-城建'!Q25</f>
        <v>7</v>
      </c>
      <c r="BV23" s="4">
        <f>'[1]功能-城建'!R25</f>
        <v>7</v>
      </c>
      <c r="BW23" s="4">
        <f t="shared" si="0"/>
        <v>28</v>
      </c>
    </row>
    <row r="24" spans="2:75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4">
        <f>[1]节奏总纲!K24</f>
        <v>0.74</v>
      </c>
      <c r="N24" s="4">
        <f>[1]节奏总纲!N24</f>
        <v>31</v>
      </c>
      <c r="O24" s="4">
        <f>[1]节奏总纲!O24</f>
        <v>21</v>
      </c>
      <c r="P24" s="6">
        <f>[1]节奏总纲!P24</f>
        <v>3.2870938501451725</v>
      </c>
      <c r="Q24" s="6">
        <f>[1]节奏总纲!Q24</f>
        <v>2.8518826243859516</v>
      </c>
      <c r="R24" s="6">
        <f>[1]节奏总纲!R24</f>
        <v>2.3466562996186386</v>
      </c>
      <c r="S24" s="6">
        <f>[1]节奏总纲!S24</f>
        <v>1.7365716810316947</v>
      </c>
      <c r="T24" s="6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  <c r="BI24" s="4">
        <v>21</v>
      </c>
      <c r="BJ24" s="4">
        <f>求节点($AL$4:$AL$83,AM$4:AM$83,('[1]功能-城建'!$BE26+'[1]功能-城建'!$BZ26)/2)</f>
        <v>789.85301886939453</v>
      </c>
      <c r="BK24" s="4">
        <f>求节点($AL$4:$AL$83,AN$4:AN$83,('[1]功能-城建'!$BE26+'[1]功能-城建'!$BZ26)/2)</f>
        <v>631.88241509551563</v>
      </c>
      <c r="BL24" s="4">
        <f>求节点($AL$4:$AL$83,AO$4:AO$83,('[1]功能-城建'!$BE26+'[1]功能-城建'!$BZ26)/2)</f>
        <v>473.91181132163672</v>
      </c>
      <c r="BM24" s="4">
        <f>求节点($AL$4:$AL$83,AP$4:AP$83,('[1]功能-城建'!$BE26+'[1]功能-城建'!$BZ26)/2)</f>
        <v>315.94120754775781</v>
      </c>
      <c r="BN24" s="4">
        <f>求节点($AL$4:$AL$83,AQ$4:AQ$83,('[1]功能-城建'!$BE26+'[1]功能-城建'!$BZ26)/2)</f>
        <v>157.97060377387891</v>
      </c>
      <c r="BR24" s="4">
        <v>21</v>
      </c>
      <c r="BS24" s="4">
        <f>'[1]功能-城建'!O26</f>
        <v>7</v>
      </c>
      <c r="BT24" s="4">
        <f>'[1]功能-城建'!P26</f>
        <v>7</v>
      </c>
      <c r="BU24" s="4">
        <f>'[1]功能-城建'!Q26</f>
        <v>7</v>
      </c>
      <c r="BV24" s="4">
        <f>'[1]功能-城建'!R26</f>
        <v>7</v>
      </c>
      <c r="BW24" s="4">
        <f t="shared" si="0"/>
        <v>28</v>
      </c>
    </row>
    <row r="25" spans="2:75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4">
        <f>[1]节奏总纲!K25</f>
        <v>0.76</v>
      </c>
      <c r="N25" s="4">
        <f>[1]节奏总纲!N25</f>
        <v>32</v>
      </c>
      <c r="O25" s="4">
        <f>[1]节奏总纲!O25</f>
        <v>22</v>
      </c>
      <c r="P25" s="6">
        <f>[1]节奏总纲!P25</f>
        <v>3.5947934199881395</v>
      </c>
      <c r="Q25" s="6">
        <f>[1]节奏总纲!Q25</f>
        <v>3.124234961311692</v>
      </c>
      <c r="R25" s="6">
        <f>[1]节奏总纲!R25</f>
        <v>2.5749505267375046</v>
      </c>
      <c r="S25" s="6">
        <f>[1]节奏总纲!S25</f>
        <v>1.9077568679877055</v>
      </c>
      <c r="T25" s="6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  <c r="BI25" s="4">
        <v>22</v>
      </c>
      <c r="BJ25" s="4">
        <f>求节点($AL$4:$AL$83,AM$4:AM$83,('[1]功能-城建'!$BE27+'[1]功能-城建'!$BZ27)/2)</f>
        <v>1228.2</v>
      </c>
      <c r="BK25" s="4">
        <f>求节点($AL$4:$AL$83,AN$4:AN$83,('[1]功能-城建'!$BE27+'[1]功能-城建'!$BZ27)/2)</f>
        <v>982.56000000000006</v>
      </c>
      <c r="BL25" s="4">
        <f>求节点($AL$4:$AL$83,AO$4:AO$83,('[1]功能-城建'!$BE27+'[1]功能-城建'!$BZ27)/2)</f>
        <v>736.92</v>
      </c>
      <c r="BM25" s="4">
        <f>求节点($AL$4:$AL$83,AP$4:AP$83,('[1]功能-城建'!$BE27+'[1]功能-城建'!$BZ27)/2)</f>
        <v>491.28000000000003</v>
      </c>
      <c r="BN25" s="4">
        <f>求节点($AL$4:$AL$83,AQ$4:AQ$83,('[1]功能-城建'!$BE27+'[1]功能-城建'!$BZ27)/2)</f>
        <v>245.64000000000001</v>
      </c>
      <c r="BR25" s="4">
        <v>22</v>
      </c>
      <c r="BS25" s="4">
        <f>'[1]功能-城建'!O27</f>
        <v>8</v>
      </c>
      <c r="BT25" s="4">
        <f>'[1]功能-城建'!P27</f>
        <v>8</v>
      </c>
      <c r="BU25" s="4">
        <f>'[1]功能-城建'!Q27</f>
        <v>8</v>
      </c>
      <c r="BV25" s="4">
        <f>'[1]功能-城建'!R27</f>
        <v>8</v>
      </c>
      <c r="BW25" s="4">
        <f t="shared" si="0"/>
        <v>32</v>
      </c>
    </row>
    <row r="26" spans="2:75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4">
        <f>[1]节奏总纲!K26</f>
        <v>0.78</v>
      </c>
      <c r="N26" s="4">
        <f>[1]节奏总纲!N26</f>
        <v>33</v>
      </c>
      <c r="O26" s="4">
        <f>[1]节奏总纲!O26</f>
        <v>23</v>
      </c>
      <c r="P26" s="6">
        <f>[1]节奏总纲!P26</f>
        <v>3.9245776533796644</v>
      </c>
      <c r="Q26" s="6">
        <f>[1]节奏总纲!Q26</f>
        <v>3.4081032341949005</v>
      </c>
      <c r="R26" s="6">
        <f>[1]节奏总纲!R26</f>
        <v>2.8064654799317976</v>
      </c>
      <c r="S26" s="6">
        <f>[1]节奏总纲!S26</f>
        <v>2.0796336985258841</v>
      </c>
      <c r="T26" s="6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  <c r="BI26" s="4">
        <v>23</v>
      </c>
      <c r="BJ26" s="4">
        <f>求节点($AL$4:$AL$83,AM$4:AM$83,('[1]功能-城建'!$BE28+'[1]功能-城建'!$BZ28)/2)</f>
        <v>1908.4603298511749</v>
      </c>
      <c r="BK26" s="4">
        <f>求节点($AL$4:$AL$83,AN$4:AN$83,('[1]功能-城建'!$BE28+'[1]功能-城建'!$BZ28)/2)</f>
        <v>1526.7682638809401</v>
      </c>
      <c r="BL26" s="4">
        <f>求节点($AL$4:$AL$83,AO$4:AO$83,('[1]功能-城建'!$BE28+'[1]功能-城建'!$BZ28)/2)</f>
        <v>1145.0761979107049</v>
      </c>
      <c r="BM26" s="4">
        <f>求节点($AL$4:$AL$83,AP$4:AP$83,('[1]功能-城建'!$BE28+'[1]功能-城建'!$BZ28)/2)</f>
        <v>763.38413194047007</v>
      </c>
      <c r="BN26" s="4">
        <f>求节点($AL$4:$AL$83,AQ$4:AQ$83,('[1]功能-城建'!$BE28+'[1]功能-城建'!$BZ28)/2)</f>
        <v>381.69206597023503</v>
      </c>
      <c r="BR26" s="4">
        <v>23</v>
      </c>
      <c r="BS26" s="4">
        <f>'[1]功能-城建'!O28</f>
        <v>8</v>
      </c>
      <c r="BT26" s="4">
        <f>'[1]功能-城建'!P28</f>
        <v>8</v>
      </c>
      <c r="BU26" s="4">
        <f>'[1]功能-城建'!Q28</f>
        <v>8</v>
      </c>
      <c r="BV26" s="4">
        <f>'[1]功能-城建'!R28</f>
        <v>8</v>
      </c>
      <c r="BW26" s="4">
        <f t="shared" si="0"/>
        <v>32</v>
      </c>
    </row>
    <row r="27" spans="2:75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4">
        <f>[1]节奏总纲!K27</f>
        <v>0.8</v>
      </c>
      <c r="N27" s="4">
        <f>[1]节奏总纲!N27</f>
        <v>34</v>
      </c>
      <c r="O27" s="4">
        <f>[1]节奏总纲!O27</f>
        <v>24</v>
      </c>
      <c r="P27" s="6">
        <f>[1]节奏总纲!P27</f>
        <v>4.2780316430915768</v>
      </c>
      <c r="Q27" s="6">
        <f>[1]节奏总纲!Q27</f>
        <v>3.7214597263253628</v>
      </c>
      <c r="R27" s="6">
        <f>[1]节奏总纲!R27</f>
        <v>3.0699155070825155</v>
      </c>
      <c r="S27" s="6">
        <f>[1]节奏总纲!S27</f>
        <v>2.2742016214674821</v>
      </c>
      <c r="T27" s="6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  <c r="BI27" s="4">
        <v>24</v>
      </c>
      <c r="BJ27" s="4">
        <f>求节点($AL$4:$AL$83,AM$4:AM$83,('[1]功能-城建'!$BE29+'[1]功能-城建'!$BZ29)/2)</f>
        <v>2963.5631311027469</v>
      </c>
      <c r="BK27" s="4">
        <f>求节点($AL$4:$AL$83,AN$4:AN$83,('[1]功能-城建'!$BE29+'[1]功能-城建'!$BZ29)/2)</f>
        <v>2370.8505048821976</v>
      </c>
      <c r="BL27" s="4">
        <f>求节点($AL$4:$AL$83,AO$4:AO$83,('[1]功能-城建'!$BE29+'[1]功能-城建'!$BZ29)/2)</f>
        <v>1778.1378786616481</v>
      </c>
      <c r="BM27" s="4">
        <f>求节点($AL$4:$AL$83,AP$4:AP$83,('[1]功能-城建'!$BE29+'[1]功能-城建'!$BZ29)/2)</f>
        <v>1185.4252524410988</v>
      </c>
      <c r="BN27" s="4">
        <f>求节点($AL$4:$AL$83,AQ$4:AQ$83,('[1]功能-城建'!$BE29+'[1]功能-城建'!$BZ29)/2)</f>
        <v>592.7126262205494</v>
      </c>
      <c r="BR27" s="4">
        <v>24</v>
      </c>
      <c r="BS27" s="4">
        <f>'[1]功能-城建'!O29</f>
        <v>9</v>
      </c>
      <c r="BT27" s="4">
        <f>'[1]功能-城建'!P29</f>
        <v>9</v>
      </c>
      <c r="BU27" s="4">
        <f>'[1]功能-城建'!Q29</f>
        <v>9</v>
      </c>
      <c r="BV27" s="4">
        <f>'[1]功能-城建'!R29</f>
        <v>9</v>
      </c>
      <c r="BW27" s="4">
        <f t="shared" si="0"/>
        <v>36</v>
      </c>
    </row>
    <row r="28" spans="2:75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4">
        <f>[1]节奏总纲!K28</f>
        <v>0.82</v>
      </c>
      <c r="N28" s="4">
        <f>[1]节奏总纲!N28</f>
        <v>35</v>
      </c>
      <c r="O28" s="4">
        <f>[1]节奏总纲!O28</f>
        <v>25</v>
      </c>
      <c r="P28" s="6">
        <f>[1]节奏总纲!P28</f>
        <v>4.6568542494923806</v>
      </c>
      <c r="Q28" s="6">
        <f>[1]节奏总纲!Q28</f>
        <v>4.054257309608067</v>
      </c>
      <c r="R28" s="6">
        <f>[1]节奏总纲!R28</f>
        <v>3.3445527219854276</v>
      </c>
      <c r="S28" s="6">
        <f>[1]节奏总纲!S28</f>
        <v>2.478377831579845</v>
      </c>
      <c r="T28" s="6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  <c r="BI28" s="4">
        <v>25</v>
      </c>
      <c r="BJ28" s="4">
        <f>求节点($AL$4:$AL$83,AM$4:AM$83,('[1]功能-城建'!$BE30+'[1]功能-城建'!$BZ30)/2)</f>
        <v>4599.2048883665893</v>
      </c>
      <c r="BK28" s="4">
        <f>求节点($AL$4:$AL$83,AN$4:AN$83,('[1]功能-城建'!$BE30+'[1]功能-城建'!$BZ30)/2)</f>
        <v>3679.3639106932715</v>
      </c>
      <c r="BL28" s="4">
        <f>求节点($AL$4:$AL$83,AO$4:AO$83,('[1]功能-城建'!$BE30+'[1]功能-城建'!$BZ30)/2)</f>
        <v>2759.5229330199536</v>
      </c>
      <c r="BM28" s="4">
        <f>求节点($AL$4:$AL$83,AP$4:AP$83,('[1]功能-城建'!$BE30+'[1]功能-城建'!$BZ30)/2)</f>
        <v>1839.6819553466357</v>
      </c>
      <c r="BN28" s="4">
        <f>求节点($AL$4:$AL$83,AQ$4:AQ$83,('[1]功能-城建'!$BE30+'[1]功能-城建'!$BZ30)/2)</f>
        <v>919.84097767331787</v>
      </c>
      <c r="BR28" s="4">
        <v>25</v>
      </c>
      <c r="BS28" s="4">
        <f>'[1]功能-城建'!O30</f>
        <v>9</v>
      </c>
      <c r="BT28" s="4">
        <f>'[1]功能-城建'!P30</f>
        <v>9</v>
      </c>
      <c r="BU28" s="4">
        <f>'[1]功能-城建'!Q30</f>
        <v>9</v>
      </c>
      <c r="BV28" s="4">
        <f>'[1]功能-城建'!R30</f>
        <v>9</v>
      </c>
      <c r="BW28" s="4">
        <f t="shared" si="0"/>
        <v>36</v>
      </c>
    </row>
    <row r="29" spans="2:75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4">
        <f>[1]节奏总纲!K29</f>
        <v>0.84</v>
      </c>
      <c r="N29" s="4">
        <f>[1]节奏总纲!N29</f>
        <v>36</v>
      </c>
      <c r="O29" s="4">
        <f>[1]节奏总纲!O29</f>
        <v>26</v>
      </c>
      <c r="P29" s="6">
        <f>[1]节奏总纲!P29</f>
        <v>5.062866266041592</v>
      </c>
      <c r="Q29" s="6">
        <f>[1]节奏总纲!Q29</f>
        <v>4.408743944469018</v>
      </c>
      <c r="R29" s="6">
        <f>[1]节奏总纲!R29</f>
        <v>3.63716312552428</v>
      </c>
      <c r="S29" s="6">
        <f>[1]节奏总纲!S29</f>
        <v>2.6914197070277099</v>
      </c>
      <c r="T29" s="6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  <c r="BI29" s="4">
        <v>26</v>
      </c>
      <c r="BJ29" s="4">
        <f>求节点($AL$4:$AL$83,AM$4:AM$83,('[1]功能-城建'!$BE31+'[1]功能-城建'!$BZ31)/2)</f>
        <v>7133.5498113340191</v>
      </c>
      <c r="BK29" s="4">
        <f>求节点($AL$4:$AL$83,AN$4:AN$83,('[1]功能-城建'!$BE31+'[1]功能-城建'!$BZ31)/2)</f>
        <v>5706.8398490672153</v>
      </c>
      <c r="BL29" s="4">
        <f>求节点($AL$4:$AL$83,AO$4:AO$83,('[1]功能-城建'!$BE31+'[1]功能-城建'!$BZ31)/2)</f>
        <v>4280.1298868004114</v>
      </c>
      <c r="BM29" s="4">
        <f>求节点($AL$4:$AL$83,AP$4:AP$83,('[1]功能-城建'!$BE31+'[1]功能-城建'!$BZ31)/2)</f>
        <v>2853.4199245336076</v>
      </c>
      <c r="BN29" s="4">
        <f>求节点($AL$4:$AL$83,AQ$4:AQ$83,('[1]功能-城建'!$BE31+'[1]功能-城建'!$BZ31)/2)</f>
        <v>1426.7099622668038</v>
      </c>
      <c r="BR29" s="4">
        <v>26</v>
      </c>
      <c r="BS29" s="4">
        <f>'[1]功能-城建'!O31</f>
        <v>9</v>
      </c>
      <c r="BT29" s="4">
        <f>'[1]功能-城建'!P31</f>
        <v>9</v>
      </c>
      <c r="BU29" s="4">
        <f>'[1]功能-城建'!Q31</f>
        <v>9</v>
      </c>
      <c r="BV29" s="4">
        <f>'[1]功能-城建'!R31</f>
        <v>9</v>
      </c>
      <c r="BW29" s="4">
        <f t="shared" si="0"/>
        <v>36</v>
      </c>
    </row>
    <row r="30" spans="2:75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4">
        <f>[1]节奏总纲!K30</f>
        <v>0.86</v>
      </c>
      <c r="N30" s="4">
        <f>[1]节奏总纲!N30</f>
        <v>37</v>
      </c>
      <c r="O30" s="4">
        <f>[1]节奏总纲!O30</f>
        <v>27</v>
      </c>
      <c r="P30" s="6">
        <f>[1]节奏总纲!P30</f>
        <v>5.4980191708498847</v>
      </c>
      <c r="Q30" s="6">
        <f>[1]节奏总纲!Q30</f>
        <v>4.7882248958931646</v>
      </c>
      <c r="R30" s="6">
        <f>[1]节奏总纲!R30</f>
        <v>3.9492271704214725</v>
      </c>
      <c r="S30" s="6">
        <f>[1]节奏总纲!S30</f>
        <v>2.9205477835554587</v>
      </c>
      <c r="T30" s="6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  <c r="BI30" s="4">
        <v>27</v>
      </c>
      <c r="BJ30" s="4">
        <f>求节点($AL$4:$AL$83,AM$4:AM$83,('[1]功能-城建'!$BE32+'[1]功能-城建'!$BZ32)/2)</f>
        <v>11058.525000000001</v>
      </c>
      <c r="BK30" s="4">
        <f>求节点($AL$4:$AL$83,AN$4:AN$83,('[1]功能-城建'!$BE32+'[1]功能-城建'!$BZ32)/2)</f>
        <v>8846.8200000000015</v>
      </c>
      <c r="BL30" s="4">
        <f>求节点($AL$4:$AL$83,AO$4:AO$83,('[1]功能-城建'!$BE32+'[1]功能-城建'!$BZ32)/2)</f>
        <v>6635.1150000000007</v>
      </c>
      <c r="BM30" s="4">
        <f>求节点($AL$4:$AL$83,AP$4:AP$83,('[1]功能-城建'!$BE32+'[1]功能-城建'!$BZ32)/2)</f>
        <v>4423.4100000000008</v>
      </c>
      <c r="BN30" s="4">
        <f>求节点($AL$4:$AL$83,AQ$4:AQ$83,('[1]功能-城建'!$BE32+'[1]功能-城建'!$BZ32)/2)</f>
        <v>2211.7050000000004</v>
      </c>
      <c r="BR30" s="4">
        <v>27</v>
      </c>
      <c r="BS30" s="4">
        <f>'[1]功能-城建'!O32</f>
        <v>9</v>
      </c>
      <c r="BT30" s="4">
        <f>'[1]功能-城建'!P32</f>
        <v>9</v>
      </c>
      <c r="BU30" s="4">
        <f>'[1]功能-城建'!Q32</f>
        <v>9</v>
      </c>
      <c r="BV30" s="4">
        <f>'[1]功能-城建'!R32</f>
        <v>9</v>
      </c>
      <c r="BW30" s="4">
        <f t="shared" si="0"/>
        <v>36</v>
      </c>
    </row>
    <row r="31" spans="2:75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4">
        <f>[1]节奏总纲!K31</f>
        <v>0.88</v>
      </c>
      <c r="N31" s="4">
        <f>[1]节奏总纲!N31</f>
        <v>38</v>
      </c>
      <c r="O31" s="4">
        <f>[1]节奏总纲!O31</f>
        <v>28</v>
      </c>
      <c r="P31" s="6">
        <f>[1]节奏总纲!P31</f>
        <v>5.9644045063689921</v>
      </c>
      <c r="Q31" s="6">
        <f>[1]节奏总纲!Q31</f>
        <v>5.1914176823435705</v>
      </c>
      <c r="R31" s="6">
        <f>[1]节奏总纲!R31</f>
        <v>4.2752851501652938</v>
      </c>
      <c r="S31" s="6">
        <f>[1]节奏总纲!S31</f>
        <v>3.1653094715300236</v>
      </c>
      <c r="T31" s="6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  <c r="BI31" s="4">
        <v>28</v>
      </c>
      <c r="BJ31" s="4">
        <f>求节点($AL$4:$AL$83,AM$4:AM$83,('[1]功能-城建'!$BE33+'[1]功能-城建'!$BZ33)/2)</f>
        <v>17134.425155737379</v>
      </c>
      <c r="BK31" s="4">
        <f>求节点($AL$4:$AL$83,AN$4:AN$83,('[1]功能-城建'!$BE33+'[1]功能-城建'!$BZ33)/2)</f>
        <v>13707.540124589905</v>
      </c>
      <c r="BL31" s="4">
        <f>求节点($AL$4:$AL$83,AO$4:AO$83,('[1]功能-城建'!$BE33+'[1]功能-城建'!$BZ33)/2)</f>
        <v>10280.655093442427</v>
      </c>
      <c r="BM31" s="4">
        <f>求节点($AL$4:$AL$83,AP$4:AP$83,('[1]功能-城建'!$BE33+'[1]功能-城建'!$BZ33)/2)</f>
        <v>6853.7700622949524</v>
      </c>
      <c r="BN31" s="4">
        <f>求节点($AL$4:$AL$83,AQ$4:AQ$83,('[1]功能-城建'!$BE33+'[1]功能-城建'!$BZ33)/2)</f>
        <v>3426.8850311474762</v>
      </c>
      <c r="BR31" s="4">
        <v>28</v>
      </c>
      <c r="BS31" s="4">
        <f>'[1]功能-城建'!O33</f>
        <v>10</v>
      </c>
      <c r="BT31" s="4">
        <f>'[1]功能-城建'!P33</f>
        <v>10</v>
      </c>
      <c r="BU31" s="4">
        <f>'[1]功能-城建'!Q33</f>
        <v>10</v>
      </c>
      <c r="BV31" s="4">
        <f>'[1]功能-城建'!R33</f>
        <v>10</v>
      </c>
      <c r="BW31" s="4">
        <f t="shared" si="0"/>
        <v>40</v>
      </c>
    </row>
    <row r="32" spans="2:75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4">
        <f>[1]节奏总纲!K32</f>
        <v>0.9</v>
      </c>
      <c r="N32" s="4">
        <f>[1]节奏总纲!N32</f>
        <v>39</v>
      </c>
      <c r="O32" s="4">
        <f>[1]节奏总纲!O32</f>
        <v>29</v>
      </c>
      <c r="P32" s="6">
        <f>[1]节奏总纲!P32</f>
        <v>6.4642639322944575</v>
      </c>
      <c r="Q32" s="6">
        <f>[1]节奏总纲!Q32</f>
        <v>5.6323131642081607</v>
      </c>
      <c r="R32" s="6">
        <f>[1]节奏总纲!R32</f>
        <v>4.6510378992858623</v>
      </c>
      <c r="S32" s="6">
        <f>[1]节奏总纲!S32</f>
        <v>3.4532097926316991</v>
      </c>
      <c r="T32" s="6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  <c r="BI32" s="4">
        <v>29</v>
      </c>
      <c r="BJ32" s="4">
        <f>求节点($AL$4:$AL$83,AM$4:AM$83,('[1]功能-城建'!$BE34+'[1]功能-城建'!$BZ34)/2)</f>
        <v>26535.88112606269</v>
      </c>
      <c r="BK32" s="4">
        <f>求节点($AL$4:$AL$83,AN$4:AN$83,('[1]功能-城建'!$BE34+'[1]功能-城建'!$BZ34)/2)</f>
        <v>21228.704900850153</v>
      </c>
      <c r="BL32" s="4">
        <f>求节点($AL$4:$AL$83,AO$4:AO$83,('[1]功能-城建'!$BE34+'[1]功能-城建'!$BZ34)/2)</f>
        <v>15921.528675637614</v>
      </c>
      <c r="BM32" s="4">
        <f>求节点($AL$4:$AL$83,AP$4:AP$83,('[1]功能-城建'!$BE34+'[1]功能-城建'!$BZ34)/2)</f>
        <v>10614.352450425076</v>
      </c>
      <c r="BN32" s="4">
        <f>求节点($AL$4:$AL$83,AQ$4:AQ$83,('[1]功能-城建'!$BE34+'[1]功能-城建'!$BZ34)/2)</f>
        <v>5307.1762252125382</v>
      </c>
      <c r="BR32" s="4">
        <v>29</v>
      </c>
      <c r="BS32" s="4">
        <f>'[1]功能-城建'!O34</f>
        <v>10</v>
      </c>
      <c r="BT32" s="4">
        <f>'[1]功能-城建'!P34</f>
        <v>10</v>
      </c>
      <c r="BU32" s="4">
        <f>'[1]功能-城建'!Q34</f>
        <v>10</v>
      </c>
      <c r="BV32" s="4">
        <f>'[1]功能-城建'!R34</f>
        <v>10</v>
      </c>
      <c r="BW32" s="4">
        <f t="shared" si="0"/>
        <v>40</v>
      </c>
    </row>
    <row r="33" spans="2:75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4">
        <f>[1]节奏总纲!K33</f>
        <v>0.92</v>
      </c>
      <c r="N33" s="4">
        <f>[1]节奏总纲!N33</f>
        <v>40</v>
      </c>
      <c r="O33" s="4">
        <f>[1]节奏总纲!O33</f>
        <v>30</v>
      </c>
      <c r="P33" s="6">
        <f>[1]节奏总纲!P33</f>
        <v>7</v>
      </c>
      <c r="Q33" s="6">
        <f>[1]节奏总纲!Q33</f>
        <v>6.1025999999999998</v>
      </c>
      <c r="R33" s="6">
        <f>[1]节奏总纲!R33</f>
        <v>5.0421000000000005</v>
      </c>
      <c r="S33" s="6">
        <f>[1]节奏总纲!S33</f>
        <v>3.7428999999999997</v>
      </c>
      <c r="T33" s="6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  <c r="BI33" s="4">
        <v>30</v>
      </c>
      <c r="BJ33" s="4">
        <f>求节点($AL$4:$AL$83,AM$4:AM$83,('[1]功能-城建'!$BE35+'[1]功能-城建'!$BZ35)/2)</f>
        <v>41077.009235645834</v>
      </c>
      <c r="BK33" s="4">
        <f>求节点($AL$4:$AL$83,AN$4:AN$83,('[1]功能-城建'!$BE35+'[1]功能-城建'!$BZ35)/2)</f>
        <v>32861.60738851667</v>
      </c>
      <c r="BL33" s="4">
        <f>求节点($AL$4:$AL$83,AO$4:AO$83,('[1]功能-城建'!$BE35+'[1]功能-城建'!$BZ35)/2)</f>
        <v>24646.205541387499</v>
      </c>
      <c r="BM33" s="4">
        <f>求节点($AL$4:$AL$83,AP$4:AP$83,('[1]功能-城建'!$BE35+'[1]功能-城建'!$BZ35)/2)</f>
        <v>16430.803694258335</v>
      </c>
      <c r="BN33" s="4">
        <f>求节点($AL$4:$AL$83,AQ$4:AQ$83,('[1]功能-城建'!$BE35+'[1]功能-城建'!$BZ35)/2)</f>
        <v>8215.4018471291674</v>
      </c>
      <c r="BR33" s="4">
        <v>30</v>
      </c>
      <c r="BS33" s="4">
        <f>'[1]功能-城建'!O35</f>
        <v>11</v>
      </c>
      <c r="BT33" s="4">
        <f>'[1]功能-城建'!P35</f>
        <v>11</v>
      </c>
      <c r="BU33" s="4">
        <f>'[1]功能-城建'!Q35</f>
        <v>11</v>
      </c>
      <c r="BV33" s="4">
        <f>'[1]功能-城建'!R35</f>
        <v>11</v>
      </c>
      <c r="BW33" s="4">
        <f t="shared" si="0"/>
        <v>44</v>
      </c>
    </row>
    <row r="34" spans="2:75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4">
        <f>[1]节奏总纲!K34</f>
        <v>0.94</v>
      </c>
      <c r="N34" s="4">
        <f>[1]节奏总纲!N34</f>
        <v>41</v>
      </c>
      <c r="O34" s="4">
        <f>[1]节奏总纲!O34</f>
        <v>31</v>
      </c>
      <c r="P34" s="6">
        <f>[1]节奏总纲!P34</f>
        <v>7.5741877002903433</v>
      </c>
      <c r="Q34" s="6">
        <f>[1]节奏总纲!Q34</f>
        <v>6.6115084435834408</v>
      </c>
      <c r="R34" s="6">
        <f>[1]节奏总纲!R34</f>
        <v>5.4632615882194253</v>
      </c>
      <c r="S34" s="6">
        <f>[1]节奏总纲!S34</f>
        <v>4.052190419655334</v>
      </c>
      <c r="T34" s="6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  <c r="BR34" s="4">
        <v>31</v>
      </c>
      <c r="BS34" s="4">
        <f>'[1]功能-城建'!O36</f>
        <v>11</v>
      </c>
      <c r="BT34" s="4">
        <f>'[1]功能-城建'!P36</f>
        <v>11</v>
      </c>
      <c r="BU34" s="4">
        <f>'[1]功能-城建'!Q36</f>
        <v>11</v>
      </c>
      <c r="BV34" s="4">
        <f>'[1]功能-城建'!R36</f>
        <v>11</v>
      </c>
      <c r="BW34" s="4">
        <f t="shared" si="0"/>
        <v>44</v>
      </c>
    </row>
    <row r="35" spans="2:75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4">
        <f>[1]节奏总纲!K35</f>
        <v>0.96</v>
      </c>
      <c r="N35" s="4">
        <f>[1]节奏总纲!N35</f>
        <v>42</v>
      </c>
      <c r="O35" s="4">
        <f>[1]节奏总纲!O35</f>
        <v>32</v>
      </c>
      <c r="P35" s="6">
        <f>[1]节奏总纲!P35</f>
        <v>8.189586839976279</v>
      </c>
      <c r="Q35" s="6">
        <f>[1]节奏总纲!Q35</f>
        <v>7.1519661873512845</v>
      </c>
      <c r="R35" s="6">
        <f>[1]节奏总纲!R35</f>
        <v>5.906330028990892</v>
      </c>
      <c r="S35" s="6">
        <f>[1]节奏总纲!S35</f>
        <v>4.3855237528072974</v>
      </c>
      <c r="T35" s="6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  <c r="BR35" s="4">
        <v>32</v>
      </c>
      <c r="BS35" s="4">
        <f>'[1]功能-城建'!O37</f>
        <v>11</v>
      </c>
      <c r="BT35" s="4">
        <f>'[1]功能-城建'!P37</f>
        <v>11</v>
      </c>
      <c r="BU35" s="4">
        <f>'[1]功能-城建'!Q37</f>
        <v>11</v>
      </c>
      <c r="BV35" s="4">
        <f>'[1]功能-城建'!R37</f>
        <v>11</v>
      </c>
      <c r="BW35" s="4">
        <f t="shared" si="0"/>
        <v>44</v>
      </c>
    </row>
    <row r="36" spans="2:75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4">
        <f>[1]节奏总纲!K36</f>
        <v>0.98</v>
      </c>
      <c r="N36" s="4">
        <f>[1]节奏总纲!N36</f>
        <v>43</v>
      </c>
      <c r="O36" s="4">
        <f>[1]节奏总纲!O36</f>
        <v>33</v>
      </c>
      <c r="P36" s="6">
        <f>[1]节奏总纲!P36</f>
        <v>8.8491553067593287</v>
      </c>
      <c r="Q36" s="6">
        <f>[1]节奏总纲!Q36</f>
        <v>7.7120388498407557</v>
      </c>
      <c r="R36" s="6">
        <f>[1]节奏总纲!R36</f>
        <v>6.3696219898053652</v>
      </c>
      <c r="S36" s="6">
        <f>[1]节奏总纲!S36</f>
        <v>4.736067920177593</v>
      </c>
      <c r="T36" s="6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  <c r="BR36" s="4">
        <v>33</v>
      </c>
      <c r="BS36" s="4">
        <f>'[1]功能-城建'!O38</f>
        <v>12</v>
      </c>
      <c r="BT36" s="4">
        <f>'[1]功能-城建'!P38</f>
        <v>12</v>
      </c>
      <c r="BU36" s="4">
        <f>'[1]功能-城建'!Q38</f>
        <v>12</v>
      </c>
      <c r="BV36" s="4">
        <f>'[1]功能-城建'!R38</f>
        <v>12</v>
      </c>
      <c r="BW36" s="4">
        <f t="shared" si="0"/>
        <v>48</v>
      </c>
    </row>
    <row r="37" spans="2:75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4">
        <f>[1]节奏总纲!K37</f>
        <v>1</v>
      </c>
      <c r="N37" s="4">
        <f>[1]节奏总纲!N37</f>
        <v>44</v>
      </c>
      <c r="O37" s="4">
        <f>[1]节奏总纲!O37</f>
        <v>34</v>
      </c>
      <c r="P37" s="6">
        <f>[1]节奏总纲!P37</f>
        <v>9.5560632861831518</v>
      </c>
      <c r="Q37" s="6">
        <f>[1]节奏总纲!Q37</f>
        <v>8.3309759728944712</v>
      </c>
      <c r="R37" s="6">
        <f>[1]节奏总纲!R37</f>
        <v>6.8918328419952886</v>
      </c>
      <c r="S37" s="6">
        <f>[1]节奏总纲!S37</f>
        <v>5.1287391656944967</v>
      </c>
      <c r="T37" s="6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  <c r="BR37" s="4">
        <v>34</v>
      </c>
      <c r="BS37" s="4">
        <f>'[1]功能-城建'!O39</f>
        <v>12</v>
      </c>
      <c r="BT37" s="4">
        <f>'[1]功能-城建'!P39</f>
        <v>12</v>
      </c>
      <c r="BU37" s="4">
        <f>'[1]功能-城建'!Q39</f>
        <v>12</v>
      </c>
      <c r="BV37" s="4">
        <f>'[1]功能-城建'!R39</f>
        <v>12</v>
      </c>
      <c r="BW37" s="4">
        <f t="shared" si="0"/>
        <v>48</v>
      </c>
    </row>
    <row r="38" spans="2:75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4">
        <f>[1]节奏总纲!K38</f>
        <v>1.01</v>
      </c>
      <c r="N38" s="4">
        <f>[1]节奏总纲!N38</f>
        <v>45</v>
      </c>
      <c r="O38" s="4">
        <f>[1]节奏总纲!O38</f>
        <v>35</v>
      </c>
      <c r="P38" s="6">
        <f>[1]节奏总纲!P38</f>
        <v>10.313708498984759</v>
      </c>
      <c r="Q38" s="6">
        <f>[1]节奏总纲!Q38</f>
        <v>9.0048988904635934</v>
      </c>
      <c r="R38" s="6">
        <f>[1]节奏总纲!R38</f>
        <v>7.4547485030661838</v>
      </c>
      <c r="S38" s="6">
        <f>[1]节奏总纲!S38</f>
        <v>5.5405242056546129</v>
      </c>
      <c r="T38" s="6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  <c r="BJ38" s="66" t="s">
        <v>33</v>
      </c>
      <c r="BK38" s="66"/>
      <c r="BL38" s="66"/>
      <c r="BM38" s="66"/>
      <c r="BN38" s="66"/>
      <c r="BR38" s="4">
        <v>35</v>
      </c>
      <c r="BS38" s="4">
        <f>'[1]功能-城建'!O40</f>
        <v>13</v>
      </c>
      <c r="BT38" s="4">
        <f>'[1]功能-城建'!P40</f>
        <v>13</v>
      </c>
      <c r="BU38" s="4">
        <f>'[1]功能-城建'!Q40</f>
        <v>13</v>
      </c>
      <c r="BV38" s="4">
        <f>'[1]功能-城建'!R40</f>
        <v>13</v>
      </c>
      <c r="BW38" s="4">
        <f t="shared" si="0"/>
        <v>52</v>
      </c>
    </row>
    <row r="39" spans="2:75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4">
        <f>[1]节奏总纲!K39</f>
        <v>1.02</v>
      </c>
      <c r="N39" s="4">
        <f>[1]节奏总纲!N39</f>
        <v>46</v>
      </c>
      <c r="O39" s="4">
        <f>[1]节奏总纲!O39</f>
        <v>36</v>
      </c>
      <c r="P39" s="6">
        <f>[1]节奏总纲!P39</f>
        <v>11.125732532083184</v>
      </c>
      <c r="Q39" s="6">
        <f>[1]节奏总纲!Q39</f>
        <v>9.7261153795471191</v>
      </c>
      <c r="R39" s="6">
        <f>[1]节奏总纲!R39</f>
        <v>8.0405669009365166</v>
      </c>
      <c r="S39" s="6">
        <f>[1]节奏总纲!S39</f>
        <v>5.9700680767158358</v>
      </c>
      <c r="T39" s="6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  <c r="BI39" s="4" t="s">
        <v>32</v>
      </c>
      <c r="BJ39" s="4" t="s">
        <v>0</v>
      </c>
      <c r="BK39" s="4" t="s">
        <v>3</v>
      </c>
      <c r="BL39" s="4" t="s">
        <v>1</v>
      </c>
      <c r="BM39" s="4" t="s">
        <v>4</v>
      </c>
      <c r="BN39" s="4" t="s">
        <v>2</v>
      </c>
      <c r="BR39" s="4">
        <v>36</v>
      </c>
      <c r="BS39" s="4">
        <f>'[1]功能-城建'!O41</f>
        <v>14</v>
      </c>
      <c r="BT39" s="4">
        <f>'[1]功能-城建'!P41</f>
        <v>14</v>
      </c>
      <c r="BU39" s="4">
        <f>'[1]功能-城建'!Q41</f>
        <v>14</v>
      </c>
      <c r="BV39" s="4">
        <f>'[1]功能-城建'!R41</f>
        <v>14</v>
      </c>
      <c r="BW39" s="4">
        <f t="shared" si="0"/>
        <v>56</v>
      </c>
    </row>
    <row r="40" spans="2:75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4">
        <f>[1]节奏总纲!K40</f>
        <v>1.03</v>
      </c>
      <c r="N40" s="4">
        <f>[1]节奏总纲!N40</f>
        <v>47</v>
      </c>
      <c r="O40" s="4">
        <f>[1]节奏总纲!O40</f>
        <v>37</v>
      </c>
      <c r="P40" s="6">
        <f>[1]节奏总纲!P40</f>
        <v>11.996038341699768</v>
      </c>
      <c r="Q40" s="6">
        <f>[1]节奏总纲!Q40</f>
        <v>10.483337906811427</v>
      </c>
      <c r="R40" s="6">
        <f>[1]节奏总纲!R40</f>
        <v>8.6671377018780831</v>
      </c>
      <c r="S40" s="6">
        <f>[1]节奏总纲!S40</f>
        <v>6.4166809089752066</v>
      </c>
      <c r="T40" s="6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  <c r="BI40" s="4">
        <v>1</v>
      </c>
      <c r="BJ40" s="4">
        <f>求节点($AL$4:$AL$83,AM$4:AM$83,('[1]功能-城建'!$BD6+'[1]功能-城建'!$BY6)/2)</f>
        <v>0.36900698201403348</v>
      </c>
      <c r="BK40" s="4">
        <f>求节点($AL$4:$AL$83,AN$4:AN$83,('[1]功能-城建'!$BD6+'[1]功能-城建'!$BY6)/2)</f>
        <v>0.29520558561122678</v>
      </c>
      <c r="BL40" s="4">
        <f>求节点($AL$4:$AL$83,AO$4:AO$83,('[1]功能-城建'!$BD6+'[1]功能-城建'!$BY6)/2)</f>
        <v>0.22140418920842009</v>
      </c>
      <c r="BM40" s="4">
        <f>求节点($AL$4:$AL$83,AP$4:AP$83,('[1]功能-城建'!$BD6+'[1]功能-城建'!$BY6)/2)</f>
        <v>0.14760279280561339</v>
      </c>
      <c r="BN40" s="4">
        <f>求节点($AL$4:$AL$83,AQ$4:AQ$83,('[1]功能-城建'!$BD6+'[1]功能-城建'!$BY6)/2)</f>
        <v>7.3801396402806696E-2</v>
      </c>
      <c r="BR40" s="4">
        <v>37</v>
      </c>
      <c r="BS40" s="4">
        <f>'[1]功能-城建'!O42</f>
        <v>14</v>
      </c>
      <c r="BT40" s="4">
        <f>'[1]功能-城建'!P42</f>
        <v>14</v>
      </c>
      <c r="BU40" s="4">
        <f>'[1]功能-城建'!Q42</f>
        <v>14</v>
      </c>
      <c r="BV40" s="4">
        <f>'[1]功能-城建'!R42</f>
        <v>14</v>
      </c>
      <c r="BW40" s="4">
        <f t="shared" si="0"/>
        <v>56</v>
      </c>
    </row>
    <row r="41" spans="2:75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4">
        <f>[1]节奏总纲!K41</f>
        <v>1.04</v>
      </c>
      <c r="N41" s="4">
        <f>[1]节奏总纲!N41</f>
        <v>48</v>
      </c>
      <c r="O41" s="4">
        <f>[1]节奏总纲!O41</f>
        <v>38</v>
      </c>
      <c r="P41" s="6">
        <f>[1]节奏总纲!P41</f>
        <v>12.928809012737984</v>
      </c>
      <c r="Q41" s="6">
        <f>[1]节奏总纲!Q41</f>
        <v>11.292021791725356</v>
      </c>
      <c r="R41" s="6">
        <f>[1]节奏总纲!R41</f>
        <v>9.3190855363815395</v>
      </c>
      <c r="S41" s="6">
        <f>[1]节奏总纲!S41</f>
        <v>6.8962267273944402</v>
      </c>
      <c r="T41" s="6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  <c r="BI41" s="4">
        <v>2</v>
      </c>
      <c r="BJ41" s="4">
        <f>求节点($AL$4:$AL$83,AM$4:AM$83,('[1]功能-城建'!$BD7+'[1]功能-城建'!$BY7)/2)</f>
        <v>0.66045325911621711</v>
      </c>
      <c r="BK41" s="4">
        <f>求节点($AL$4:$AL$83,AN$4:AN$83,('[1]功能-城建'!$BD7+'[1]功能-城建'!$BY7)/2)</f>
        <v>0.52836260729297368</v>
      </c>
      <c r="BL41" s="4">
        <f>求节点($AL$4:$AL$83,AO$4:AO$83,('[1]功能-城建'!$BD7+'[1]功能-城建'!$BY7)/2)</f>
        <v>0.39627195546973026</v>
      </c>
      <c r="BM41" s="4">
        <f>求节点($AL$4:$AL$83,AP$4:AP$83,('[1]功能-城建'!$BD7+'[1]功能-城建'!$BY7)/2)</f>
        <v>0.26418130364648684</v>
      </c>
      <c r="BN41" s="4">
        <f>求节点($AL$4:$AL$83,AQ$4:AQ$83,('[1]功能-城建'!$BD7+'[1]功能-城建'!$BY7)/2)</f>
        <v>0.13209065182324342</v>
      </c>
      <c r="BR41" s="4">
        <v>38</v>
      </c>
      <c r="BS41" s="4">
        <f>'[1]功能-城建'!O43</f>
        <v>15</v>
      </c>
      <c r="BT41" s="4">
        <f>'[1]功能-城建'!P43</f>
        <v>15</v>
      </c>
      <c r="BU41" s="4">
        <f>'[1]功能-城建'!Q43</f>
        <v>15</v>
      </c>
      <c r="BV41" s="4">
        <f>'[1]功能-城建'!R43</f>
        <v>15</v>
      </c>
      <c r="BW41" s="4">
        <f t="shared" si="0"/>
        <v>60</v>
      </c>
    </row>
    <row r="42" spans="2:75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4">
        <f>[1]节奏总纲!K42</f>
        <v>1.05</v>
      </c>
      <c r="N42" s="4">
        <f>[1]节奏总纲!N42</f>
        <v>49</v>
      </c>
      <c r="O42" s="4">
        <f>[1]节奏总纲!O42</f>
        <v>39</v>
      </c>
      <c r="P42" s="6">
        <f>[1]节奏总纲!P42</f>
        <v>13.928527864588917</v>
      </c>
      <c r="Q42" s="6">
        <f>[1]节奏总纲!Q42</f>
        <v>12.147069150707994</v>
      </c>
      <c r="R42" s="6">
        <f>[1]节奏总纲!R42</f>
        <v>10.016004387425889</v>
      </c>
      <c r="S42" s="6">
        <f>[1]节奏总纲!S42</f>
        <v>7.4197267934665154</v>
      </c>
      <c r="T42" s="6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  <c r="BI42" s="4">
        <v>3</v>
      </c>
      <c r="BJ42" s="4">
        <f>求节点($AL$4:$AL$83,AM$4:AM$83,('[1]功能-城建'!$BD8+'[1]功能-城建'!$BY8)/2)</f>
        <v>1.0448574164158211</v>
      </c>
      <c r="BK42" s="4">
        <f>求节点($AL$4:$AL$83,AN$4:AN$83,('[1]功能-城建'!$BD8+'[1]功能-城建'!$BY8)/2)</f>
        <v>0.83588593313265691</v>
      </c>
      <c r="BL42" s="4">
        <f>求节点($AL$4:$AL$83,AO$4:AO$83,('[1]功能-城建'!$BD8+'[1]功能-城建'!$BY8)/2)</f>
        <v>0.62691444984949263</v>
      </c>
      <c r="BM42" s="4">
        <f>求节点($AL$4:$AL$83,AP$4:AP$83,('[1]功能-城建'!$BD8+'[1]功能-城建'!$BY8)/2)</f>
        <v>0.41794296656632846</v>
      </c>
      <c r="BN42" s="4">
        <f>求节点($AL$4:$AL$83,AQ$4:AQ$83,('[1]功能-城建'!$BD8+'[1]功能-城建'!$BY8)/2)</f>
        <v>0.20897148328316423</v>
      </c>
      <c r="BR42" s="4">
        <v>39</v>
      </c>
      <c r="BS42" s="4">
        <f>'[1]功能-城建'!O44</f>
        <v>15</v>
      </c>
      <c r="BT42" s="4">
        <f>'[1]功能-城建'!P44</f>
        <v>15</v>
      </c>
      <c r="BU42" s="4">
        <f>'[1]功能-城建'!Q44</f>
        <v>15</v>
      </c>
      <c r="BV42" s="4">
        <f>'[1]功能-城建'!R44</f>
        <v>15</v>
      </c>
      <c r="BW42" s="4">
        <f t="shared" si="0"/>
        <v>60</v>
      </c>
    </row>
    <row r="43" spans="2:75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4">
        <f>[1]节奏总纲!K43</f>
        <v>1.06</v>
      </c>
      <c r="N43" s="4">
        <f>[1]节奏总纲!N43</f>
        <v>50</v>
      </c>
      <c r="O43" s="4">
        <f>[1]节奏总纲!O43</f>
        <v>40</v>
      </c>
      <c r="P43" s="6">
        <f>[1]节奏总纲!P43</f>
        <v>15</v>
      </c>
      <c r="Q43" s="6">
        <f>[1]节奏总纲!Q43</f>
        <v>13.059000000000001</v>
      </c>
      <c r="R43" s="6">
        <f>[1]节奏总纲!R43</f>
        <v>10.782</v>
      </c>
      <c r="S43" s="6">
        <f>[1]节奏总纲!S43</f>
        <v>8.0009999999999994</v>
      </c>
      <c r="T43" s="6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  <c r="BI43" s="4">
        <v>4</v>
      </c>
      <c r="BJ43" s="4">
        <f>求节点($AL$4:$AL$83,AM$4:AM$83,('[1]功能-城建'!$BD9+'[1]功能-城建'!$BY9)/2)</f>
        <v>1.7296773068470075</v>
      </c>
      <c r="BK43" s="4">
        <f>求节点($AL$4:$AL$83,AN$4:AN$83,('[1]功能-城建'!$BD9+'[1]功能-城建'!$BY9)/2)</f>
        <v>1.383741845477606</v>
      </c>
      <c r="BL43" s="4">
        <f>求节点($AL$4:$AL$83,AO$4:AO$83,('[1]功能-城建'!$BD9+'[1]功能-城建'!$BY9)/2)</f>
        <v>1.0378063841082044</v>
      </c>
      <c r="BM43" s="4">
        <f>求节点($AL$4:$AL$83,AP$4:AP$83,('[1]功能-城建'!$BD9+'[1]功能-城建'!$BY9)/2)</f>
        <v>0.69187092273880302</v>
      </c>
      <c r="BN43" s="4">
        <f>求节点($AL$4:$AL$83,AQ$4:AQ$83,('[1]功能-城建'!$BD9+'[1]功能-城建'!$BY9)/2)</f>
        <v>0.34593546136940151</v>
      </c>
      <c r="BR43" s="4">
        <v>40</v>
      </c>
      <c r="BS43" s="4">
        <f>'[1]功能-城建'!O45</f>
        <v>15</v>
      </c>
      <c r="BT43" s="4">
        <f>'[1]功能-城建'!P45</f>
        <v>15</v>
      </c>
      <c r="BU43" s="4">
        <f>'[1]功能-城建'!Q45</f>
        <v>15</v>
      </c>
      <c r="BV43" s="4">
        <f>'[1]功能-城建'!R45</f>
        <v>15</v>
      </c>
      <c r="BW43" s="4">
        <f t="shared" si="0"/>
        <v>60</v>
      </c>
    </row>
    <row r="44" spans="2:75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4">
        <f>[1]节奏总纲!K44</f>
        <v>1.07</v>
      </c>
      <c r="N44" s="4">
        <f>[1]节奏总纲!N44</f>
        <v>51</v>
      </c>
      <c r="O44" s="4">
        <f>[1]节奏总纲!O44</f>
        <v>41</v>
      </c>
      <c r="P44" s="6">
        <f>[1]节奏总纲!P44</f>
        <v>16.148375400580683</v>
      </c>
      <c r="Q44" s="6">
        <f>[1]节奏总纲!Q44</f>
        <v>14.065234973905774</v>
      </c>
      <c r="R44" s="6">
        <f>[1]节奏总纲!R44</f>
        <v>11.621985775797917</v>
      </c>
      <c r="S44" s="6">
        <f>[1]节奏总纲!S44</f>
        <v>8.6296918140703163</v>
      </c>
      <c r="T44" s="6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  <c r="BI44" s="4">
        <v>5</v>
      </c>
      <c r="BJ44" s="4">
        <f>求节点($AL$4:$AL$83,AM$4:AM$83,('[1]功能-城建'!$BD10+'[1]功能-城建'!$BY10)/2)</f>
        <v>2.7983560859856276</v>
      </c>
      <c r="BK44" s="4">
        <f>求节点($AL$4:$AL$83,AN$4:AN$83,('[1]功能-城建'!$BD10+'[1]功能-城建'!$BY10)/2)</f>
        <v>2.2386848687885021</v>
      </c>
      <c r="BL44" s="4">
        <f>求节点($AL$4:$AL$83,AO$4:AO$83,('[1]功能-城建'!$BD10+'[1]功能-城建'!$BY10)/2)</f>
        <v>1.6790136515913765</v>
      </c>
      <c r="BM44" s="4">
        <f>求节点($AL$4:$AL$83,AP$4:AP$83,('[1]功能-城建'!$BD10+'[1]功能-城建'!$BY10)/2)</f>
        <v>1.1193424343942511</v>
      </c>
      <c r="BN44" s="4">
        <f>求节点($AL$4:$AL$83,AQ$4:AQ$83,('[1]功能-城建'!$BD10+'[1]功能-城建'!$BY10)/2)</f>
        <v>0.55967121719712554</v>
      </c>
      <c r="BR44" s="4">
        <v>41</v>
      </c>
      <c r="BS44" s="4">
        <f>'[1]功能-城建'!O46</f>
        <v>16</v>
      </c>
      <c r="BT44" s="4">
        <f>'[1]功能-城建'!P46</f>
        <v>16</v>
      </c>
      <c r="BU44" s="4">
        <f>'[1]功能-城建'!Q46</f>
        <v>16</v>
      </c>
      <c r="BV44" s="4">
        <f>'[1]功能-城建'!R46</f>
        <v>16</v>
      </c>
      <c r="BW44" s="4">
        <f t="shared" si="0"/>
        <v>64</v>
      </c>
    </row>
    <row r="45" spans="2:75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4">
        <f>[1]节奏总纲!K45</f>
        <v>1.08</v>
      </c>
      <c r="N45" s="4">
        <f>[1]节奏总纲!N45</f>
        <v>52</v>
      </c>
      <c r="O45" s="4">
        <f>[1]节奏总纲!O45</f>
        <v>42</v>
      </c>
      <c r="P45" s="6">
        <f>[1]节奏总纲!P45</f>
        <v>17.379173679952558</v>
      </c>
      <c r="Q45" s="6">
        <f>[1]节奏总纲!Q45</f>
        <v>15.182446126806555</v>
      </c>
      <c r="R45" s="6">
        <f>[1]节奏总纲!R45</f>
        <v>12.547763396925747</v>
      </c>
      <c r="S45" s="6">
        <f>[1]节奏总纲!S45</f>
        <v>9.3221887619265527</v>
      </c>
      <c r="T45" s="6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  <c r="BI45" s="4">
        <v>6</v>
      </c>
      <c r="BJ45" s="4">
        <f>求节点($AL$4:$AL$83,AM$4:AM$83,('[1]功能-城建'!$BD11+'[1]功能-城建'!$BY11)/2)</f>
        <v>4.0336433999591836</v>
      </c>
      <c r="BK45" s="4">
        <f>求节点($AL$4:$AL$83,AN$4:AN$83,('[1]功能-城建'!$BD11+'[1]功能-城建'!$BY11)/2)</f>
        <v>3.2269147199673469</v>
      </c>
      <c r="BL45" s="4">
        <f>求节点($AL$4:$AL$83,AO$4:AO$83,('[1]功能-城建'!$BD11+'[1]功能-城建'!$BY11)/2)</f>
        <v>2.4201860399755102</v>
      </c>
      <c r="BM45" s="4">
        <f>求节点($AL$4:$AL$83,AP$4:AP$83,('[1]功能-城建'!$BD11+'[1]功能-城建'!$BY11)/2)</f>
        <v>1.6134573599836735</v>
      </c>
      <c r="BN45" s="4">
        <f>求节点($AL$4:$AL$83,AQ$4:AQ$83,('[1]功能-城建'!$BD11+'[1]功能-城建'!$BY11)/2)</f>
        <v>0.80672867999183673</v>
      </c>
      <c r="BR45" s="4">
        <v>42</v>
      </c>
      <c r="BS45" s="4">
        <f>'[1]功能-城建'!O47</f>
        <v>17</v>
      </c>
      <c r="BT45" s="4">
        <f>'[1]功能-城建'!P47</f>
        <v>17</v>
      </c>
      <c r="BU45" s="4">
        <f>'[1]功能-城建'!Q47</f>
        <v>17</v>
      </c>
      <c r="BV45" s="4">
        <f>'[1]功能-城建'!R47</f>
        <v>17</v>
      </c>
      <c r="BW45" s="4">
        <f t="shared" si="0"/>
        <v>68</v>
      </c>
    </row>
    <row r="46" spans="2:75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4">
        <f>[1]节奏总纲!K46</f>
        <v>1.0900000000000001</v>
      </c>
      <c r="N46" s="4">
        <f>[1]节奏总纲!N46</f>
        <v>53</v>
      </c>
      <c r="O46" s="4">
        <f>[1]节奏总纲!O46</f>
        <v>43</v>
      </c>
      <c r="P46" s="6">
        <f>[1]节奏总纲!P46</f>
        <v>18.698310613518661</v>
      </c>
      <c r="Q46" s="6">
        <f>[1]节奏总纲!Q46</f>
        <v>16.338583814092605</v>
      </c>
      <c r="R46" s="6">
        <f>[1]节奏总纲!R46</f>
        <v>13.509529418267233</v>
      </c>
      <c r="S46" s="6">
        <f>[1]节奏总纲!S46</f>
        <v>10.020424657784652</v>
      </c>
      <c r="T46" s="6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  <c r="BI46" s="4">
        <v>7</v>
      </c>
      <c r="BJ46" s="4">
        <f>求节点($AL$4:$AL$83,AM$4:AM$83,('[1]功能-城建'!$BD12+'[1]功能-城建'!$BY12)/2)</f>
        <v>6.2565025247829205</v>
      </c>
      <c r="BK46" s="4">
        <f>求节点($AL$4:$AL$83,AN$4:AN$83,('[1]功能-城建'!$BD12+'[1]功能-城建'!$BY12)/2)</f>
        <v>5.0052020198263367</v>
      </c>
      <c r="BL46" s="4">
        <f>求节点($AL$4:$AL$83,AO$4:AO$83,('[1]功能-城建'!$BD12+'[1]功能-城建'!$BY12)/2)</f>
        <v>3.7539015148697521</v>
      </c>
      <c r="BM46" s="4">
        <f>求节点($AL$4:$AL$83,AP$4:AP$83,('[1]功能-城建'!$BD12+'[1]功能-城建'!$BY12)/2)</f>
        <v>2.5026010099131684</v>
      </c>
      <c r="BN46" s="4">
        <f>求节点($AL$4:$AL$83,AQ$4:AQ$83,('[1]功能-城建'!$BD12+'[1]功能-城建'!$BY12)/2)</f>
        <v>1.2513005049565842</v>
      </c>
      <c r="BR46" s="4">
        <v>43</v>
      </c>
      <c r="BS46" s="4">
        <f>'[1]功能-城建'!O48</f>
        <v>17</v>
      </c>
      <c r="BT46" s="4">
        <f>'[1]功能-城建'!P48</f>
        <v>17</v>
      </c>
      <c r="BU46" s="4">
        <f>'[1]功能-城建'!Q48</f>
        <v>17</v>
      </c>
      <c r="BV46" s="4">
        <f>'[1]功能-城建'!R48</f>
        <v>17</v>
      </c>
      <c r="BW46" s="4">
        <f t="shared" si="0"/>
        <v>68</v>
      </c>
    </row>
    <row r="47" spans="2:75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4">
        <f>[1]节奏总纲!K47</f>
        <v>1.1000000000000001</v>
      </c>
      <c r="N47" s="4">
        <f>[1]节奏总纲!N47</f>
        <v>54</v>
      </c>
      <c r="O47" s="4">
        <f>[1]节奏总纲!O47</f>
        <v>44</v>
      </c>
      <c r="P47" s="6">
        <f>[1]节奏总纲!P47</f>
        <v>20.112126572366307</v>
      </c>
      <c r="Q47" s="6">
        <f>[1]节奏总纲!Q47</f>
        <v>17.573976198933678</v>
      </c>
      <c r="R47" s="6">
        <f>[1]节奏总纲!R47</f>
        <v>14.520955385248474</v>
      </c>
      <c r="S47" s="6">
        <f>[1]节奏总纲!S47</f>
        <v>10.768032566844921</v>
      </c>
      <c r="T47" s="6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  <c r="BI47" s="4">
        <v>8</v>
      </c>
      <c r="BJ47" s="4">
        <f>求节点($AL$4:$AL$83,AM$4:AM$83,('[1]功能-城建'!$BD13+'[1]功能-城建'!$BY13)/2)</f>
        <v>9.6550138771594227</v>
      </c>
      <c r="BK47" s="4">
        <f>求节点($AL$4:$AL$83,AN$4:AN$83,('[1]功能-城建'!$BD13+'[1]功能-城建'!$BY13)/2)</f>
        <v>7.7240111017275384</v>
      </c>
      <c r="BL47" s="4">
        <f>求节点($AL$4:$AL$83,AO$4:AO$83,('[1]功能-城建'!$BD13+'[1]功能-城建'!$BY13)/2)</f>
        <v>5.793008326295654</v>
      </c>
      <c r="BM47" s="4">
        <f>求节点($AL$4:$AL$83,AP$4:AP$83,('[1]功能-城建'!$BD13+'[1]功能-城建'!$BY13)/2)</f>
        <v>3.8620055508637692</v>
      </c>
      <c r="BN47" s="4">
        <f>求节点($AL$4:$AL$83,AQ$4:AQ$83,('[1]功能-城建'!$BD13+'[1]功能-城建'!$BY13)/2)</f>
        <v>1.9310027754318846</v>
      </c>
      <c r="BR47" s="4">
        <v>44</v>
      </c>
      <c r="BS47" s="4">
        <f>'[1]功能-城建'!O49</f>
        <v>18</v>
      </c>
      <c r="BT47" s="4">
        <f>'[1]功能-城建'!P49</f>
        <v>18</v>
      </c>
      <c r="BU47" s="4">
        <f>'[1]功能-城建'!Q49</f>
        <v>18</v>
      </c>
      <c r="BV47" s="4">
        <f>'[1]功能-城建'!R49</f>
        <v>18</v>
      </c>
      <c r="BW47" s="4">
        <f t="shared" si="0"/>
        <v>72</v>
      </c>
    </row>
    <row r="48" spans="2:75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4">
        <f>[1]节奏总纲!K48</f>
        <v>1.1100000000000001</v>
      </c>
      <c r="N48" s="4">
        <f>[1]节奏总纲!N48</f>
        <v>55</v>
      </c>
      <c r="O48" s="4">
        <f>[1]节奏总纲!O48</f>
        <v>45</v>
      </c>
      <c r="P48" s="6">
        <f>[1]节奏总纲!P48</f>
        <v>21.627416997969519</v>
      </c>
      <c r="Q48" s="6">
        <f>[1]节奏总纲!Q48</f>
        <v>18.900199714525563</v>
      </c>
      <c r="R48" s="6">
        <f>[1]节奏总纲!R48</f>
        <v>15.604181364035009</v>
      </c>
      <c r="S48" s="6">
        <f>[1]节奏总纲!S48</f>
        <v>11.572830835613489</v>
      </c>
      <c r="T48" s="6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  <c r="BI48" s="4">
        <v>9</v>
      </c>
      <c r="BJ48" s="4">
        <f>求节点($AL$4:$AL$83,AM$4:AM$83,('[1]功能-城建'!$BD14+'[1]功能-城建'!$BY14)/2)</f>
        <v>14.6609224175611</v>
      </c>
      <c r="BK48" s="4">
        <f>求节点($AL$4:$AL$83,AN$4:AN$83,('[1]功能-城建'!$BD14+'[1]功能-城建'!$BY14)/2)</f>
        <v>11.72873793404888</v>
      </c>
      <c r="BL48" s="4">
        <f>求节点($AL$4:$AL$83,AO$4:AO$83,('[1]功能-城建'!$BD14+'[1]功能-城建'!$BY14)/2)</f>
        <v>8.7965534505366598</v>
      </c>
      <c r="BM48" s="4">
        <f>求节点($AL$4:$AL$83,AP$4:AP$83,('[1]功能-城建'!$BD14+'[1]功能-城建'!$BY14)/2)</f>
        <v>5.8643689670244399</v>
      </c>
      <c r="BN48" s="4">
        <f>求节点($AL$4:$AL$83,AQ$4:AQ$83,('[1]功能-城建'!$BD14+'[1]功能-城建'!$BY14)/2)</f>
        <v>2.9321844835122199</v>
      </c>
      <c r="BR48" s="4">
        <v>45</v>
      </c>
      <c r="BS48" s="4">
        <f>'[1]功能-城建'!O50</f>
        <v>18</v>
      </c>
      <c r="BT48" s="4">
        <f>'[1]功能-城建'!P50</f>
        <v>18</v>
      </c>
      <c r="BU48" s="4">
        <f>'[1]功能-城建'!Q50</f>
        <v>18</v>
      </c>
      <c r="BV48" s="4">
        <f>'[1]功能-城建'!R50</f>
        <v>18</v>
      </c>
      <c r="BW48" s="4">
        <f t="shared" si="0"/>
        <v>72</v>
      </c>
    </row>
    <row r="49" spans="6:75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4">
        <f>[1]节奏总纲!K49</f>
        <v>1.1200000000000001</v>
      </c>
      <c r="N49" s="4">
        <f>[1]节奏总纲!N49</f>
        <v>56</v>
      </c>
      <c r="O49" s="4">
        <f>[1]节奏总纲!O49</f>
        <v>46</v>
      </c>
      <c r="P49" s="6">
        <f>[1]节奏总纲!P49</f>
        <v>23.251465064166357</v>
      </c>
      <c r="Q49" s="6">
        <f>[1]节奏总纲!Q49</f>
        <v>20.310154733549314</v>
      </c>
      <c r="R49" s="6">
        <f>[1]节奏总纲!R49</f>
        <v>16.757330871744692</v>
      </c>
      <c r="S49" s="6">
        <f>[1]节奏总纲!S49</f>
        <v>12.425582930290501</v>
      </c>
      <c r="T49" s="6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  <c r="BI49" s="4">
        <v>10</v>
      </c>
      <c r="BJ49" s="4">
        <f>求节点($AL$4:$AL$83,AM$4:AM$83,('[1]功能-城建'!$BD15+'[1]功能-城建'!$BY15)/2)</f>
        <v>22.250481908800957</v>
      </c>
      <c r="BK49" s="4">
        <f>求节点($AL$4:$AL$83,AN$4:AN$83,('[1]功能-城建'!$BD15+'[1]功能-城建'!$BY15)/2)</f>
        <v>17.800385527040767</v>
      </c>
      <c r="BL49" s="4">
        <f>求节点($AL$4:$AL$83,AO$4:AO$83,('[1]功能-城建'!$BD15+'[1]功能-城建'!$BY15)/2)</f>
        <v>13.350289145280575</v>
      </c>
      <c r="BM49" s="4">
        <f>求节点($AL$4:$AL$83,AP$4:AP$83,('[1]功能-城建'!$BD15+'[1]功能-城建'!$BY15)/2)</f>
        <v>8.9001927635203835</v>
      </c>
      <c r="BN49" s="4">
        <f>求节点($AL$4:$AL$83,AQ$4:AQ$83,('[1]功能-城建'!$BD15+'[1]功能-城建'!$BY15)/2)</f>
        <v>4.4500963817601917</v>
      </c>
      <c r="BR49" s="4">
        <v>46</v>
      </c>
      <c r="BS49" s="4">
        <f>'[1]功能-城建'!O51</f>
        <v>18</v>
      </c>
      <c r="BT49" s="4">
        <f>'[1]功能-城建'!P51</f>
        <v>18</v>
      </c>
      <c r="BU49" s="4">
        <f>'[1]功能-城建'!Q51</f>
        <v>18</v>
      </c>
      <c r="BV49" s="4">
        <f>'[1]功能-城建'!R51</f>
        <v>18</v>
      </c>
      <c r="BW49" s="4">
        <f t="shared" si="0"/>
        <v>72</v>
      </c>
    </row>
    <row r="50" spans="6:75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4">
        <f>[1]节奏总纲!K50</f>
        <v>1.1299999999999999</v>
      </c>
      <c r="N50" s="4">
        <f>[1]节奏总纲!N50</f>
        <v>57</v>
      </c>
      <c r="O50" s="4">
        <f>[1]节奏总纲!O50</f>
        <v>47</v>
      </c>
      <c r="P50" s="6">
        <f>[1]节奏总纲!P50</f>
        <v>24.992076683399535</v>
      </c>
      <c r="Q50" s="6">
        <f>[1]节奏总纲!Q50</f>
        <v>21.823081359944474</v>
      </c>
      <c r="R50" s="6">
        <f>[1]节奏总纲!R50</f>
        <v>17.996794419716004</v>
      </c>
      <c r="S50" s="6">
        <f>[1]节奏总纲!S50</f>
        <v>13.335772118261991</v>
      </c>
      <c r="T50" s="6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  <c r="BI50" s="4">
        <v>11</v>
      </c>
      <c r="BJ50" s="4">
        <f>求节点($AL$4:$AL$83,AM$4:AM$83,('[1]功能-城建'!$BD16+'[1]功能-城建'!$BY16)/2)</f>
        <v>30.853839785556353</v>
      </c>
      <c r="BK50" s="4">
        <f>求节点($AL$4:$AL$83,AN$4:AN$83,('[1]功能-城建'!$BD16+'[1]功能-城建'!$BY16)/2)</f>
        <v>24.683071828445087</v>
      </c>
      <c r="BL50" s="4">
        <f>求节点($AL$4:$AL$83,AO$4:AO$83,('[1]功能-城建'!$BD16+'[1]功能-城建'!$BY16)/2)</f>
        <v>18.512303871333813</v>
      </c>
      <c r="BM50" s="4">
        <f>求节点($AL$4:$AL$83,AP$4:AP$83,('[1]功能-城建'!$BD16+'[1]功能-城建'!$BY16)/2)</f>
        <v>12.341535914222543</v>
      </c>
      <c r="BN50" s="4">
        <f>求节点($AL$4:$AL$83,AQ$4:AQ$83,('[1]功能-城建'!$BD16+'[1]功能-城建'!$BY16)/2)</f>
        <v>6.1707679571112717</v>
      </c>
      <c r="BR50" s="4">
        <v>47</v>
      </c>
      <c r="BS50" s="4">
        <f>'[1]功能-城建'!O52</f>
        <v>19</v>
      </c>
      <c r="BT50" s="4">
        <f>'[1]功能-城建'!P52</f>
        <v>19</v>
      </c>
      <c r="BU50" s="4">
        <f>'[1]功能-城建'!Q52</f>
        <v>19</v>
      </c>
      <c r="BV50" s="4">
        <f>'[1]功能-城建'!R52</f>
        <v>19</v>
      </c>
      <c r="BW50" s="4">
        <f t="shared" si="0"/>
        <v>76</v>
      </c>
    </row>
    <row r="51" spans="6:75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4">
        <f>[1]节奏总纲!K51</f>
        <v>1.1399999999999999</v>
      </c>
      <c r="N51" s="4">
        <f>[1]节奏总纲!N51</f>
        <v>58</v>
      </c>
      <c r="O51" s="4">
        <f>[1]节奏总纲!O51</f>
        <v>48</v>
      </c>
      <c r="P51" s="6">
        <f>[1]节奏总纲!P51</f>
        <v>26.857618025475972</v>
      </c>
      <c r="Q51" s="6">
        <f>[1]节奏总纲!Q51</f>
        <v>23.425214441820142</v>
      </c>
      <c r="R51" s="6">
        <f>[1]节奏总纲!R51</f>
        <v>19.329427692935056</v>
      </c>
      <c r="S51" s="6">
        <f>[1]节奏总纲!S51</f>
        <v>14.269452456935383</v>
      </c>
      <c r="T51" s="6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  <c r="BI51" s="4">
        <v>12</v>
      </c>
      <c r="BJ51" s="4">
        <f>求节点($AL$4:$AL$83,AM$4:AM$83,('[1]功能-城建'!$BD17+'[1]功能-城建'!$BY17)/2)</f>
        <v>42.651805439624027</v>
      </c>
      <c r="BK51" s="4">
        <f>求节点($AL$4:$AL$83,AN$4:AN$83,('[1]功能-城建'!$BD17+'[1]功能-城建'!$BY17)/2)</f>
        <v>34.121444351699225</v>
      </c>
      <c r="BL51" s="4">
        <f>求节点($AL$4:$AL$83,AO$4:AO$83,('[1]功能-城建'!$BD17+'[1]功能-城建'!$BY17)/2)</f>
        <v>25.591083263774415</v>
      </c>
      <c r="BM51" s="4">
        <f>求节点($AL$4:$AL$83,AP$4:AP$83,('[1]功能-城建'!$BD17+'[1]功能-城建'!$BY17)/2)</f>
        <v>17.060722175849612</v>
      </c>
      <c r="BN51" s="4">
        <f>求节点($AL$4:$AL$83,AQ$4:AQ$83,('[1]功能-城建'!$BD17+'[1]功能-城建'!$BY17)/2)</f>
        <v>8.5303610879248062</v>
      </c>
      <c r="BR51" s="4">
        <v>48</v>
      </c>
      <c r="BS51" s="4">
        <f>'[1]功能-城建'!O53</f>
        <v>20</v>
      </c>
      <c r="BT51" s="4">
        <f>'[1]功能-城建'!P53</f>
        <v>20</v>
      </c>
      <c r="BU51" s="4">
        <f>'[1]功能-城建'!Q53</f>
        <v>20</v>
      </c>
      <c r="BV51" s="4">
        <f>'[1]功能-城建'!R53</f>
        <v>20</v>
      </c>
      <c r="BW51" s="4">
        <f t="shared" si="0"/>
        <v>80</v>
      </c>
    </row>
    <row r="52" spans="6:75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4">
        <f>[1]节奏总纲!K52</f>
        <v>1.1499999999999999</v>
      </c>
      <c r="N52" s="4">
        <f>[1]节奏总纲!N52</f>
        <v>59</v>
      </c>
      <c r="O52" s="4">
        <f>[1]节奏总纲!O52</f>
        <v>49</v>
      </c>
      <c r="P52" s="6">
        <f>[1]节奏总纲!P52</f>
        <v>28.857055729177837</v>
      </c>
      <c r="Q52" s="6">
        <f>[1]节奏总纲!Q52</f>
        <v>25.166238301415991</v>
      </c>
      <c r="R52" s="6">
        <f>[1]节奏总纲!R52</f>
        <v>20.719366013549685</v>
      </c>
      <c r="S52" s="6">
        <f>[1]节奏总纲!S52</f>
        <v>15.268268186307994</v>
      </c>
      <c r="T52" s="6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  <c r="BI52" s="4">
        <v>13</v>
      </c>
      <c r="BJ52" s="4">
        <f>求节点($AL$4:$AL$83,AM$4:AM$83,('[1]功能-城建'!$BD18+'[1]功能-城建'!$BY18)/2)</f>
        <v>58.805465664966448</v>
      </c>
      <c r="BK52" s="4">
        <f>求节点($AL$4:$AL$83,AN$4:AN$83,('[1]功能-城建'!$BD18+'[1]功能-城建'!$BY18)/2)</f>
        <v>47.04437253197316</v>
      </c>
      <c r="BL52" s="4">
        <f>求节点($AL$4:$AL$83,AO$4:AO$83,('[1]功能-城建'!$BD18+'[1]功能-城建'!$BY18)/2)</f>
        <v>35.283279398979872</v>
      </c>
      <c r="BM52" s="4">
        <f>求节点($AL$4:$AL$83,AP$4:AP$83,('[1]功能-城建'!$BD18+'[1]功能-城建'!$BY18)/2)</f>
        <v>23.52218626598658</v>
      </c>
      <c r="BN52" s="4">
        <f>求节点($AL$4:$AL$83,AQ$4:AQ$83,('[1]功能-城建'!$BD18+'[1]功能-城建'!$BY18)/2)</f>
        <v>11.76109313299329</v>
      </c>
      <c r="BR52" s="4">
        <v>49</v>
      </c>
      <c r="BS52" s="4">
        <f>'[1]功能-城建'!O54</f>
        <v>20</v>
      </c>
      <c r="BT52" s="4">
        <f>'[1]功能-城建'!P54</f>
        <v>20</v>
      </c>
      <c r="BU52" s="4">
        <f>'[1]功能-城建'!Q54</f>
        <v>20</v>
      </c>
      <c r="BV52" s="4">
        <f>'[1]功能-城建'!R54</f>
        <v>20</v>
      </c>
      <c r="BW52" s="4">
        <f t="shared" si="0"/>
        <v>80</v>
      </c>
    </row>
    <row r="53" spans="6:75" x14ac:dyDescent="0.15">
      <c r="F53" s="4">
        <f>[1]节奏总纲!F53</f>
        <v>51</v>
      </c>
      <c r="G53" s="4">
        <f>[1]节奏总纲!G53</f>
        <v>33.296750801161366</v>
      </c>
      <c r="I53" s="4">
        <f>[1]节奏总纲!I53</f>
        <v>51</v>
      </c>
      <c r="J53" s="4">
        <f>[1]节奏总纲!J53</f>
        <v>681.65492699983838</v>
      </c>
      <c r="K53" s="4">
        <f>[1]节奏总纲!K53</f>
        <v>1.1599999999999999</v>
      </c>
      <c r="N53" s="4">
        <f>[1]节奏总纲!N53</f>
        <v>60</v>
      </c>
      <c r="O53" s="4">
        <f>[1]节奏总纲!O53</f>
        <v>50</v>
      </c>
      <c r="P53" s="6">
        <f>[1]节奏总纲!P53</f>
        <v>31</v>
      </c>
      <c r="Q53" s="6">
        <f>[1]节奏总纲!Q53</f>
        <v>27.0351</v>
      </c>
      <c r="R53" s="6">
        <f>[1]节奏总纲!R53</f>
        <v>22.205300000000001</v>
      </c>
      <c r="S53" s="6">
        <f>[1]节奏总纲!S53</f>
        <v>16.386599999999998</v>
      </c>
      <c r="T53" s="6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  <c r="BI53" s="4">
        <v>14</v>
      </c>
      <c r="BJ53" s="4">
        <f>求节点($AL$4:$AL$83,AM$4:AM$83,('[1]功能-城建'!$BD19+'[1]功能-城建'!$BY19)/2)</f>
        <v>79.687169041131426</v>
      </c>
      <c r="BK53" s="4">
        <f>求节点($AL$4:$AL$83,AN$4:AN$83,('[1]功能-城建'!$BD19+'[1]功能-城建'!$BY19)/2)</f>
        <v>63.749735232905138</v>
      </c>
      <c r="BL53" s="4">
        <f>求节点($AL$4:$AL$83,AO$4:AO$83,('[1]功能-城建'!$BD19+'[1]功能-城建'!$BY19)/2)</f>
        <v>47.81230142467885</v>
      </c>
      <c r="BM53" s="4">
        <f>求节点($AL$4:$AL$83,AP$4:AP$83,('[1]功能-城建'!$BD19+'[1]功能-城建'!$BY19)/2)</f>
        <v>31.874867616452569</v>
      </c>
      <c r="BN53" s="4">
        <f>求节点($AL$4:$AL$83,AQ$4:AQ$83,('[1]功能-城建'!$BD19+'[1]功能-城建'!$BY19)/2)</f>
        <v>15.937433808226285</v>
      </c>
      <c r="BR53" s="4">
        <v>50</v>
      </c>
      <c r="BS53" s="4">
        <f>'[1]功能-城建'!O55</f>
        <v>20</v>
      </c>
      <c r="BT53" s="4">
        <f>'[1]功能-城建'!P55</f>
        <v>20</v>
      </c>
      <c r="BU53" s="4">
        <f>'[1]功能-城建'!Q55</f>
        <v>20</v>
      </c>
      <c r="BV53" s="4">
        <f>'[1]功能-城建'!R55</f>
        <v>20</v>
      </c>
      <c r="BW53" s="4">
        <f t="shared" si="0"/>
        <v>80</v>
      </c>
    </row>
    <row r="54" spans="6:75" x14ac:dyDescent="0.15">
      <c r="F54" s="4">
        <f>[1]节奏总纲!F54</f>
        <v>52</v>
      </c>
      <c r="G54" s="4">
        <f>[1]节奏总纲!G54</f>
        <v>35.758347359905123</v>
      </c>
      <c r="I54" s="4">
        <f>[1]节奏总纲!I54</f>
        <v>52</v>
      </c>
      <c r="J54" s="4">
        <f>[1]节奏总纲!J54</f>
        <v>789.85301886939453</v>
      </c>
      <c r="K54" s="4">
        <f>[1]节奏总纲!K54</f>
        <v>1.17</v>
      </c>
      <c r="N54" s="4">
        <f>[1]节奏总纲!N54</f>
        <v>61</v>
      </c>
      <c r="O54" s="4">
        <f>[1]节奏总纲!O54</f>
        <v>51</v>
      </c>
      <c r="P54" s="6">
        <f>[1]节奏总纲!P54</f>
        <v>33.296750801161366</v>
      </c>
      <c r="Q54" s="6">
        <f>[1]节奏总纲!Q54</f>
        <v>28.928217096048996</v>
      </c>
      <c r="R54" s="6">
        <f>[1]节奏总纲!R54</f>
        <v>23.783869097269566</v>
      </c>
      <c r="S54" s="6">
        <f>[1]节奏总纲!S54</f>
        <v>17.587343773173433</v>
      </c>
      <c r="T54" s="6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4">
        <f>[1]节奏总纲!AL54</f>
        <v>51</v>
      </c>
      <c r="AM54" s="4">
        <f>[1]节奏总纲!AM54</f>
        <v>681.65492699983838</v>
      </c>
      <c r="AN54" s="4">
        <f>[1]节奏总纲!AN54</f>
        <v>545.32394159987075</v>
      </c>
      <c r="AO54" s="4">
        <f>[1]节奏总纲!AO54</f>
        <v>408.99295619990301</v>
      </c>
      <c r="AP54" s="4">
        <f>[1]节奏总纲!AP54</f>
        <v>272.66197079993537</v>
      </c>
      <c r="AQ54" s="4">
        <f>[1]节奏总纲!AQ54</f>
        <v>136.33098539996769</v>
      </c>
      <c r="AS54" s="4">
        <f>[1]节奏总纲!AS54</f>
        <v>51</v>
      </c>
      <c r="AT54" s="4">
        <f>[1]节奏总纲!AT54</f>
        <v>93.429926999838472</v>
      </c>
      <c r="AU54" s="4">
        <f>[1]节奏总纲!AU54</f>
        <v>74.743941599870823</v>
      </c>
      <c r="AV54" s="4">
        <f>[1]节奏总纲!AV54</f>
        <v>56.05795619990306</v>
      </c>
      <c r="AW54" s="4">
        <f>[1]节奏总纲!AW54</f>
        <v>37.371970799935411</v>
      </c>
      <c r="AX54" s="4">
        <f>[1]节奏总纲!AX54</f>
        <v>18.685985399967706</v>
      </c>
      <c r="AZ54" s="4">
        <v>51</v>
      </c>
      <c r="BA54" s="4">
        <f>[1]节奏总纲!BA54</f>
        <v>33.612495584603778</v>
      </c>
      <c r="BB54" s="4">
        <f>[1]节奏总纲!BB54</f>
        <v>35.024397713965918</v>
      </c>
      <c r="BC54" s="4">
        <f>[1]节奏总纲!BC54</f>
        <v>36.947184852926306</v>
      </c>
      <c r="BD54" s="4">
        <f>[1]节奏总纲!BD54</f>
        <v>39.655541494705105</v>
      </c>
      <c r="BE54" s="4">
        <f>[1]节奏总纲!BE54</f>
        <v>44.326465623783335</v>
      </c>
      <c r="BI54" s="4">
        <v>15</v>
      </c>
      <c r="BJ54" s="4">
        <f>求节点($AL$4:$AL$83,AM$4:AM$83,('[1]功能-城建'!$BD20+'[1]功能-城建'!$BY20)/2)</f>
        <v>107.38436352517273</v>
      </c>
      <c r="BK54" s="4">
        <f>求节点($AL$4:$AL$83,AN$4:AN$83,('[1]功能-城建'!$BD20+'[1]功能-城建'!$BY20)/2)</f>
        <v>85.907490820138193</v>
      </c>
      <c r="BL54" s="4">
        <f>求节点($AL$4:$AL$83,AO$4:AO$83,('[1]功能-城建'!$BD20+'[1]功能-城建'!$BY20)/2)</f>
        <v>64.430618115103641</v>
      </c>
      <c r="BM54" s="4">
        <f>求节点($AL$4:$AL$83,AP$4:AP$83,('[1]功能-城建'!$BD20+'[1]功能-城建'!$BY20)/2)</f>
        <v>42.953745410069097</v>
      </c>
      <c r="BN54" s="4">
        <f>求节点($AL$4:$AL$83,AQ$4:AQ$83,('[1]功能-城建'!$BD20+'[1]功能-城建'!$BY20)/2)</f>
        <v>21.476872705034548</v>
      </c>
      <c r="BR54" s="4">
        <v>51</v>
      </c>
      <c r="BS54" s="4">
        <f>'[1]功能-城建'!O56</f>
        <v>21</v>
      </c>
      <c r="BT54" s="4">
        <f>'[1]功能-城建'!P56</f>
        <v>21</v>
      </c>
      <c r="BU54" s="4">
        <f>'[1]功能-城建'!Q56</f>
        <v>21</v>
      </c>
      <c r="BV54" s="4">
        <f>'[1]功能-城建'!R56</f>
        <v>21</v>
      </c>
      <c r="BW54" s="4">
        <f t="shared" ref="BW54:BW79" si="1">SUM(BS54:BV54)</f>
        <v>84</v>
      </c>
    </row>
    <row r="55" spans="6:75" x14ac:dyDescent="0.15">
      <c r="F55" s="4">
        <f>[1]节奏总纲!F55</f>
        <v>53</v>
      </c>
      <c r="G55" s="4">
        <f>[1]节奏总纲!G55</f>
        <v>38.396621227037308</v>
      </c>
      <c r="I55" s="4">
        <f>[1]节奏总纲!I55</f>
        <v>53</v>
      </c>
      <c r="J55" s="4">
        <f>[1]节奏总纲!J55</f>
        <v>915.14532082292135</v>
      </c>
      <c r="K55" s="4">
        <f>[1]节奏总纲!K55</f>
        <v>1.18</v>
      </c>
      <c r="N55" s="4">
        <f>[1]节奏总纲!N55</f>
        <v>62</v>
      </c>
      <c r="O55" s="4">
        <f>[1]节奏总纲!O55</f>
        <v>52</v>
      </c>
      <c r="P55" s="6">
        <f>[1]节奏总纲!P55</f>
        <v>35.758347359905123</v>
      </c>
      <c r="Q55" s="6">
        <f>[1]节奏总纲!Q55</f>
        <v>31.081155525229534</v>
      </c>
      <c r="R55" s="6">
        <f>[1]节奏总纲!R55</f>
        <v>25.606552544428059</v>
      </c>
      <c r="S55" s="6">
        <f>[1]节奏总纲!S55</f>
        <v>18.930469092333773</v>
      </c>
      <c r="T55" s="6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4">
        <f>[1]节奏总纲!AL55</f>
        <v>52</v>
      </c>
      <c r="AM55" s="4">
        <f>[1]节奏总纲!AM55</f>
        <v>789.85301886939453</v>
      </c>
      <c r="AN55" s="4">
        <f>[1]节奏总纲!AN55</f>
        <v>631.88241509551563</v>
      </c>
      <c r="AO55" s="4">
        <f>[1]节奏总纲!AO55</f>
        <v>473.91181132163672</v>
      </c>
      <c r="AP55" s="4">
        <f>[1]节奏总纲!AP55</f>
        <v>315.94120754775781</v>
      </c>
      <c r="AQ55" s="4">
        <f>[1]节奏总纲!AQ55</f>
        <v>157.97060377387891</v>
      </c>
      <c r="AS55" s="4">
        <f>[1]节奏总纲!AS55</f>
        <v>52</v>
      </c>
      <c r="AT55" s="4">
        <f>[1]节奏总纲!AT55</f>
        <v>108.19809186955615</v>
      </c>
      <c r="AU55" s="4">
        <f>[1]节奏总纲!AU55</f>
        <v>86.558473495644876</v>
      </c>
      <c r="AV55" s="4">
        <f>[1]节奏总纲!AV55</f>
        <v>64.918855121733714</v>
      </c>
      <c r="AW55" s="4">
        <f>[1]节奏总纲!AW55</f>
        <v>43.279236747822438</v>
      </c>
      <c r="AX55" s="4">
        <f>[1]节奏总纲!AX55</f>
        <v>21.639618373911219</v>
      </c>
      <c r="AZ55" s="4">
        <v>52</v>
      </c>
      <c r="BA55" s="4">
        <f>[1]节奏总纲!BA55</f>
        <v>33.737057773318043</v>
      </c>
      <c r="BB55" s="4">
        <f>[1]节奏总纲!BB55</f>
        <v>35.146386283795508</v>
      </c>
      <c r="BC55" s="4">
        <f>[1]节奏总纲!BC55</f>
        <v>37.075448197698059</v>
      </c>
      <c r="BD55" s="4">
        <f>[1]节奏总纲!BD55</f>
        <v>39.790623261487418</v>
      </c>
      <c r="BE55" s="4">
        <f>[1]节奏总纲!BE55</f>
        <v>44.455742855302844</v>
      </c>
      <c r="BI55" s="4">
        <v>16</v>
      </c>
      <c r="BJ55" s="4">
        <f>求节点($AL$4:$AL$83,AM$4:AM$83,('[1]功能-城建'!$BD21+'[1]功能-城建'!$BY21)/2)</f>
        <v>144.60019640299879</v>
      </c>
      <c r="BK55" s="4">
        <f>求节点($AL$4:$AL$83,AN$4:AN$83,('[1]功能-城建'!$BD21+'[1]功能-城建'!$BY21)/2)</f>
        <v>115.68015712239904</v>
      </c>
      <c r="BL55" s="4">
        <f>求节点($AL$4:$AL$83,AO$4:AO$83,('[1]功能-城建'!$BD21+'[1]功能-城建'!$BY21)/2)</f>
        <v>86.760117841799257</v>
      </c>
      <c r="BM55" s="4">
        <f>求节点($AL$4:$AL$83,AP$4:AP$83,('[1]功能-城建'!$BD21+'[1]功能-城建'!$BY21)/2)</f>
        <v>57.840078561199519</v>
      </c>
      <c r="BN55" s="4">
        <f>求节点($AL$4:$AL$83,AQ$4:AQ$83,('[1]功能-城建'!$BD21+'[1]功能-城建'!$BY21)/2)</f>
        <v>28.920039280599759</v>
      </c>
      <c r="BR55" s="4">
        <v>52</v>
      </c>
      <c r="BS55" s="4">
        <f>'[1]功能-城建'!O57</f>
        <v>21</v>
      </c>
      <c r="BT55" s="4">
        <f>'[1]功能-城建'!P57</f>
        <v>21</v>
      </c>
      <c r="BU55" s="4">
        <f>'[1]功能-城建'!Q57</f>
        <v>21</v>
      </c>
      <c r="BV55" s="4">
        <f>'[1]功能-城建'!R57</f>
        <v>21</v>
      </c>
      <c r="BW55" s="4">
        <f t="shared" si="1"/>
        <v>84</v>
      </c>
    </row>
    <row r="56" spans="6:75" x14ac:dyDescent="0.15">
      <c r="F56" s="4">
        <f>[1]节奏总纲!F56</f>
        <v>54</v>
      </c>
      <c r="G56" s="4">
        <f>[1]节奏总纲!G56</f>
        <v>41.224253144732614</v>
      </c>
      <c r="I56" s="4">
        <f>[1]节奏总纲!I56</f>
        <v>54</v>
      </c>
      <c r="J56" s="4">
        <f>[1]节奏总纲!J56</f>
        <v>1060.2230944101252</v>
      </c>
      <c r="K56" s="4">
        <f>[1]节奏总纲!K56</f>
        <v>1.19</v>
      </c>
      <c r="N56" s="4">
        <f>[1]节奏总纲!N56</f>
        <v>63</v>
      </c>
      <c r="O56" s="4">
        <f>[1]节奏总纲!O56</f>
        <v>53</v>
      </c>
      <c r="P56" s="6">
        <f>[1]节奏总纲!P56</f>
        <v>38.396621227037308</v>
      </c>
      <c r="Q56" s="6">
        <f>[1]节奏总纲!Q56</f>
        <v>33.42809844025868</v>
      </c>
      <c r="R56" s="6">
        <f>[1]节奏总纲!R56</f>
        <v>27.5802930273809</v>
      </c>
      <c r="S56" s="6">
        <f>[1]节奏总纲!S56</f>
        <v>20.319491953348145</v>
      </c>
      <c r="T56" s="6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4">
        <f>[1]节奏总纲!AL56</f>
        <v>53</v>
      </c>
      <c r="AM56" s="4">
        <f>[1]节奏总纲!AM56</f>
        <v>915.14532082292135</v>
      </c>
      <c r="AN56" s="4">
        <f>[1]节奏总纲!AN56</f>
        <v>732.11625665833708</v>
      </c>
      <c r="AO56" s="4">
        <f>[1]节奏总纲!AO56</f>
        <v>549.08719249375281</v>
      </c>
      <c r="AP56" s="4">
        <f>[1]节奏总纲!AP56</f>
        <v>366.05812832916854</v>
      </c>
      <c r="AQ56" s="4">
        <f>[1]节奏总纲!AQ56</f>
        <v>183.02906416458427</v>
      </c>
      <c r="AS56" s="4">
        <f>[1]节奏总纲!AS56</f>
        <v>53</v>
      </c>
      <c r="AT56" s="4">
        <f>[1]节奏总纲!AT56</f>
        <v>125.29230195352682</v>
      </c>
      <c r="AU56" s="4">
        <f>[1]节奏总纲!AU56</f>
        <v>100.23384156282145</v>
      </c>
      <c r="AV56" s="4">
        <f>[1]节奏总纲!AV56</f>
        <v>75.17538117211609</v>
      </c>
      <c r="AW56" s="4">
        <f>[1]节奏总纲!AW56</f>
        <v>50.116920781410727</v>
      </c>
      <c r="AX56" s="4">
        <f>[1]节奏总纲!AX56</f>
        <v>25.058460390705363</v>
      </c>
      <c r="AZ56" s="4">
        <v>53</v>
      </c>
      <c r="BA56" s="4">
        <f>[1]节奏总纲!BA56</f>
        <v>33.861619962032307</v>
      </c>
      <c r="BB56" s="4">
        <f>[1]节奏总纲!BB56</f>
        <v>35.268374853625097</v>
      </c>
      <c r="BC56" s="4">
        <f>[1]节奏总纲!BC56</f>
        <v>37.196452985793947</v>
      </c>
      <c r="BD56" s="4">
        <f>[1]节奏总纲!BD56</f>
        <v>39.925705028269732</v>
      </c>
      <c r="BE56" s="4">
        <f>[1]节奏总纲!BE56</f>
        <v>44.585020086822361</v>
      </c>
      <c r="BI56" s="4">
        <v>17</v>
      </c>
      <c r="BJ56" s="4">
        <f>求节点($AL$4:$AL$83,AM$4:AM$83,('[1]功能-城建'!$BD22+'[1]功能-城建'!$BY22)/2)</f>
        <v>194.58873080692649</v>
      </c>
      <c r="BK56" s="4">
        <f>求节点($AL$4:$AL$83,AN$4:AN$83,('[1]功能-城建'!$BD22+'[1]功能-城建'!$BY22)/2)</f>
        <v>155.67098464554121</v>
      </c>
      <c r="BL56" s="4">
        <f>求节点($AL$4:$AL$83,AO$4:AO$83,('[1]功能-城建'!$BD22+'[1]功能-城建'!$BY22)/2)</f>
        <v>116.75323848415589</v>
      </c>
      <c r="BM56" s="4">
        <f>求节点($AL$4:$AL$83,AP$4:AP$83,('[1]功能-城建'!$BD22+'[1]功能-城建'!$BY22)/2)</f>
        <v>77.835492322770605</v>
      </c>
      <c r="BN56" s="4">
        <f>求节点($AL$4:$AL$83,AQ$4:AQ$83,('[1]功能-城建'!$BD22+'[1]功能-城建'!$BY22)/2)</f>
        <v>38.917746161385303</v>
      </c>
      <c r="BR56" s="4">
        <v>53</v>
      </c>
      <c r="BS56" s="4">
        <f>'[1]功能-城建'!O58</f>
        <v>21</v>
      </c>
      <c r="BT56" s="4">
        <f>'[1]功能-城建'!P58</f>
        <v>21</v>
      </c>
      <c r="BU56" s="4">
        <f>'[1]功能-城建'!Q58</f>
        <v>21</v>
      </c>
      <c r="BV56" s="4">
        <f>'[1]功能-城建'!R58</f>
        <v>21</v>
      </c>
      <c r="BW56" s="4">
        <f t="shared" si="1"/>
        <v>84</v>
      </c>
    </row>
    <row r="57" spans="6:75" x14ac:dyDescent="0.15">
      <c r="F57" s="4">
        <f>[1]节奏总纲!F57</f>
        <v>55</v>
      </c>
      <c r="G57" s="4">
        <f>[1]节奏总纲!G57</f>
        <v>44.254833995939045</v>
      </c>
      <c r="I57" s="4">
        <f>[1]节奏总纲!I57</f>
        <v>55</v>
      </c>
      <c r="J57" s="4">
        <f>[1]节奏总纲!J57</f>
        <v>1228.2</v>
      </c>
      <c r="K57" s="4">
        <f>[1]节奏总纲!K57</f>
        <v>1.2</v>
      </c>
      <c r="N57" s="4">
        <f>[1]节奏总纲!N57</f>
        <v>64</v>
      </c>
      <c r="O57" s="4">
        <f>[1]节奏总纲!O57</f>
        <v>54</v>
      </c>
      <c r="P57" s="6">
        <f>[1]节奏总纲!P57</f>
        <v>41.224253144732614</v>
      </c>
      <c r="Q57" s="6">
        <f>[1]节奏总纲!Q57</f>
        <v>35.947548742206841</v>
      </c>
      <c r="R57" s="6">
        <f>[1]节奏总纲!R57</f>
        <v>29.553667079458812</v>
      </c>
      <c r="S57" s="6">
        <f>[1]节奏总纲!S57</f>
        <v>21.762283235104348</v>
      </c>
      <c r="T57" s="6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4">
        <f>[1]节奏总纲!AL57</f>
        <v>54</v>
      </c>
      <c r="AM57" s="4">
        <f>[1]节奏总纲!AM57</f>
        <v>1060.2230944101252</v>
      </c>
      <c r="AN57" s="4">
        <f>[1]节奏总纲!AN57</f>
        <v>848.17847552810019</v>
      </c>
      <c r="AO57" s="4">
        <f>[1]节奏总纲!AO57</f>
        <v>636.13385664607506</v>
      </c>
      <c r="AP57" s="4">
        <f>[1]节奏总纲!AP57</f>
        <v>424.0892377640501</v>
      </c>
      <c r="AQ57" s="4">
        <f>[1]节奏总纲!AQ57</f>
        <v>212.04461888202505</v>
      </c>
      <c r="AS57" s="4">
        <f>[1]节奏总纲!AS57</f>
        <v>54</v>
      </c>
      <c r="AT57" s="4">
        <f>[1]节奏总纲!AT57</f>
        <v>145.07777358720386</v>
      </c>
      <c r="AU57" s="4">
        <f>[1]节奏总纲!AU57</f>
        <v>116.06221886976311</v>
      </c>
      <c r="AV57" s="4">
        <f>[1]节奏总纲!AV57</f>
        <v>87.046664152322251</v>
      </c>
      <c r="AW57" s="4">
        <f>[1]节奏总纲!AW57</f>
        <v>58.031109434881557</v>
      </c>
      <c r="AX57" s="4">
        <f>[1]节奏总纲!AX57</f>
        <v>29.015554717440779</v>
      </c>
      <c r="AZ57" s="4">
        <v>54</v>
      </c>
      <c r="BA57" s="4">
        <f>[1]节奏总纲!BA57</f>
        <v>33.986182150746572</v>
      </c>
      <c r="BB57" s="4">
        <f>[1]节奏总纲!BB57</f>
        <v>35.390363423454687</v>
      </c>
      <c r="BC57" s="4">
        <f>[1]节奏总纲!BC57</f>
        <v>37.317457773889828</v>
      </c>
      <c r="BD57" s="4">
        <f>[1]节奏总纲!BD57</f>
        <v>40.052446592012309</v>
      </c>
      <c r="BE57" s="4">
        <f>[1]节奏总纲!BE57</f>
        <v>44.71429731834187</v>
      </c>
      <c r="BI57" s="4">
        <v>18</v>
      </c>
      <c r="BJ57" s="4">
        <f>求节点($AL$4:$AL$83,AM$4:AM$83,('[1]功能-城建'!$BD23+'[1]功能-城建'!$BY23)/2)</f>
        <v>261.71171459107524</v>
      </c>
      <c r="BK57" s="4">
        <f>求节点($AL$4:$AL$83,AN$4:AN$83,('[1]功能-城建'!$BD23+'[1]功能-城建'!$BY23)/2)</f>
        <v>209.36937167286021</v>
      </c>
      <c r="BL57" s="4">
        <f>求节点($AL$4:$AL$83,AO$4:AO$83,('[1]功能-城建'!$BD23+'[1]功能-城建'!$BY23)/2)</f>
        <v>157.02702875464513</v>
      </c>
      <c r="BM57" s="4">
        <f>求节点($AL$4:$AL$83,AP$4:AP$83,('[1]功能-城建'!$BD23+'[1]功能-城建'!$BY23)/2)</f>
        <v>104.68468583643011</v>
      </c>
      <c r="BN57" s="4">
        <f>求节点($AL$4:$AL$83,AQ$4:AQ$83,('[1]功能-城建'!$BD23+'[1]功能-城建'!$BY23)/2)</f>
        <v>52.342342918215053</v>
      </c>
      <c r="BR57" s="4">
        <v>54</v>
      </c>
      <c r="BS57" s="4">
        <f>'[1]功能-城建'!O59</f>
        <v>22</v>
      </c>
      <c r="BT57" s="4">
        <f>'[1]功能-城建'!P59</f>
        <v>22</v>
      </c>
      <c r="BU57" s="4">
        <f>'[1]功能-城建'!Q59</f>
        <v>22</v>
      </c>
      <c r="BV57" s="4">
        <f>'[1]功能-城建'!R59</f>
        <v>22</v>
      </c>
      <c r="BW57" s="4">
        <f t="shared" si="1"/>
        <v>88</v>
      </c>
    </row>
    <row r="58" spans="6:75" x14ac:dyDescent="0.15">
      <c r="F58" s="4">
        <f>[1]节奏总纲!F58</f>
        <v>56</v>
      </c>
      <c r="G58" s="4">
        <f>[1]节奏总纲!G58</f>
        <v>47.502930128332721</v>
      </c>
      <c r="I58" s="4">
        <f>[1]节奏总纲!I58</f>
        <v>56</v>
      </c>
      <c r="J58" s="4">
        <f>[1]节奏总纲!J58</f>
        <v>1422.6782097755249</v>
      </c>
      <c r="K58" s="4">
        <f>[1]节奏总纲!K58</f>
        <v>1.21</v>
      </c>
      <c r="N58" s="4">
        <f>[1]节奏总纲!N58</f>
        <v>65</v>
      </c>
      <c r="O58" s="4">
        <f>[1]节奏总纲!O58</f>
        <v>55</v>
      </c>
      <c r="P58" s="6">
        <f>[1]节奏总纲!P58</f>
        <v>44.254833995939045</v>
      </c>
      <c r="Q58" s="6">
        <f>[1]节奏总纲!Q58</f>
        <v>38.53268396026413</v>
      </c>
      <c r="R58" s="6">
        <f>[1]节奏总纲!R58</f>
        <v>31.642206307096416</v>
      </c>
      <c r="S58" s="6">
        <f>[1]节奏总纲!S58</f>
        <v>23.282468165263531</v>
      </c>
      <c r="T58" s="6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4">
        <f>[1]节奏总纲!AL58</f>
        <v>55</v>
      </c>
      <c r="AM58" s="4">
        <f>[1]节奏总纲!AM58</f>
        <v>1228.2</v>
      </c>
      <c r="AN58" s="4">
        <f>[1]节奏总纲!AN58</f>
        <v>982.56000000000006</v>
      </c>
      <c r="AO58" s="4">
        <f>[1]节奏总纲!AO58</f>
        <v>736.92</v>
      </c>
      <c r="AP58" s="4">
        <f>[1]节奏总纲!AP58</f>
        <v>491.28000000000003</v>
      </c>
      <c r="AQ58" s="4">
        <f>[1]节奏总纲!AQ58</f>
        <v>245.64000000000001</v>
      </c>
      <c r="AS58" s="4">
        <f>[1]节奏总纲!AS58</f>
        <v>55</v>
      </c>
      <c r="AT58" s="4">
        <f>[1]节奏总纲!AT58</f>
        <v>167.97690558987483</v>
      </c>
      <c r="AU58" s="4">
        <f>[1]节奏总纲!AU58</f>
        <v>134.38152447189987</v>
      </c>
      <c r="AV58" s="4">
        <f>[1]节奏总纲!AV58</f>
        <v>100.7861433539249</v>
      </c>
      <c r="AW58" s="4">
        <f>[1]节奏总纲!AW58</f>
        <v>67.190762235949933</v>
      </c>
      <c r="AX58" s="4">
        <f>[1]节奏总纲!AX58</f>
        <v>33.595381117974966</v>
      </c>
      <c r="AZ58" s="4">
        <v>55</v>
      </c>
      <c r="BA58" s="4">
        <f>[1]节奏总纲!BA58</f>
        <v>34.09469189131628</v>
      </c>
      <c r="BB58" s="4">
        <f>[1]节奏总纲!BB58</f>
        <v>35.512351993284277</v>
      </c>
      <c r="BC58" s="4">
        <f>[1]节奏总纲!BC58</f>
        <v>37.438462561985709</v>
      </c>
      <c r="BD58" s="4">
        <f>[1]节奏总纲!BD58</f>
        <v>40.168994574261895</v>
      </c>
      <c r="BE58" s="4">
        <f>[1]节奏总纲!BE58</f>
        <v>44.843574549861387</v>
      </c>
      <c r="BI58" s="4">
        <v>19</v>
      </c>
      <c r="BJ58" s="4">
        <f>求节点($AL$4:$AL$83,AM$4:AM$83,('[1]功能-城建'!$BD24+'[1]功能-城建'!$BY24)/2)</f>
        <v>351.81421636638072</v>
      </c>
      <c r="BK58" s="4">
        <f>求节点($AL$4:$AL$83,AN$4:AN$83,('[1]功能-城建'!$BD24+'[1]功能-城建'!$BY24)/2)</f>
        <v>281.45137309310462</v>
      </c>
      <c r="BL58" s="4">
        <f>求节点($AL$4:$AL$83,AO$4:AO$83,('[1]功能-城建'!$BD24+'[1]功能-城建'!$BY24)/2)</f>
        <v>211.08852981982841</v>
      </c>
      <c r="BM58" s="4">
        <f>求节点($AL$4:$AL$83,AP$4:AP$83,('[1]功能-城建'!$BD24+'[1]功能-城建'!$BY24)/2)</f>
        <v>140.72568654655231</v>
      </c>
      <c r="BN58" s="4">
        <f>求节点($AL$4:$AL$83,AQ$4:AQ$83,('[1]功能-城建'!$BD24+'[1]功能-城建'!$BY24)/2)</f>
        <v>70.362843273276155</v>
      </c>
      <c r="BR58" s="4">
        <v>55</v>
      </c>
      <c r="BS58" s="4">
        <f>'[1]功能-城建'!O60</f>
        <v>22</v>
      </c>
      <c r="BT58" s="4">
        <f>'[1]功能-城建'!P60</f>
        <v>22</v>
      </c>
      <c r="BU58" s="4">
        <f>'[1]功能-城建'!Q60</f>
        <v>22</v>
      </c>
      <c r="BV58" s="4">
        <f>'[1]功能-城建'!R60</f>
        <v>22</v>
      </c>
      <c r="BW58" s="4">
        <f t="shared" si="1"/>
        <v>88</v>
      </c>
    </row>
    <row r="59" spans="6:75" x14ac:dyDescent="0.15">
      <c r="F59" s="4">
        <f>[1]节奏总纲!F59</f>
        <v>57</v>
      </c>
      <c r="G59" s="4">
        <f>[1]节奏总纲!G59</f>
        <v>50.984153366799077</v>
      </c>
      <c r="I59" s="4">
        <f>[1]节奏总纲!I59</f>
        <v>57</v>
      </c>
      <c r="J59" s="4">
        <f>[1]节奏总纲!J59</f>
        <v>1647.8248427703616</v>
      </c>
      <c r="K59" s="4">
        <f>[1]节奏总纲!K59</f>
        <v>1.22</v>
      </c>
      <c r="N59" s="4">
        <f>[1]节奏总纲!N59</f>
        <v>66</v>
      </c>
      <c r="O59" s="4">
        <f>[1]节奏总纲!O59</f>
        <v>56</v>
      </c>
      <c r="P59" s="6">
        <f>[1]节奏总纲!P59</f>
        <v>47.502930128332721</v>
      </c>
      <c r="Q59" s="6">
        <f>[1]节奏总纲!Q59</f>
        <v>41.275295988508304</v>
      </c>
      <c r="R59" s="6">
        <f>[1]节奏总纲!R59</f>
        <v>33.888590353552566</v>
      </c>
      <c r="S59" s="6">
        <f>[1]节奏总纲!S59</f>
        <v>24.910536559297679</v>
      </c>
      <c r="T59" s="6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4">
        <f>[1]节奏总纲!AL59</f>
        <v>56</v>
      </c>
      <c r="AM59" s="4">
        <f>[1]节奏总纲!AM59</f>
        <v>1422.6782097755249</v>
      </c>
      <c r="AN59" s="4">
        <f>[1]节奏总纲!AN59</f>
        <v>1138.14256782042</v>
      </c>
      <c r="AO59" s="4">
        <f>[1]节奏总纲!AO59</f>
        <v>853.60692586531491</v>
      </c>
      <c r="AP59" s="4">
        <f>[1]节奏总纲!AP59</f>
        <v>569.07128391021001</v>
      </c>
      <c r="AQ59" s="4">
        <f>[1]节奏总纲!AQ59</f>
        <v>284.53564195510501</v>
      </c>
      <c r="AS59" s="4">
        <f>[1]节奏总纲!AS59</f>
        <v>56</v>
      </c>
      <c r="AT59" s="4">
        <f>[1]节奏总纲!AT59</f>
        <v>194.47820977552487</v>
      </c>
      <c r="AU59" s="4">
        <f>[1]节奏总纲!AU59</f>
        <v>155.58256782041997</v>
      </c>
      <c r="AV59" s="4">
        <f>[1]节奏总纲!AV59</f>
        <v>116.68692586531495</v>
      </c>
      <c r="AW59" s="4">
        <f>[1]节奏总纲!AW59</f>
        <v>77.791283910209984</v>
      </c>
      <c r="AX59" s="4">
        <f>[1]节奏总纲!AX59</f>
        <v>38.895641955104992</v>
      </c>
      <c r="AZ59" s="4">
        <v>56</v>
      </c>
      <c r="BA59" s="4">
        <f>[1]节奏总纲!BA59</f>
        <v>34.201198727632011</v>
      </c>
      <c r="BB59" s="4">
        <f>[1]节奏总纲!BB59</f>
        <v>35.634340563113874</v>
      </c>
      <c r="BC59" s="4">
        <f>[1]节奏总纲!BC59</f>
        <v>37.55946735008159</v>
      </c>
      <c r="BD59" s="4">
        <f>[1]节奏总纲!BD59</f>
        <v>40.28554255651148</v>
      </c>
      <c r="BE59" s="4">
        <f>[1]节奏总纲!BE59</f>
        <v>44.972851781380903</v>
      </c>
      <c r="BI59" s="4">
        <v>20</v>
      </c>
      <c r="BJ59" s="4">
        <f>求节点($AL$4:$AL$83,AM$4:AM$83,('[1]功能-城建'!$BD25+'[1]功能-城建'!$BY25)/2)</f>
        <v>507.55295278468168</v>
      </c>
      <c r="BK59" s="4">
        <f>求节点($AL$4:$AL$83,AN$4:AN$83,('[1]功能-城建'!$BD25+'[1]功能-城建'!$BY25)/2)</f>
        <v>406.04236222774534</v>
      </c>
      <c r="BL59" s="4">
        <f>求节点($AL$4:$AL$83,AO$4:AO$83,('[1]功能-城建'!$BD25+'[1]功能-城建'!$BY25)/2)</f>
        <v>304.53177167080901</v>
      </c>
      <c r="BM59" s="4">
        <f>求节点($AL$4:$AL$83,AP$4:AP$83,('[1]功能-城建'!$BD25+'[1]功能-城建'!$BY25)/2)</f>
        <v>203.02118111387267</v>
      </c>
      <c r="BN59" s="4">
        <f>求节点($AL$4:$AL$83,AQ$4:AQ$83,('[1]功能-城建'!$BD25+'[1]功能-城建'!$BY25)/2)</f>
        <v>101.51059055693634</v>
      </c>
      <c r="BR59" s="4">
        <v>56</v>
      </c>
      <c r="BS59" s="4">
        <f>'[1]功能-城建'!O61</f>
        <v>22</v>
      </c>
      <c r="BT59" s="4">
        <f>'[1]功能-城建'!P61</f>
        <v>22</v>
      </c>
      <c r="BU59" s="4">
        <f>'[1]功能-城建'!Q61</f>
        <v>22</v>
      </c>
      <c r="BV59" s="4">
        <f>'[1]功能-城建'!R61</f>
        <v>22</v>
      </c>
      <c r="BW59" s="4">
        <f t="shared" si="1"/>
        <v>88</v>
      </c>
    </row>
    <row r="60" spans="6:75" x14ac:dyDescent="0.15">
      <c r="F60" s="4">
        <f>[1]节奏总纲!F60</f>
        <v>58</v>
      </c>
      <c r="G60" s="4">
        <f>[1]节奏总纲!G60</f>
        <v>54.715236050951923</v>
      </c>
      <c r="I60" s="4">
        <f>[1]节奏总纲!I60</f>
        <v>58</v>
      </c>
      <c r="J60" s="4">
        <f>[1]节奏总纲!J60</f>
        <v>1908.4603298511749</v>
      </c>
      <c r="K60" s="4">
        <f>[1]节奏总纲!K60</f>
        <v>1.23</v>
      </c>
      <c r="N60" s="4">
        <f>[1]节奏总纲!N60</f>
        <v>67</v>
      </c>
      <c r="O60" s="4">
        <f>[1]节奏总纲!O60</f>
        <v>57</v>
      </c>
      <c r="P60" s="6">
        <f>[1]节奏总纲!P60</f>
        <v>50.984153366799077</v>
      </c>
      <c r="Q60" s="6">
        <f>[1]节奏总纲!Q60</f>
        <v>44.310327691085078</v>
      </c>
      <c r="R60" s="6">
        <f>[1]节奏总纲!R60</f>
        <v>36.316012443170983</v>
      </c>
      <c r="S60" s="6">
        <f>[1]节奏总纲!S60</f>
        <v>26.664712210835919</v>
      </c>
      <c r="T60" s="6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4">
        <f>[1]节奏总纲!AL60</f>
        <v>57</v>
      </c>
      <c r="AM60" s="4">
        <f>[1]节奏总纲!AM60</f>
        <v>1647.8248427703616</v>
      </c>
      <c r="AN60" s="4">
        <f>[1]节奏总纲!AN60</f>
        <v>1318.2598742162893</v>
      </c>
      <c r="AO60" s="4">
        <f>[1]节奏总纲!AO60</f>
        <v>988.69490566221691</v>
      </c>
      <c r="AP60" s="4">
        <f>[1]节奏总纲!AP60</f>
        <v>659.12993710814465</v>
      </c>
      <c r="AQ60" s="4">
        <f>[1]节奏总纲!AQ60</f>
        <v>329.56496855407232</v>
      </c>
      <c r="AS60" s="4">
        <f>[1]节奏总纲!AS60</f>
        <v>57</v>
      </c>
      <c r="AT60" s="4">
        <f>[1]节奏总纲!AT60</f>
        <v>225.14663299483664</v>
      </c>
      <c r="AU60" s="4">
        <f>[1]节奏总纲!AU60</f>
        <v>180.11730639586926</v>
      </c>
      <c r="AV60" s="4">
        <f>[1]节奏总纲!AV60</f>
        <v>135.087979796902</v>
      </c>
      <c r="AW60" s="4">
        <f>[1]节奏总纲!AW60</f>
        <v>90.058653197934632</v>
      </c>
      <c r="AX60" s="4">
        <f>[1]节奏总纲!AX60</f>
        <v>45.029326598967316</v>
      </c>
      <c r="AZ60" s="4">
        <v>57</v>
      </c>
      <c r="BA60" s="4">
        <f>[1]节奏总纲!BA60</f>
        <v>34.307705563947749</v>
      </c>
      <c r="BB60" s="4">
        <f>[1]节奏总纲!BB60</f>
        <v>35.756329132943463</v>
      </c>
      <c r="BC60" s="4">
        <f>[1]节奏总纲!BC60</f>
        <v>37.680472138177478</v>
      </c>
      <c r="BD60" s="4">
        <f>[1]节奏总纲!BD60</f>
        <v>40.402090538761065</v>
      </c>
      <c r="BE60" s="4">
        <f>[1]节奏总纲!BE60</f>
        <v>45.088151688727308</v>
      </c>
      <c r="BI60" s="4">
        <v>21</v>
      </c>
      <c r="BJ60" s="4">
        <f>求节点($AL$4:$AL$83,AM$4:AM$83,('[1]功能-城建'!$BD26+'[1]功能-城建'!$BY26)/2)</f>
        <v>681.65492699983838</v>
      </c>
      <c r="BK60" s="4">
        <f>求节点($AL$4:$AL$83,AN$4:AN$83,('[1]功能-城建'!$BD26+'[1]功能-城建'!$BY26)/2)</f>
        <v>545.32394159987075</v>
      </c>
      <c r="BL60" s="4">
        <f>求节点($AL$4:$AL$83,AO$4:AO$83,('[1]功能-城建'!$BD26+'[1]功能-城建'!$BY26)/2)</f>
        <v>408.99295619990301</v>
      </c>
      <c r="BM60" s="4">
        <f>求节点($AL$4:$AL$83,AP$4:AP$83,('[1]功能-城建'!$BD26+'[1]功能-城建'!$BY26)/2)</f>
        <v>272.66197079993537</v>
      </c>
      <c r="BN60" s="4">
        <f>求节点($AL$4:$AL$83,AQ$4:AQ$83,('[1]功能-城建'!$BD26+'[1]功能-城建'!$BY26)/2)</f>
        <v>136.33098539996769</v>
      </c>
      <c r="BR60" s="4">
        <v>57</v>
      </c>
      <c r="BS60" s="4">
        <f>'[1]功能-城建'!O62</f>
        <v>23</v>
      </c>
      <c r="BT60" s="4">
        <f>'[1]功能-城建'!P62</f>
        <v>23</v>
      </c>
      <c r="BU60" s="4">
        <f>'[1]功能-城建'!Q62</f>
        <v>23</v>
      </c>
      <c r="BV60" s="4">
        <f>'[1]功能-城建'!R62</f>
        <v>23</v>
      </c>
      <c r="BW60" s="4">
        <f t="shared" si="1"/>
        <v>92</v>
      </c>
    </row>
    <row r="61" spans="6:75" x14ac:dyDescent="0.15">
      <c r="F61" s="4">
        <f>[1]节奏总纲!F61</f>
        <v>59</v>
      </c>
      <c r="G61" s="4">
        <f>[1]节奏总纲!G61</f>
        <v>58.714111458355703</v>
      </c>
      <c r="I61" s="4">
        <f>[1]节奏总纲!I61</f>
        <v>59</v>
      </c>
      <c r="J61" s="4">
        <f>[1]节奏总纲!J61</f>
        <v>2210.1605665017755</v>
      </c>
      <c r="K61" s="4">
        <f>[1]节奏总纲!K61</f>
        <v>1.24</v>
      </c>
      <c r="N61" s="4">
        <f>[1]节奏总纲!N61</f>
        <v>68</v>
      </c>
      <c r="O61" s="4">
        <f>[1]节奏总纲!O61</f>
        <v>58</v>
      </c>
      <c r="P61" s="6">
        <f>[1]节奏总纲!P61</f>
        <v>54.715236050951923</v>
      </c>
      <c r="Q61" s="6">
        <f>[1]节奏总纲!Q61</f>
        <v>47.459995750595695</v>
      </c>
      <c r="R61" s="6">
        <f>[1]节奏总纲!R61</f>
        <v>38.913475879437009</v>
      </c>
      <c r="S61" s="6">
        <f>[1]节奏总纲!S61</f>
        <v>28.572296265807093</v>
      </c>
      <c r="T61" s="6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4">
        <f>[1]节奏总纲!AL61</f>
        <v>58</v>
      </c>
      <c r="AM61" s="4">
        <f>[1]节奏总纲!AM61</f>
        <v>1908.4603298511749</v>
      </c>
      <c r="AN61" s="4">
        <f>[1]节奏总纲!AN61</f>
        <v>1526.7682638809401</v>
      </c>
      <c r="AO61" s="4">
        <f>[1]节奏总纲!AO61</f>
        <v>1145.0761979107049</v>
      </c>
      <c r="AP61" s="4">
        <f>[1]节奏总纲!AP61</f>
        <v>763.38413194047007</v>
      </c>
      <c r="AQ61" s="4">
        <f>[1]节奏总纲!AQ61</f>
        <v>381.69206597023503</v>
      </c>
      <c r="AS61" s="4">
        <f>[1]节奏总纲!AS61</f>
        <v>58</v>
      </c>
      <c r="AT61" s="4">
        <f>[1]节奏总纲!AT61</f>
        <v>260.63548708081339</v>
      </c>
      <c r="AU61" s="4">
        <f>[1]节奏总纲!AU61</f>
        <v>208.50838966465085</v>
      </c>
      <c r="AV61" s="4">
        <f>[1]节奏总纲!AV61</f>
        <v>156.38129224848797</v>
      </c>
      <c r="AW61" s="4">
        <f>[1]节奏总纲!AW61</f>
        <v>104.25419483232542</v>
      </c>
      <c r="AX61" s="4">
        <f>[1]节奏总纲!AX61</f>
        <v>52.127097416162712</v>
      </c>
      <c r="AZ61" s="4">
        <v>58</v>
      </c>
      <c r="BA61" s="4">
        <f>[1]节奏总纲!BA61</f>
        <v>34.41421240026348</v>
      </c>
      <c r="BB61" s="4">
        <f>[1]节奏总纲!BB61</f>
        <v>35.878317702773053</v>
      </c>
      <c r="BC61" s="4">
        <f>[1]节奏总纲!BC61</f>
        <v>37.801476926273359</v>
      </c>
      <c r="BD61" s="4">
        <f>[1]节奏总纲!BD61</f>
        <v>40.518638521010644</v>
      </c>
      <c r="BE61" s="4">
        <f>[1]节奏总纲!BE61</f>
        <v>45.199736104837825</v>
      </c>
      <c r="BI61" s="4">
        <v>22</v>
      </c>
      <c r="BJ61" s="4">
        <f>求节点($AL$4:$AL$83,AM$4:AM$83,('[1]功能-城建'!$BD27+'[1]功能-城建'!$BY27)/2)</f>
        <v>852.49916984615788</v>
      </c>
      <c r="BK61" s="4">
        <f>求节点($AL$4:$AL$83,AN$4:AN$83,('[1]功能-城建'!$BD27+'[1]功能-城建'!$BY27)/2)</f>
        <v>681.99933587692635</v>
      </c>
      <c r="BL61" s="4">
        <f>求节点($AL$4:$AL$83,AO$4:AO$83,('[1]功能-城建'!$BD27+'[1]功能-城建'!$BY27)/2)</f>
        <v>511.49950190769476</v>
      </c>
      <c r="BM61" s="4">
        <f>求节点($AL$4:$AL$83,AP$4:AP$83,('[1]功能-城建'!$BD27+'[1]功能-城建'!$BY27)/2)</f>
        <v>340.99966793846318</v>
      </c>
      <c r="BN61" s="4">
        <f>求节点($AL$4:$AL$83,AQ$4:AQ$83,('[1]功能-城建'!$BD27+'[1]功能-城建'!$BY27)/2)</f>
        <v>170.49983396923159</v>
      </c>
      <c r="BR61" s="4">
        <v>58</v>
      </c>
      <c r="BS61" s="4">
        <f>'[1]功能-城建'!O63</f>
        <v>23</v>
      </c>
      <c r="BT61" s="4">
        <f>'[1]功能-城建'!P63</f>
        <v>23</v>
      </c>
      <c r="BU61" s="4">
        <f>'[1]功能-城建'!Q63</f>
        <v>23</v>
      </c>
      <c r="BV61" s="4">
        <f>'[1]功能-城建'!R63</f>
        <v>23</v>
      </c>
      <c r="BW61" s="4">
        <f t="shared" si="1"/>
        <v>92</v>
      </c>
    </row>
    <row r="62" spans="6:75" x14ac:dyDescent="0.15">
      <c r="F62" s="4">
        <f>[1]节奏总纲!F62</f>
        <v>60</v>
      </c>
      <c r="G62" s="4">
        <f>[1]节奏总纲!G62</f>
        <v>63</v>
      </c>
      <c r="I62" s="4">
        <f>[1]节奏总纲!I62</f>
        <v>60</v>
      </c>
      <c r="J62" s="4">
        <f>[1]节奏总纲!J62</f>
        <v>2559.375</v>
      </c>
      <c r="K62" s="4">
        <f>[1]节奏总纲!K62</f>
        <v>1.25</v>
      </c>
      <c r="N62" s="4">
        <f>[1]节奏总纲!N62</f>
        <v>69</v>
      </c>
      <c r="O62" s="4">
        <f>[1]节奏总纲!O62</f>
        <v>59</v>
      </c>
      <c r="P62" s="6">
        <f>[1]节奏总纲!P62</f>
        <v>58.714111458355703</v>
      </c>
      <c r="Q62" s="6">
        <f>[1]节奏总纲!Q62</f>
        <v>50.940363101269412</v>
      </c>
      <c r="R62" s="6">
        <f>[1]节奏总纲!R62</f>
        <v>41.728119013453394</v>
      </c>
      <c r="S62" s="6">
        <f>[1]节奏总纲!S62</f>
        <v>30.607666303240826</v>
      </c>
      <c r="T62" s="6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4">
        <f>[1]节奏总纲!AL62</f>
        <v>59</v>
      </c>
      <c r="AM62" s="4">
        <f>[1]节奏总纲!AM62</f>
        <v>2210.1605665017755</v>
      </c>
      <c r="AN62" s="4">
        <f>[1]节奏总纲!AN62</f>
        <v>1768.1284532014206</v>
      </c>
      <c r="AO62" s="4">
        <f>[1]节奏总纲!AO62</f>
        <v>1326.0963399010652</v>
      </c>
      <c r="AP62" s="4">
        <f>[1]节奏总纲!AP62</f>
        <v>884.0642266007103</v>
      </c>
      <c r="AQ62" s="4">
        <f>[1]节奏总纲!AQ62</f>
        <v>442.03211330035515</v>
      </c>
      <c r="AS62" s="4">
        <f>[1]节奏总纲!AS62</f>
        <v>59</v>
      </c>
      <c r="AT62" s="4">
        <f>[1]节奏总纲!AT62</f>
        <v>301.70023665060057</v>
      </c>
      <c r="AU62" s="4">
        <f>[1]节奏总纲!AU62</f>
        <v>241.36018932048046</v>
      </c>
      <c r="AV62" s="4">
        <f>[1]节奏总纲!AV62</f>
        <v>181.02014199036034</v>
      </c>
      <c r="AW62" s="4">
        <f>[1]节奏总纲!AW62</f>
        <v>120.68009466024023</v>
      </c>
      <c r="AX62" s="4">
        <f>[1]节奏总纲!AX62</f>
        <v>60.340047330120115</v>
      </c>
      <c r="AZ62" s="4">
        <v>59</v>
      </c>
      <c r="BA62" s="4">
        <f>[1]节奏总纲!BA62</f>
        <v>34.520719236579211</v>
      </c>
      <c r="BB62" s="4">
        <f>[1]节奏总纲!BB62</f>
        <v>36.000264155774609</v>
      </c>
      <c r="BC62" s="4">
        <f>[1]节奏总纲!BC62</f>
        <v>37.922481714369241</v>
      </c>
      <c r="BD62" s="4">
        <f>[1]节奏总纲!BD62</f>
        <v>40.635186503260229</v>
      </c>
      <c r="BE62" s="4">
        <f>[1]节奏总纲!BE62</f>
        <v>45.31132052094835</v>
      </c>
      <c r="BI62" s="4">
        <v>23</v>
      </c>
      <c r="BJ62" s="4">
        <f>求节点($AL$4:$AL$83,AM$4:AM$83,('[1]功能-城建'!$BD28+'[1]功能-城建'!$BY28)/2)</f>
        <v>1144.2115472050627</v>
      </c>
      <c r="BK62" s="4">
        <f>求节点($AL$4:$AL$83,AN$4:AN$83,('[1]功能-城建'!$BD28+'[1]功能-城建'!$BY28)/2)</f>
        <v>915.36923776405013</v>
      </c>
      <c r="BL62" s="4">
        <f>求节点($AL$4:$AL$83,AO$4:AO$83,('[1]功能-城建'!$BD28+'[1]功能-城建'!$BY28)/2)</f>
        <v>686.52692832303751</v>
      </c>
      <c r="BM62" s="4">
        <f>求节点($AL$4:$AL$83,AP$4:AP$83,('[1]功能-城建'!$BD28+'[1]功能-城建'!$BY28)/2)</f>
        <v>457.68461888202506</v>
      </c>
      <c r="BN62" s="4">
        <f>求节点($AL$4:$AL$83,AQ$4:AQ$83,('[1]功能-城建'!$BD28+'[1]功能-城建'!$BY28)/2)</f>
        <v>228.84230944101253</v>
      </c>
      <c r="BR62" s="4">
        <v>59</v>
      </c>
      <c r="BS62" s="4">
        <f>'[1]功能-城建'!O64</f>
        <v>23</v>
      </c>
      <c r="BT62" s="4">
        <f>'[1]功能-城建'!P64</f>
        <v>23</v>
      </c>
      <c r="BU62" s="4">
        <f>'[1]功能-城建'!Q64</f>
        <v>23</v>
      </c>
      <c r="BV62" s="4">
        <f>'[1]功能-城建'!R64</f>
        <v>23</v>
      </c>
      <c r="BW62" s="4">
        <f t="shared" si="1"/>
        <v>92</v>
      </c>
    </row>
    <row r="63" spans="6:75" x14ac:dyDescent="0.15">
      <c r="F63" s="4">
        <f>[1]节奏总纲!F63</f>
        <v>61</v>
      </c>
      <c r="G63" s="4">
        <f>[1]节奏总纲!G63</f>
        <v>67.593501602322732</v>
      </c>
      <c r="I63" s="4">
        <f>[1]节奏总纲!I63</f>
        <v>61</v>
      </c>
      <c r="J63" s="4">
        <f>[1]节奏总纲!J63</f>
        <v>2963.5631311027469</v>
      </c>
      <c r="K63" s="4">
        <f>[1]节奏总纲!K63</f>
        <v>1.26</v>
      </c>
      <c r="N63" s="4">
        <f>[1]节奏总纲!N63</f>
        <v>70</v>
      </c>
      <c r="O63" s="4">
        <f>[1]节奏总纲!O63</f>
        <v>60</v>
      </c>
      <c r="P63" s="6">
        <f>[1]节奏总纲!P63</f>
        <v>63</v>
      </c>
      <c r="Q63" s="6">
        <f>[1]节奏总纲!Q63</f>
        <v>54.589500000000001</v>
      </c>
      <c r="R63" s="6">
        <f>[1]节奏总纲!R63</f>
        <v>44.717399999999998</v>
      </c>
      <c r="S63" s="6">
        <f>[1]节奏总纲!S63</f>
        <v>32.810400000000001</v>
      </c>
      <c r="T63" s="6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4">
        <f>[1]节奏总纲!AL63</f>
        <v>60</v>
      </c>
      <c r="AM63" s="4">
        <f>[1]节奏总纲!AM63</f>
        <v>2559.375</v>
      </c>
      <c r="AN63" s="4">
        <f>[1]节奏总纲!AN63</f>
        <v>2047.5</v>
      </c>
      <c r="AO63" s="4">
        <f>[1]节奏总纲!AO63</f>
        <v>1535.625</v>
      </c>
      <c r="AP63" s="4">
        <f>[1]节奏总纲!AP63</f>
        <v>1023.75</v>
      </c>
      <c r="AQ63" s="4">
        <f>[1]节奏总纲!AQ63</f>
        <v>511.875</v>
      </c>
      <c r="AS63" s="4">
        <f>[1]节奏总纲!AS63</f>
        <v>60</v>
      </c>
      <c r="AT63" s="4">
        <f>[1]节奏总纲!AT63</f>
        <v>349.21443349822448</v>
      </c>
      <c r="AU63" s="4">
        <f>[1]节奏总纲!AU63</f>
        <v>279.3715467985794</v>
      </c>
      <c r="AV63" s="4">
        <f>[1]节奏总纲!AV63</f>
        <v>209.52866009893478</v>
      </c>
      <c r="AW63" s="4">
        <f>[1]节奏总纲!AW63</f>
        <v>139.6857733992897</v>
      </c>
      <c r="AX63" s="4">
        <f>[1]节奏总纲!AX63</f>
        <v>69.842886699644851</v>
      </c>
      <c r="AZ63" s="4">
        <v>60</v>
      </c>
      <c r="BA63" s="4">
        <f>[1]节奏总纲!BA63</f>
        <v>34.627226072894942</v>
      </c>
      <c r="BB63" s="4">
        <f>[1]节奏总纲!BB63</f>
        <v>36.105477566569242</v>
      </c>
      <c r="BC63" s="4">
        <f>[1]节奏总纲!BC63</f>
        <v>38.037513426486328</v>
      </c>
      <c r="BD63" s="4">
        <f>[1]节奏总纲!BD63</f>
        <v>40.751734485509814</v>
      </c>
      <c r="BE63" s="4">
        <f>[1]节奏总纲!BE63</f>
        <v>45.422904937058867</v>
      </c>
      <c r="BI63" s="4">
        <v>24</v>
      </c>
      <c r="BJ63" s="4">
        <f>求节点($AL$4:$AL$83,AM$4:AM$83,('[1]功能-城建'!$BD29+'[1]功能-城建'!$BY29)/2)</f>
        <v>1535.2515262729432</v>
      </c>
      <c r="BK63" s="4">
        <f>求节点($AL$4:$AL$83,AN$4:AN$83,('[1]功能-城建'!$BD29+'[1]功能-城建'!$BY29)/2)</f>
        <v>1228.2012210183548</v>
      </c>
      <c r="BL63" s="4">
        <f>求节点($AL$4:$AL$83,AO$4:AO$83,('[1]功能-城建'!$BD29+'[1]功能-城建'!$BY29)/2)</f>
        <v>921.15091576376585</v>
      </c>
      <c r="BM63" s="4">
        <f>求节点($AL$4:$AL$83,AP$4:AP$83,('[1]功能-城建'!$BD29+'[1]功能-城建'!$BY29)/2)</f>
        <v>614.10061050917739</v>
      </c>
      <c r="BN63" s="4">
        <f>求节点($AL$4:$AL$83,AQ$4:AQ$83,('[1]功能-城建'!$BD29+'[1]功能-城建'!$BY29)/2)</f>
        <v>307.05030525458869</v>
      </c>
      <c r="BR63" s="4">
        <v>60</v>
      </c>
      <c r="BS63" s="4">
        <f>'[1]功能-城建'!O65</f>
        <v>24</v>
      </c>
      <c r="BT63" s="4">
        <f>'[1]功能-城建'!P65</f>
        <v>24</v>
      </c>
      <c r="BU63" s="4">
        <f>'[1]功能-城建'!Q65</f>
        <v>24</v>
      </c>
      <c r="BV63" s="4">
        <f>'[1]功能-城建'!R65</f>
        <v>24</v>
      </c>
      <c r="BW63" s="4">
        <f t="shared" si="1"/>
        <v>96</v>
      </c>
    </row>
    <row r="64" spans="6:75" x14ac:dyDescent="0.15">
      <c r="F64" s="4">
        <f>[1]节奏总纲!F64</f>
        <v>62</v>
      </c>
      <c r="G64" s="4">
        <f>[1]节奏总纲!G64</f>
        <v>72.516694719810218</v>
      </c>
      <c r="I64" s="4">
        <f>[1]节奏总纲!I64</f>
        <v>62</v>
      </c>
      <c r="J64" s="4">
        <f>[1]节奏总纲!J64</f>
        <v>3431.3522956038646</v>
      </c>
      <c r="K64" s="4">
        <f>[1]节奏总纲!K64</f>
        <v>1.27</v>
      </c>
      <c r="N64" s="4">
        <f>[1]节奏总纲!N64</f>
        <v>71</v>
      </c>
      <c r="O64" s="4">
        <f>[1]节奏总纲!O64</f>
        <v>61</v>
      </c>
      <c r="P64" s="6">
        <f>[1]节奏总纲!P64</f>
        <v>67.593501602322732</v>
      </c>
      <c r="Q64" s="6">
        <f>[1]节奏总纲!Q64</f>
        <v>58.596806539053574</v>
      </c>
      <c r="R64" s="6">
        <f>[1]节奏总纲!R64</f>
        <v>47.977867437328676</v>
      </c>
      <c r="S64" s="6">
        <f>[1]节奏总纲!S64</f>
        <v>35.229733035130607</v>
      </c>
      <c r="T64" s="6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4">
        <f>[1]节奏总纲!AL64</f>
        <v>61</v>
      </c>
      <c r="AM64" s="4">
        <f>[1]节奏总纲!AM64</f>
        <v>2963.5631311027469</v>
      </c>
      <c r="AN64" s="4">
        <f>[1]节奏总纲!AN64</f>
        <v>2370.8505048821976</v>
      </c>
      <c r="AO64" s="4">
        <f>[1]节奏总纲!AO64</f>
        <v>1778.1378786616481</v>
      </c>
      <c r="AP64" s="4">
        <f>[1]节奏总纲!AP64</f>
        <v>1185.4252524410988</v>
      </c>
      <c r="AQ64" s="4">
        <f>[1]节奏总纲!AQ64</f>
        <v>592.7126262205494</v>
      </c>
      <c r="AS64" s="4">
        <f>[1]节奏总纲!AS64</f>
        <v>61</v>
      </c>
      <c r="AT64" s="4">
        <f>[1]节奏总纲!AT64</f>
        <v>404.18813110274687</v>
      </c>
      <c r="AU64" s="4">
        <f>[1]节奏总纲!AU64</f>
        <v>323.35050488219758</v>
      </c>
      <c r="AV64" s="4">
        <f>[1]节奏总纲!AV64</f>
        <v>242.51287866164807</v>
      </c>
      <c r="AW64" s="4">
        <f>[1]节奏总纲!AW64</f>
        <v>161.67525244109879</v>
      </c>
      <c r="AX64" s="4">
        <f>[1]节奏总纲!AX64</f>
        <v>80.837626220549396</v>
      </c>
      <c r="AZ64" s="4">
        <v>61</v>
      </c>
      <c r="BA64" s="4">
        <f>[1]节奏总纲!BA64</f>
        <v>34.733732909210673</v>
      </c>
      <c r="BB64" s="4">
        <f>[1]节奏总纲!BB64</f>
        <v>36.210690977363875</v>
      </c>
      <c r="BC64" s="4">
        <f>[1]节奏总纲!BC64</f>
        <v>38.14189763688286</v>
      </c>
      <c r="BD64" s="4">
        <f>[1]节奏总纲!BD64</f>
        <v>40.8682824677594</v>
      </c>
      <c r="BE64" s="4">
        <f>[1]节奏总纲!BE64</f>
        <v>45.534489353169384</v>
      </c>
      <c r="BI64" s="4">
        <v>25</v>
      </c>
      <c r="BJ64" s="4">
        <f>求节点($AL$4:$AL$83,AM$4:AM$83,('[1]功能-城建'!$BD30+'[1]功能-城建'!$BY30)/2)</f>
        <v>2059.3104481764753</v>
      </c>
      <c r="BK64" s="4">
        <f>求节点($AL$4:$AL$83,AN$4:AN$83,('[1]功能-城建'!$BD30+'[1]功能-城建'!$BY30)/2)</f>
        <v>1647.4483585411804</v>
      </c>
      <c r="BL64" s="4">
        <f>求节点($AL$4:$AL$83,AO$4:AO$83,('[1]功能-城建'!$BD30+'[1]功能-城建'!$BY30)/2)</f>
        <v>1235.5862689058849</v>
      </c>
      <c r="BM64" s="4">
        <f>求节点($AL$4:$AL$83,AP$4:AP$83,('[1]功能-城建'!$BD30+'[1]功能-城建'!$BY30)/2)</f>
        <v>823.72417927059018</v>
      </c>
      <c r="BN64" s="4">
        <f>求节点($AL$4:$AL$83,AQ$4:AQ$83,('[1]功能-城建'!$BD30+'[1]功能-城建'!$BY30)/2)</f>
        <v>411.86208963529509</v>
      </c>
      <c r="BR64" s="4">
        <v>61</v>
      </c>
      <c r="BS64" s="4">
        <f>'[1]功能-城建'!O66</f>
        <v>24</v>
      </c>
      <c r="BT64" s="4">
        <f>'[1]功能-城建'!P66</f>
        <v>24</v>
      </c>
      <c r="BU64" s="4">
        <f>'[1]功能-城建'!Q66</f>
        <v>24</v>
      </c>
      <c r="BV64" s="4">
        <f>'[1]功能-城建'!R66</f>
        <v>24</v>
      </c>
      <c r="BW64" s="4">
        <f t="shared" si="1"/>
        <v>96</v>
      </c>
    </row>
    <row r="65" spans="6:75" x14ac:dyDescent="0.15">
      <c r="F65" s="4">
        <f>[1]节奏总纲!F65</f>
        <v>63</v>
      </c>
      <c r="G65" s="4">
        <f>[1]节奏总纲!G65</f>
        <v>77.793242454074615</v>
      </c>
      <c r="I65" s="4">
        <f>[1]节奏总纲!I65</f>
        <v>63</v>
      </c>
      <c r="J65" s="4">
        <f>[1]节奏总纲!J65</f>
        <v>3972.7200361130153</v>
      </c>
      <c r="K65" s="4">
        <f>[1]节奏总纲!K65</f>
        <v>1.28</v>
      </c>
      <c r="N65" s="4">
        <f>[1]节奏总纲!N65</f>
        <v>72</v>
      </c>
      <c r="O65" s="4">
        <f>[1]节奏总纲!O65</f>
        <v>62</v>
      </c>
      <c r="P65" s="6">
        <f>[1]节奏总纲!P65</f>
        <v>72.516694719810218</v>
      </c>
      <c r="Q65" s="6">
        <f>[1]节奏总纲!Q65</f>
        <v>62.842967644187539</v>
      </c>
      <c r="R65" s="6">
        <f>[1]节奏总纲!R65</f>
        <v>51.5086082594812</v>
      </c>
      <c r="S65" s="6">
        <f>[1]节奏总纲!S65</f>
        <v>37.846462974268952</v>
      </c>
      <c r="T65" s="6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4">
        <f>[1]节奏总纲!AL65</f>
        <v>62</v>
      </c>
      <c r="AM65" s="4">
        <f>[1]节奏总纲!AM65</f>
        <v>3431.3522956038646</v>
      </c>
      <c r="AN65" s="4">
        <f>[1]节奏总纲!AN65</f>
        <v>2745.081836483092</v>
      </c>
      <c r="AO65" s="4">
        <f>[1]节奏总纲!AO65</f>
        <v>2058.8113773623186</v>
      </c>
      <c r="AP65" s="4">
        <f>[1]节奏总纲!AP65</f>
        <v>1372.540918241546</v>
      </c>
      <c r="AQ65" s="4">
        <f>[1]节奏总纲!AQ65</f>
        <v>686.27045912077301</v>
      </c>
      <c r="AS65" s="4">
        <f>[1]节奏总纲!AS65</f>
        <v>62</v>
      </c>
      <c r="AT65" s="4">
        <f>[1]节奏总纲!AT65</f>
        <v>467.78916450111774</v>
      </c>
      <c r="AU65" s="4">
        <f>[1]节奏总纲!AU65</f>
        <v>374.23133160089446</v>
      </c>
      <c r="AV65" s="4">
        <f>[1]节奏总纲!AV65</f>
        <v>280.67349870067051</v>
      </c>
      <c r="AW65" s="4">
        <f>[1]节奏总纲!AW65</f>
        <v>187.11566580044723</v>
      </c>
      <c r="AX65" s="4">
        <f>[1]节奏总纲!AX65</f>
        <v>93.557832900223616</v>
      </c>
      <c r="AZ65" s="4">
        <v>62</v>
      </c>
      <c r="BA65" s="4">
        <f>[1]节奏总纲!BA65</f>
        <v>34.840239745526404</v>
      </c>
      <c r="BB65" s="4">
        <f>[1]节奏总纲!BB65</f>
        <v>36.315904388158508</v>
      </c>
      <c r="BC65" s="4">
        <f>[1]节奏总纲!BC65</f>
        <v>38.246281847279398</v>
      </c>
      <c r="BD65" s="4">
        <f>[1]节奏总纲!BD65</f>
        <v>40.984830450008978</v>
      </c>
      <c r="BE65" s="4">
        <f>[1]节奏总纲!BE65</f>
        <v>45.646073769279901</v>
      </c>
      <c r="BI65" s="4">
        <v>26</v>
      </c>
      <c r="BJ65" s="4">
        <f>求节点($AL$4:$AL$83,AM$4:AM$83,('[1]功能-城建'!$BD31+'[1]功能-城建'!$BY31)/2)</f>
        <v>2761.4690655513732</v>
      </c>
      <c r="BK65" s="4">
        <f>求节点($AL$4:$AL$83,AN$4:AN$83,('[1]功能-城建'!$BD31+'[1]功能-城建'!$BY31)/2)</f>
        <v>2209.1752524410986</v>
      </c>
      <c r="BL65" s="4">
        <f>求节点($AL$4:$AL$83,AO$4:AO$83,('[1]功能-城建'!$BD31+'[1]功能-城建'!$BY31)/2)</f>
        <v>1656.8814393308239</v>
      </c>
      <c r="BM65" s="4">
        <f>求节点($AL$4:$AL$83,AP$4:AP$83,('[1]功能-城建'!$BD31+'[1]功能-城建'!$BY31)/2)</f>
        <v>1104.5876262205493</v>
      </c>
      <c r="BN65" s="4">
        <f>求节点($AL$4:$AL$83,AQ$4:AQ$83,('[1]功能-城建'!$BD31+'[1]功能-城建'!$BY31)/2)</f>
        <v>552.29381311027464</v>
      </c>
      <c r="BR65" s="4">
        <v>62</v>
      </c>
      <c r="BS65" s="4">
        <f>'[1]功能-城建'!O67</f>
        <v>24</v>
      </c>
      <c r="BT65" s="4">
        <f>'[1]功能-城建'!P67</f>
        <v>24</v>
      </c>
      <c r="BU65" s="4">
        <f>'[1]功能-城建'!Q67</f>
        <v>24</v>
      </c>
      <c r="BV65" s="4">
        <f>'[1]功能-城建'!R67</f>
        <v>24</v>
      </c>
      <c r="BW65" s="4">
        <f t="shared" si="1"/>
        <v>96</v>
      </c>
    </row>
    <row r="66" spans="6:75" x14ac:dyDescent="0.15">
      <c r="F66" s="4">
        <f>[1]节奏总纲!F66</f>
        <v>64</v>
      </c>
      <c r="G66" s="4">
        <f>[1]节奏总纲!G66</f>
        <v>83.4485062894652</v>
      </c>
      <c r="I66" s="4">
        <f>[1]节奏总纲!I66</f>
        <v>64</v>
      </c>
      <c r="J66" s="4">
        <f>[1]节奏总纲!J66</f>
        <v>4599.2048883665893</v>
      </c>
      <c r="K66" s="4">
        <f>[1]节奏总纲!K66</f>
        <v>1.29</v>
      </c>
      <c r="N66" s="4">
        <f>[1]节奏总纲!N66</f>
        <v>73</v>
      </c>
      <c r="O66" s="4">
        <f>[1]节奏总纲!O66</f>
        <v>63</v>
      </c>
      <c r="P66" s="6">
        <f>[1]节奏总纲!P66</f>
        <v>77.793242454074615</v>
      </c>
      <c r="Q66" s="6">
        <f>[1]节奏总纲!Q66</f>
        <v>67.470079180418907</v>
      </c>
      <c r="R66" s="6">
        <f>[1]节奏总纲!R66</f>
        <v>55.27987808786542</v>
      </c>
      <c r="S66" s="6">
        <f>[1]节奏总纲!S66</f>
        <v>40.678086479235617</v>
      </c>
      <c r="T66" s="6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4">
        <f>[1]节奏总纲!AL66</f>
        <v>63</v>
      </c>
      <c r="AM66" s="4">
        <f>[1]节奏总纲!AM66</f>
        <v>3972.7200361130153</v>
      </c>
      <c r="AN66" s="4">
        <f>[1]节奏总纲!AN66</f>
        <v>3178.1760288904125</v>
      </c>
      <c r="AO66" s="4">
        <f>[1]节奏总纲!AO66</f>
        <v>2383.6320216678091</v>
      </c>
      <c r="AP66" s="4">
        <f>[1]节奏总纲!AP66</f>
        <v>1589.0880144452062</v>
      </c>
      <c r="AQ66" s="4">
        <f>[1]节奏总纲!AQ66</f>
        <v>794.54400722260311</v>
      </c>
      <c r="AS66" s="4">
        <f>[1]节奏总纲!AS66</f>
        <v>63</v>
      </c>
      <c r="AT66" s="4">
        <f>[1]节奏总纲!AT66</f>
        <v>541.36774050915074</v>
      </c>
      <c r="AU66" s="4">
        <f>[1]节奏总纲!AU66</f>
        <v>433.09419240732041</v>
      </c>
      <c r="AV66" s="4">
        <f>[1]节奏总纲!AV66</f>
        <v>324.82064430549053</v>
      </c>
      <c r="AW66" s="4">
        <f>[1]节奏总纲!AW66</f>
        <v>216.5470962036602</v>
      </c>
      <c r="AX66" s="4">
        <f>[1]节奏总纲!AX66</f>
        <v>108.2735481018301</v>
      </c>
      <c r="AZ66" s="4">
        <v>63</v>
      </c>
      <c r="BA66" s="4">
        <f>[1]节奏总纲!BA66</f>
        <v>34.946746581842135</v>
      </c>
      <c r="BB66" s="4">
        <f>[1]节奏总纲!BB66</f>
        <v>36.421117798953141</v>
      </c>
      <c r="BC66" s="4">
        <f>[1]节奏总纲!BC66</f>
        <v>38.35066605767593</v>
      </c>
      <c r="BD66" s="4">
        <f>[1]节奏总纲!BD66</f>
        <v>41.087476216725996</v>
      </c>
      <c r="BE66" s="4">
        <f>[1]节奏总纲!BE66</f>
        <v>45.757658185390426</v>
      </c>
      <c r="BI66" s="4">
        <v>27</v>
      </c>
      <c r="BJ66" s="4">
        <f>求节点($AL$4:$AL$83,AM$4:AM$83,('[1]功能-城建'!$BD32+'[1]功能-城建'!$BY32)/2)</f>
        <v>3702.0361658584397</v>
      </c>
      <c r="BK66" s="4">
        <f>求节点($AL$4:$AL$83,AN$4:AN$83,('[1]功能-城建'!$BD32+'[1]功能-城建'!$BY32)/2)</f>
        <v>2961.6289326867523</v>
      </c>
      <c r="BL66" s="4">
        <f>求节点($AL$4:$AL$83,AO$4:AO$83,('[1]功能-城建'!$BD32+'[1]功能-城建'!$BY32)/2)</f>
        <v>2221.2216995150638</v>
      </c>
      <c r="BM66" s="4">
        <f>求节点($AL$4:$AL$83,AP$4:AP$83,('[1]功能-城建'!$BD32+'[1]功能-城建'!$BY32)/2)</f>
        <v>1480.8144663433761</v>
      </c>
      <c r="BN66" s="4">
        <f>求节点($AL$4:$AL$83,AQ$4:AQ$83,('[1]功能-城建'!$BD32+'[1]功能-城建'!$BY32)/2)</f>
        <v>740.40723317168806</v>
      </c>
      <c r="BR66" s="4">
        <v>63</v>
      </c>
      <c r="BS66" s="4">
        <f>'[1]功能-城建'!O68</f>
        <v>25</v>
      </c>
      <c r="BT66" s="4">
        <f>'[1]功能-城建'!P68</f>
        <v>25</v>
      </c>
      <c r="BU66" s="4">
        <f>'[1]功能-城建'!Q68</f>
        <v>25</v>
      </c>
      <c r="BV66" s="4">
        <f>'[1]功能-城建'!R68</f>
        <v>25</v>
      </c>
      <c r="BW66" s="4">
        <f t="shared" si="1"/>
        <v>100</v>
      </c>
    </row>
    <row r="67" spans="6:75" x14ac:dyDescent="0.15">
      <c r="F67" s="4">
        <f>[1]节奏总纲!F67</f>
        <v>65</v>
      </c>
      <c r="G67" s="4">
        <f>[1]节奏总纲!G67</f>
        <v>89.509667991878061</v>
      </c>
      <c r="I67" s="4">
        <f>[1]节奏总纲!I67</f>
        <v>65</v>
      </c>
      <c r="J67" s="4">
        <f>[1]节奏总纲!J67</f>
        <v>5324.1500000000005</v>
      </c>
      <c r="K67" s="4">
        <f>[1]节奏总纲!K67</f>
        <v>1.3</v>
      </c>
      <c r="N67" s="4">
        <f>[1]节奏总纲!N67</f>
        <v>74</v>
      </c>
      <c r="O67" s="4">
        <f>[1]节奏总纲!O67</f>
        <v>64</v>
      </c>
      <c r="P67" s="6">
        <f>[1]节奏总纲!P67</f>
        <v>83.4485062894652</v>
      </c>
      <c r="Q67" s="6">
        <f>[1]节奏总纲!Q67</f>
        <v>72.399924056740005</v>
      </c>
      <c r="R67" s="6">
        <f>[1]节奏总纲!R67</f>
        <v>59.365267374325548</v>
      </c>
      <c r="S67" s="6">
        <f>[1]节奏总纲!S67</f>
        <v>43.718672445050821</v>
      </c>
      <c r="T67" s="6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4">
        <f>[1]节奏总纲!AL67</f>
        <v>64</v>
      </c>
      <c r="AM67" s="4">
        <f>[1]节奏总纲!AM67</f>
        <v>4599.2048883665893</v>
      </c>
      <c r="AN67" s="4">
        <f>[1]节奏总纲!AN67</f>
        <v>3679.3639106932715</v>
      </c>
      <c r="AO67" s="4">
        <f>[1]节奏总纲!AO67</f>
        <v>2759.5229330199536</v>
      </c>
      <c r="AP67" s="4">
        <f>[1]节奏总纲!AP67</f>
        <v>1839.6819553466357</v>
      </c>
      <c r="AQ67" s="4">
        <f>[1]节奏总纲!AQ67</f>
        <v>919.84097767331787</v>
      </c>
      <c r="AS67" s="4">
        <f>[1]节奏总纲!AS67</f>
        <v>64</v>
      </c>
      <c r="AT67" s="4">
        <f>[1]节奏总纲!AT67</f>
        <v>626.48485225357399</v>
      </c>
      <c r="AU67" s="4">
        <f>[1]节奏总纲!AU67</f>
        <v>501.18788180285901</v>
      </c>
      <c r="AV67" s="4">
        <f>[1]节奏总纲!AV67</f>
        <v>375.89091135214449</v>
      </c>
      <c r="AW67" s="4">
        <f>[1]节奏总纲!AW67</f>
        <v>250.59394090142951</v>
      </c>
      <c r="AX67" s="4">
        <f>[1]节奏总纲!AX67</f>
        <v>125.29697045071475</v>
      </c>
      <c r="AZ67" s="4">
        <v>64</v>
      </c>
      <c r="BA67" s="4">
        <f>[1]节奏总纲!BA67</f>
        <v>35.048795427931836</v>
      </c>
      <c r="BB67" s="4">
        <f>[1]节奏总纲!BB67</f>
        <v>36.526331209747774</v>
      </c>
      <c r="BC67" s="4">
        <f>[1]节奏总纲!BC67</f>
        <v>38.455050268072462</v>
      </c>
      <c r="BD67" s="4">
        <f>[1]节奏总纲!BD67</f>
        <v>41.188041754455355</v>
      </c>
      <c r="BE67" s="4">
        <f>[1]节奏总纲!BE67</f>
        <v>45.869242601500943</v>
      </c>
      <c r="BI67" s="4">
        <v>28</v>
      </c>
      <c r="BJ67" s="4">
        <f>求节点($AL$4:$AL$83,AM$4:AM$83,('[1]功能-城建'!$BD33+'[1]功能-城建'!$BY33)/2)</f>
        <v>4961.6774441832949</v>
      </c>
      <c r="BK67" s="4">
        <f>求节点($AL$4:$AL$83,AN$4:AN$83,('[1]功能-城建'!$BD33+'[1]功能-城建'!$BY33)/2)</f>
        <v>3969.341955346636</v>
      </c>
      <c r="BL67" s="4">
        <f>求节点($AL$4:$AL$83,AO$4:AO$83,('[1]功能-城建'!$BD33+'[1]功能-城建'!$BY33)/2)</f>
        <v>2977.0064665099771</v>
      </c>
      <c r="BM67" s="4">
        <f>求节点($AL$4:$AL$83,AP$4:AP$83,('[1]功能-城建'!$BD33+'[1]功能-城建'!$BY33)/2)</f>
        <v>1984.670977673318</v>
      </c>
      <c r="BN67" s="4">
        <f>求节点($AL$4:$AL$83,AQ$4:AQ$83,('[1]功能-城建'!$BD33+'[1]功能-城建'!$BY33)/2)</f>
        <v>992.33548883665901</v>
      </c>
      <c r="BR67" s="4">
        <v>64</v>
      </c>
      <c r="BS67" s="4">
        <f>'[1]功能-城建'!O69</f>
        <v>25</v>
      </c>
      <c r="BT67" s="4">
        <f>'[1]功能-城建'!P69</f>
        <v>25</v>
      </c>
      <c r="BU67" s="4">
        <f>'[1]功能-城建'!Q69</f>
        <v>25</v>
      </c>
      <c r="BV67" s="4">
        <f>'[1]功能-城建'!R69</f>
        <v>25</v>
      </c>
      <c r="BW67" s="4">
        <f t="shared" si="1"/>
        <v>100</v>
      </c>
    </row>
    <row r="68" spans="6:75" x14ac:dyDescent="0.15">
      <c r="F68" s="4">
        <f>[1]节奏总纲!F68</f>
        <v>66</v>
      </c>
      <c r="G68" s="4">
        <f>[1]节奏总纲!G68</f>
        <v>96.005860256665443</v>
      </c>
      <c r="I68" s="4">
        <f>[1]节奏总纲!I68</f>
        <v>66</v>
      </c>
      <c r="J68" s="4">
        <f>[1]节奏总纲!J68</f>
        <v>6162.9846853088866</v>
      </c>
      <c r="K68" s="4">
        <f>[1]节奏总纲!K68</f>
        <v>1.31</v>
      </c>
      <c r="N68" s="4">
        <f>[1]节奏总纲!N68</f>
        <v>75</v>
      </c>
      <c r="O68" s="4">
        <f>[1]节奏总纲!O68</f>
        <v>65</v>
      </c>
      <c r="P68" s="6">
        <f>[1]节奏总纲!P68</f>
        <v>89.509667991878061</v>
      </c>
      <c r="Q68" s="6">
        <f>[1]节奏总纲!Q68</f>
        <v>77.64963698295422</v>
      </c>
      <c r="R68" s="6">
        <f>[1]节奏总纲!R68</f>
        <v>63.802491344610679</v>
      </c>
      <c r="S68" s="6">
        <f>[1]节奏总纲!S68</f>
        <v>46.929918928141667</v>
      </c>
      <c r="T68" s="6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4">
        <f>[1]节奏总纲!AL68</f>
        <v>65</v>
      </c>
      <c r="AM68" s="4">
        <f>[1]节奏总纲!AM68</f>
        <v>5324.1500000000005</v>
      </c>
      <c r="AN68" s="4">
        <f>[1]节奏总纲!AN68</f>
        <v>4259.3200000000006</v>
      </c>
      <c r="AO68" s="4">
        <f>[1]节奏总纲!AO68</f>
        <v>3194.4900000000002</v>
      </c>
      <c r="AP68" s="4">
        <f>[1]节奏总纲!AP68</f>
        <v>2129.6600000000003</v>
      </c>
      <c r="AQ68" s="4">
        <f>[1]节奏总纲!AQ68</f>
        <v>1064.8300000000002</v>
      </c>
      <c r="AS68" s="4">
        <f>[1]节奏总纲!AS68</f>
        <v>65</v>
      </c>
      <c r="AT68" s="4">
        <f>[1]节奏总纲!AT68</f>
        <v>724.94511163341122</v>
      </c>
      <c r="AU68" s="4">
        <f>[1]节奏总纲!AU68</f>
        <v>579.95608930672915</v>
      </c>
      <c r="AV68" s="4">
        <f>[1]节奏总纲!AV68</f>
        <v>434.96706698004664</v>
      </c>
      <c r="AW68" s="4">
        <f>[1]节奏总纲!AW68</f>
        <v>289.97804465336458</v>
      </c>
      <c r="AX68" s="4">
        <f>[1]节奏总纲!AX68</f>
        <v>144.98902232668229</v>
      </c>
      <c r="AZ68" s="4">
        <v>65</v>
      </c>
      <c r="BA68" s="4">
        <f>[1]节奏总纲!BA68</f>
        <v>35.146386283795508</v>
      </c>
      <c r="BB68" s="4">
        <f>[1]节奏总纲!BB68</f>
        <v>36.631544620542407</v>
      </c>
      <c r="BC68" s="4">
        <f>[1]节奏总纲!BC68</f>
        <v>38.559434478468994</v>
      </c>
      <c r="BD68" s="4">
        <f>[1]节奏总纲!BD68</f>
        <v>41.288607292184714</v>
      </c>
      <c r="BE68" s="4">
        <f>[1]节奏总纲!BE68</f>
        <v>45.98082701761146</v>
      </c>
      <c r="BI68" s="4">
        <v>29</v>
      </c>
      <c r="BJ68" s="4">
        <f>求节点($AL$4:$AL$83,AM$4:AM$83,('[1]功能-城建'!$BD34+'[1]功能-城建'!$BY34)/2)</f>
        <v>6648.2672483214528</v>
      </c>
      <c r="BK68" s="4">
        <f>求节点($AL$4:$AL$83,AN$4:AN$83,('[1]功能-城建'!$BD34+'[1]功能-城建'!$BY34)/2)</f>
        <v>5318.613798657163</v>
      </c>
      <c r="BL68" s="4">
        <f>求节点($AL$4:$AL$83,AO$4:AO$83,('[1]功能-城建'!$BD34+'[1]功能-城建'!$BY34)/2)</f>
        <v>3988.9603489928713</v>
      </c>
      <c r="BM68" s="4">
        <f>求节点($AL$4:$AL$83,AP$4:AP$83,('[1]功能-城建'!$BD34+'[1]功能-城建'!$BY34)/2)</f>
        <v>2659.3068993285815</v>
      </c>
      <c r="BN68" s="4">
        <f>求节点($AL$4:$AL$83,AQ$4:AQ$83,('[1]功能-城建'!$BD34+'[1]功能-城建'!$BY34)/2)</f>
        <v>1329.6534496642907</v>
      </c>
      <c r="BR68" s="4">
        <v>65</v>
      </c>
      <c r="BS68" s="4">
        <f>'[1]功能-城建'!O70</f>
        <v>25</v>
      </c>
      <c r="BT68" s="4">
        <f>'[1]功能-城建'!P70</f>
        <v>25</v>
      </c>
      <c r="BU68" s="4">
        <f>'[1]功能-城建'!Q70</f>
        <v>25</v>
      </c>
      <c r="BV68" s="4">
        <f>'[1]功能-城建'!R70</f>
        <v>25</v>
      </c>
      <c r="BW68" s="4">
        <f t="shared" si="1"/>
        <v>100</v>
      </c>
    </row>
    <row r="69" spans="6:75" x14ac:dyDescent="0.15">
      <c r="F69" s="4">
        <f>[1]节奏总纲!F69</f>
        <v>67</v>
      </c>
      <c r="G69" s="4">
        <f>[1]节奏总纲!G69</f>
        <v>102.96830673359811</v>
      </c>
      <c r="I69" s="4">
        <f>[1]节奏总纲!I69</f>
        <v>67</v>
      </c>
      <c r="J69" s="4">
        <f>[1]节奏总纲!J69</f>
        <v>7133.5498113340191</v>
      </c>
      <c r="K69" s="4">
        <f>[1]节奏总纲!K69</f>
        <v>1.32</v>
      </c>
      <c r="N69" s="4">
        <f>[1]节奏总纲!N69</f>
        <v>76</v>
      </c>
      <c r="O69" s="4">
        <f>[1]节奏总纲!O69</f>
        <v>66</v>
      </c>
      <c r="P69" s="6">
        <f>[1]节奏总纲!P69</f>
        <v>96.005860256665443</v>
      </c>
      <c r="Q69" s="6">
        <f>[1]节奏总纲!Q69</f>
        <v>83.352287874836932</v>
      </c>
      <c r="R69" s="6">
        <f>[1]节奏总纲!R69</f>
        <v>68.490580707105124</v>
      </c>
      <c r="S69" s="6">
        <f>[1]节奏总纲!S69</f>
        <v>50.163061984107692</v>
      </c>
      <c r="T69" s="6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4">
        <f>[1]节奏总纲!AL69</f>
        <v>66</v>
      </c>
      <c r="AM69" s="4">
        <f>[1]节奏总纲!AM69</f>
        <v>6162.9846853088866</v>
      </c>
      <c r="AN69" s="4">
        <f>[1]节奏总纲!AN69</f>
        <v>4930.3877482471098</v>
      </c>
      <c r="AO69" s="4">
        <f>[1]节奏总纲!AO69</f>
        <v>3697.7908111853317</v>
      </c>
      <c r="AP69" s="4">
        <f>[1]节奏总纲!AP69</f>
        <v>2465.1938741235549</v>
      </c>
      <c r="AQ69" s="4">
        <f>[1]节奏总纲!AQ69</f>
        <v>1232.5969370617775</v>
      </c>
      <c r="AS69" s="4">
        <f>[1]节奏总纲!AS69</f>
        <v>66</v>
      </c>
      <c r="AT69" s="4">
        <f>[1]节奏总纲!AT69</f>
        <v>838.83468530888604</v>
      </c>
      <c r="AU69" s="4">
        <f>[1]节奏总纲!AU69</f>
        <v>671.06774824710919</v>
      </c>
      <c r="AV69" s="4">
        <f>[1]节奏总纲!AV69</f>
        <v>503.30081118533144</v>
      </c>
      <c r="AW69" s="4">
        <f>[1]节奏总纲!AW69</f>
        <v>335.5338741235546</v>
      </c>
      <c r="AX69" s="4">
        <f>[1]节奏总纲!AX69</f>
        <v>167.7669370617773</v>
      </c>
      <c r="AZ69" s="4">
        <v>66</v>
      </c>
      <c r="BA69" s="4">
        <f>[1]节奏总纲!BA69</f>
        <v>35.243977139659179</v>
      </c>
      <c r="BB69" s="4">
        <f>[1]节奏总纲!BB69</f>
        <v>36.73675803133704</v>
      </c>
      <c r="BC69" s="4">
        <f>[1]节奏总纲!BC69</f>
        <v>38.663818688865533</v>
      </c>
      <c r="BD69" s="4">
        <f>[1]节奏总纲!BD69</f>
        <v>41.389172829914081</v>
      </c>
      <c r="BE69" s="4">
        <f>[1]节奏总纲!BE69</f>
        <v>46.079770001861057</v>
      </c>
      <c r="BI69" s="4">
        <v>30</v>
      </c>
      <c r="BJ69" s="4">
        <f>求节点($AL$4:$AL$83,AM$4:AM$83,('[1]功能-城建'!$BD35+'[1]功能-城建'!$BY35)/2)</f>
        <v>8906.040556253316</v>
      </c>
      <c r="BK69" s="4">
        <f>求节点($AL$4:$AL$83,AN$4:AN$83,('[1]功能-城建'!$BD35+'[1]功能-城建'!$BY35)/2)</f>
        <v>7124.8324450026539</v>
      </c>
      <c r="BL69" s="4">
        <f>求节点($AL$4:$AL$83,AO$4:AO$83,('[1]功能-城建'!$BD35+'[1]功能-城建'!$BY35)/2)</f>
        <v>5343.62433375199</v>
      </c>
      <c r="BM69" s="4">
        <f>求节点($AL$4:$AL$83,AP$4:AP$83,('[1]功能-城建'!$BD35+'[1]功能-城建'!$BY35)/2)</f>
        <v>3562.416222501327</v>
      </c>
      <c r="BN69" s="4">
        <f>求节点($AL$4:$AL$83,AQ$4:AQ$83,('[1]功能-城建'!$BD35+'[1]功能-城建'!$BY35)/2)</f>
        <v>1781.2081112506635</v>
      </c>
      <c r="BR69" s="4">
        <v>66</v>
      </c>
      <c r="BS69" s="4">
        <f>'[1]功能-城建'!O71</f>
        <v>26</v>
      </c>
      <c r="BT69" s="4">
        <f>'[1]功能-城建'!P71</f>
        <v>26</v>
      </c>
      <c r="BU69" s="4">
        <f>'[1]功能-城建'!Q71</f>
        <v>26</v>
      </c>
      <c r="BV69" s="4">
        <f>'[1]功能-城建'!R71</f>
        <v>26</v>
      </c>
      <c r="BW69" s="4">
        <f t="shared" si="1"/>
        <v>104</v>
      </c>
    </row>
    <row r="70" spans="6:75" x14ac:dyDescent="0.15">
      <c r="F70" s="4">
        <f>[1]节奏总纲!F70</f>
        <v>68</v>
      </c>
      <c r="G70" s="4">
        <f>[1]节奏总纲!G70</f>
        <v>110.43047210190386</v>
      </c>
      <c r="I70" s="4">
        <f>[1]节奏总纲!I70</f>
        <v>68</v>
      </c>
      <c r="J70" s="4">
        <f>[1]节奏总纲!J70</f>
        <v>8256.4738250473602</v>
      </c>
      <c r="K70" s="4">
        <f>[1]节奏总纲!K70</f>
        <v>1.33</v>
      </c>
      <c r="N70" s="4">
        <f>[1]节奏总纲!N70</f>
        <v>77</v>
      </c>
      <c r="O70" s="4">
        <f>[1]节奏总纲!O70</f>
        <v>67</v>
      </c>
      <c r="P70" s="6">
        <f>[1]节奏总纲!P70</f>
        <v>102.96830673359811</v>
      </c>
      <c r="Q70" s="6">
        <f>[1]节奏总纲!Q70</f>
        <v>89.469161720823394</v>
      </c>
      <c r="R70" s="6">
        <f>[1]节奏总纲!R70</f>
        <v>73.292840732975137</v>
      </c>
      <c r="S70" s="6">
        <f>[1]节奏总纲!S70</f>
        <v>53.625894146857902</v>
      </c>
      <c r="T70" s="6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4">
        <f>[1]节奏总纲!AL70</f>
        <v>67</v>
      </c>
      <c r="AM70" s="4">
        <f>[1]节奏总纲!AM70</f>
        <v>7133.5498113340191</v>
      </c>
      <c r="AN70" s="4">
        <f>[1]节奏总纲!AN70</f>
        <v>5706.8398490672153</v>
      </c>
      <c r="AO70" s="4">
        <f>[1]节奏总纲!AO70</f>
        <v>4280.1298868004114</v>
      </c>
      <c r="AP70" s="4">
        <f>[1]节奏总纲!AP70</f>
        <v>2853.4199245336076</v>
      </c>
      <c r="AQ70" s="4">
        <f>[1]节奏总纲!AQ70</f>
        <v>1426.7099622668038</v>
      </c>
      <c r="AS70" s="4">
        <f>[1]节奏总纲!AS70</f>
        <v>67</v>
      </c>
      <c r="AT70" s="4">
        <f>[1]节奏总纲!AT70</f>
        <v>970.56512602513249</v>
      </c>
      <c r="AU70" s="4">
        <f>[1]节奏总纲!AU70</f>
        <v>776.45210082010544</v>
      </c>
      <c r="AV70" s="4">
        <f>[1]节奏总纲!AV70</f>
        <v>582.33907561507976</v>
      </c>
      <c r="AW70" s="4">
        <f>[1]节奏总纲!AW70</f>
        <v>388.22605041005272</v>
      </c>
      <c r="AX70" s="4">
        <f>[1]节奏总纲!AX70</f>
        <v>194.11302520502636</v>
      </c>
      <c r="AZ70" s="4">
        <v>67</v>
      </c>
      <c r="BA70" s="4">
        <f>[1]节奏总纲!BA70</f>
        <v>35.341567995522851</v>
      </c>
      <c r="BB70" s="4">
        <f>[1]节奏总纲!BB70</f>
        <v>36.841971442131673</v>
      </c>
      <c r="BC70" s="4">
        <f>[1]节奏总纲!BC70</f>
        <v>38.768202899262064</v>
      </c>
      <c r="BD70" s="4">
        <f>[1]节奏总纲!BD70</f>
        <v>41.48973836764344</v>
      </c>
      <c r="BE70" s="4">
        <f>[1]节奏总纲!BE70</f>
        <v>46.176090215954694</v>
      </c>
      <c r="BI70" s="4">
        <v>31</v>
      </c>
      <c r="BJ70" s="4">
        <f>求节点($AL$4:$AL$83,AM$4:AM$83,('[1]功能-城建'!$BD36+'[1]功能-城建'!$BY36)/2)</f>
        <v>11927.815608412282</v>
      </c>
      <c r="BK70" s="4">
        <f>求节点($AL$4:$AL$83,AN$4:AN$83,('[1]功能-城建'!$BD36+'[1]功能-城建'!$BY36)/2)</f>
        <v>9542.2524867298253</v>
      </c>
      <c r="BL70" s="4">
        <f>求节点($AL$4:$AL$83,AO$4:AO$83,('[1]功能-城建'!$BD36+'[1]功能-城建'!$BY36)/2)</f>
        <v>7156.6893650473685</v>
      </c>
      <c r="BM70" s="4">
        <f>求节点($AL$4:$AL$83,AP$4:AP$83,('[1]功能-城建'!$BD36+'[1]功能-城建'!$BY36)/2)</f>
        <v>4771.1262433649126</v>
      </c>
      <c r="BN70" s="4">
        <f>求节点($AL$4:$AL$83,AQ$4:AQ$83,('[1]功能-城建'!$BD36+'[1]功能-城建'!$BY36)/2)</f>
        <v>2385.5631216824563</v>
      </c>
      <c r="BR70" s="4">
        <v>67</v>
      </c>
      <c r="BS70" s="4">
        <f>'[1]功能-城建'!O72</f>
        <v>26</v>
      </c>
      <c r="BT70" s="4">
        <f>'[1]功能-城建'!P72</f>
        <v>26</v>
      </c>
      <c r="BU70" s="4">
        <f>'[1]功能-城建'!Q72</f>
        <v>26</v>
      </c>
      <c r="BV70" s="4">
        <f>'[1]功能-城建'!R72</f>
        <v>26</v>
      </c>
      <c r="BW70" s="4">
        <f t="shared" si="1"/>
        <v>104</v>
      </c>
    </row>
    <row r="71" spans="6:75" x14ac:dyDescent="0.15">
      <c r="F71" s="4">
        <f>[1]节奏总纲!F71</f>
        <v>69</v>
      </c>
      <c r="G71" s="4">
        <f>[1]节奏总纲!G71</f>
        <v>118.42822291671132</v>
      </c>
      <c r="I71" s="4">
        <f>[1]节奏总纲!I71</f>
        <v>69</v>
      </c>
      <c r="J71" s="4">
        <f>[1]节奏总纲!J71</f>
        <v>9555.6072874592737</v>
      </c>
      <c r="K71" s="4">
        <f>[1]节奏总纲!K71</f>
        <v>1.34</v>
      </c>
      <c r="N71" s="4">
        <f>[1]节奏总纲!N71</f>
        <v>78</v>
      </c>
      <c r="O71" s="4">
        <f>[1]节奏总纲!O71</f>
        <v>68</v>
      </c>
      <c r="P71" s="6">
        <f>[1]节奏总纲!P71</f>
        <v>110.43047210190386</v>
      </c>
      <c r="Q71" s="6">
        <f>[1]节奏总纲!Q71</f>
        <v>95.831563690032169</v>
      </c>
      <c r="R71" s="6">
        <f>[1]节奏总纲!R71</f>
        <v>78.251032531409081</v>
      </c>
      <c r="S71" s="6">
        <f>[1]节奏总纲!S71</f>
        <v>57.412802445779818</v>
      </c>
      <c r="T71" s="6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4">
        <f>[1]节奏总纲!AL71</f>
        <v>68</v>
      </c>
      <c r="AM71" s="4">
        <f>[1]节奏总纲!AM71</f>
        <v>8256.4738250473602</v>
      </c>
      <c r="AN71" s="4">
        <f>[1]节奏总纲!AN71</f>
        <v>6605.1790600378881</v>
      </c>
      <c r="AO71" s="4">
        <f>[1]节奏总纲!AO71</f>
        <v>4953.8842950284161</v>
      </c>
      <c r="AP71" s="4">
        <f>[1]节奏总纲!AP71</f>
        <v>3302.5895300189441</v>
      </c>
      <c r="AQ71" s="4">
        <f>[1]节奏总纲!AQ71</f>
        <v>1651.294765009472</v>
      </c>
      <c r="AS71" s="4">
        <f>[1]节奏总纲!AS71</f>
        <v>68</v>
      </c>
      <c r="AT71" s="4">
        <f>[1]节奏总纲!AT71</f>
        <v>1122.9240137133411</v>
      </c>
      <c r="AU71" s="4">
        <f>[1]节奏总纲!AU71</f>
        <v>898.33921097067287</v>
      </c>
      <c r="AV71" s="4">
        <f>[1]节奏总纲!AV71</f>
        <v>673.75440822800465</v>
      </c>
      <c r="AW71" s="4">
        <f>[1]节奏总纲!AW71</f>
        <v>449.16960548533643</v>
      </c>
      <c r="AX71" s="4">
        <f>[1]节奏总纲!AX71</f>
        <v>224.58480274266822</v>
      </c>
      <c r="AZ71" s="4">
        <v>68</v>
      </c>
      <c r="BA71" s="4">
        <f>[1]节奏总纲!BA71</f>
        <v>35.439158851386523</v>
      </c>
      <c r="BB71" s="4">
        <f>[1]节奏总纲!BB71</f>
        <v>36.947184852926306</v>
      </c>
      <c r="BC71" s="4">
        <f>[1]节奏总纲!BC71</f>
        <v>38.872587109658596</v>
      </c>
      <c r="BD71" s="4">
        <f>[1]节奏总纲!BD71</f>
        <v>41.590303905372799</v>
      </c>
      <c r="BE71" s="4">
        <f>[1]节奏总纲!BE71</f>
        <v>46.272410430048332</v>
      </c>
      <c r="BI71" s="4">
        <v>32</v>
      </c>
      <c r="BJ71" s="4">
        <f>求节点($AL$4:$AL$83,AM$4:AM$83,('[1]功能-城建'!$BD37+'[1]功能-城建'!$BY37)/2)</f>
        <v>15971.315109328998</v>
      </c>
      <c r="BK71" s="4">
        <f>求节点($AL$4:$AL$83,AN$4:AN$83,('[1]功能-城建'!$BD37+'[1]功能-城建'!$BY37)/2)</f>
        <v>12777.052087463198</v>
      </c>
      <c r="BL71" s="4">
        <f>求节点($AL$4:$AL$83,AO$4:AO$83,('[1]功能-城建'!$BD37+'[1]功能-城建'!$BY37)/2)</f>
        <v>9582.789065597397</v>
      </c>
      <c r="BM71" s="4">
        <f>求节点($AL$4:$AL$83,AP$4:AP$83,('[1]功能-城建'!$BD37+'[1]功能-城建'!$BY37)/2)</f>
        <v>6388.5260437315992</v>
      </c>
      <c r="BN71" s="4">
        <f>求节点($AL$4:$AL$83,AQ$4:AQ$83,('[1]功能-城建'!$BD37+'[1]功能-城建'!$BY37)/2)</f>
        <v>3194.2630218657996</v>
      </c>
      <c r="BR71" s="4">
        <v>68</v>
      </c>
      <c r="BS71" s="4">
        <f>'[1]功能-城建'!O73</f>
        <v>26</v>
      </c>
      <c r="BT71" s="4">
        <f>'[1]功能-城建'!P73</f>
        <v>26</v>
      </c>
      <c r="BU71" s="4">
        <f>'[1]功能-城建'!Q73</f>
        <v>26</v>
      </c>
      <c r="BV71" s="4">
        <f>'[1]功能-城建'!R73</f>
        <v>26</v>
      </c>
      <c r="BW71" s="4">
        <f t="shared" si="1"/>
        <v>104</v>
      </c>
    </row>
    <row r="72" spans="6:75" x14ac:dyDescent="0.15">
      <c r="F72" s="4">
        <f>[1]节奏总纲!F72</f>
        <v>70</v>
      </c>
      <c r="G72" s="4">
        <f>[1]节奏总纲!G72</f>
        <v>127</v>
      </c>
      <c r="I72" s="4">
        <f>[1]节奏总纲!I72</f>
        <v>70</v>
      </c>
      <c r="J72" s="4">
        <f>[1]节奏总纲!J72</f>
        <v>11058.525000000001</v>
      </c>
      <c r="K72" s="4">
        <f>[1]节奏总纲!K72</f>
        <v>1.35</v>
      </c>
      <c r="N72" s="4">
        <f>[1]节奏总纲!N72</f>
        <v>79</v>
      </c>
      <c r="O72" s="4">
        <f>[1]节奏总纲!O72</f>
        <v>69</v>
      </c>
      <c r="P72" s="6">
        <f>[1]节奏总纲!P72</f>
        <v>118.42822291671132</v>
      </c>
      <c r="Q72" s="6">
        <f>[1]节奏总纲!Q72</f>
        <v>102.51146975670532</v>
      </c>
      <c r="R72" s="6">
        <f>[1]节奏总纲!R72</f>
        <v>83.894553114198303</v>
      </c>
      <c r="S72" s="6">
        <f>[1]节奏总纲!S72</f>
        <v>61.535304627523196</v>
      </c>
      <c r="T72" s="6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4">
        <f>[1]节奏总纲!AL72</f>
        <v>69</v>
      </c>
      <c r="AM72" s="4">
        <f>[1]节奏总纲!AM72</f>
        <v>9555.6072874592737</v>
      </c>
      <c r="AN72" s="4">
        <f>[1]节奏总纲!AN72</f>
        <v>7644.4858299674197</v>
      </c>
      <c r="AO72" s="4">
        <f>[1]节奏总纲!AO72</f>
        <v>5733.3643724755639</v>
      </c>
      <c r="AP72" s="4">
        <f>[1]节奏总纲!AP72</f>
        <v>3822.2429149837099</v>
      </c>
      <c r="AQ72" s="4">
        <f>[1]节奏总纲!AQ72</f>
        <v>1911.1214574918549</v>
      </c>
      <c r="AS72" s="4">
        <f>[1]节奏总纲!AS72</f>
        <v>69</v>
      </c>
      <c r="AT72" s="4">
        <f>[1]节奏总纲!AT72</f>
        <v>1299.1334624119136</v>
      </c>
      <c r="AU72" s="4">
        <f>[1]节奏总纲!AU72</f>
        <v>1039.3067699295316</v>
      </c>
      <c r="AV72" s="4">
        <f>[1]节奏总纲!AV72</f>
        <v>779.48007744714778</v>
      </c>
      <c r="AW72" s="4">
        <f>[1]节奏总纲!AW72</f>
        <v>519.65338496476579</v>
      </c>
      <c r="AX72" s="4">
        <f>[1]节奏总纲!AX72</f>
        <v>259.8266924823829</v>
      </c>
      <c r="AZ72" s="4">
        <v>69</v>
      </c>
      <c r="BA72" s="4">
        <f>[1]节奏总纲!BA72</f>
        <v>35.536749707250202</v>
      </c>
      <c r="BB72" s="4">
        <f>[1]节奏总纲!BB72</f>
        <v>37.045197000674086</v>
      </c>
      <c r="BC72" s="4">
        <f>[1]节奏总纲!BC72</f>
        <v>38.976971320055128</v>
      </c>
      <c r="BD72" s="4">
        <f>[1]节奏总纲!BD72</f>
        <v>41.690869443102159</v>
      </c>
      <c r="BE72" s="4">
        <f>[1]节奏总纲!BE72</f>
        <v>46.368730644141969</v>
      </c>
      <c r="BI72" s="4">
        <v>33</v>
      </c>
      <c r="BJ72" s="4">
        <f>求节点($AL$4:$AL$83,AM$4:AM$83,('[1]功能-城建'!$BD38+'[1]功能-城建'!$BY38)/2)</f>
        <v>21380.957298185363</v>
      </c>
      <c r="BK72" s="4">
        <f>求节点($AL$4:$AL$83,AN$4:AN$83,('[1]功能-城建'!$BD38+'[1]功能-城建'!$BY38)/2)</f>
        <v>17104.765838548294</v>
      </c>
      <c r="BL72" s="4">
        <f>求节点($AL$4:$AL$83,AO$4:AO$83,('[1]功能-城建'!$BD38+'[1]功能-城建'!$BY38)/2)</f>
        <v>12828.574378911217</v>
      </c>
      <c r="BM72" s="4">
        <f>求节点($AL$4:$AL$83,AP$4:AP$83,('[1]功能-城建'!$BD38+'[1]功能-城建'!$BY38)/2)</f>
        <v>8552.3829192741468</v>
      </c>
      <c r="BN72" s="4">
        <f>求节点($AL$4:$AL$83,AQ$4:AQ$83,('[1]功能-城建'!$BD38+'[1]功能-城建'!$BY38)/2)</f>
        <v>4276.1914596370734</v>
      </c>
      <c r="BR72" s="4">
        <v>69</v>
      </c>
      <c r="BS72" s="4">
        <f>'[1]功能-城建'!O74</f>
        <v>27</v>
      </c>
      <c r="BT72" s="4">
        <f>'[1]功能-城建'!P74</f>
        <v>27</v>
      </c>
      <c r="BU72" s="4">
        <f>'[1]功能-城建'!Q74</f>
        <v>27</v>
      </c>
      <c r="BV72" s="4">
        <f>'[1]功能-城建'!R74</f>
        <v>27</v>
      </c>
      <c r="BW72" s="4">
        <f t="shared" si="1"/>
        <v>108</v>
      </c>
    </row>
    <row r="73" spans="6:75" x14ac:dyDescent="0.15">
      <c r="F73" s="4">
        <f>[1]节奏总纲!F73</f>
        <v>71</v>
      </c>
      <c r="G73" s="4">
        <f>[1]节奏总纲!G73</f>
        <v>136.18700320464549</v>
      </c>
      <c r="I73" s="4">
        <f>[1]节奏总纲!I73</f>
        <v>71</v>
      </c>
      <c r="J73" s="4">
        <f>[1]节奏总纲!J73</f>
        <v>12797.106216824561</v>
      </c>
      <c r="K73" s="4">
        <f>[1]节奏总纲!K73</f>
        <v>1.36</v>
      </c>
      <c r="N73" s="4">
        <f>[1]节奏总纲!N73</f>
        <v>80</v>
      </c>
      <c r="O73" s="4">
        <f>[1]节奏总纲!O73</f>
        <v>70</v>
      </c>
      <c r="P73" s="6">
        <f>[1]节奏总纲!P73</f>
        <v>127</v>
      </c>
      <c r="Q73" s="6">
        <f>[1]节奏总纲!Q73</f>
        <v>109.9693</v>
      </c>
      <c r="R73" s="6">
        <f>[1]节奏总纲!R73</f>
        <v>90.106499999999997</v>
      </c>
      <c r="S73" s="6">
        <f>[1]节奏总纲!S73</f>
        <v>65.925700000000006</v>
      </c>
      <c r="T73" s="6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4">
        <f>[1]节奏总纲!AL73</f>
        <v>70</v>
      </c>
      <c r="AM73" s="4">
        <f>[1]节奏总纲!AM73</f>
        <v>11058.525000000001</v>
      </c>
      <c r="AN73" s="4">
        <f>[1]节奏总纲!AN73</f>
        <v>8846.8200000000015</v>
      </c>
      <c r="AO73" s="4">
        <f>[1]节奏总纲!AO73</f>
        <v>6635.1150000000007</v>
      </c>
      <c r="AP73" s="4">
        <f>[1]节奏总纲!AP73</f>
        <v>4423.4100000000008</v>
      </c>
      <c r="AQ73" s="4">
        <f>[1]节奏总纲!AQ73</f>
        <v>2211.7050000000004</v>
      </c>
      <c r="AS73" s="4">
        <f>[1]节奏总纲!AS73</f>
        <v>70</v>
      </c>
      <c r="AT73" s="4">
        <f>[1]节奏总纲!AT73</f>
        <v>1502.9177125407277</v>
      </c>
      <c r="AU73" s="4">
        <f>[1]节奏总纲!AU73</f>
        <v>1202.3341700325818</v>
      </c>
      <c r="AV73" s="4">
        <f>[1]节奏总纲!AV73</f>
        <v>901.75062752443682</v>
      </c>
      <c r="AW73" s="4">
        <f>[1]节奏总纲!AW73</f>
        <v>601.16708501629091</v>
      </c>
      <c r="AX73" s="4">
        <f>[1]节奏总纲!AX73</f>
        <v>300.58354250814546</v>
      </c>
      <c r="AZ73" s="4">
        <v>70</v>
      </c>
      <c r="BA73" s="4">
        <f>[1]节奏总纲!BA73</f>
        <v>35.634340563113874</v>
      </c>
      <c r="BB73" s="4">
        <f>[1]节奏总纲!BB73</f>
        <v>37.135950591746003</v>
      </c>
      <c r="BC73" s="4">
        <f>[1]节奏总纲!BC73</f>
        <v>39.070187171981765</v>
      </c>
      <c r="BD73" s="4">
        <f>[1]节奏总纲!BD73</f>
        <v>41.791434980831518</v>
      </c>
      <c r="BE73" s="4">
        <f>[1]节奏总纲!BE73</f>
        <v>46.465050858235607</v>
      </c>
      <c r="BI73" s="4">
        <v>34</v>
      </c>
      <c r="BJ73" s="4">
        <f>求节点($AL$4:$AL$83,AM$4:AM$83,('[1]功能-城建'!$BD39+'[1]功能-城建'!$BY39)/2)</f>
        <v>28616.946066204539</v>
      </c>
      <c r="BK73" s="4">
        <f>求节点($AL$4:$AL$83,AN$4:AN$83,('[1]功能-城建'!$BD39+'[1]功能-城建'!$BY39)/2)</f>
        <v>22893.556852963629</v>
      </c>
      <c r="BL73" s="4">
        <f>求节点($AL$4:$AL$83,AO$4:AO$83,('[1]功能-城建'!$BD39+'[1]功能-城建'!$BY39)/2)</f>
        <v>17170.167639722724</v>
      </c>
      <c r="BM73" s="4">
        <f>求节点($AL$4:$AL$83,AP$4:AP$83,('[1]功能-城建'!$BD39+'[1]功能-城建'!$BY39)/2)</f>
        <v>11446.778426481815</v>
      </c>
      <c r="BN73" s="4">
        <f>求节点($AL$4:$AL$83,AQ$4:AQ$83,('[1]功能-城建'!$BD39+'[1]功能-城建'!$BY39)/2)</f>
        <v>5723.3892132409073</v>
      </c>
      <c r="BR73" s="4">
        <v>70</v>
      </c>
      <c r="BS73" s="4">
        <f>'[1]功能-城建'!O75</f>
        <v>27</v>
      </c>
      <c r="BT73" s="4">
        <f>'[1]功能-城建'!P75</f>
        <v>27</v>
      </c>
      <c r="BU73" s="4">
        <f>'[1]功能-城建'!Q75</f>
        <v>27</v>
      </c>
      <c r="BV73" s="4">
        <f>'[1]功能-城建'!R75</f>
        <v>27</v>
      </c>
      <c r="BW73" s="4">
        <f t="shared" si="1"/>
        <v>108</v>
      </c>
    </row>
    <row r="74" spans="6:75" x14ac:dyDescent="0.15">
      <c r="F74" s="4">
        <f>[1]节奏总纲!F74</f>
        <v>72</v>
      </c>
      <c r="G74" s="4">
        <f>[1]节奏总纲!G74</f>
        <v>146.03338943962044</v>
      </c>
      <c r="I74" s="4">
        <f>[1]节奏总纲!I74</f>
        <v>72</v>
      </c>
      <c r="J74" s="4">
        <f>[1]节奏总纲!J74</f>
        <v>14808.205062920617</v>
      </c>
      <c r="K74" s="4">
        <f>[1]节奏总纲!K74</f>
        <v>1.37</v>
      </c>
      <c r="N74" s="4">
        <f>[1]节奏总纲!N74</f>
        <v>81</v>
      </c>
      <c r="O74" s="4">
        <f>[1]节奏总纲!O74</f>
        <v>71</v>
      </c>
      <c r="P74" s="6">
        <f>[1]节奏总纲!P74</f>
        <v>136.18700320464549</v>
      </c>
      <c r="Q74" s="6">
        <f>[1]节奏总纲!Q74</f>
        <v>118.03327567746625</v>
      </c>
      <c r="R74" s="6">
        <f>[1]节奏总纲!R74</f>
        <v>96.583822672734584</v>
      </c>
      <c r="S74" s="6">
        <f>[1]节奏总纲!S74</f>
        <v>70.612961161608681</v>
      </c>
      <c r="T74" s="6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4">
        <f>[1]节奏总纲!AL74</f>
        <v>71</v>
      </c>
      <c r="AM74" s="4">
        <f>[1]节奏总纲!AM74</f>
        <v>12797.106216824561</v>
      </c>
      <c r="AN74" s="4">
        <f>[1]节奏总纲!AN74</f>
        <v>10237.684973459649</v>
      </c>
      <c r="AO74" s="4">
        <f>[1]节奏总纲!AO74</f>
        <v>7678.2637300947363</v>
      </c>
      <c r="AP74" s="4">
        <f>[1]节奏总纲!AP74</f>
        <v>5118.8424867298245</v>
      </c>
      <c r="AQ74" s="4">
        <f>[1]节奏总纲!AQ74</f>
        <v>2559.4212433649122</v>
      </c>
      <c r="AS74" s="4">
        <f>[1]节奏总纲!AS74</f>
        <v>71</v>
      </c>
      <c r="AT74" s="4">
        <f>[1]节奏总纲!AT74</f>
        <v>1738.5812168245593</v>
      </c>
      <c r="AU74" s="4">
        <f>[1]节奏总纲!AU74</f>
        <v>1390.8649734596474</v>
      </c>
      <c r="AV74" s="4">
        <f>[1]节奏总纲!AV74</f>
        <v>1043.1487300947356</v>
      </c>
      <c r="AW74" s="4">
        <f>[1]节奏总纲!AW74</f>
        <v>695.43248672982372</v>
      </c>
      <c r="AX74" s="4">
        <f>[1]节奏总纲!AX74</f>
        <v>347.71624336491186</v>
      </c>
      <c r="AZ74" s="4">
        <v>71</v>
      </c>
      <c r="BA74" s="4">
        <f>[1]节奏总纲!BA74</f>
        <v>35.731931418977545</v>
      </c>
      <c r="BB74" s="4">
        <f>[1]节奏总纲!BB74</f>
        <v>37.226704182817912</v>
      </c>
      <c r="BC74" s="4">
        <f>[1]节奏总纲!BC74</f>
        <v>39.160241683169971</v>
      </c>
      <c r="BD74" s="4">
        <f>[1]节奏总纲!BD74</f>
        <v>41.892000518560877</v>
      </c>
      <c r="BE74" s="4">
        <f>[1]节奏总纲!BE74</f>
        <v>46.561371072329244</v>
      </c>
      <c r="BI74" s="4">
        <v>35</v>
      </c>
      <c r="BJ74" s="4">
        <f>求节点($AL$4:$AL$83,AM$4:AM$83,('[1]功能-城建'!$BD40+'[1]功能-城建'!$BY40)/2)</f>
        <v>38294.099779202959</v>
      </c>
      <c r="BK74" s="4">
        <f>求节点($AL$4:$AL$83,AN$4:AN$83,('[1]功能-城建'!$BD40+'[1]功能-城建'!$BY40)/2)</f>
        <v>30635.279823362369</v>
      </c>
      <c r="BL74" s="4">
        <f>求节点($AL$4:$AL$83,AO$4:AO$83,('[1]功能-城建'!$BD40+'[1]功能-城建'!$BY40)/2)</f>
        <v>22976.459867521775</v>
      </c>
      <c r="BM74" s="4">
        <f>求节点($AL$4:$AL$83,AP$4:AP$83,('[1]功能-城建'!$BD40+'[1]功能-城建'!$BY40)/2)</f>
        <v>15317.639911681184</v>
      </c>
      <c r="BN74" s="4">
        <f>求节点($AL$4:$AL$83,AQ$4:AQ$83,('[1]功能-城建'!$BD40+'[1]功能-城建'!$BY40)/2)</f>
        <v>7658.8199558405922</v>
      </c>
      <c r="BR74" s="4">
        <v>71</v>
      </c>
      <c r="BS74" s="4">
        <f>'[1]功能-城建'!O76</f>
        <v>27</v>
      </c>
      <c r="BT74" s="4">
        <f>'[1]功能-城建'!P76</f>
        <v>27</v>
      </c>
      <c r="BU74" s="4">
        <f>'[1]功能-城建'!Q76</f>
        <v>27</v>
      </c>
      <c r="BV74" s="4">
        <f>'[1]功能-城建'!R76</f>
        <v>27</v>
      </c>
      <c r="BW74" s="4">
        <f t="shared" si="1"/>
        <v>108</v>
      </c>
    </row>
    <row r="75" spans="6:75" x14ac:dyDescent="0.15">
      <c r="F75" s="4">
        <f>[1]节奏总纲!F75</f>
        <v>73</v>
      </c>
      <c r="G75" s="4">
        <f>[1]节奏总纲!G75</f>
        <v>156.58648490814926</v>
      </c>
      <c r="I75" s="4">
        <f>[1]节奏总纲!I75</f>
        <v>73</v>
      </c>
      <c r="J75" s="4">
        <f>[1]节奏总纲!J75</f>
        <v>17134.425155737379</v>
      </c>
      <c r="K75" s="4">
        <f>[1]节奏总纲!K75</f>
        <v>1.38</v>
      </c>
      <c r="N75" s="4">
        <f>[1]节奏总纲!N75</f>
        <v>82</v>
      </c>
      <c r="O75" s="4">
        <f>[1]节奏总纲!O75</f>
        <v>72</v>
      </c>
      <c r="P75" s="6">
        <f>[1]节奏总纲!P75</f>
        <v>146.03338943962044</v>
      </c>
      <c r="Q75" s="6">
        <f>[1]节奏总纲!Q75</f>
        <v>126.581741966263</v>
      </c>
      <c r="R75" s="6">
        <f>[1]节奏总纲!R75</f>
        <v>103.31862302853146</v>
      </c>
      <c r="S75" s="6">
        <f>[1]节奏总纲!S75</f>
        <v>75.586882373947532</v>
      </c>
      <c r="T75" s="6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4">
        <f>[1]节奏总纲!AL75</f>
        <v>72</v>
      </c>
      <c r="AM75" s="4">
        <f>[1]节奏总纲!AM75</f>
        <v>14808.205062920617</v>
      </c>
      <c r="AN75" s="4">
        <f>[1]节奏总纲!AN75</f>
        <v>11846.564050336494</v>
      </c>
      <c r="AO75" s="4">
        <f>[1]节奏总纲!AO75</f>
        <v>8884.9230377523691</v>
      </c>
      <c r="AP75" s="4">
        <f>[1]节奏总纲!AP75</f>
        <v>5923.2820251682469</v>
      </c>
      <c r="AQ75" s="4">
        <f>[1]节奏总纲!AQ75</f>
        <v>2961.6410125841235</v>
      </c>
      <c r="AS75" s="4">
        <f>[1]节奏总纲!AS75</f>
        <v>72</v>
      </c>
      <c r="AT75" s="4">
        <f>[1]节奏总纲!AT75</f>
        <v>2011.0988460960561</v>
      </c>
      <c r="AU75" s="4">
        <f>[1]节奏总纲!AU75</f>
        <v>1608.8790768768449</v>
      </c>
      <c r="AV75" s="4">
        <f>[1]节奏总纲!AV75</f>
        <v>1206.6593076576328</v>
      </c>
      <c r="AW75" s="4">
        <f>[1]节奏总纲!AW75</f>
        <v>804.43953843842246</v>
      </c>
      <c r="AX75" s="4">
        <f>[1]节奏总纲!AX75</f>
        <v>402.21976921921123</v>
      </c>
      <c r="AZ75" s="4">
        <v>72</v>
      </c>
      <c r="BA75" s="4">
        <f>[1]节奏总纲!BA75</f>
        <v>35.829522274841217</v>
      </c>
      <c r="BB75" s="4">
        <f>[1]节奏总纲!BB75</f>
        <v>37.317457773889828</v>
      </c>
      <c r="BC75" s="4">
        <f>[1]节奏总纲!BC75</f>
        <v>39.250296194358178</v>
      </c>
      <c r="BD75" s="4">
        <f>[1]节奏总纲!BD75</f>
        <v>41.992566056290244</v>
      </c>
      <c r="BE75" s="4">
        <f>[1]节奏总纲!BE75</f>
        <v>46.657691286422882</v>
      </c>
      <c r="BI75" s="4">
        <v>36</v>
      </c>
      <c r="BJ75" s="4">
        <f>求节点($AL$4:$AL$83,AM$4:AM$83,('[1]功能-城建'!$BD41+'[1]功能-城建'!$BY41)/2)</f>
        <v>47512.875</v>
      </c>
      <c r="BK75" s="4">
        <f>求节点($AL$4:$AL$83,AN$4:AN$83,('[1]功能-城建'!$BD41+'[1]功能-城建'!$BY41)/2)</f>
        <v>38010.300000000003</v>
      </c>
      <c r="BL75" s="4">
        <f>求节点($AL$4:$AL$83,AO$4:AO$83,('[1]功能-城建'!$BD41+'[1]功能-城建'!$BY41)/2)</f>
        <v>28507.724999999999</v>
      </c>
      <c r="BM75" s="4">
        <f>求节点($AL$4:$AL$83,AP$4:AP$83,('[1]功能-城建'!$BD41+'[1]功能-城建'!$BY41)/2)</f>
        <v>19005.150000000001</v>
      </c>
      <c r="BN75" s="4">
        <f>求节点($AL$4:$AL$83,AQ$4:AQ$83,('[1]功能-城建'!$BD41+'[1]功能-城建'!$BY41)/2)</f>
        <v>9502.5750000000007</v>
      </c>
      <c r="BR75" s="4">
        <v>72</v>
      </c>
      <c r="BS75" s="4">
        <f>'[1]功能-城建'!O77</f>
        <v>28</v>
      </c>
      <c r="BT75" s="4">
        <f>'[1]功能-城建'!P77</f>
        <v>28</v>
      </c>
      <c r="BU75" s="4">
        <f>'[1]功能-城建'!Q77</f>
        <v>28</v>
      </c>
      <c r="BV75" s="4">
        <f>'[1]功能-城建'!R77</f>
        <v>28</v>
      </c>
      <c r="BW75" s="4">
        <f t="shared" si="1"/>
        <v>112</v>
      </c>
    </row>
    <row r="76" spans="6:75" x14ac:dyDescent="0.15">
      <c r="F76" s="4">
        <f>[1]节奏总纲!F76</f>
        <v>74</v>
      </c>
      <c r="G76" s="4">
        <f>[1]节奏总纲!G76</f>
        <v>167.89701257893043</v>
      </c>
      <c r="I76" s="4">
        <f>[1]节奏总纲!I76</f>
        <v>74</v>
      </c>
      <c r="J76" s="4">
        <f>[1]节奏总纲!J76</f>
        <v>19825.014596370729</v>
      </c>
      <c r="K76" s="4">
        <f>[1]节奏总纲!K76</f>
        <v>1.39</v>
      </c>
      <c r="N76" s="4">
        <f>[1]节奏总纲!N76</f>
        <v>83</v>
      </c>
      <c r="O76" s="4">
        <f>[1]节奏总纲!O76</f>
        <v>73</v>
      </c>
      <c r="P76" s="6">
        <f>[1]节奏总纲!P76</f>
        <v>156.58648490814926</v>
      </c>
      <c r="Q76" s="6">
        <f>[1]节奏总纲!Q76</f>
        <v>135.41599214856748</v>
      </c>
      <c r="R76" s="6">
        <f>[1]节奏总纲!R76</f>
        <v>110.58137564213501</v>
      </c>
      <c r="S76" s="6">
        <f>[1]节奏总纲!S76</f>
        <v>80.955212697513176</v>
      </c>
      <c r="T76" s="6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4">
        <f>[1]节奏总纲!AL76</f>
        <v>73</v>
      </c>
      <c r="AM76" s="4">
        <f>[1]节奏总纲!AM76</f>
        <v>17134.425155737379</v>
      </c>
      <c r="AN76" s="4">
        <f>[1]节奏总纲!AN76</f>
        <v>13707.540124589905</v>
      </c>
      <c r="AO76" s="4">
        <f>[1]节奏总纲!AO76</f>
        <v>10280.655093442427</v>
      </c>
      <c r="AP76" s="4">
        <f>[1]节奏总纲!AP76</f>
        <v>6853.7700622949524</v>
      </c>
      <c r="AQ76" s="4">
        <f>[1]节奏总纲!AQ76</f>
        <v>3426.8850311474762</v>
      </c>
      <c r="AS76" s="4">
        <f>[1]节奏总纲!AS76</f>
        <v>73</v>
      </c>
      <c r="AT76" s="4">
        <f>[1]节奏总纲!AT76</f>
        <v>2326.2200928167622</v>
      </c>
      <c r="AU76" s="4">
        <f>[1]节奏总纲!AU76</f>
        <v>1860.9760742534108</v>
      </c>
      <c r="AV76" s="4">
        <f>[1]节奏总纲!AV76</f>
        <v>1395.7320556900577</v>
      </c>
      <c r="AW76" s="4">
        <f>[1]节奏总纲!AW76</f>
        <v>930.48803712670542</v>
      </c>
      <c r="AX76" s="4">
        <f>[1]节奏总纲!AX76</f>
        <v>465.24401856335271</v>
      </c>
      <c r="AZ76" s="4">
        <v>73</v>
      </c>
      <c r="BA76" s="4">
        <f>[1]节奏总纲!BA76</f>
        <v>35.927113130704889</v>
      </c>
      <c r="BB76" s="4">
        <f>[1]节奏总纲!BB76</f>
        <v>37.408211364961737</v>
      </c>
      <c r="BC76" s="4">
        <f>[1]节奏总纲!BC76</f>
        <v>39.340350705546385</v>
      </c>
      <c r="BD76" s="4">
        <f>[1]节奏总纲!BD76</f>
        <v>42.080366850119908</v>
      </c>
      <c r="BE76" s="4">
        <f>[1]节奏总纲!BE76</f>
        <v>46.754011500516519</v>
      </c>
      <c r="BR76" s="4">
        <v>73</v>
      </c>
      <c r="BS76" s="4">
        <f>'[1]功能-城建'!O78</f>
        <v>28</v>
      </c>
      <c r="BT76" s="4">
        <f>'[1]功能-城建'!P78</f>
        <v>28</v>
      </c>
      <c r="BU76" s="4">
        <f>'[1]功能-城建'!Q78</f>
        <v>28</v>
      </c>
      <c r="BV76" s="4">
        <f>'[1]功能-城建'!R78</f>
        <v>28</v>
      </c>
      <c r="BW76" s="4">
        <f t="shared" si="1"/>
        <v>112</v>
      </c>
    </row>
    <row r="77" spans="6:75" x14ac:dyDescent="0.15">
      <c r="F77" s="4">
        <f>[1]节奏总纲!F77</f>
        <v>75</v>
      </c>
      <c r="G77" s="4">
        <f>[1]节奏总纲!G77</f>
        <v>180.01933598375612</v>
      </c>
      <c r="I77" s="4">
        <f>[1]节奏总纲!I77</f>
        <v>75</v>
      </c>
      <c r="J77" s="4">
        <f>[1]节奏总纲!J77</f>
        <v>22936.899999999998</v>
      </c>
      <c r="K77" s="4">
        <f>[1]节奏总纲!K77</f>
        <v>1.4</v>
      </c>
      <c r="N77" s="4">
        <f>[1]节奏总纲!N77</f>
        <v>84</v>
      </c>
      <c r="O77" s="4">
        <f>[1]节奏总纲!O77</f>
        <v>74</v>
      </c>
      <c r="P77" s="6">
        <f>[1]节奏总纲!P77</f>
        <v>167.89701257893043</v>
      </c>
      <c r="Q77" s="6">
        <f>[1]节奏总纲!Q77</f>
        <v>145.16375707574326</v>
      </c>
      <c r="R77" s="6">
        <f>[1]节奏总纲!R77</f>
        <v>118.70318789330381</v>
      </c>
      <c r="S77" s="6">
        <f>[1]节奏总纲!S77</f>
        <v>86.869914308338593</v>
      </c>
      <c r="T77" s="6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4">
        <f>[1]节奏总纲!AL77</f>
        <v>74</v>
      </c>
      <c r="AM77" s="4">
        <f>[1]节奏总纲!AM77</f>
        <v>19825.014596370729</v>
      </c>
      <c r="AN77" s="4">
        <f>[1]节奏总纲!AN77</f>
        <v>15860.011677096583</v>
      </c>
      <c r="AO77" s="4">
        <f>[1]节奏总纲!AO77</f>
        <v>11895.008757822437</v>
      </c>
      <c r="AP77" s="4">
        <f>[1]节奏总纲!AP77</f>
        <v>7930.0058385482916</v>
      </c>
      <c r="AQ77" s="4">
        <f>[1]节奏总纲!AQ77</f>
        <v>3965.0029192741458</v>
      </c>
      <c r="AS77" s="4">
        <f>[1]节奏总纲!AS77</f>
        <v>74</v>
      </c>
      <c r="AT77" s="4">
        <f>[1]节奏总纲!AT77</f>
        <v>2690.58944063335</v>
      </c>
      <c r="AU77" s="4">
        <f>[1]节奏总纲!AU77</f>
        <v>2152.4715525066786</v>
      </c>
      <c r="AV77" s="4">
        <f>[1]节奏总纲!AV77</f>
        <v>1614.3536643800107</v>
      </c>
      <c r="AW77" s="4">
        <f>[1]节奏总纲!AW77</f>
        <v>1076.2357762533393</v>
      </c>
      <c r="AX77" s="4">
        <f>[1]节奏总纲!AX77</f>
        <v>538.11788812666964</v>
      </c>
      <c r="AZ77" s="4">
        <v>74</v>
      </c>
      <c r="BA77" s="4">
        <f>[1]节奏总纲!BA77</f>
        <v>36.021306837933537</v>
      </c>
      <c r="BB77" s="4">
        <f>[1]节奏总纲!BB77</f>
        <v>37.498964956033646</v>
      </c>
      <c r="BC77" s="4">
        <f>[1]节奏总纲!BC77</f>
        <v>39.430405216734592</v>
      </c>
      <c r="BD77" s="4">
        <f>[1]节奏总纲!BD77</f>
        <v>42.167148737437564</v>
      </c>
      <c r="BE77" s="4">
        <f>[1]节奏总纲!BE77</f>
        <v>46.850331714610157</v>
      </c>
      <c r="BR77" s="4">
        <v>74</v>
      </c>
      <c r="BS77" s="4">
        <f>'[1]功能-城建'!O79</f>
        <v>28</v>
      </c>
      <c r="BT77" s="4">
        <f>'[1]功能-城建'!P79</f>
        <v>28</v>
      </c>
      <c r="BU77" s="4">
        <f>'[1]功能-城建'!Q79</f>
        <v>28</v>
      </c>
      <c r="BV77" s="4">
        <f>'[1]功能-城建'!R79</f>
        <v>28</v>
      </c>
      <c r="BW77" s="4">
        <f t="shared" si="1"/>
        <v>112</v>
      </c>
    </row>
    <row r="78" spans="6:75" x14ac:dyDescent="0.15">
      <c r="F78" s="4">
        <f>[1]节奏总纲!F78</f>
        <v>76</v>
      </c>
      <c r="G78" s="4">
        <f>[1]节奏总纲!G78</f>
        <v>193.01172051333091</v>
      </c>
      <c r="I78" s="4">
        <f>[1]节奏总纲!I78</f>
        <v>76</v>
      </c>
      <c r="J78" s="4">
        <f>[1]节奏总纲!J78</f>
        <v>26535.88112606269</v>
      </c>
      <c r="K78" s="4">
        <f>[1]节奏总纲!K78</f>
        <v>1.41</v>
      </c>
      <c r="N78" s="4">
        <f>[1]节奏总纲!N78</f>
        <v>85</v>
      </c>
      <c r="O78" s="4">
        <f>[1]节奏总纲!O78</f>
        <v>75</v>
      </c>
      <c r="P78" s="6">
        <f>[1]节奏总纲!P78</f>
        <v>180.01933598375612</v>
      </c>
      <c r="Q78" s="6">
        <f>[1]节奏总纲!Q78</f>
        <v>155.75272949314578</v>
      </c>
      <c r="R78" s="6">
        <f>[1]节奏总纲!R78</f>
        <v>127.38168214210583</v>
      </c>
      <c r="S78" s="6">
        <f>[1]节奏总纲!S78</f>
        <v>93.214012172388934</v>
      </c>
      <c r="T78" s="6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4">
        <f>[1]节奏总纲!AL78</f>
        <v>75</v>
      </c>
      <c r="AM78" s="4">
        <f>[1]节奏总纲!AM78</f>
        <v>22936.899999999998</v>
      </c>
      <c r="AN78" s="4">
        <f>[1]节奏总纲!AN78</f>
        <v>18349.52</v>
      </c>
      <c r="AO78" s="4">
        <f>[1]节奏总纲!AO78</f>
        <v>13762.139999999998</v>
      </c>
      <c r="AP78" s="4">
        <f>[1]节奏总纲!AP78</f>
        <v>9174.76</v>
      </c>
      <c r="AQ78" s="4">
        <f>[1]节奏总纲!AQ78</f>
        <v>4587.38</v>
      </c>
      <c r="AS78" s="4">
        <f>[1]节奏总纲!AS78</f>
        <v>75</v>
      </c>
      <c r="AT78" s="4">
        <f>[1]节奏总纲!AT78</f>
        <v>3111.8854036292687</v>
      </c>
      <c r="AU78" s="4">
        <f>[1]节奏总纲!AU78</f>
        <v>2489.5083229034171</v>
      </c>
      <c r="AV78" s="4">
        <f>[1]节奏总纲!AV78</f>
        <v>1867.1312421775601</v>
      </c>
      <c r="AW78" s="4">
        <f>[1]节奏总纲!AW78</f>
        <v>1244.7541614517086</v>
      </c>
      <c r="AX78" s="4">
        <f>[1]节奏总纲!AX78</f>
        <v>622.37708072585428</v>
      </c>
      <c r="AZ78" s="4">
        <v>75</v>
      </c>
      <c r="BA78" s="4">
        <f>[1]节奏总纲!BA78</f>
        <v>36.105477566569242</v>
      </c>
      <c r="BB78" s="4">
        <f>[1]节奏总纲!BB78</f>
        <v>37.589718547105562</v>
      </c>
      <c r="BC78" s="4">
        <f>[1]节奏总纲!BC78</f>
        <v>39.520459727922798</v>
      </c>
      <c r="BD78" s="4">
        <f>[1]节奏总纲!BD78</f>
        <v>42.253930624755228</v>
      </c>
      <c r="BE78" s="4">
        <f>[1]节奏总纲!BE78</f>
        <v>46.946651928703787</v>
      </c>
      <c r="BR78" s="4">
        <v>75</v>
      </c>
      <c r="BS78" s="4">
        <f>'[1]功能-城建'!O80</f>
        <v>29</v>
      </c>
      <c r="BT78" s="4">
        <f>'[1]功能-城建'!P80</f>
        <v>29</v>
      </c>
      <c r="BU78" s="4">
        <f>'[1]功能-城建'!Q80</f>
        <v>29</v>
      </c>
      <c r="BV78" s="4">
        <f>'[1]功能-城建'!R80</f>
        <v>29</v>
      </c>
      <c r="BW78" s="4">
        <f t="shared" si="1"/>
        <v>116</v>
      </c>
    </row>
    <row r="79" spans="6:75" x14ac:dyDescent="0.15">
      <c r="F79" s="4">
        <f>[1]节奏总纲!F79</f>
        <v>77</v>
      </c>
      <c r="G79" s="4">
        <f>[1]节奏总纲!G79</f>
        <v>206.93661346719625</v>
      </c>
      <c r="I79" s="4">
        <f>[1]节奏总纲!I79</f>
        <v>77</v>
      </c>
      <c r="J79" s="4">
        <f>[1]节奏总纲!J79</f>
        <v>30698.011006346387</v>
      </c>
      <c r="K79" s="4">
        <f>[1]节奏总纲!K79</f>
        <v>1.42</v>
      </c>
      <c r="N79" s="4">
        <f>[1]节奏总纲!N79</f>
        <v>86</v>
      </c>
      <c r="O79" s="4">
        <f>[1]节奏总纲!O79</f>
        <v>76</v>
      </c>
      <c r="P79" s="6">
        <f>[1]节奏总纲!P79</f>
        <v>193.01172051333091</v>
      </c>
      <c r="Q79" s="6">
        <f>[1]节奏总纲!Q79</f>
        <v>166.97443941608256</v>
      </c>
      <c r="R79" s="6">
        <f>[1]节奏总纲!R79</f>
        <v>136.51718991907896</v>
      </c>
      <c r="S79" s="6">
        <f>[1]节奏总纲!S79</f>
        <v>100.0379747420594</v>
      </c>
      <c r="T79" s="6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4">
        <f>[1]节奏总纲!AL79</f>
        <v>76</v>
      </c>
      <c r="AM79" s="4">
        <f>[1]节奏总纲!AM79</f>
        <v>26535.88112606269</v>
      </c>
      <c r="AN79" s="4">
        <f>[1]节奏总纲!AN79</f>
        <v>21228.704900850153</v>
      </c>
      <c r="AO79" s="4">
        <f>[1]节奏总纲!AO79</f>
        <v>15921.528675637614</v>
      </c>
      <c r="AP79" s="4">
        <f>[1]节奏总纲!AP79</f>
        <v>10614.352450425076</v>
      </c>
      <c r="AQ79" s="4">
        <f>[1]节奏总纲!AQ79</f>
        <v>5307.1762252125382</v>
      </c>
      <c r="AS79" s="4">
        <f>[1]节奏总纲!AS79</f>
        <v>76</v>
      </c>
      <c r="AT79" s="4">
        <f>[1]节奏总纲!AT79</f>
        <v>3598.9811260626921</v>
      </c>
      <c r="AU79" s="4">
        <f>[1]节奏总纲!AU79</f>
        <v>2879.1849008501522</v>
      </c>
      <c r="AV79" s="4">
        <f>[1]节奏总纲!AV79</f>
        <v>2159.388675637616</v>
      </c>
      <c r="AW79" s="4">
        <f>[1]节奏总纲!AW79</f>
        <v>1439.5924504250761</v>
      </c>
      <c r="AX79" s="4">
        <f>[1]节奏总纲!AX79</f>
        <v>719.79622521253805</v>
      </c>
      <c r="AZ79" s="4">
        <v>76</v>
      </c>
      <c r="BA79" s="4">
        <f>[1]节奏总纲!BA79</f>
        <v>36.189648295204947</v>
      </c>
      <c r="BB79" s="4">
        <f>[1]节奏总纲!BB79</f>
        <v>37.680472138177471</v>
      </c>
      <c r="BC79" s="4">
        <f>[1]节奏总纲!BC79</f>
        <v>39.610514239111005</v>
      </c>
      <c r="BD79" s="4">
        <f>[1]节奏总纲!BD79</f>
        <v>42.340712512072891</v>
      </c>
      <c r="BE79" s="4">
        <f>[1]节奏总纲!BE79</f>
        <v>47.037096473408994</v>
      </c>
      <c r="BR79" s="4">
        <v>76</v>
      </c>
      <c r="BS79" s="4">
        <f>'[1]功能-城建'!O81</f>
        <v>29</v>
      </c>
      <c r="BT79" s="4">
        <f>'[1]功能-城建'!P81</f>
        <v>29</v>
      </c>
      <c r="BU79" s="4">
        <f>'[1]功能-城建'!Q81</f>
        <v>29</v>
      </c>
      <c r="BV79" s="4">
        <f>'[1]功能-城建'!R81</f>
        <v>29</v>
      </c>
      <c r="BW79" s="4">
        <f t="shared" si="1"/>
        <v>116</v>
      </c>
    </row>
    <row r="80" spans="6:75" x14ac:dyDescent="0.15">
      <c r="F80" s="4">
        <f>[1]节奏总纲!F80</f>
        <v>78</v>
      </c>
      <c r="G80" s="4">
        <f>[1]节奏总纲!G80</f>
        <v>221.86094420380775</v>
      </c>
      <c r="I80" s="4">
        <f>[1]节奏总纲!I80</f>
        <v>78</v>
      </c>
      <c r="J80" s="4">
        <f>[1]节奏总纲!J80</f>
        <v>35511.190322760085</v>
      </c>
      <c r="K80" s="4">
        <f>[1]节奏总纲!K80</f>
        <v>1.43</v>
      </c>
      <c r="N80" s="4">
        <f>[1]节奏总纲!N80</f>
        <v>87</v>
      </c>
      <c r="O80" s="4">
        <f>[1]节奏总纲!O80</f>
        <v>77</v>
      </c>
      <c r="P80" s="6">
        <f>[1]节奏总纲!P80</f>
        <v>206.93661346719625</v>
      </c>
      <c r="Q80" s="6">
        <f>[1]节奏总纲!Q80</f>
        <v>179.12433261720508</v>
      </c>
      <c r="R80" s="6">
        <f>[1]节奏总纲!R80</f>
        <v>146.53181599612165</v>
      </c>
      <c r="S80" s="6">
        <f>[1]节奏总纲!S80</f>
        <v>107.42079605082158</v>
      </c>
      <c r="T80" s="6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4">
        <f>[1]节奏总纲!AL80</f>
        <v>77</v>
      </c>
      <c r="AM80" s="4">
        <f>[1]节奏总纲!AM80</f>
        <v>30698.011006346387</v>
      </c>
      <c r="AN80" s="4">
        <f>[1]节奏总纲!AN80</f>
        <v>24558.40880507711</v>
      </c>
      <c r="AO80" s="4">
        <f>[1]节奏总纲!AO80</f>
        <v>18418.806603807832</v>
      </c>
      <c r="AP80" s="4">
        <f>[1]节奏总纲!AP80</f>
        <v>12279.204402538555</v>
      </c>
      <c r="AQ80" s="4">
        <f>[1]节奏总纲!AQ80</f>
        <v>6139.6022012692774</v>
      </c>
      <c r="AS80" s="4">
        <f>[1]节奏总纲!AS80</f>
        <v>77</v>
      </c>
      <c r="AT80" s="4">
        <f>[1]节奏总纲!AT80</f>
        <v>4162.1298802836973</v>
      </c>
      <c r="AU80" s="4">
        <f>[1]节奏总纲!AU80</f>
        <v>3329.7039042269571</v>
      </c>
      <c r="AV80" s="4">
        <f>[1]节奏总纲!AV80</f>
        <v>2497.2779281702187</v>
      </c>
      <c r="AW80" s="4">
        <f>[1]节奏总纲!AW80</f>
        <v>1664.8519521134785</v>
      </c>
      <c r="AX80" s="4">
        <f>[1]节奏总纲!AX80</f>
        <v>832.42597605673927</v>
      </c>
      <c r="AZ80" s="4">
        <v>77</v>
      </c>
      <c r="BA80" s="4">
        <f>[1]节奏总纲!BA80</f>
        <v>36.273819023840659</v>
      </c>
      <c r="BB80" s="4">
        <f>[1]节奏总纲!BB80</f>
        <v>37.771225729249387</v>
      </c>
      <c r="BC80" s="4">
        <f>[1]节奏总纲!BC80</f>
        <v>39.700568750299212</v>
      </c>
      <c r="BD80" s="4">
        <f>[1]节奏总纲!BD80</f>
        <v>42.427494399390554</v>
      </c>
      <c r="BE80" s="4">
        <f>[1]节奏总纲!BE80</f>
        <v>47.12024662670057</v>
      </c>
      <c r="BR80" s="4">
        <v>77</v>
      </c>
      <c r="BS80" s="4">
        <f>'[1]功能-城建'!O82</f>
        <v>29</v>
      </c>
      <c r="BT80" s="4">
        <f>'[1]功能-城建'!P82</f>
        <v>29</v>
      </c>
      <c r="BU80" s="4">
        <f>'[1]功能-城建'!Q82</f>
        <v>29</v>
      </c>
      <c r="BV80" s="4">
        <f>'[1]功能-城建'!R82</f>
        <v>29</v>
      </c>
      <c r="BW80" s="4">
        <f t="shared" ref="BW80:BW83" si="2">SUM(BS80:BV80)</f>
        <v>116</v>
      </c>
    </row>
    <row r="81" spans="6:75" x14ac:dyDescent="0.15">
      <c r="F81" s="4">
        <f>[1]节奏总纲!F81</f>
        <v>79</v>
      </c>
      <c r="G81" s="4">
        <f>[1]节奏总纲!G81</f>
        <v>237.85644583342264</v>
      </c>
      <c r="I81" s="4">
        <f>[1]节奏总纲!I81</f>
        <v>79</v>
      </c>
      <c r="J81" s="4">
        <f>[1]节奏总纲!J81</f>
        <v>41077.009235645834</v>
      </c>
      <c r="K81" s="4">
        <f>[1]节奏总纲!K81</f>
        <v>1.44</v>
      </c>
      <c r="N81" s="4">
        <f>[1]节奏总纲!N81</f>
        <v>88</v>
      </c>
      <c r="O81" s="4">
        <f>[1]节奏总纲!O81</f>
        <v>78</v>
      </c>
      <c r="P81" s="6">
        <f>[1]节奏总纲!P81</f>
        <v>221.86094420380775</v>
      </c>
      <c r="Q81" s="6">
        <f>[1]节奏总纲!Q81</f>
        <v>192.04283330281601</v>
      </c>
      <c r="R81" s="6">
        <f>[1]节奏总纲!R81</f>
        <v>157.23285115723854</v>
      </c>
      <c r="S81" s="6">
        <f>[1]节奏总纲!S81</f>
        <v>115.1680161361966</v>
      </c>
      <c r="T81" s="6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4">
        <f>[1]节奏总纲!AL81</f>
        <v>78</v>
      </c>
      <c r="AM81" s="4">
        <f>[1]节奏总纲!AM81</f>
        <v>35511.190322760085</v>
      </c>
      <c r="AN81" s="4">
        <f>[1]节奏总纲!AN81</f>
        <v>28408.952258208068</v>
      </c>
      <c r="AO81" s="4">
        <f>[1]节奏总纲!AO81</f>
        <v>21306.714193656051</v>
      </c>
      <c r="AP81" s="4">
        <f>[1]节奏总纲!AP81</f>
        <v>14204.476129104034</v>
      </c>
      <c r="AQ81" s="4">
        <f>[1]节奏总纲!AQ81</f>
        <v>7102.238064552017</v>
      </c>
      <c r="AS81" s="4">
        <f>[1]节奏总纲!AS81</f>
        <v>78</v>
      </c>
      <c r="AT81" s="4">
        <f>[1]节奏总纲!AT81</f>
        <v>4813.179316413698</v>
      </c>
      <c r="AU81" s="4">
        <f>[1]节奏总纲!AU81</f>
        <v>3850.5434531309584</v>
      </c>
      <c r="AV81" s="4">
        <f>[1]节奏总纲!AV81</f>
        <v>2887.9075898482188</v>
      </c>
      <c r="AW81" s="4">
        <f>[1]节奏总纲!AW81</f>
        <v>1925.2717265654792</v>
      </c>
      <c r="AX81" s="4">
        <f>[1]节奏总纲!AX81</f>
        <v>962.63586328273959</v>
      </c>
      <c r="AZ81" s="4">
        <v>78</v>
      </c>
      <c r="BA81" s="4">
        <f>[1]节奏总纲!BA81</f>
        <v>36.357989752476364</v>
      </c>
      <c r="BB81" s="4">
        <f>[1]节奏总纲!BB81</f>
        <v>37.861979320321296</v>
      </c>
      <c r="BC81" s="4">
        <f>[1]节奏总纲!BC81</f>
        <v>39.790623261487418</v>
      </c>
      <c r="BD81" s="4">
        <f>[1]节奏总纲!BD81</f>
        <v>42.51427628670821</v>
      </c>
      <c r="BE81" s="4">
        <f>[1]节奏总纲!BE81</f>
        <v>47.203396779992147</v>
      </c>
      <c r="BR81" s="4">
        <v>78</v>
      </c>
      <c r="BS81" s="4">
        <f>'[1]功能-城建'!O83</f>
        <v>30</v>
      </c>
      <c r="BT81" s="4">
        <f>'[1]功能-城建'!P83</f>
        <v>30</v>
      </c>
      <c r="BU81" s="4">
        <f>'[1]功能-城建'!Q83</f>
        <v>30</v>
      </c>
      <c r="BV81" s="4">
        <f>'[1]功能-城建'!R83</f>
        <v>30</v>
      </c>
      <c r="BW81" s="4">
        <f t="shared" si="2"/>
        <v>120</v>
      </c>
    </row>
    <row r="82" spans="6:75" x14ac:dyDescent="0.15">
      <c r="F82" s="4">
        <f>[1]节奏总纲!F82</f>
        <v>80</v>
      </c>
      <c r="G82" s="4">
        <f>[1]节奏总纲!G82</f>
        <v>255</v>
      </c>
      <c r="I82" s="4">
        <f>[1]节奏总纲!I82</f>
        <v>80</v>
      </c>
      <c r="J82" s="4">
        <f>[1]节奏总纲!J82</f>
        <v>47512.875</v>
      </c>
      <c r="K82" s="4">
        <f>[1]节奏总纲!K82</f>
        <v>1.45</v>
      </c>
      <c r="N82" s="4">
        <f>[1]节奏总纲!N82</f>
        <v>89</v>
      </c>
      <c r="O82" s="4">
        <f>[1]节奏总纲!O82</f>
        <v>79</v>
      </c>
      <c r="P82" s="6">
        <f>[1]节奏总纲!P82</f>
        <v>237.85644583342264</v>
      </c>
      <c r="Q82" s="6">
        <f>[1]节奏总纲!Q82</f>
        <v>206.07882467007735</v>
      </c>
      <c r="R82" s="6">
        <f>[1]节奏总纲!R82</f>
        <v>168.73536267423003</v>
      </c>
      <c r="S82" s="6">
        <f>[1]节奏总纲!S82</f>
        <v>123.11449636337954</v>
      </c>
      <c r="T82" s="6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4">
        <f>[1]节奏总纲!AL82</f>
        <v>79</v>
      </c>
      <c r="AM82" s="4">
        <f>[1]节奏总纲!AM82</f>
        <v>41077.009235645834</v>
      </c>
      <c r="AN82" s="4">
        <f>[1]节奏总纲!AN82</f>
        <v>32861.60738851667</v>
      </c>
      <c r="AO82" s="4">
        <f>[1]节奏总纲!AO82</f>
        <v>24646.205541387499</v>
      </c>
      <c r="AP82" s="4">
        <f>[1]节奏总纲!AP82</f>
        <v>16430.803694258335</v>
      </c>
      <c r="AQ82" s="4">
        <f>[1]节奏总纲!AQ82</f>
        <v>8215.4018471291674</v>
      </c>
      <c r="AS82" s="4">
        <f>[1]节奏总纲!AS82</f>
        <v>79</v>
      </c>
      <c r="AT82" s="4">
        <f>[1]节奏总纲!AT82</f>
        <v>5565.8189128857484</v>
      </c>
      <c r="AU82" s="4">
        <f>[1]节奏总纲!AU82</f>
        <v>4452.6551303086017</v>
      </c>
      <c r="AV82" s="4">
        <f>[1]节奏总纲!AV82</f>
        <v>3339.4913477314476</v>
      </c>
      <c r="AW82" s="4">
        <f>[1]节奏总纲!AW82</f>
        <v>2226.3275651543008</v>
      </c>
      <c r="AX82" s="4">
        <f>[1]节奏总纲!AX82</f>
        <v>1113.1637825771504</v>
      </c>
      <c r="AZ82" s="4">
        <v>79</v>
      </c>
      <c r="BA82" s="4">
        <f>[1]节奏总纲!BA82</f>
        <v>36.442160481112069</v>
      </c>
      <c r="BB82" s="4">
        <f>[1]节奏总纲!BB82</f>
        <v>37.952732911393213</v>
      </c>
      <c r="BC82" s="4">
        <f>[1]节奏总纲!BC82</f>
        <v>39.880677772675625</v>
      </c>
      <c r="BD82" s="4">
        <f>[1]节奏总纲!BD82</f>
        <v>42.601058174025873</v>
      </c>
      <c r="BE82" s="4">
        <f>[1]节奏总纲!BE82</f>
        <v>47.286546933283724</v>
      </c>
      <c r="BR82" s="4">
        <v>79</v>
      </c>
      <c r="BS82" s="4">
        <f>'[1]功能-城建'!O84</f>
        <v>30</v>
      </c>
      <c r="BT82" s="4">
        <f>'[1]功能-城建'!P84</f>
        <v>30</v>
      </c>
      <c r="BU82" s="4">
        <f>'[1]功能-城建'!Q84</f>
        <v>30</v>
      </c>
      <c r="BV82" s="4">
        <f>'[1]功能-城建'!R84</f>
        <v>30</v>
      </c>
      <c r="BW82" s="4">
        <f t="shared" si="2"/>
        <v>120</v>
      </c>
    </row>
    <row r="83" spans="6:75" x14ac:dyDescent="0.15">
      <c r="F83" s="4">
        <f>[1]节奏总纲!F83</f>
        <v>81</v>
      </c>
      <c r="G83" s="4">
        <f>[1]节奏总纲!G83</f>
        <v>273.37400640929098</v>
      </c>
      <c r="N83" s="4">
        <f>[1]节奏总纲!N83</f>
        <v>90</v>
      </c>
      <c r="O83" s="4">
        <f>[1]节奏总纲!O83</f>
        <v>80</v>
      </c>
      <c r="P83" s="6">
        <f>[1]节奏总纲!P83</f>
        <v>255</v>
      </c>
      <c r="Q83" s="6">
        <f>[1]节奏总纲!Q83</f>
        <v>221.08500000000001</v>
      </c>
      <c r="R83" s="6">
        <f>[1]节奏总纲!R83</f>
        <v>180.33600000000001</v>
      </c>
      <c r="S83" s="6">
        <f>[1]节奏总纲!S83</f>
        <v>131.58000000000001</v>
      </c>
      <c r="T83" s="6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4">
        <f>[1]节奏总纲!AL83</f>
        <v>80</v>
      </c>
      <c r="AM83" s="4">
        <f>[1]节奏总纲!AM83</f>
        <v>47512.875</v>
      </c>
      <c r="AN83" s="4">
        <f>[1]节奏总纲!AN83</f>
        <v>38010.300000000003</v>
      </c>
      <c r="AO83" s="4">
        <f>[1]节奏总纲!AO83</f>
        <v>28507.724999999999</v>
      </c>
      <c r="AP83" s="4">
        <f>[1]节奏总纲!AP83</f>
        <v>19005.150000000001</v>
      </c>
      <c r="AQ83" s="4">
        <f>[1]节奏总纲!AQ83</f>
        <v>9502.5750000000007</v>
      </c>
      <c r="AS83" s="4">
        <f>[1]节奏总纲!AS83</f>
        <v>80</v>
      </c>
      <c r="AT83" s="4">
        <f>[1]节奏总纲!AT83</f>
        <v>6435.8657643541665</v>
      </c>
      <c r="AU83" s="4">
        <f>[1]节奏总纲!AU83</f>
        <v>5148.6926114833332</v>
      </c>
      <c r="AV83" s="4">
        <f>[1]节奏总纲!AV83</f>
        <v>3861.5194586124999</v>
      </c>
      <c r="AW83" s="4">
        <f>[1]节奏总纲!AW83</f>
        <v>2574.3463057416666</v>
      </c>
      <c r="AX83" s="4">
        <f>[1]节奏总纲!AX83</f>
        <v>1287.1731528708333</v>
      </c>
      <c r="AZ83" s="4">
        <v>80</v>
      </c>
      <c r="BA83" s="4">
        <f>[1]节奏总纲!BA83</f>
        <v>36.526331209747774</v>
      </c>
      <c r="BB83" s="4">
        <f>[1]节奏总纲!BB83</f>
        <v>38.037513426486328</v>
      </c>
      <c r="BC83" s="4">
        <f>[1]节奏总纲!BC83</f>
        <v>39.970732283863832</v>
      </c>
      <c r="BD83" s="4">
        <f>[1]节奏总纲!BD83</f>
        <v>42.687840061343536</v>
      </c>
      <c r="BE83" s="4">
        <f>[1]节奏总纲!BE83</f>
        <v>47.3696970865753</v>
      </c>
      <c r="BR83" s="4">
        <v>80</v>
      </c>
      <c r="BS83" s="4">
        <f>'[1]功能-城建'!O85</f>
        <v>30</v>
      </c>
      <c r="BT83" s="4">
        <f>'[1]功能-城建'!P85</f>
        <v>30</v>
      </c>
      <c r="BU83" s="4">
        <f>'[1]功能-城建'!Q85</f>
        <v>30</v>
      </c>
      <c r="BV83" s="4">
        <f>'[1]功能-城建'!R85</f>
        <v>30</v>
      </c>
      <c r="BW83" s="4">
        <f t="shared" si="2"/>
        <v>120</v>
      </c>
    </row>
    <row r="84" spans="6:75" x14ac:dyDescent="0.15">
      <c r="F84" s="4">
        <f>[1]节奏总纲!F84</f>
        <v>82</v>
      </c>
      <c r="G84" s="4">
        <f>[1]节奏总纲!G84</f>
        <v>293.06677887924064</v>
      </c>
      <c r="N84" s="4">
        <f>[1]节奏总纲!N84</f>
        <v>91</v>
      </c>
      <c r="O84" s="4">
        <f>[1]节奏总纲!O84</f>
        <v>81</v>
      </c>
      <c r="P84" s="6">
        <f>[1]节奏总纲!P84</f>
        <v>273.37400640929098</v>
      </c>
      <c r="Q84" s="6">
        <f>[1]节奏总纲!Q84</f>
        <v>236.35916594147301</v>
      </c>
      <c r="R84" s="6">
        <f>[1]节奏总纲!R84</f>
        <v>192.67399971726829</v>
      </c>
      <c r="S84" s="6">
        <f>[1]节奏总纲!S84</f>
        <v>140.76027590014394</v>
      </c>
      <c r="T84" s="6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f>[1]节奏总纲!BA84</f>
        <v>36.610501938383479</v>
      </c>
      <c r="BB84" s="4">
        <f>[1]节奏总纲!BB84</f>
        <v>38.11580158428373</v>
      </c>
      <c r="BC84" s="4">
        <f>[1]节奏总纲!BC84</f>
        <v>40.052446592012309</v>
      </c>
      <c r="BD84" s="4">
        <f>[1]节奏总纲!BD84</f>
        <v>42.774621948661192</v>
      </c>
      <c r="BE84" s="4">
        <f>[1]节奏总纲!BE84</f>
        <v>47.452847239866877</v>
      </c>
    </row>
    <row r="85" spans="6:75" x14ac:dyDescent="0.15">
      <c r="F85" s="4">
        <f>[1]节奏总纲!F85</f>
        <v>83</v>
      </c>
      <c r="G85" s="4">
        <f>[1]节奏总纲!G85</f>
        <v>314.1729698162988</v>
      </c>
      <c r="N85" s="4">
        <f>[1]节奏总纲!N85</f>
        <v>92</v>
      </c>
      <c r="O85" s="4">
        <f>[1]节奏总纲!O85</f>
        <v>82</v>
      </c>
      <c r="P85" s="6">
        <f>[1]节奏总纲!P85</f>
        <v>293.06677887924064</v>
      </c>
      <c r="Q85" s="6">
        <f>[1]节奏总纲!Q85</f>
        <v>253.15108359588808</v>
      </c>
      <c r="R85" s="6">
        <f>[1]节奏总纲!R85</f>
        <v>206.37762568676126</v>
      </c>
      <c r="S85" s="6">
        <f>[1]节奏总纲!S85</f>
        <v>150.81216441125721</v>
      </c>
      <c r="T85" s="6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f>[1]节奏总纲!BA85</f>
        <v>36.694672667019191</v>
      </c>
      <c r="BB85" s="4">
        <f>[1]节奏总纲!BB85</f>
        <v>38.194089742081125</v>
      </c>
      <c r="BC85" s="4">
        <f>[1]节奏总纲!BC85</f>
        <v>40.130145246845366</v>
      </c>
      <c r="BD85" s="4">
        <f>[1]节奏总纲!BD85</f>
        <v>42.861403835978855</v>
      </c>
      <c r="BE85" s="4">
        <f>[1]节奏总纲!BE85</f>
        <v>47.535997393158453</v>
      </c>
    </row>
    <row r="86" spans="6:75" x14ac:dyDescent="0.15">
      <c r="F86" s="4">
        <f>[1]节奏总纲!F86</f>
        <v>84</v>
      </c>
      <c r="G86" s="4">
        <f>[1]节奏总纲!G86</f>
        <v>336.79402515786086</v>
      </c>
      <c r="N86" s="4">
        <f>[1]节奏总纲!N86</f>
        <v>93</v>
      </c>
      <c r="O86" s="4">
        <f>[1]节奏总纲!O86</f>
        <v>83</v>
      </c>
      <c r="P86" s="6">
        <f>[1]节奏总纲!P86</f>
        <v>314.1729698162988</v>
      </c>
      <c r="Q86" s="6">
        <f>[1]节奏总纲!Q86</f>
        <v>271.53969781222702</v>
      </c>
      <c r="R86" s="6">
        <f>[1]节奏总纲!R86</f>
        <v>221.55477831445393</v>
      </c>
      <c r="S86" s="6">
        <f>[1]节奏总纲!S86</f>
        <v>161.57915837652246</v>
      </c>
      <c r="T86" s="6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f>[1]节奏总纲!BA86</f>
        <v>36.778843395654896</v>
      </c>
      <c r="BB86" s="4">
        <f>[1]节奏总纲!BB86</f>
        <v>38.272377899878528</v>
      </c>
      <c r="BC86" s="4">
        <f>[1]节奏总纲!BC86</f>
        <v>40.207843901678423</v>
      </c>
      <c r="BD86" s="4">
        <f>[1]节奏总纲!BD86</f>
        <v>42.948185723296518</v>
      </c>
      <c r="BE86" s="4">
        <f>[1]节奏总纲!BE86</f>
        <v>47.619147546450023</v>
      </c>
    </row>
    <row r="87" spans="6:75" x14ac:dyDescent="0.15">
      <c r="F87" s="4">
        <f>[1]节奏总纲!F87</f>
        <v>85</v>
      </c>
      <c r="G87" s="4">
        <f>[1]节奏总纲!G87</f>
        <v>361.0386719675123</v>
      </c>
      <c r="N87" s="4">
        <f>[1]节奏总纲!N87</f>
        <v>94</v>
      </c>
      <c r="O87" s="4">
        <f>[1]节奏总纲!O87</f>
        <v>84</v>
      </c>
      <c r="P87" s="6">
        <f>[1]节奏总纲!P87</f>
        <v>336.79402515786086</v>
      </c>
      <c r="Q87" s="6">
        <f>[1]节奏总纲!Q87</f>
        <v>291.2594729565181</v>
      </c>
      <c r="R87" s="6">
        <f>[1]节奏总纲!R87</f>
        <v>237.27139072371298</v>
      </c>
      <c r="S87" s="6">
        <f>[1]节奏总纲!S87</f>
        <v>172.97741132107731</v>
      </c>
      <c r="T87" s="6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f>[1]节奏总纲!BA87</f>
        <v>36.863014124290601</v>
      </c>
      <c r="BB87" s="4">
        <f>[1]节奏总纲!BB87</f>
        <v>38.35066605767593</v>
      </c>
      <c r="BC87" s="4">
        <f>[1]节奏总纲!BC87</f>
        <v>40.28554255651148</v>
      </c>
      <c r="BD87" s="4">
        <f>[1]节奏总纲!BD87</f>
        <v>43.030177309109042</v>
      </c>
      <c r="BE87" s="4">
        <f>[1]节奏总纲!BE87</f>
        <v>47.7022976997416</v>
      </c>
    </row>
    <row r="88" spans="6:75" x14ac:dyDescent="0.15">
      <c r="F88" s="4">
        <f>[1]节奏总纲!F88</f>
        <v>86</v>
      </c>
      <c r="G88" s="4">
        <f>[1]节奏总纲!G88</f>
        <v>387.02344102666189</v>
      </c>
      <c r="N88" s="4">
        <f>[1]节奏总纲!N88</f>
        <v>95</v>
      </c>
      <c r="O88" s="4">
        <f>[1]节奏总纲!O88</f>
        <v>85</v>
      </c>
      <c r="P88" s="6">
        <f>[1]节奏总纲!P88</f>
        <v>361.0386719675123</v>
      </c>
      <c r="Q88" s="6">
        <f>[1]节奏总纲!Q88</f>
        <v>311.72078937675008</v>
      </c>
      <c r="R88" s="6">
        <f>[1]节奏总纲!R88</f>
        <v>253.91849799475142</v>
      </c>
      <c r="S88" s="6">
        <f>[1]节奏总纲!S88</f>
        <v>185.57387739130132</v>
      </c>
      <c r="T88" s="6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f>[1]节奏总纲!BA88</f>
        <v>36.947184852926306</v>
      </c>
      <c r="BB88" s="4">
        <f>[1]节奏总纲!BB88</f>
        <v>38.428954215473325</v>
      </c>
      <c r="BC88" s="4">
        <f>[1]节奏总纲!BC88</f>
        <v>40.363241211344537</v>
      </c>
      <c r="BD88" s="4">
        <f>[1]节奏总纲!BD88</f>
        <v>43.105070725978337</v>
      </c>
      <c r="BE88" s="4">
        <f>[1]节奏总纲!BE88</f>
        <v>47.785447853033176</v>
      </c>
    </row>
    <row r="89" spans="6:75" x14ac:dyDescent="0.15">
      <c r="F89" s="4">
        <f>[1]节奏总纲!F89</f>
        <v>87</v>
      </c>
      <c r="G89" s="4">
        <f>[1]节奏总纲!G89</f>
        <v>414.87322693439216</v>
      </c>
      <c r="N89" s="4">
        <f>[1]节奏总纲!N89</f>
        <v>96</v>
      </c>
      <c r="O89" s="4">
        <f>[1]节奏总纲!O89</f>
        <v>86</v>
      </c>
      <c r="P89" s="6">
        <f>[1]节奏总纲!P89</f>
        <v>387.02344102666189</v>
      </c>
      <c r="Q89" s="6">
        <f>[1]节奏总纲!Q89</f>
        <v>334.00122960600919</v>
      </c>
      <c r="R89" s="6">
        <f>[1]节奏总纲!R89</f>
        <v>272.23228841815398</v>
      </c>
      <c r="S89" s="6">
        <f>[1]节奏总纲!S89</f>
        <v>199.39447681693619</v>
      </c>
      <c r="T89" s="6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f>[1]节奏总纲!BA89</f>
        <v>37.027046282459708</v>
      </c>
      <c r="BB89" s="4">
        <f>[1]节奏总纲!BB89</f>
        <v>38.507242373270728</v>
      </c>
      <c r="BC89" s="4">
        <f>[1]节奏总纲!BC89</f>
        <v>40.440939866177594</v>
      </c>
      <c r="BD89" s="4">
        <f>[1]节奏总纲!BD89</f>
        <v>43.179964142847631</v>
      </c>
      <c r="BE89" s="4">
        <f>[1]节奏总纲!BE89</f>
        <v>47.868598006324753</v>
      </c>
    </row>
    <row r="90" spans="6:75" x14ac:dyDescent="0.15">
      <c r="F90" s="4">
        <f>[1]节奏总纲!F90</f>
        <v>88</v>
      </c>
      <c r="G90" s="4">
        <f>[1]节奏总纲!G90</f>
        <v>444.72188840761549</v>
      </c>
      <c r="N90" s="4">
        <f>[1]节奏总纲!N90</f>
        <v>97</v>
      </c>
      <c r="O90" s="4">
        <f>[1]节奏总纲!O90</f>
        <v>87</v>
      </c>
      <c r="P90" s="6">
        <f>[1]节奏总纲!P90</f>
        <v>414.87322693439216</v>
      </c>
      <c r="Q90" s="6">
        <f>[1]节奏总纲!Q90</f>
        <v>358.28451878054108</v>
      </c>
      <c r="R90" s="6">
        <f>[1]节奏总纲!R90</f>
        <v>292.4026503433596</v>
      </c>
      <c r="S90" s="6">
        <f>[1]节奏总纲!S90</f>
        <v>212.58104148118252</v>
      </c>
      <c r="T90" s="6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f>[1]节奏总纲!BA90</f>
        <v>37.099649155317238</v>
      </c>
      <c r="BB90" s="4">
        <f>[1]节奏总纲!BB90</f>
        <v>38.58553053106813</v>
      </c>
      <c r="BC90" s="4">
        <f>[1]节奏总纲!BC90</f>
        <v>40.518638521010651</v>
      </c>
      <c r="BD90" s="4">
        <f>[1]节奏总纲!BD90</f>
        <v>43.254857559716925</v>
      </c>
      <c r="BE90" s="4">
        <f>[1]节奏总纲!BE90</f>
        <v>47.951748159616329</v>
      </c>
    </row>
    <row r="91" spans="6:75" x14ac:dyDescent="0.15">
      <c r="F91" s="4">
        <f>[1]节奏总纲!F91</f>
        <v>89</v>
      </c>
      <c r="G91" s="4">
        <f>[1]节奏总纲!G91</f>
        <v>476.71289166684534</v>
      </c>
      <c r="N91" s="4">
        <f>[1]节奏总纲!N91</f>
        <v>98</v>
      </c>
      <c r="O91" s="4">
        <f>[1]节奏总纲!O91</f>
        <v>88</v>
      </c>
      <c r="P91" s="6">
        <f>[1]节奏总纲!P91</f>
        <v>444.72188840761549</v>
      </c>
      <c r="Q91" s="6">
        <f>[1]节奏总纲!Q91</f>
        <v>384.7733778502689</v>
      </c>
      <c r="R91" s="6">
        <f>[1]节奏总纲!R91</f>
        <v>312.90632068359827</v>
      </c>
      <c r="S91" s="6">
        <f>[1]节奏总纲!S91</f>
        <v>226.0076636887502</v>
      </c>
      <c r="T91" s="6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f>[1]节奏总纲!BA91</f>
        <v>37.172252028174768</v>
      </c>
      <c r="BB91" s="4">
        <f>[1]节奏总纲!BB91</f>
        <v>38.663818688865533</v>
      </c>
      <c r="BC91" s="4">
        <f>[1]节奏总纲!BC91</f>
        <v>40.596337175843701</v>
      </c>
      <c r="BD91" s="4">
        <f>[1]节奏总纲!BD91</f>
        <v>43.329750976586219</v>
      </c>
      <c r="BE91" s="4">
        <f>[1]节奏总纲!BE91</f>
        <v>48.030128751164234</v>
      </c>
    </row>
    <row r="92" spans="6:75" x14ac:dyDescent="0.15">
      <c r="F92" s="4">
        <f>[1]节奏总纲!F92</f>
        <v>90</v>
      </c>
      <c r="G92" s="4">
        <f>[1]节奏总纲!G92</f>
        <v>511</v>
      </c>
      <c r="N92" s="4">
        <f>[1]节奏总纲!N92</f>
        <v>99</v>
      </c>
      <c r="O92" s="4">
        <f>[1]节奏总纲!O92</f>
        <v>89</v>
      </c>
      <c r="P92" s="6">
        <f>[1]节奏总纲!P92</f>
        <v>476.71289166684534</v>
      </c>
      <c r="Q92" s="6">
        <f>[1]节奏总纲!Q92</f>
        <v>411.78459582182103</v>
      </c>
      <c r="R92" s="6">
        <f>[1]节奏总纲!R92</f>
        <v>332.60258451595797</v>
      </c>
      <c r="S92" s="6">
        <f>[1]节奏总纲!S92</f>
        <v>240.31096868925673</v>
      </c>
      <c r="T92" s="6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f>[1]节奏总纲!BA92</f>
        <v>37.244854901032298</v>
      </c>
      <c r="BB92" s="4">
        <f>[1]节奏总纲!BB92</f>
        <v>38.742106846662928</v>
      </c>
      <c r="BC92" s="4">
        <f>[1]节奏总纲!BC92</f>
        <v>40.674035830676758</v>
      </c>
      <c r="BD92" s="4">
        <f>[1]节奏总纲!BD92</f>
        <v>43.404644393455513</v>
      </c>
      <c r="BE92" s="4">
        <f>[1]节奏总纲!BE92</f>
        <v>48.101914750802706</v>
      </c>
    </row>
    <row r="93" spans="6:75" x14ac:dyDescent="0.15">
      <c r="F93" s="4">
        <f>[1]节奏总纲!F93</f>
        <v>91</v>
      </c>
      <c r="G93" s="4">
        <f>[1]节奏总纲!G93</f>
        <v>547.74801281858208</v>
      </c>
      <c r="N93" s="4">
        <f>[1]节奏总纲!N93</f>
        <v>100</v>
      </c>
      <c r="O93" s="4">
        <f>[1]节奏总纲!O93</f>
        <v>90</v>
      </c>
      <c r="P93" s="6">
        <f>[1]节奏总纲!P93</f>
        <v>511</v>
      </c>
      <c r="Q93" s="6">
        <f>[1]节奏总纲!Q93</f>
        <v>438.13140000000004</v>
      </c>
      <c r="R93" s="6">
        <f>[1]节奏总纲!R93</f>
        <v>354.12299999999999</v>
      </c>
      <c r="S93" s="6">
        <f>[1]节奏总纲!S93</f>
        <v>254.88680000000002</v>
      </c>
      <c r="T93" s="6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f>[1]节奏总纲!BA93</f>
        <v>37.317457773889828</v>
      </c>
      <c r="BB93" s="4">
        <f>[1]节奏总纲!BB93</f>
        <v>38.82039500446033</v>
      </c>
      <c r="BC93" s="4">
        <f>[1]节奏总纲!BC93</f>
        <v>40.751734485509814</v>
      </c>
      <c r="BD93" s="4">
        <f>[1]节奏总纲!BD93</f>
        <v>43.479537810324807</v>
      </c>
      <c r="BE93" s="4">
        <f>[1]节奏总纲!BE93</f>
        <v>48.173700750441178</v>
      </c>
    </row>
    <row r="94" spans="6:75" x14ac:dyDescent="0.15">
      <c r="F94" s="4">
        <f>[1]节奏总纲!F94</f>
        <v>92</v>
      </c>
      <c r="G94" s="4">
        <f>[1]节奏总纲!G94</f>
        <v>587.1335577584814</v>
      </c>
      <c r="N94" s="4">
        <f>[1]节奏总纲!N94</f>
        <v>101</v>
      </c>
      <c r="O94" s="4">
        <f>[1]节奏总纲!O94</f>
        <v>91</v>
      </c>
      <c r="P94" s="6">
        <f>[1]节奏总纲!P94</f>
        <v>547.74801281858208</v>
      </c>
      <c r="Q94" s="6">
        <f>[1]节奏总纲!Q94</f>
        <v>469.6391461906523</v>
      </c>
      <c r="R94" s="6">
        <f>[1]节奏总纲!R94</f>
        <v>378.43910205635837</v>
      </c>
      <c r="S94" s="6">
        <f>[1]节奏总纲!S94</f>
        <v>272.61418597980827</v>
      </c>
      <c r="T94" s="6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f>[1]节奏总纲!BA94</f>
        <v>37.390060646747358</v>
      </c>
      <c r="BB94" s="4">
        <f>[1]节奏总纲!BB94</f>
        <v>38.898683162257733</v>
      </c>
      <c r="BC94" s="4">
        <f>[1]节奏总纲!BC94</f>
        <v>40.829433140342871</v>
      </c>
      <c r="BD94" s="4">
        <f>[1]节奏总纲!BD94</f>
        <v>43.554431227194108</v>
      </c>
      <c r="BE94" s="4">
        <f>[1]节奏总纲!BE94</f>
        <v>48.24548675007965</v>
      </c>
    </row>
    <row r="95" spans="6:75" x14ac:dyDescent="0.15">
      <c r="F95" s="4">
        <f>[1]节奏总纲!F95</f>
        <v>93</v>
      </c>
      <c r="G95" s="4">
        <f>[1]节奏总纲!G95</f>
        <v>629.34593963259704</v>
      </c>
      <c r="N95" s="4">
        <f>[1]节奏总纲!N95</f>
        <v>102</v>
      </c>
      <c r="O95" s="4">
        <f>[1]节奏总纲!O95</f>
        <v>92</v>
      </c>
      <c r="P95" s="6">
        <f>[1]节奏总纲!P95</f>
        <v>587.1335577584814</v>
      </c>
      <c r="Q95" s="6">
        <f>[1]节奏总纲!Q95</f>
        <v>502.29275866238083</v>
      </c>
      <c r="R95" s="6">
        <f>[1]节奏总纲!R95</f>
        <v>405.12215485335213</v>
      </c>
      <c r="S95" s="6">
        <f>[1]节奏总纲!S95</f>
        <v>291.57052478286187</v>
      </c>
      <c r="T95" s="6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f>[1]节奏总纲!BA95</f>
        <v>37.462663519604888</v>
      </c>
      <c r="BB95" s="4">
        <f>[1]节奏总纲!BB95</f>
        <v>38.976971320055128</v>
      </c>
      <c r="BC95" s="4">
        <f>[1]节奏总纲!BC95</f>
        <v>40.907131795175928</v>
      </c>
      <c r="BD95" s="4">
        <f>[1]节奏总纲!BD95</f>
        <v>43.629324644063402</v>
      </c>
      <c r="BE95" s="4">
        <f>[1]节奏总纲!BE95</f>
        <v>48.317272749718121</v>
      </c>
    </row>
    <row r="96" spans="6:75" x14ac:dyDescent="0.15">
      <c r="F96" s="4">
        <f>[1]节奏总纲!F96</f>
        <v>94</v>
      </c>
      <c r="G96" s="4">
        <f>[1]节奏总纲!G96</f>
        <v>674.58805031572183</v>
      </c>
      <c r="N96" s="4">
        <f>[1]节奏总纲!N96</f>
        <v>103</v>
      </c>
      <c r="O96" s="4">
        <f>[1]节奏总纲!O96</f>
        <v>93</v>
      </c>
      <c r="P96" s="6">
        <f>[1]节奏总纲!P96</f>
        <v>629.34593963259704</v>
      </c>
      <c r="Q96" s="6">
        <f>[1]节奏总纲!Q96</f>
        <v>538.34251676172357</v>
      </c>
      <c r="R96" s="6">
        <f>[1]节奏总纲!R96</f>
        <v>433.68228700082267</v>
      </c>
      <c r="S96" s="6">
        <f>[1]节奏总纲!S96</f>
        <v>311.52624011813555</v>
      </c>
      <c r="T96" s="6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f>[1]节奏总纲!BA96</f>
        <v>37.535266392462418</v>
      </c>
      <c r="BB96" s="4">
        <f>[1]节奏总纲!BB96</f>
        <v>39.047673544184711</v>
      </c>
      <c r="BC96" s="4">
        <f>[1]节奏总纲!BC96</f>
        <v>40.984830450008985</v>
      </c>
      <c r="BD96" s="4">
        <f>[1]节奏总纲!BD96</f>
        <v>43.704218060932696</v>
      </c>
      <c r="BE96" s="4">
        <f>[1]节奏总纲!BE96</f>
        <v>48.389058749356593</v>
      </c>
    </row>
    <row r="97" spans="6:57" x14ac:dyDescent="0.15">
      <c r="F97" s="4">
        <f>[1]节奏总纲!F97</f>
        <v>95</v>
      </c>
      <c r="G97" s="4">
        <f>[1]节奏总纲!G97</f>
        <v>723.0773439350246</v>
      </c>
      <c r="N97" s="4">
        <f>[1]节奏总纲!N97</f>
        <v>104</v>
      </c>
      <c r="O97" s="4">
        <f>[1]节奏总纲!O97</f>
        <v>94</v>
      </c>
      <c r="P97" s="6">
        <f>[1]节奏总纲!P97</f>
        <v>674.58805031572183</v>
      </c>
      <c r="Q97" s="6">
        <f>[1]节奏总纲!Q97</f>
        <v>576.30057138472114</v>
      </c>
      <c r="R97" s="6">
        <f>[1]节奏总纲!R97</f>
        <v>464.04911981218504</v>
      </c>
      <c r="S97" s="6">
        <f>[1]节奏总纲!S97</f>
        <v>332.70682641571403</v>
      </c>
      <c r="T97" s="6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f>[1]节奏总纲!BA97</f>
        <v>37.607869265319941</v>
      </c>
      <c r="BB97" s="4">
        <f>[1]节奏总纲!BB97</f>
        <v>39.115214427575864</v>
      </c>
      <c r="BC97" s="4">
        <f>[1]节奏总纲!BC97</f>
        <v>41.053954370816207</v>
      </c>
      <c r="BD97" s="4">
        <f>[1]节奏总纲!BD97</f>
        <v>43.77911147780199</v>
      </c>
      <c r="BE97" s="4">
        <f>[1]节奏总纲!BE97</f>
        <v>48.460844748995065</v>
      </c>
    </row>
    <row r="98" spans="6:57" x14ac:dyDescent="0.15">
      <c r="F98" s="4">
        <f>[1]节奏总纲!F98</f>
        <v>96</v>
      </c>
      <c r="G98" s="4">
        <f>[1]节奏总纲!G98</f>
        <v>775.04688205332377</v>
      </c>
      <c r="N98" s="4">
        <f>[1]节奏总纲!N98</f>
        <v>105</v>
      </c>
      <c r="O98" s="4">
        <f>[1]节奏总纲!O98</f>
        <v>95</v>
      </c>
      <c r="P98" s="6">
        <f>[1]节奏总纲!P98</f>
        <v>723.0773439350246</v>
      </c>
      <c r="Q98" s="6">
        <f>[1]节奏总纲!Q98</f>
        <v>618.15882133005255</v>
      </c>
      <c r="R98" s="6">
        <f>[1]节奏总纲!R98</f>
        <v>495.95875020503337</v>
      </c>
      <c r="S98" s="6">
        <f>[1]节奏总纲!S98</f>
        <v>355.39251454406457</v>
      </c>
      <c r="T98" s="6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f>[1]节奏总纲!BA98</f>
        <v>37.680472138177471</v>
      </c>
      <c r="BB98" s="4">
        <f>[1]节奏总纲!BB98</f>
        <v>39.182755310967018</v>
      </c>
      <c r="BC98" s="4">
        <f>[1]节奏总纲!BC98</f>
        <v>41.120998062635785</v>
      </c>
      <c r="BD98" s="4">
        <f>[1]节奏总纲!BD98</f>
        <v>43.854004894671284</v>
      </c>
      <c r="BE98" s="4">
        <f>[1]节奏总纲!BE98</f>
        <v>48.532630748633537</v>
      </c>
    </row>
    <row r="99" spans="6:57" x14ac:dyDescent="0.15">
      <c r="F99" s="4">
        <f>[1]节奏总纲!F99</f>
        <v>97</v>
      </c>
      <c r="G99" s="4">
        <f>[1]节奏总纲!G99</f>
        <v>830.74645386878444</v>
      </c>
      <c r="N99" s="4">
        <f>[1]节奏总纲!N99</f>
        <v>106</v>
      </c>
      <c r="O99" s="4">
        <f>[1]节奏总纲!O99</f>
        <v>96</v>
      </c>
      <c r="P99" s="6">
        <f>[1]节奏总纲!P99</f>
        <v>775.04688205332377</v>
      </c>
      <c r="Q99" s="6">
        <f>[1]节奏总纲!Q99</f>
        <v>661.0374857032798</v>
      </c>
      <c r="R99" s="6">
        <f>[1]节奏总纲!R99</f>
        <v>529.97705794806279</v>
      </c>
      <c r="S99" s="6">
        <f>[1]节奏总纲!S99</f>
        <v>380.70302846459265</v>
      </c>
      <c r="T99" s="6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f>[1]节奏总纲!BA99</f>
        <v>37.753075011035001</v>
      </c>
      <c r="BB99" s="4">
        <f>[1]节奏总纲!BB99</f>
        <v>39.250296194358178</v>
      </c>
      <c r="BC99" s="4">
        <f>[1]节奏总纲!BC99</f>
        <v>41.188041754455355</v>
      </c>
      <c r="BD99" s="4">
        <f>[1]节奏总纲!BD99</f>
        <v>43.928898311540578</v>
      </c>
      <c r="BE99" s="4">
        <f>[1]节奏总纲!BE99</f>
        <v>48.604416748272008</v>
      </c>
    </row>
    <row r="100" spans="6:57" x14ac:dyDescent="0.15">
      <c r="F100" s="4">
        <f>[1]节奏总纲!F100</f>
        <v>98</v>
      </c>
      <c r="G100" s="4">
        <f>[1]节奏总纲!G100</f>
        <v>890.4437768152311</v>
      </c>
      <c r="N100" s="4">
        <f>[1]节奏总纲!N100</f>
        <v>107</v>
      </c>
      <c r="O100" s="4">
        <f>[1]节奏总纲!O100</f>
        <v>97</v>
      </c>
      <c r="P100" s="6">
        <f>[1]节奏总纲!P100</f>
        <v>830.74645386878444</v>
      </c>
      <c r="Q100" s="6">
        <f>[1]节奏总纲!Q100</f>
        <v>707.71290405081743</v>
      </c>
      <c r="R100" s="6">
        <f>[1]节奏总纲!R100</f>
        <v>569.31054483627804</v>
      </c>
      <c r="S100" s="6">
        <f>[1]节奏总纲!S100</f>
        <v>409.80722569347137</v>
      </c>
      <c r="T100" s="6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f>[1]节奏总纲!BA100</f>
        <v>37.825677883892531</v>
      </c>
      <c r="BB100" s="4">
        <f>[1]节奏总纲!BB100</f>
        <v>39.317837077749331</v>
      </c>
      <c r="BC100" s="4">
        <f>[1]节奏总纲!BC100</f>
        <v>41.255085446274933</v>
      </c>
      <c r="BD100" s="4">
        <f>[1]节奏总纲!BD100</f>
        <v>44.003272544984547</v>
      </c>
      <c r="BE100" s="4">
        <f>[1]节奏总纲!BE100</f>
        <v>48.67620274791048</v>
      </c>
    </row>
    <row r="101" spans="6:57" x14ac:dyDescent="0.15">
      <c r="F101" s="4">
        <f>[1]节奏总纲!F101</f>
        <v>99</v>
      </c>
      <c r="G101" s="4">
        <f>[1]节奏总纲!G101</f>
        <v>954.42578333369079</v>
      </c>
      <c r="N101" s="4">
        <f>[1]节奏总纲!N101</f>
        <v>108</v>
      </c>
      <c r="O101" s="4">
        <f>[1]节奏总纲!O101</f>
        <v>98</v>
      </c>
      <c r="P101" s="6">
        <f>[1]节奏总纲!P101</f>
        <v>890.4437768152311</v>
      </c>
      <c r="Q101" s="6">
        <f>[1]节奏总纲!Q101</f>
        <v>760.34994102252585</v>
      </c>
      <c r="R101" s="6">
        <f>[1]节奏总纲!R101</f>
        <v>612.98149595960513</v>
      </c>
      <c r="S101" s="6">
        <f>[1]节奏总纲!S101</f>
        <v>441.9272464333992</v>
      </c>
      <c r="T101" s="6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f>[1]节奏总纲!BA101</f>
        <v>37.898280756750061</v>
      </c>
      <c r="BB101" s="4">
        <f>[1]节奏总纲!BB101</f>
        <v>39.385377961140485</v>
      </c>
      <c r="BC101" s="4">
        <f>[1]节奏总纲!BC101</f>
        <v>41.322129138094503</v>
      </c>
      <c r="BD101" s="4">
        <f>[1]节奏总纲!BD101</f>
        <v>44.067911160744309</v>
      </c>
      <c r="BE101" s="4">
        <f>[1]节奏总纲!BE101</f>
        <v>48.747988747548945</v>
      </c>
    </row>
    <row r="102" spans="6:57" x14ac:dyDescent="0.15">
      <c r="F102" s="4">
        <f>[1]节奏总纲!F102</f>
        <v>100</v>
      </c>
      <c r="G102" s="4">
        <f>[1]节奏总纲!G102</f>
        <v>1023</v>
      </c>
      <c r="N102" s="4">
        <f>[1]节奏总纲!N102</f>
        <v>109</v>
      </c>
      <c r="O102" s="4">
        <f>[1]节奏总纲!O102</f>
        <v>99</v>
      </c>
      <c r="P102" s="6">
        <f>[1]节奏总纲!P102</f>
        <v>954.42578333369079</v>
      </c>
      <c r="Q102" s="6">
        <f>[1]节奏总纲!Q102</f>
        <v>816.51125764197252</v>
      </c>
      <c r="R102" s="6">
        <f>[1]节奏总纲!R102</f>
        <v>658.6492330785801</v>
      </c>
      <c r="S102" s="6">
        <f>[1]节奏总纲!S102</f>
        <v>475.39948267851139</v>
      </c>
      <c r="T102" s="6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f>[1]节奏总纲!BA102</f>
        <v>37.970883629607592</v>
      </c>
      <c r="BB102" s="4">
        <f>[1]节奏总纲!BB102</f>
        <v>39.452918844531645</v>
      </c>
      <c r="BC102" s="4">
        <f>[1]节奏总纲!BC102</f>
        <v>41.389172829914081</v>
      </c>
      <c r="BD102" s="4">
        <f>[1]节奏总纲!BD102</f>
        <v>44.132549776504064</v>
      </c>
      <c r="BE102" s="4">
        <f>[1]节奏总纲!BE102</f>
        <v>48.819774747187417</v>
      </c>
    </row>
    <row r="103" spans="6:57" x14ac:dyDescent="0.15">
      <c r="F103" s="4">
        <f>[1]节奏总纲!F103</f>
        <v>101</v>
      </c>
      <c r="G103" s="4">
        <f>[1]节奏总纲!G103</f>
        <v>1096.4960256371633</v>
      </c>
      <c r="N103" s="4">
        <f>[1]节奏总纲!N103</f>
        <v>110</v>
      </c>
      <c r="O103" s="4">
        <f>[1]节奏总纲!O103</f>
        <v>100</v>
      </c>
      <c r="P103" s="6">
        <f>[1]节奏总纲!P103</f>
        <v>1023</v>
      </c>
      <c r="Q103" s="6">
        <f>[1]节奏总纲!Q103</f>
        <v>875.38110000000006</v>
      </c>
      <c r="R103" s="6">
        <f>[1]节奏总纲!R103</f>
        <v>706.6884</v>
      </c>
      <c r="S103" s="6">
        <f>[1]节奏总纲!S103</f>
        <v>508.22640000000001</v>
      </c>
      <c r="T103" s="6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f>[1]节奏总纲!BA103</f>
        <v>38.037513426486328</v>
      </c>
      <c r="BB103" s="4">
        <f>[1]节奏总纲!BB103</f>
        <v>39.520459727922798</v>
      </c>
      <c r="BC103" s="4">
        <f>[1]节奏总纲!BC103</f>
        <v>41.456216521733651</v>
      </c>
      <c r="BD103" s="4">
        <f>[1]节奏总纲!BD103</f>
        <v>44.197188392263818</v>
      </c>
      <c r="BE103" s="4">
        <f>[1]节奏总纲!BE103</f>
        <v>48.891560746825888</v>
      </c>
    </row>
    <row r="104" spans="6:57" x14ac:dyDescent="0.15">
      <c r="F104" s="4">
        <f>[1]节奏总纲!F104</f>
        <v>102</v>
      </c>
      <c r="G104" s="4">
        <f>[1]节奏总纲!G104</f>
        <v>1175.2671155169628</v>
      </c>
      <c r="N104" s="4">
        <f>[1]节奏总纲!N104</f>
        <v>111</v>
      </c>
      <c r="O104" s="4">
        <f>[1]节奏总纲!O104</f>
        <v>101</v>
      </c>
      <c r="P104" s="6">
        <f>[1]节奏总纲!P104</f>
        <v>1096.4960256371633</v>
      </c>
      <c r="Q104" s="6">
        <f>[1]节奏总纲!Q104</f>
        <v>939.14884595823037</v>
      </c>
      <c r="R104" s="6">
        <f>[1]节奏总纲!R104</f>
        <v>756.25330888195151</v>
      </c>
      <c r="S104" s="6">
        <f>[1]节奏总纲!S104</f>
        <v>541.99798547244984</v>
      </c>
      <c r="T104" s="6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f>[1]节奏总纲!BA104</f>
        <v>38.100143952724252</v>
      </c>
      <c r="BB104" s="4">
        <f>[1]节奏总纲!BB104</f>
        <v>39.588000611313952</v>
      </c>
      <c r="BC104" s="4">
        <f>[1]节奏总纲!BC104</f>
        <v>41.523260213553229</v>
      </c>
      <c r="BD104" s="4">
        <f>[1]节奏总纲!BD104</f>
        <v>44.261827008023573</v>
      </c>
      <c r="BE104" s="4">
        <f>[1]节奏总纲!BE104</f>
        <v>48.96334674646436</v>
      </c>
    </row>
    <row r="105" spans="6:57" x14ac:dyDescent="0.15">
      <c r="F105" s="4">
        <f>[1]节奏总纲!F105</f>
        <v>103</v>
      </c>
      <c r="G105" s="4">
        <f>[1]节奏总纲!G105</f>
        <v>1259.6918792651943</v>
      </c>
      <c r="N105" s="4">
        <f>[1]节奏总纲!N105</f>
        <v>112</v>
      </c>
      <c r="O105" s="4">
        <f>[1]节奏总纲!O105</f>
        <v>102</v>
      </c>
      <c r="P105" s="6">
        <f>[1]节奏总纲!P105</f>
        <v>1175.2671155169628</v>
      </c>
      <c r="Q105" s="6">
        <f>[1]节奏总纲!Q105</f>
        <v>1004.2657502092447</v>
      </c>
      <c r="R105" s="6">
        <f>[1]节奏总纲!R105</f>
        <v>806.23324124463659</v>
      </c>
      <c r="S105" s="6">
        <f>[1]节奏总纲!S105</f>
        <v>577.99636741124232</v>
      </c>
      <c r="T105" s="6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f>[1]节奏总纲!BA105</f>
        <v>38.16277447896217</v>
      </c>
      <c r="BB105" s="4">
        <f>[1]节奏总纲!BB105</f>
        <v>39.655541494705105</v>
      </c>
      <c r="BC105" s="4">
        <f>[1]节奏总纲!BC105</f>
        <v>41.590303905372799</v>
      </c>
      <c r="BD105" s="4">
        <f>[1]节奏总纲!BD105</f>
        <v>44.326465623783335</v>
      </c>
      <c r="BE105" s="4">
        <f>[1]节奏总纲!BE105</f>
        <v>49.030333272797542</v>
      </c>
    </row>
    <row r="106" spans="6:57" x14ac:dyDescent="0.15">
      <c r="F106" s="4">
        <f>[1]节奏总纲!F106</f>
        <v>104</v>
      </c>
      <c r="G106" s="4">
        <f>[1]节奏总纲!G106</f>
        <v>1350.1761006314437</v>
      </c>
      <c r="N106" s="4">
        <f>[1]节奏总纲!N106</f>
        <v>113</v>
      </c>
      <c r="O106" s="4">
        <f>[1]节奏总纲!O106</f>
        <v>103</v>
      </c>
      <c r="P106" s="6">
        <f>[1]节奏总纲!P106</f>
        <v>1259.6918792651943</v>
      </c>
      <c r="Q106" s="6">
        <f>[1]节奏总纲!Q106</f>
        <v>1073.383450321872</v>
      </c>
      <c r="R106" s="6">
        <f>[1]节奏总纲!R106</f>
        <v>861.50327622946634</v>
      </c>
      <c r="S106" s="6">
        <f>[1]节奏总纲!S106</f>
        <v>619.01258947091651</v>
      </c>
      <c r="T106" s="6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f>[1]节奏总纲!BA106</f>
        <v>38.225405005200088</v>
      </c>
      <c r="BB106" s="4">
        <f>[1]节奏总纲!BB106</f>
        <v>39.723082378096265</v>
      </c>
      <c r="BC106" s="4">
        <f>[1]节奏总纲!BC106</f>
        <v>41.657347597192377</v>
      </c>
      <c r="BD106" s="4">
        <f>[1]节奏总纲!BD106</f>
        <v>44.39110423954309</v>
      </c>
      <c r="BE106" s="4">
        <f>[1]节奏总纲!BE106</f>
        <v>49.09231260978715</v>
      </c>
    </row>
    <row r="107" spans="6:57" x14ac:dyDescent="0.15">
      <c r="F107" s="4">
        <f>[1]节奏总纲!F107</f>
        <v>105</v>
      </c>
      <c r="G107" s="4">
        <f>[1]节奏总纲!G107</f>
        <v>1447.1546878700494</v>
      </c>
      <c r="N107" s="4">
        <f>[1]节奏总纲!N107</f>
        <v>114</v>
      </c>
      <c r="O107" s="4">
        <f>[1]节奏总纲!O107</f>
        <v>104</v>
      </c>
      <c r="P107" s="6">
        <f>[1]节奏总纲!P107</f>
        <v>1350.1761006314437</v>
      </c>
      <c r="Q107" s="6">
        <f>[1]节奏总纲!Q107</f>
        <v>1150.7550905681794</v>
      </c>
      <c r="R107" s="6">
        <f>[1]节奏总纲!R107</f>
        <v>925.41069937279144</v>
      </c>
      <c r="S107" s="6">
        <f>[1]节奏总纲!S107</f>
        <v>665.09674717104917</v>
      </c>
      <c r="T107" s="6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f>[1]节奏总纲!BA107</f>
        <v>38.288035531438013</v>
      </c>
      <c r="BB107" s="4">
        <f>[1]节奏总纲!BB107</f>
        <v>39.790623261487418</v>
      </c>
      <c r="BC107" s="4">
        <f>[1]节奏总纲!BC107</f>
        <v>41.724391289011947</v>
      </c>
      <c r="BD107" s="4">
        <f>[1]节奏总纲!BD107</f>
        <v>44.455742855302844</v>
      </c>
      <c r="BE107" s="4">
        <f>[1]节奏总纲!BE107</f>
        <v>49.154291946776759</v>
      </c>
    </row>
    <row r="108" spans="6:57" x14ac:dyDescent="0.15">
      <c r="F108" s="4">
        <f>[1]节奏总纲!F108</f>
        <v>106</v>
      </c>
      <c r="G108" s="4">
        <f>[1]节奏总纲!G108</f>
        <v>1551.0937641066464</v>
      </c>
      <c r="N108" s="4">
        <f>[1]节奏总纲!N108</f>
        <v>115</v>
      </c>
      <c r="O108" s="4">
        <f>[1]节奏总纲!O108</f>
        <v>105</v>
      </c>
      <c r="P108" s="6">
        <f>[1]节奏总纲!P108</f>
        <v>1447.1546878700494</v>
      </c>
      <c r="Q108" s="6">
        <f>[1]节奏总纲!Q108</f>
        <v>1234.8570951595132</v>
      </c>
      <c r="R108" s="6">
        <f>[1]节奏总纲!R108</f>
        <v>993.18226228521496</v>
      </c>
      <c r="S108" s="6">
        <f>[1]节奏总纲!S108</f>
        <v>713.59197658872131</v>
      </c>
      <c r="T108" s="6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f>[1]节奏总纲!BA108</f>
        <v>38.35066605767593</v>
      </c>
      <c r="BB108" s="4">
        <f>[1]节奏总纲!BB108</f>
        <v>39.858164144878572</v>
      </c>
      <c r="BC108" s="4">
        <f>[1]节奏总纲!BC108</f>
        <v>41.791434980831518</v>
      </c>
      <c r="BD108" s="4">
        <f>[1]节奏总纲!BD108</f>
        <v>44.520381471062606</v>
      </c>
      <c r="BE108" s="4">
        <f>[1]节奏总纲!BE108</f>
        <v>49.216271283766375</v>
      </c>
    </row>
    <row r="109" spans="6:57" x14ac:dyDescent="0.15">
      <c r="F109" s="4">
        <f>[1]节奏总纲!F109</f>
        <v>107</v>
      </c>
      <c r="G109" s="4">
        <f>[1]节奏总纲!G109</f>
        <v>1662.4929077375689</v>
      </c>
      <c r="N109" s="4">
        <f>[1]节奏总纲!N109</f>
        <v>116</v>
      </c>
      <c r="O109" s="4">
        <f>[1]节奏总纲!O109</f>
        <v>106</v>
      </c>
      <c r="P109" s="6">
        <f>[1]节奏总纲!P109</f>
        <v>1551.0937641066464</v>
      </c>
      <c r="Q109" s="6">
        <f>[1]节奏总纲!Q109</f>
        <v>1324.4789651706653</v>
      </c>
      <c r="R109" s="6">
        <f>[1]节奏总纲!R109</f>
        <v>1064.6707596828021</v>
      </c>
      <c r="S109" s="6">
        <f>[1]节奏总纲!S109</f>
        <v>764.3790069517554</v>
      </c>
      <c r="T109" s="6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f>[1]节奏总纲!BA109</f>
        <v>38.413296583913848</v>
      </c>
      <c r="BB109" s="4">
        <f>[1]节奏总纲!BB109</f>
        <v>39.925705028269732</v>
      </c>
      <c r="BC109" s="4">
        <f>[1]节奏总纲!BC109</f>
        <v>41.858478672651096</v>
      </c>
      <c r="BD109" s="4">
        <f>[1]节奏总纲!BD109</f>
        <v>44.585020086822361</v>
      </c>
      <c r="BE109" s="4">
        <f>[1]节奏总纲!BE109</f>
        <v>49.278250620755983</v>
      </c>
    </row>
    <row r="110" spans="6:57" x14ac:dyDescent="0.15">
      <c r="F110" s="4">
        <f>[1]节奏总纲!F110</f>
        <v>108</v>
      </c>
      <c r="G110" s="4">
        <f>[1]节奏总纲!G110</f>
        <v>1781.8875536304624</v>
      </c>
      <c r="N110" s="4">
        <f>[1]节奏总纲!N110</f>
        <v>117</v>
      </c>
      <c r="O110" s="4">
        <f>[1]节奏总纲!O110</f>
        <v>107</v>
      </c>
      <c r="P110" s="6">
        <f>[1]节奏总纲!P110</f>
        <v>1662.4929077375689</v>
      </c>
      <c r="Q110" s="6">
        <f>[1]节奏总纲!Q110</f>
        <v>1418.9376967540152</v>
      </c>
      <c r="R110" s="6">
        <f>[1]节奏总纲!R110</f>
        <v>1141.6338797433884</v>
      </c>
      <c r="S110" s="6">
        <f>[1]节奏总纲!S110</f>
        <v>816.11776840837263</v>
      </c>
      <c r="T110" s="6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f>[1]节奏总纲!BA110</f>
        <v>38.475927110151773</v>
      </c>
      <c r="BB110" s="4">
        <f>[1]节奏总纲!BB110</f>
        <v>39.993245911660885</v>
      </c>
      <c r="BC110" s="4">
        <f>[1]节奏总纲!BC110</f>
        <v>41.925522364470666</v>
      </c>
      <c r="BD110" s="4">
        <f>[1]节奏总纲!BD110</f>
        <v>44.649658702582116</v>
      </c>
      <c r="BE110" s="4">
        <f>[1]节奏总纲!BE110</f>
        <v>49.340229957745592</v>
      </c>
    </row>
    <row r="111" spans="6:57" x14ac:dyDescent="0.15">
      <c r="F111" s="4">
        <f>[1]节奏总纲!F111</f>
        <v>109</v>
      </c>
      <c r="G111" s="4">
        <f>[1]节奏总纲!G111</f>
        <v>1909.8515666673818</v>
      </c>
      <c r="N111" s="4">
        <f>[1]节奏总纲!N111</f>
        <v>118</v>
      </c>
      <c r="O111" s="4">
        <f>[1]节奏总纲!O111</f>
        <v>108</v>
      </c>
      <c r="P111" s="6">
        <f>[1]节奏总纲!P111</f>
        <v>1781.8875536304624</v>
      </c>
      <c r="Q111" s="6">
        <f>[1]节奏总纲!Q111</f>
        <v>1520.8410270235997</v>
      </c>
      <c r="R111" s="6">
        <f>[1]节奏总纲!R111</f>
        <v>1218.0983316617842</v>
      </c>
      <c r="S111" s="6">
        <f>[1]节奏总纲!S111</f>
        <v>871.69939123602228</v>
      </c>
      <c r="T111" s="6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f>[1]节奏总纲!BA111</f>
        <v>38.53855763638969</v>
      </c>
      <c r="BB111" s="4">
        <f>[1]节奏总纲!BB111</f>
        <v>40.052446592012309</v>
      </c>
      <c r="BC111" s="4">
        <f>[1]节奏总纲!BC111</f>
        <v>41.992566056290244</v>
      </c>
      <c r="BD111" s="4">
        <f>[1]节奏总纲!BD111</f>
        <v>44.71429731834187</v>
      </c>
      <c r="BE111" s="4">
        <f>[1]节奏总纲!BE111</f>
        <v>49.402209294735208</v>
      </c>
    </row>
    <row r="112" spans="6:57" x14ac:dyDescent="0.15">
      <c r="F112" s="4">
        <f>[1]节奏总纲!F112</f>
        <v>110</v>
      </c>
      <c r="G112" s="4">
        <f>[1]节奏总纲!G112</f>
        <v>2047</v>
      </c>
      <c r="N112" s="4">
        <f>[1]节奏总纲!N112</f>
        <v>119</v>
      </c>
      <c r="O112" s="4">
        <f>[1]节奏总纲!O112</f>
        <v>109</v>
      </c>
      <c r="P112" s="6">
        <f>[1]节奏总纲!P112</f>
        <v>1909.8515666673818</v>
      </c>
      <c r="Q112" s="6">
        <f>[1]节奏总纲!Q112</f>
        <v>1624.7107277639418</v>
      </c>
      <c r="R112" s="6">
        <f>[1]节奏总纲!R112</f>
        <v>1301.5638426838207</v>
      </c>
      <c r="S112" s="6">
        <f>[1]节奏总纲!S112</f>
        <v>931.81657937701561</v>
      </c>
      <c r="T112" s="6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f>[1]节奏总纲!BA112</f>
        <v>38.601188162627608</v>
      </c>
      <c r="BB112" s="4">
        <f>[1]节奏总纲!BB112</f>
        <v>40.110720583137102</v>
      </c>
      <c r="BC112" s="4">
        <f>[1]节奏总纲!BC112</f>
        <v>42.051439554347354</v>
      </c>
      <c r="BD112" s="4">
        <f>[1]节奏总纲!BD112</f>
        <v>44.778935934101632</v>
      </c>
      <c r="BE112" s="4">
        <f>[1]节奏总纲!BE112</f>
        <v>49.464188631724817</v>
      </c>
    </row>
    <row r="113" spans="6:57" x14ac:dyDescent="0.15">
      <c r="F113" s="4">
        <f>[1]节奏总纲!F113</f>
        <v>111</v>
      </c>
      <c r="G113" s="4">
        <f>[1]节奏总纲!G113</f>
        <v>2193.9920512743265</v>
      </c>
      <c r="N113" s="4">
        <f>[1]节奏总纲!N113</f>
        <v>120</v>
      </c>
      <c r="O113" s="4">
        <f>[1]节奏总纲!O113</f>
        <v>110</v>
      </c>
      <c r="P113" s="6">
        <f>[1]节奏总纲!P113</f>
        <v>2047</v>
      </c>
      <c r="Q113" s="6">
        <f>[1]节奏总纲!Q113</f>
        <v>1741.3829000000001</v>
      </c>
      <c r="R113" s="6">
        <f>[1]节奏总纲!R113</f>
        <v>1397.2821999999999</v>
      </c>
      <c r="S113" s="6">
        <f>[1]节奏总纲!S113</f>
        <v>1001.3924000000001</v>
      </c>
      <c r="T113" s="6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f>[1]节奏总纲!BA113</f>
        <v>38.663818688865533</v>
      </c>
      <c r="BB113" s="4">
        <f>[1]节奏总纲!BB113</f>
        <v>40.168994574261895</v>
      </c>
      <c r="BC113" s="4">
        <f>[1]节奏总纲!BC113</f>
        <v>42.109294145892463</v>
      </c>
      <c r="BD113" s="4">
        <f>[1]节奏总纲!BD113</f>
        <v>44.843574549861387</v>
      </c>
      <c r="BE113" s="4">
        <f>[1]节奏总纲!BE113</f>
        <v>49.526167968714425</v>
      </c>
    </row>
    <row r="114" spans="6:57" x14ac:dyDescent="0.15">
      <c r="F114" s="4">
        <f>[1]节奏总纲!F114</f>
        <v>112</v>
      </c>
      <c r="G114" s="4">
        <f>[1]节奏总纲!G114</f>
        <v>2351.5342310339256</v>
      </c>
      <c r="N114" s="4">
        <f>[1]节奏总纲!N114</f>
        <v>121</v>
      </c>
      <c r="O114" s="4">
        <f>[1]节奏总纲!O114</f>
        <v>111</v>
      </c>
      <c r="P114" s="6">
        <f>[1]节奏总纲!P114</f>
        <v>2193.9920512743265</v>
      </c>
      <c r="Q114" s="6">
        <f>[1]节奏总纲!Q114</f>
        <v>1869.0618284805987</v>
      </c>
      <c r="R114" s="6">
        <f>[1]节奏总纲!R114</f>
        <v>1500.4711638665117</v>
      </c>
      <c r="S114" s="6">
        <f>[1]节奏总纲!S114</f>
        <v>1076.5918995603122</v>
      </c>
      <c r="T114" s="6">
        <f>[1]节奏总纲!T114</f>
        <v>583.16308722871599</v>
      </c>
      <c r="V114" s="4">
        <f>[1]节奏总纲!V114</f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f>[1]节奏总纲!BA114</f>
        <v>38.72644921510345</v>
      </c>
      <c r="BB114" s="4">
        <f>[1]节奏总纲!BB114</f>
        <v>40.227268565386687</v>
      </c>
      <c r="BC114" s="4">
        <f>[1]节奏总纲!BC114</f>
        <v>42.167148737437572</v>
      </c>
      <c r="BD114" s="4">
        <f>[1]节奏总纲!BD114</f>
        <v>44.908213165621142</v>
      </c>
      <c r="BE114" s="4">
        <f>[1]节奏总纲!BE114</f>
        <v>49.588147305704041</v>
      </c>
    </row>
    <row r="115" spans="6:57" x14ac:dyDescent="0.15">
      <c r="F115" s="4">
        <f>[1]节奏总纲!F115</f>
        <v>113</v>
      </c>
      <c r="G115" s="4">
        <f>[1]节奏总纲!G115</f>
        <v>2520.3837585303886</v>
      </c>
      <c r="N115" s="4">
        <f>[1]节奏总纲!N115</f>
        <v>122</v>
      </c>
      <c r="O115" s="4">
        <f>[1]节奏总纲!O115</f>
        <v>112</v>
      </c>
      <c r="P115" s="6">
        <f>[1]节奏总纲!P115</f>
        <v>2351.5342310339256</v>
      </c>
      <c r="Q115" s="6">
        <f>[1]节奏总纲!Q115</f>
        <v>2004.6829319564217</v>
      </c>
      <c r="R115" s="6">
        <f>[1]节奏总纲!R115</f>
        <v>1609.3900277196187</v>
      </c>
      <c r="S115" s="6">
        <f>[1]节奏总纲!S115</f>
        <v>1155.3087677069677</v>
      </c>
      <c r="T115" s="6">
        <f>[1]节奏总纲!T115</f>
        <v>623.15657122399034</v>
      </c>
      <c r="V115" s="4">
        <f>[1]节奏总纲!V115</f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f>[1]节奏总纲!BA115</f>
        <v>38.789079741341368</v>
      </c>
      <c r="BB115" s="4">
        <f>[1]节奏总纲!BB115</f>
        <v>40.28554255651148</v>
      </c>
      <c r="BC115" s="4">
        <f>[1]节奏总纲!BC115</f>
        <v>42.225003328982673</v>
      </c>
      <c r="BD115" s="4">
        <f>[1]节奏总纲!BD115</f>
        <v>44.972851781380903</v>
      </c>
      <c r="BE115" s="4">
        <f>[1]节奏总纲!BE115</f>
        <v>49.65012664269365</v>
      </c>
    </row>
    <row r="116" spans="6:57" x14ac:dyDescent="0.15">
      <c r="F116" s="4">
        <f>[1]节奏总纲!F116</f>
        <v>114</v>
      </c>
      <c r="G116" s="4">
        <f>[1]节奏总纲!G116</f>
        <v>2701.3522012628878</v>
      </c>
      <c r="N116" s="4">
        <f>[1]节奏总纲!N116</f>
        <v>123</v>
      </c>
      <c r="O116" s="4">
        <f>[1]节奏总纲!O116</f>
        <v>113</v>
      </c>
      <c r="P116" s="6">
        <f>[1]节奏总纲!P116</f>
        <v>2520.3837585303886</v>
      </c>
      <c r="Q116" s="6">
        <f>[1]节奏总纲!Q116</f>
        <v>2149.6353076505684</v>
      </c>
      <c r="R116" s="6">
        <f>[1]节奏总纲!R116</f>
        <v>1726.7149129691693</v>
      </c>
      <c r="S116" s="6">
        <f>[1]节奏总纲!S116</f>
        <v>1235.7441568074496</v>
      </c>
      <c r="T116" s="6">
        <f>[1]节奏总纲!T116</f>
        <v>665.63335062787564</v>
      </c>
      <c r="V116" s="4">
        <f>[1]节奏总纲!V116</f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f>[1]节奏总纲!BA116</f>
        <v>38.851710267579293</v>
      </c>
      <c r="BB116" s="4">
        <f>[1]节奏总纲!BB116</f>
        <v>40.343816547636273</v>
      </c>
      <c r="BC116" s="4">
        <f>[1]节奏总纲!BC116</f>
        <v>42.282857920527782</v>
      </c>
      <c r="BD116" s="4">
        <f>[1]节奏总纲!BD116</f>
        <v>45.032359480672049</v>
      </c>
      <c r="BE116" s="4">
        <f>[1]节奏总纲!BE116</f>
        <v>49.712105979683258</v>
      </c>
    </row>
    <row r="117" spans="6:57" x14ac:dyDescent="0.15">
      <c r="F117" s="4">
        <f>[1]节奏总纲!F117</f>
        <v>115</v>
      </c>
      <c r="G117" s="4">
        <f>[1]节奏总纲!G117</f>
        <v>2895.3093757400989</v>
      </c>
      <c r="N117" s="4">
        <f>[1]节奏总纲!N117</f>
        <v>124</v>
      </c>
      <c r="O117" s="4">
        <f>[1]节奏总纲!O117</f>
        <v>114</v>
      </c>
      <c r="P117" s="6">
        <f>[1]节奏总纲!P117</f>
        <v>2701.3522012628878</v>
      </c>
      <c r="Q117" s="6">
        <f>[1]节奏总纲!Q117</f>
        <v>2304.5235628973696</v>
      </c>
      <c r="R117" s="6">
        <f>[1]节奏总纲!R117</f>
        <v>1846.3742295631837</v>
      </c>
      <c r="S117" s="6">
        <f>[1]节奏总纲!S117</f>
        <v>1319.3404150967945</v>
      </c>
      <c r="T117" s="6">
        <f>[1]节奏总纲!T117</f>
        <v>710.99589937239205</v>
      </c>
      <c r="V117" s="4">
        <f>[1]节奏总纲!V117</f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f>[1]节奏总纲!BA117</f>
        <v>38.91434079381721</v>
      </c>
      <c r="BB117" s="4">
        <f>[1]节奏总纲!BB117</f>
        <v>40.402090538761065</v>
      </c>
      <c r="BC117" s="4">
        <f>[1]节奏总纲!BC117</f>
        <v>42.340712512072891</v>
      </c>
      <c r="BD117" s="4">
        <f>[1]节奏总纲!BD117</f>
        <v>45.088151688727308</v>
      </c>
      <c r="BE117" s="4">
        <f>[1]节奏总纲!BE117</f>
        <v>49.774085316672867</v>
      </c>
    </row>
    <row r="118" spans="6:57" x14ac:dyDescent="0.15">
      <c r="F118" s="4">
        <f>[1]节奏总纲!F118</f>
        <v>116</v>
      </c>
      <c r="G118" s="4">
        <f>[1]节奏总纲!G118</f>
        <v>3103.1875282132928</v>
      </c>
      <c r="N118" s="4">
        <f>[1]节奏总纲!N118</f>
        <v>125</v>
      </c>
      <c r="O118" s="4">
        <f>[1]节奏总纲!O118</f>
        <v>115</v>
      </c>
      <c r="P118" s="6">
        <f>[1]节奏总纲!P118</f>
        <v>2895.3093757400989</v>
      </c>
      <c r="Q118" s="6">
        <f>[1]节奏总纲!Q118</f>
        <v>2463.0396859421021</v>
      </c>
      <c r="R118" s="6">
        <f>[1]节奏总纲!R118</f>
        <v>1969.9684992535633</v>
      </c>
      <c r="S118" s="6">
        <f>[1]节奏总纲!S118</f>
        <v>1407.1203566096881</v>
      </c>
      <c r="T118" s="6">
        <f>[1]节奏总纲!T118</f>
        <v>758.86058738147995</v>
      </c>
      <c r="V118" s="4">
        <f>[1]节奏总纲!V118</f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f>[1]节奏总纲!BA118</f>
        <v>38.976971320055128</v>
      </c>
      <c r="BB118" s="4">
        <f>[1]节奏总纲!BB118</f>
        <v>40.460364529885858</v>
      </c>
      <c r="BC118" s="4">
        <f>[1]节奏总纲!BC118</f>
        <v>42.398567103617999</v>
      </c>
      <c r="BD118" s="4">
        <f>[1]节奏总纲!BD118</f>
        <v>45.143943896782567</v>
      </c>
      <c r="BE118" s="4">
        <f>[1]节奏总纲!BE118</f>
        <v>49.836064653662483</v>
      </c>
    </row>
    <row r="119" spans="6:57" x14ac:dyDescent="0.15">
      <c r="F119" s="4">
        <f>[1]节奏总纲!F119</f>
        <v>117</v>
      </c>
      <c r="G119" s="4">
        <f>[1]节奏总纲!G119</f>
        <v>3325.985815475135</v>
      </c>
      <c r="N119" s="4">
        <f>[1]节奏总纲!N119</f>
        <v>126</v>
      </c>
      <c r="O119" s="4">
        <f>[1]节奏总纲!O119</f>
        <v>116</v>
      </c>
      <c r="P119" s="6">
        <f>[1]节奏总纲!P119</f>
        <v>3103.1875282132928</v>
      </c>
      <c r="Q119" s="6">
        <f>[1]节奏总纲!Q119</f>
        <v>2636.7784427228348</v>
      </c>
      <c r="R119" s="6">
        <f>[1]节奏总纲!R119</f>
        <v>2108.9262441737537</v>
      </c>
      <c r="S119" s="6">
        <f>[1]节奏总纲!S119</f>
        <v>1509.0800949701243</v>
      </c>
      <c r="T119" s="6">
        <f>[1]节奏总纲!T119</f>
        <v>813.34545114470404</v>
      </c>
      <c r="V119" s="4">
        <f>[1]节奏总纲!V119</f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f>[1]节奏总纲!BA119</f>
        <v>39.034165367506482</v>
      </c>
      <c r="BB119" s="4">
        <f>[1]节奏总纲!BB119</f>
        <v>40.518638521010644</v>
      </c>
      <c r="BC119" s="4">
        <f>[1]节奏总纲!BC119</f>
        <v>42.456421695163108</v>
      </c>
      <c r="BD119" s="4">
        <f>[1]节奏总纲!BD119</f>
        <v>45.199736104837825</v>
      </c>
      <c r="BE119" s="4">
        <f>[1]节奏总纲!BE119</f>
        <v>49.898043990652091</v>
      </c>
    </row>
    <row r="120" spans="6:57" x14ac:dyDescent="0.15">
      <c r="F120" s="4">
        <f>[1]节奏总纲!F120</f>
        <v>118</v>
      </c>
      <c r="G120" s="4">
        <f>[1]节奏总纲!G120</f>
        <v>3564.7751072609281</v>
      </c>
      <c r="N120" s="4">
        <f>[1]节奏总纲!N120</f>
        <v>127</v>
      </c>
      <c r="O120" s="4">
        <f>[1]节奏总纲!O120</f>
        <v>117</v>
      </c>
      <c r="P120" s="6">
        <f>[1]节奏总纲!P120</f>
        <v>3325.985815475135</v>
      </c>
      <c r="Q120" s="6">
        <f>[1]节奏总纲!Q120</f>
        <v>2826.7553445723174</v>
      </c>
      <c r="R120" s="6">
        <f>[1]节奏总纲!R120</f>
        <v>2262.6681502677343</v>
      </c>
      <c r="S120" s="6">
        <f>[1]节奏总纲!S120</f>
        <v>1618.0920992286531</v>
      </c>
      <c r="T120" s="6">
        <f>[1]节奏总纲!T120</f>
        <v>873.07127656222303</v>
      </c>
      <c r="V120" s="4">
        <f>[1]节奏总纲!V120</f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f>[1]节奏总纲!BA120</f>
        <v>39.088198074219406</v>
      </c>
      <c r="BB120" s="4">
        <f>[1]节奏总纲!BB120</f>
        <v>40.576912512135436</v>
      </c>
      <c r="BC120" s="4">
        <f>[1]节奏总纲!BC120</f>
        <v>42.51427628670821</v>
      </c>
      <c r="BD120" s="4">
        <f>[1]节奏总纲!BD120</f>
        <v>45.255528312893091</v>
      </c>
      <c r="BE120" s="4">
        <f>[1]节奏总纲!BE120</f>
        <v>49.9600233276417</v>
      </c>
    </row>
    <row r="121" spans="6:57" x14ac:dyDescent="0.15">
      <c r="F121" s="4">
        <f>[1]节奏总纲!F121</f>
        <v>119</v>
      </c>
      <c r="G121" s="4">
        <f>[1]节奏总纲!G121</f>
        <v>3820.7031333347636</v>
      </c>
      <c r="N121" s="4">
        <f>[1]节奏总纲!N121</f>
        <v>128</v>
      </c>
      <c r="O121" s="4">
        <f>[1]节奏总纲!O121</f>
        <v>118</v>
      </c>
      <c r="P121" s="6">
        <f>[1]节奏总纲!P121</f>
        <v>3564.7751072609281</v>
      </c>
      <c r="Q121" s="6">
        <f>[1]节奏总纲!Q121</f>
        <v>3030.4153186825147</v>
      </c>
      <c r="R121" s="6">
        <f>[1]节奏总纲!R121</f>
        <v>2426.1859380017877</v>
      </c>
      <c r="S121" s="6">
        <f>[1]节奏总纲!S121</f>
        <v>1737.4713872789764</v>
      </c>
      <c r="T121" s="6">
        <f>[1]节奏总纲!T121</f>
        <v>936.10994316671975</v>
      </c>
      <c r="V121" s="4">
        <f>[1]节奏总纲!V121</f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f>[1]节奏总纲!BA121</f>
        <v>39.14223078093233</v>
      </c>
      <c r="BB121" s="4">
        <f>[1]节奏总纲!BB121</f>
        <v>40.635186503260229</v>
      </c>
      <c r="BC121" s="4">
        <f>[1]节奏总纲!BC121</f>
        <v>42.572130878253319</v>
      </c>
      <c r="BD121" s="4">
        <f>[1]节奏总纲!BD121</f>
        <v>45.31132052094835</v>
      </c>
      <c r="BE121" s="4">
        <f>[1]节奏总纲!BE121</f>
        <v>50.018998195299922</v>
      </c>
    </row>
    <row r="122" spans="6:57" x14ac:dyDescent="0.15">
      <c r="F122" s="4">
        <f>[1]节奏总纲!F122</f>
        <v>120</v>
      </c>
      <c r="G122" s="4">
        <f>[1]节奏总纲!G122</f>
        <v>4095</v>
      </c>
      <c r="N122" s="4">
        <f>[1]节奏总纲!N122</f>
        <v>129</v>
      </c>
      <c r="O122" s="4">
        <f>[1]节奏总纲!O122</f>
        <v>119</v>
      </c>
      <c r="P122" s="6">
        <f>[1]节奏总纲!P122</f>
        <v>3820.7031333347636</v>
      </c>
      <c r="Q122" s="6">
        <f>[1]节奏总纲!Q122</f>
        <v>3250.2721555278836</v>
      </c>
      <c r="R122" s="6">
        <f>[1]节奏总纲!R122</f>
        <v>2604.5733259943081</v>
      </c>
      <c r="S122" s="6">
        <f>[1]节奏总纲!S122</f>
        <v>1863.3569181273642</v>
      </c>
      <c r="T122" s="6">
        <f>[1]节奏总纲!T122</f>
        <v>1000.260080307041</v>
      </c>
      <c r="V122" s="4">
        <f>[1]节奏总纲!V122</f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f>[1]节奏总纲!BA122</f>
        <v>39.196263487645254</v>
      </c>
      <c r="BB122" s="4">
        <f>[1]节奏总纲!BB122</f>
        <v>40.693460494385022</v>
      </c>
      <c r="BC122" s="4">
        <f>[1]节奏总纲!BC122</f>
        <v>42.629985469798427</v>
      </c>
      <c r="BD122" s="4">
        <f>[1]节奏总纲!BD122</f>
        <v>45.367112729003608</v>
      </c>
      <c r="BE122" s="4">
        <f>[1]节奏总纲!BE122</f>
        <v>50.072514238398277</v>
      </c>
    </row>
    <row r="123" spans="6:57" x14ac:dyDescent="0.15">
      <c r="F123" s="4">
        <f>[1]节奏总纲!F123</f>
        <v>121</v>
      </c>
      <c r="G123" s="4">
        <f>[1]节奏总纲!G123</f>
        <v>4388.9841025486576</v>
      </c>
      <c r="N123" s="4">
        <f>[1]节奏总纲!N123</f>
        <v>130</v>
      </c>
      <c r="O123" s="4">
        <f>[1]节奏总纲!O123</f>
        <v>120</v>
      </c>
      <c r="P123" s="6">
        <f>[1]节奏总纲!P123</f>
        <v>4095</v>
      </c>
      <c r="Q123" s="6">
        <f>[1]节奏总纲!Q123</f>
        <v>3486.0735</v>
      </c>
      <c r="R123" s="6">
        <f>[1]节奏总纲!R123</f>
        <v>2791.971</v>
      </c>
      <c r="S123" s="6">
        <f>[1]节奏总纲!S123</f>
        <v>1988.5319999999999</v>
      </c>
      <c r="T123" s="6">
        <f>[1]节奏总纲!T123</f>
        <v>1067.9759999999999</v>
      </c>
      <c r="V123" s="4">
        <f>[1]节奏总纲!V123</f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f>[1]节奏总纲!BA123</f>
        <v>39.250296194358178</v>
      </c>
      <c r="BB123" s="4">
        <f>[1]节奏总纲!BB123</f>
        <v>40.751734485509814</v>
      </c>
      <c r="BC123" s="4">
        <f>[1]节奏总纲!BC123</f>
        <v>42.687840061343536</v>
      </c>
      <c r="BD123" s="4">
        <f>[1]节奏总纲!BD123</f>
        <v>45.422904937058867</v>
      </c>
      <c r="BE123" s="4">
        <f>[1]节奏总纲!BE123</f>
        <v>50.126030281496639</v>
      </c>
    </row>
    <row r="124" spans="6:57" x14ac:dyDescent="0.15">
      <c r="F124" s="4">
        <f>[1]节奏总纲!F124</f>
        <v>122</v>
      </c>
      <c r="G124" s="4">
        <f>[1]节奏总纲!G124</f>
        <v>4704.0684620678521</v>
      </c>
      <c r="N124" s="4">
        <f>[1]节奏总纲!N124</f>
        <v>131</v>
      </c>
      <c r="O124" s="4">
        <f>[1]节奏总纲!O124</f>
        <v>121</v>
      </c>
      <c r="P124" s="6">
        <f>[1]节奏总纲!P124</f>
        <v>4388.9841025486576</v>
      </c>
      <c r="Q124" s="6">
        <f>[1]节奏总纲!Q124</f>
        <v>3731.5142839868686</v>
      </c>
      <c r="R124" s="6">
        <f>[1]节奏总纲!R124</f>
        <v>2978.8035103997736</v>
      </c>
      <c r="S124" s="6">
        <f>[1]节奏总纲!S124</f>
        <v>2122.0738135822758</v>
      </c>
      <c r="T124" s="6">
        <f>[1]节奏总纲!T124</f>
        <v>1143.3303587139253</v>
      </c>
      <c r="V124" s="4">
        <f>[1]节奏总纲!V124</f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f>[1]节奏总纲!BA124</f>
        <v>39.304328901071102</v>
      </c>
      <c r="BB124" s="4">
        <f>[1]节奏总纲!BB124</f>
        <v>40.810008476634607</v>
      </c>
      <c r="BC124" s="4">
        <f>[1]节奏总纲!BC124</f>
        <v>42.745694652888645</v>
      </c>
      <c r="BD124" s="4">
        <f>[1]节奏总纲!BD124</f>
        <v>45.478697145114126</v>
      </c>
      <c r="BE124" s="4">
        <f>[1]节奏总纲!BE124</f>
        <v>50.179546324595002</v>
      </c>
    </row>
    <row r="125" spans="6:57" x14ac:dyDescent="0.15">
      <c r="F125" s="4">
        <f>[1]节奏总纲!F125</f>
        <v>123</v>
      </c>
      <c r="G125" s="4">
        <f>[1]节奏总纲!G125</f>
        <v>5041.7675170607781</v>
      </c>
      <c r="N125" s="4">
        <f>[1]节奏总纲!N125</f>
        <v>132</v>
      </c>
      <c r="O125" s="4">
        <f>[1]节奏总纲!O125</f>
        <v>122</v>
      </c>
      <c r="P125" s="6">
        <f>[1]节奏总纲!P125</f>
        <v>4704.0684620678521</v>
      </c>
      <c r="Q125" s="6">
        <f>[1]节奏总纲!Q125</f>
        <v>3989.5204626797454</v>
      </c>
      <c r="R125" s="6">
        <f>[1]节奏总纲!R125</f>
        <v>3183.7135351275219</v>
      </c>
      <c r="S125" s="6">
        <f>[1]节奏总纲!S125</f>
        <v>2271.1242534863591</v>
      </c>
      <c r="T125" s="6">
        <f>[1]节奏总纲!T125</f>
        <v>1223.9986138300551</v>
      </c>
      <c r="V125" s="4">
        <f>[1]节奏总纲!V125</f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f>[1]节奏总纲!BA125</f>
        <v>39.358361607784026</v>
      </c>
      <c r="BB125" s="4">
        <f>[1]节奏总纲!BB125</f>
        <v>40.8682824677594</v>
      </c>
      <c r="BC125" s="4">
        <f>[1]节奏总纲!BC125</f>
        <v>42.803549244433754</v>
      </c>
      <c r="BD125" s="4">
        <f>[1]节奏总纲!BD125</f>
        <v>45.534489353169384</v>
      </c>
      <c r="BE125" s="4">
        <f>[1]节奏总纲!BE125</f>
        <v>50.233062367693357</v>
      </c>
    </row>
    <row r="126" spans="6:57" x14ac:dyDescent="0.15">
      <c r="F126" s="4">
        <f>[1]节奏总纲!F126</f>
        <v>124</v>
      </c>
      <c r="G126" s="4">
        <f>[1]节奏总纲!G126</f>
        <v>5403.704402525771</v>
      </c>
      <c r="N126" s="4">
        <f>[1]节奏总纲!N126</f>
        <v>133</v>
      </c>
      <c r="O126" s="4">
        <f>[1]节奏总纲!O126</f>
        <v>123</v>
      </c>
      <c r="P126" s="6">
        <f>[1]节奏总纲!P126</f>
        <v>5041.7675170607781</v>
      </c>
      <c r="Q126" s="6">
        <f>[1]节奏总纲!Q126</f>
        <v>4275.9230312192458</v>
      </c>
      <c r="R126" s="6">
        <f>[1]节奏总纲!R126</f>
        <v>3419.8309068223257</v>
      </c>
      <c r="S126" s="6">
        <f>[1]节奏总纲!S126</f>
        <v>2442.7363620159467</v>
      </c>
      <c r="T126" s="6">
        <f>[1]节奏总纲!T126</f>
        <v>1316.4054987045693</v>
      </c>
      <c r="V126" s="4">
        <f>[1]节奏总纲!V126</f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f>[1]节奏总纲!BA126</f>
        <v>39.41239431449695</v>
      </c>
      <c r="BB126" s="4">
        <f>[1]节奏总纲!BB126</f>
        <v>40.926556458884193</v>
      </c>
      <c r="BC126" s="4">
        <f>[1]节奏总纲!BC126</f>
        <v>42.861403835978855</v>
      </c>
      <c r="BD126" s="4">
        <f>[1]节奏总纲!BD126</f>
        <v>45.590281561224643</v>
      </c>
      <c r="BE126" s="4">
        <f>[1]节奏总纲!BE126</f>
        <v>50.286578410791719</v>
      </c>
    </row>
    <row r="127" spans="6:57" x14ac:dyDescent="0.15">
      <c r="F127" s="4">
        <f>[1]节奏总纲!F127</f>
        <v>125</v>
      </c>
      <c r="G127" s="4">
        <f>[1]节奏总纲!G127</f>
        <v>5791.6187514801986</v>
      </c>
      <c r="N127" s="4">
        <f>[1]节奏总纲!N127</f>
        <v>134</v>
      </c>
      <c r="O127" s="4">
        <f>[1]节奏总纲!O127</f>
        <v>124</v>
      </c>
      <c r="P127" s="6">
        <f>[1]节奏总纲!P127</f>
        <v>5403.704402525771</v>
      </c>
      <c r="Q127" s="6">
        <f>[1]节奏总纲!Q127</f>
        <v>4591.5276308261473</v>
      </c>
      <c r="R127" s="6">
        <f>[1]节奏总纲!R127</f>
        <v>3671.276771076009</v>
      </c>
      <c r="S127" s="6">
        <f>[1]节奏总纲!S127</f>
        <v>2624.0388578665143</v>
      </c>
      <c r="T127" s="6">
        <f>[1]节奏总纲!T127</f>
        <v>1415.7705534617521</v>
      </c>
      <c r="V127" s="4">
        <f>[1]节奏总纲!V127</f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f>[1]节奏总纲!BA127</f>
        <v>39.466427021209874</v>
      </c>
      <c r="BB127" s="4">
        <f>[1]节奏总纲!BB127</f>
        <v>40.984830450008978</v>
      </c>
      <c r="BC127" s="4">
        <f>[1]节奏总纲!BC127</f>
        <v>42.919258427523964</v>
      </c>
      <c r="BD127" s="4">
        <f>[1]节奏总纲!BD127</f>
        <v>45.646073769279901</v>
      </c>
      <c r="BE127" s="4">
        <f>[1]节奏总纲!BE127</f>
        <v>50.340094453890082</v>
      </c>
    </row>
    <row r="128" spans="6:57" x14ac:dyDescent="0.15">
      <c r="F128" s="4">
        <f>[1]节奏总纲!F128</f>
        <v>126</v>
      </c>
      <c r="G128" s="4">
        <f>[1]节奏总纲!G128</f>
        <v>6207.3750564265865</v>
      </c>
      <c r="N128" s="4">
        <f>[1]节奏总纲!N128</f>
        <v>135</v>
      </c>
      <c r="O128" s="4">
        <f>[1]节奏总纲!O128</f>
        <v>125</v>
      </c>
      <c r="P128" s="6">
        <f>[1]节奏总纲!P128</f>
        <v>5791.6187514801986</v>
      </c>
      <c r="Q128" s="6">
        <f>[1]节奏总纲!Q128</f>
        <v>4918.821805632133</v>
      </c>
      <c r="R128" s="6">
        <f>[1]节奏总纲!R128</f>
        <v>3940.0382366319791</v>
      </c>
      <c r="S128" s="6">
        <f>[1]节奏总纲!S128</f>
        <v>2816.4641988448207</v>
      </c>
      <c r="T128" s="6">
        <f>[1]节奏总纲!T128</f>
        <v>1509.8750085108877</v>
      </c>
      <c r="V128" s="4">
        <f>[1]节奏总纲!V128</f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f>[1]节奏总纲!BA128</f>
        <v>39.520459727922798</v>
      </c>
      <c r="BB128" s="4">
        <f>[1]节奏总纲!BB128</f>
        <v>41.037193447861313</v>
      </c>
      <c r="BC128" s="4">
        <f>[1]节奏总纲!BC128</f>
        <v>42.977113019069073</v>
      </c>
      <c r="BD128" s="4">
        <f>[1]节奏总纲!BD128</f>
        <v>45.701865977335167</v>
      </c>
      <c r="BE128" s="4">
        <f>[1]节奏总纲!BE128</f>
        <v>50.393610496988437</v>
      </c>
    </row>
    <row r="129" spans="6:57" x14ac:dyDescent="0.15">
      <c r="F129" s="4">
        <f>[1]节奏总纲!F129</f>
        <v>127</v>
      </c>
      <c r="G129" s="4">
        <f>[1]节奏总纲!G129</f>
        <v>6652.971630950271</v>
      </c>
      <c r="N129" s="4">
        <f>[1]节奏总纲!N129</f>
        <v>136</v>
      </c>
      <c r="O129" s="4">
        <f>[1]节奏总纲!O129</f>
        <v>126</v>
      </c>
      <c r="P129" s="6">
        <f>[1]节奏总纲!P129</f>
        <v>6207.3750564265865</v>
      </c>
      <c r="Q129" s="6">
        <f>[1]节奏总纲!Q129</f>
        <v>5279.3724854908123</v>
      </c>
      <c r="R129" s="6">
        <f>[1]节奏总纲!R129</f>
        <v>4225.9809384152195</v>
      </c>
      <c r="S129" s="6">
        <f>[1]节奏总纲!S129</f>
        <v>3006.8524773330387</v>
      </c>
      <c r="T129" s="6">
        <f>[1]节奏总纲!T129</f>
        <v>1610.1930896370566</v>
      </c>
      <c r="V129" s="4">
        <f>[1]节奏总纲!V129</f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f>[1]节奏总纲!BA129</f>
        <v>39.574492434635722</v>
      </c>
      <c r="BB129" s="4">
        <f>[1]节奏总纲!BB129</f>
        <v>41.087476216725996</v>
      </c>
      <c r="BC129" s="4">
        <f>[1]节奏总纲!BC129</f>
        <v>43.030177309109042</v>
      </c>
      <c r="BD129" s="4">
        <f>[1]节奏总纲!BD129</f>
        <v>45.757658185390426</v>
      </c>
      <c r="BE129" s="4">
        <f>[1]节奏总纲!BE129</f>
        <v>50.447126540086799</v>
      </c>
    </row>
    <row r="130" spans="6:57" x14ac:dyDescent="0.15">
      <c r="F130" s="4">
        <f>[1]节奏总纲!F130</f>
        <v>128</v>
      </c>
      <c r="G130" s="4">
        <f>[1]节奏总纲!G130</f>
        <v>7130.5502145218443</v>
      </c>
      <c r="N130" s="4">
        <f>[1]节奏总纲!N130</f>
        <v>137</v>
      </c>
      <c r="O130" s="4">
        <f>[1]节奏总纲!O130</f>
        <v>127</v>
      </c>
      <c r="P130" s="6">
        <f>[1]节奏总纲!P130</f>
        <v>6652.971630950271</v>
      </c>
      <c r="Q130" s="6">
        <f>[1]节奏总纲!Q130</f>
        <v>5658.3523721232059</v>
      </c>
      <c r="R130" s="6">
        <f>[1]节奏总纲!R130</f>
        <v>4508.7188742949984</v>
      </c>
      <c r="S130" s="6">
        <f>[1]节奏总纲!S130</f>
        <v>3203.4058403025556</v>
      </c>
      <c r="T130" s="6">
        <f>[1]节奏总纲!T130</f>
        <v>1719.793166600645</v>
      </c>
      <c r="V130" s="4">
        <f>[1]节奏总纲!V130</f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f>[1]节奏总纲!BA130</f>
        <v>39.628525141348646</v>
      </c>
      <c r="BB130" s="4">
        <f>[1]节奏总纲!BB130</f>
        <v>41.137758985590679</v>
      </c>
      <c r="BC130" s="4">
        <f>[1]节奏总纲!BC130</f>
        <v>43.080106253688569</v>
      </c>
      <c r="BD130" s="4">
        <f>[1]节奏总纲!BD130</f>
        <v>45.813450393445684</v>
      </c>
      <c r="BE130" s="4">
        <f>[1]节奏总纲!BE130</f>
        <v>50.500642583185162</v>
      </c>
    </row>
    <row r="131" spans="6:57" x14ac:dyDescent="0.15">
      <c r="F131" s="4">
        <f>[1]节奏总纲!F131</f>
        <v>129</v>
      </c>
      <c r="G131" s="4">
        <f>[1]节奏总纲!G131</f>
        <v>7642.4062666695281</v>
      </c>
      <c r="N131" s="4">
        <f>[1]节奏总纲!N131</f>
        <v>138</v>
      </c>
      <c r="O131" s="4">
        <f>[1]节奏总纲!O131</f>
        <v>128</v>
      </c>
      <c r="P131" s="6">
        <f>[1]节奏总纲!P131</f>
        <v>7130.5502145218443</v>
      </c>
      <c r="Q131" s="6">
        <f>[1]节奏总纲!Q131</f>
        <v>6036.010756592741</v>
      </c>
      <c r="R131" s="6">
        <f>[1]节奏总纲!R131</f>
        <v>4805.9908445877236</v>
      </c>
      <c r="S131" s="6">
        <f>[1]节奏总纲!S131</f>
        <v>3419.0988278632244</v>
      </c>
      <c r="T131" s="6">
        <f>[1]节奏总纲!T131</f>
        <v>1838.9689003251838</v>
      </c>
      <c r="V131" s="4">
        <f>[1]节奏总纲!V131</f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f>[1]节奏总纲!BA131</f>
        <v>39.68255784806157</v>
      </c>
      <c r="BB131" s="4">
        <f>[1]节奏总纲!BB131</f>
        <v>41.188041754455355</v>
      </c>
      <c r="BC131" s="4">
        <f>[1]节奏总纲!BC131</f>
        <v>43.130035198268104</v>
      </c>
      <c r="BD131" s="4">
        <f>[1]节奏总纲!BD131</f>
        <v>45.869242601500943</v>
      </c>
      <c r="BE131" s="4">
        <f>[1]节奏总纲!BE131</f>
        <v>50.554158626283517</v>
      </c>
    </row>
    <row r="132" spans="6:57" x14ac:dyDescent="0.15">
      <c r="F132" s="4">
        <f>[1]节奏总纲!F132</f>
        <v>130</v>
      </c>
      <c r="G132" s="4">
        <f>[1]节奏总纲!G132</f>
        <v>8191</v>
      </c>
      <c r="N132" s="4">
        <f>[1]节奏总纲!N132</f>
        <v>139</v>
      </c>
      <c r="O132" s="4">
        <f>[1]节奏总纲!O132</f>
        <v>129</v>
      </c>
      <c r="P132" s="6">
        <f>[1]节奏总纲!P132</f>
        <v>7642.4062666695281</v>
      </c>
      <c r="Q132" s="6">
        <f>[1]节奏总纲!Q132</f>
        <v>6469.2969047357556</v>
      </c>
      <c r="R132" s="6">
        <f>[1]节奏总纲!R132</f>
        <v>5159.388470628599</v>
      </c>
      <c r="S132" s="6">
        <f>[1]节奏总纲!S132</f>
        <v>3676.7616548947103</v>
      </c>
      <c r="T132" s="6">
        <f>[1]节奏总纲!T132</f>
        <v>1975.5620199340731</v>
      </c>
      <c r="V132" s="4">
        <f>[1]节奏总纲!V132</f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f>[1]节奏总纲!BA132</f>
        <v>39.736590554774494</v>
      </c>
      <c r="BB132" s="4">
        <f>[1]节奏总纲!BB132</f>
        <v>41.238324523320038</v>
      </c>
      <c r="BC132" s="4">
        <f>[1]节奏总纲!BC132</f>
        <v>43.179964142847631</v>
      </c>
      <c r="BD132" s="4">
        <f>[1]节奏总纲!BD132</f>
        <v>45.925034809556202</v>
      </c>
      <c r="BE132" s="4">
        <f>[1]节奏总纲!BE132</f>
        <v>50.607674669381879</v>
      </c>
    </row>
    <row r="133" spans="6:57" x14ac:dyDescent="0.15">
      <c r="F133" s="4">
        <f>[1]节奏总纲!F133</f>
        <v>131</v>
      </c>
      <c r="G133" s="4">
        <f>[1]节奏总纲!G133</f>
        <v>8778.9682050973151</v>
      </c>
      <c r="N133" s="4">
        <f>[1]节奏总纲!N133</f>
        <v>140</v>
      </c>
      <c r="O133" s="4">
        <f>[1]节奏总纲!O133</f>
        <v>130</v>
      </c>
      <c r="P133" s="6">
        <f>[1]节奏总纲!P133</f>
        <v>8191</v>
      </c>
      <c r="Q133" s="6">
        <f>[1]节奏总纲!Q133</f>
        <v>6941.8725000000004</v>
      </c>
      <c r="R133" s="6">
        <f>[1]节奏总纲!R133</f>
        <v>5542.0306</v>
      </c>
      <c r="S133" s="6">
        <f>[1]节奏总纲!S133</f>
        <v>3951.3384000000001</v>
      </c>
      <c r="T133" s="6">
        <f>[1]节奏总纲!T133</f>
        <v>2124.7454000000002</v>
      </c>
      <c r="V133" s="4">
        <f>[1]节奏总纲!V133</f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f>[1]节奏总纲!BA133</f>
        <v>39.790623261487418</v>
      </c>
      <c r="BB133" s="4">
        <f>[1]节奏总纲!BB133</f>
        <v>41.288607292184714</v>
      </c>
      <c r="BC133" s="4">
        <f>[1]节奏总纲!BC133</f>
        <v>43.229893087427158</v>
      </c>
      <c r="BD133" s="4">
        <f>[1]节奏总纲!BD133</f>
        <v>45.98082701761146</v>
      </c>
      <c r="BE133" s="4">
        <f>[1]节奏总纲!BE133</f>
        <v>50.661190712480241</v>
      </c>
    </row>
    <row r="134" spans="6:57" x14ac:dyDescent="0.15">
      <c r="F134" s="4">
        <f>[1]节奏总纲!F134</f>
        <v>132</v>
      </c>
      <c r="G134" s="4">
        <f>[1]节奏总纲!G134</f>
        <v>9409.1369241357042</v>
      </c>
      <c r="N134" s="4">
        <f>[1]节奏总纲!N134</f>
        <v>141</v>
      </c>
      <c r="O134" s="4">
        <f>[1]节奏总纲!O134</f>
        <v>131</v>
      </c>
      <c r="P134" s="6">
        <f>[1]节奏总纲!P134</f>
        <v>8778.9682050973151</v>
      </c>
      <c r="Q134" s="6">
        <f>[1]节奏总纲!Q134</f>
        <v>7443.6871411020138</v>
      </c>
      <c r="R134" s="6">
        <f>[1]节奏总纲!R134</f>
        <v>5945.117268491902</v>
      </c>
      <c r="S134" s="6">
        <f>[1]节奏总纲!S134</f>
        <v>4244.6311271645518</v>
      </c>
      <c r="T134" s="6">
        <f>[1]节奏总纲!T134</f>
        <v>2275.5085587612239</v>
      </c>
      <c r="V134" s="4">
        <f>[1]节奏总纲!V134</f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f>[1]节奏总纲!BA134</f>
        <v>39.844655968200342</v>
      </c>
      <c r="BB134" s="4">
        <f>[1]节奏总纲!BB134</f>
        <v>41.338890061049398</v>
      </c>
      <c r="BC134" s="4">
        <f>[1]节奏总纲!BC134</f>
        <v>43.279822032006692</v>
      </c>
      <c r="BD134" s="4">
        <f>[1]节奏总纲!BD134</f>
        <v>46.031609894814238</v>
      </c>
      <c r="BE134" s="4">
        <f>[1]节奏总纲!BE134</f>
        <v>50.714706755578604</v>
      </c>
    </row>
    <row r="135" spans="6:57" x14ac:dyDescent="0.15">
      <c r="F135" s="4">
        <f>[1]节奏总纲!F135</f>
        <v>133</v>
      </c>
      <c r="G135" s="4">
        <f>[1]节奏总纲!G135</f>
        <v>10084.535034121556</v>
      </c>
      <c r="N135" s="4">
        <f>[1]节奏总纲!N135</f>
        <v>142</v>
      </c>
      <c r="O135" s="4">
        <f>[1]节奏总纲!O135</f>
        <v>132</v>
      </c>
      <c r="P135" s="6">
        <f>[1]节奏总纲!P135</f>
        <v>9409.1369241357042</v>
      </c>
      <c r="Q135" s="6">
        <f>[1]节奏总纲!Q135</f>
        <v>7983.6526801291457</v>
      </c>
      <c r="R135" s="6">
        <f>[1]节奏总纲!R135</f>
        <v>6385.9812304109018</v>
      </c>
      <c r="S135" s="6">
        <f>[1]节奏总纲!S135</f>
        <v>4544.6131343575453</v>
      </c>
      <c r="T135" s="6">
        <f>[1]节奏总纲!T135</f>
        <v>2431.3209811966663</v>
      </c>
      <c r="V135" s="4">
        <f>[1]节奏总纲!V135</f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f>[1]节奏总纲!BA135</f>
        <v>39.898688674913267</v>
      </c>
      <c r="BB135" s="4">
        <f>[1]节奏总纲!BB135</f>
        <v>41.389172829914081</v>
      </c>
      <c r="BC135" s="4">
        <f>[1]节奏总纲!BC135</f>
        <v>43.329750976586219</v>
      </c>
      <c r="BD135" s="4">
        <f>[1]节奏总纲!BD135</f>
        <v>46.079770001861057</v>
      </c>
      <c r="BE135" s="4">
        <f>[1]节奏总纲!BE135</f>
        <v>50.768222798676959</v>
      </c>
    </row>
    <row r="136" spans="6:57" x14ac:dyDescent="0.15">
      <c r="F136" s="4">
        <f>[1]节奏总纲!F136</f>
        <v>134</v>
      </c>
      <c r="G136" s="4">
        <f>[1]节奏总纲!G136</f>
        <v>10808.408805051544</v>
      </c>
      <c r="N136" s="4">
        <f>[1]节奏总纲!N136</f>
        <v>143</v>
      </c>
      <c r="O136" s="4">
        <f>[1]节奏总纲!O136</f>
        <v>133</v>
      </c>
      <c r="P136" s="6">
        <f>[1]节奏总纲!P136</f>
        <v>10084.535034121556</v>
      </c>
      <c r="Q136" s="6">
        <f>[1]节奏总纲!Q136</f>
        <v>8562.7786974726132</v>
      </c>
      <c r="R136" s="6">
        <f>[1]节奏总纲!R136</f>
        <v>6827.2302181002942</v>
      </c>
      <c r="S136" s="6">
        <f>[1]节奏总纲!S136</f>
        <v>4847.6359909022322</v>
      </c>
      <c r="T136" s="6">
        <f>[1]节奏总纲!T136</f>
        <v>2595.759317782889</v>
      </c>
      <c r="V136" s="4">
        <f>[1]节奏总纲!V136</f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f>[1]节奏总纲!BA136</f>
        <v>39.952721381626191</v>
      </c>
      <c r="BB136" s="4">
        <f>[1]节奏总纲!BB136</f>
        <v>41.439455598778757</v>
      </c>
      <c r="BC136" s="4">
        <f>[1]节奏总纲!BC136</f>
        <v>43.379679921165753</v>
      </c>
      <c r="BD136" s="4">
        <f>[1]节奏总纲!BD136</f>
        <v>46.127930108907876</v>
      </c>
      <c r="BE136" s="4">
        <f>[1]节奏总纲!BE136</f>
        <v>50.821738841775321</v>
      </c>
    </row>
    <row r="137" spans="6:57" x14ac:dyDescent="0.15">
      <c r="F137" s="4">
        <f>[1]节奏总纲!F137</f>
        <v>135</v>
      </c>
      <c r="G137" s="4">
        <f>[1]节奏总纲!G137</f>
        <v>11584.237502960397</v>
      </c>
      <c r="N137" s="4">
        <f>[1]节奏总纲!N137</f>
        <v>144</v>
      </c>
      <c r="O137" s="4">
        <f>[1]节奏总纲!O137</f>
        <v>134</v>
      </c>
      <c r="P137" s="6">
        <f>[1]节奏总纲!P137</f>
        <v>10808.408805051544</v>
      </c>
      <c r="Q137" s="6">
        <f>[1]节奏总纲!Q137</f>
        <v>9151.4797352371424</v>
      </c>
      <c r="R137" s="6">
        <f>[1]节奏总纲!R137</f>
        <v>7283.7866937242361</v>
      </c>
      <c r="S137" s="6">
        <f>[1]节奏总纲!S137</f>
        <v>5175.0661358586794</v>
      </c>
      <c r="T137" s="6">
        <f>[1]节奏总纲!T137</f>
        <v>2775.5993811372364</v>
      </c>
      <c r="V137" s="4">
        <f>[1]节奏总纲!V137</f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f>[1]节奏总纲!BA137</f>
        <v>40.005827399112476</v>
      </c>
      <c r="BB137" s="4">
        <f>[1]节奏总纲!BB137</f>
        <v>41.48973836764344</v>
      </c>
      <c r="BC137" s="4">
        <f>[1]节奏总纲!BC137</f>
        <v>43.42960886574528</v>
      </c>
      <c r="BD137" s="4">
        <f>[1]节奏总纲!BD137</f>
        <v>46.176090215954694</v>
      </c>
      <c r="BE137" s="4">
        <f>[1]节奏总纲!BE137</f>
        <v>50.875254884873684</v>
      </c>
    </row>
    <row r="138" spans="6:57" x14ac:dyDescent="0.15">
      <c r="F138" s="4">
        <f>[1]节奏总纲!F138</f>
        <v>136</v>
      </c>
      <c r="G138" s="4">
        <f>[1]节奏总纲!G138</f>
        <v>12415.750112853173</v>
      </c>
      <c r="N138" s="4">
        <f>[1]节奏总纲!N138</f>
        <v>145</v>
      </c>
      <c r="O138" s="4">
        <f>[1]节奏总纲!O138</f>
        <v>135</v>
      </c>
      <c r="P138" s="6">
        <f>[1]节奏总纲!P138</f>
        <v>11584.237502960397</v>
      </c>
      <c r="Q138" s="6">
        <f>[1]节奏总纲!Q138</f>
        <v>9796.789656253608</v>
      </c>
      <c r="R138" s="6">
        <f>[1]节奏总纲!R138</f>
        <v>7796.1918394923478</v>
      </c>
      <c r="S138" s="6">
        <f>[1]节奏总纲!S138</f>
        <v>5548.8497639180305</v>
      </c>
      <c r="T138" s="6">
        <f>[1]节奏总纲!T138</f>
        <v>2979.465885761414</v>
      </c>
      <c r="V138" s="4">
        <f>[1]节奏总纲!V138</f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f>[1]节奏总纲!BA138</f>
        <v>40.052446592012309</v>
      </c>
      <c r="BB138" s="4">
        <f>[1]节奏总纲!BB138</f>
        <v>41.540021136508116</v>
      </c>
      <c r="BC138" s="4">
        <f>[1]节奏总纲!BC138</f>
        <v>43.479537810324814</v>
      </c>
      <c r="BD138" s="4">
        <f>[1]节奏总纲!BD138</f>
        <v>46.224250323001513</v>
      </c>
      <c r="BE138" s="4">
        <f>[1]节奏总纲!BE138</f>
        <v>50.928770927972039</v>
      </c>
    </row>
    <row r="139" spans="6:57" x14ac:dyDescent="0.15">
      <c r="F139" s="4">
        <f>[1]节奏总纲!F139</f>
        <v>137</v>
      </c>
      <c r="G139" s="4">
        <f>[1]节奏总纲!G139</f>
        <v>13306.943261900544</v>
      </c>
      <c r="N139" s="4">
        <f>[1]节奏总纲!N139</f>
        <v>146</v>
      </c>
      <c r="O139" s="4">
        <f>[1]节奏总纲!O139</f>
        <v>136</v>
      </c>
      <c r="P139" s="6">
        <f>[1]节奏总纲!P139</f>
        <v>12415.750112853173</v>
      </c>
      <c r="Q139" s="6">
        <f>[1]节奏总纲!Q139</f>
        <v>10507.449320507641</v>
      </c>
      <c r="R139" s="6">
        <f>[1]节奏总纲!R139</f>
        <v>8384.3560512097483</v>
      </c>
      <c r="S139" s="6">
        <f>[1]节奏总纲!S139</f>
        <v>5967.009504237235</v>
      </c>
      <c r="T139" s="6">
        <f>[1]节奏总纲!T139</f>
        <v>3204.5051041274041</v>
      </c>
      <c r="V139" s="4">
        <f>[1]节奏总纲!V139</f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f>[1]节奏总纲!BA139</f>
        <v>40.099065784912149</v>
      </c>
      <c r="BB139" s="4">
        <f>[1]节奏总纲!BB139</f>
        <v>41.590303905372799</v>
      </c>
      <c r="BC139" s="4">
        <f>[1]节奏总纲!BC139</f>
        <v>43.529466754904341</v>
      </c>
      <c r="BD139" s="4">
        <f>[1]节奏总纲!BD139</f>
        <v>46.272410430048332</v>
      </c>
      <c r="BE139" s="4">
        <f>[1]节奏总纲!BE139</f>
        <v>50.982286971070401</v>
      </c>
    </row>
    <row r="140" spans="6:57" x14ac:dyDescent="0.15">
      <c r="F140" s="4">
        <f>[1]节奏总纲!F140</f>
        <v>138</v>
      </c>
      <c r="G140" s="4">
        <f>[1]节奏总纲!G140</f>
        <v>14262.10042904369</v>
      </c>
      <c r="N140" s="4">
        <f>[1]节奏总纲!N140</f>
        <v>147</v>
      </c>
      <c r="O140" s="4">
        <f>[1]节奏总纲!O140</f>
        <v>137</v>
      </c>
      <c r="P140" s="6">
        <f>[1]节奏总纲!P140</f>
        <v>13306.943261900544</v>
      </c>
      <c r="Q140" s="6">
        <f>[1]节奏总纲!Q140</f>
        <v>11274.973025808331</v>
      </c>
      <c r="R140" s="6">
        <f>[1]节奏总纲!R140</f>
        <v>8995.4936450447676</v>
      </c>
      <c r="S140" s="6">
        <f>[1]节奏总纲!S140</f>
        <v>6407.293180605112</v>
      </c>
      <c r="T140" s="6">
        <f>[1]节奏总纲!T140</f>
        <v>3438.5141388751008</v>
      </c>
      <c r="V140" s="4">
        <f>[1]节奏总纲!V140</f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f>[1]节奏总纲!BA140</f>
        <v>40.145684977811982</v>
      </c>
      <c r="BB140" s="4">
        <f>[1]节奏总纲!BB140</f>
        <v>41.640586674237483</v>
      </c>
      <c r="BC140" s="4">
        <f>[1]节奏总纲!BC140</f>
        <v>43.579395699483875</v>
      </c>
      <c r="BD140" s="4">
        <f>[1]节奏总纲!BD140</f>
        <v>46.320570537095151</v>
      </c>
      <c r="BE140" s="4">
        <f>[1]节奏总纲!BE140</f>
        <v>51.030916192165336</v>
      </c>
    </row>
    <row r="141" spans="6:57" x14ac:dyDescent="0.15">
      <c r="F141" s="4">
        <f>[1]节奏总纲!F141</f>
        <v>139</v>
      </c>
      <c r="G141" s="4">
        <f>[1]节奏总纲!G141</f>
        <v>15285.812533339058</v>
      </c>
      <c r="N141" s="4">
        <f>[1]节奏总纲!N141</f>
        <v>148</v>
      </c>
      <c r="O141" s="4">
        <f>[1]节奏总纲!O141</f>
        <v>138</v>
      </c>
      <c r="P141" s="6">
        <f>[1]节奏总纲!P141</f>
        <v>14262.10042904369</v>
      </c>
      <c r="Q141" s="6">
        <f>[1]节奏总纲!Q141</f>
        <v>12084.27769352872</v>
      </c>
      <c r="R141" s="6">
        <f>[1]节奏总纲!R141</f>
        <v>9648.3109402480568</v>
      </c>
      <c r="S141" s="6">
        <f>[1]节奏总纲!S141</f>
        <v>6871.4799867132497</v>
      </c>
      <c r="T141" s="6">
        <f>[1]节奏总纲!T141</f>
        <v>3671.064650435846</v>
      </c>
      <c r="V141" s="4">
        <f>[1]节奏总纲!V141</f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f>[1]节奏总纲!BA141</f>
        <v>40.192304170711814</v>
      </c>
      <c r="BB141" s="4">
        <f>[1]节奏总纲!BB141</f>
        <v>41.690869443102159</v>
      </c>
      <c r="BC141" s="4">
        <f>[1]节奏总纲!BC141</f>
        <v>43.629324644063402</v>
      </c>
      <c r="BD141" s="4">
        <f>[1]节奏总纲!BD141</f>
        <v>46.368730644141969</v>
      </c>
      <c r="BE141" s="4">
        <f>[1]节奏总纲!BE141</f>
        <v>51.077127728003028</v>
      </c>
    </row>
    <row r="142" spans="6:57" x14ac:dyDescent="0.15">
      <c r="F142" s="4">
        <f>[1]节奏总纲!F142</f>
        <v>140</v>
      </c>
      <c r="G142" s="4">
        <f>[1]节奏总纲!G142</f>
        <v>16383</v>
      </c>
      <c r="N142" s="4">
        <f>[1]节奏总纲!N142</f>
        <v>149</v>
      </c>
      <c r="O142" s="4">
        <f>[1]节奏总纲!O142</f>
        <v>139</v>
      </c>
      <c r="P142" s="6">
        <f>[1]节奏总纲!P142</f>
        <v>15285.812533339058</v>
      </c>
      <c r="Q142" s="6">
        <f>[1]节奏总纲!Q142</f>
        <v>12957.783284511519</v>
      </c>
      <c r="R142" s="6">
        <f>[1]节奏总纲!R142</f>
        <v>10342.380760057207</v>
      </c>
      <c r="S142" s="6">
        <f>[1]节奏总纲!S142</f>
        <v>7335.6614347494142</v>
      </c>
      <c r="T142" s="6">
        <f>[1]节奏总纲!T142</f>
        <v>3920.8109148014687</v>
      </c>
      <c r="V142" s="4">
        <f>[1]节奏总纲!V142</f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f>[1]节奏总纲!BA142</f>
        <v>40.238923363611647</v>
      </c>
      <c r="BB142" s="4">
        <f>[1]节奏总纲!BB142</f>
        <v>41.741152211966842</v>
      </c>
      <c r="BC142" s="4">
        <f>[1]节奏总纲!BC142</f>
        <v>43.679253588642929</v>
      </c>
      <c r="BD142" s="4">
        <f>[1]节奏总纲!BD142</f>
        <v>46.416890751188788</v>
      </c>
      <c r="BE142" s="4">
        <f>[1]节奏总纲!BE142</f>
        <v>51.12333926384072</v>
      </c>
    </row>
    <row r="143" spans="6:57" x14ac:dyDescent="0.15">
      <c r="F143" s="4">
        <f>[1]节奏总纲!F143</f>
        <v>141</v>
      </c>
      <c r="G143" s="4">
        <f>[1]节奏总纲!G143</f>
        <v>17558.936410194601</v>
      </c>
      <c r="N143" s="4">
        <f>[1]节奏总纲!N143</f>
        <v>150</v>
      </c>
      <c r="O143" s="4">
        <f>[1]节奏总纲!O143</f>
        <v>140</v>
      </c>
      <c r="P143" s="6">
        <f>[1]节奏总纲!P143</f>
        <v>16383</v>
      </c>
      <c r="Q143" s="6">
        <f>[1]节奏总纲!Q143</f>
        <v>13881.315900000001</v>
      </c>
      <c r="R143" s="6">
        <f>[1]节奏总纲!R143</f>
        <v>11037.2271</v>
      </c>
      <c r="S143" s="6">
        <f>[1]节奏总纲!S143</f>
        <v>7827.7974000000004</v>
      </c>
      <c r="T143" s="6">
        <f>[1]节奏总纲!T143</f>
        <v>4192.4097000000002</v>
      </c>
      <c r="V143" s="4">
        <f>[1]节奏总纲!V143</f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f>[1]节奏总纲!BA143</f>
        <v>40.28554255651148</v>
      </c>
      <c r="BB143" s="4">
        <f>[1]节奏总纲!BB143</f>
        <v>41.791434980831518</v>
      </c>
      <c r="BC143" s="4">
        <f>[1]节奏总纲!BC143</f>
        <v>43.729182533222463</v>
      </c>
      <c r="BD143" s="4">
        <f>[1]节奏总纲!BD143</f>
        <v>46.465050858235607</v>
      </c>
      <c r="BE143" s="4">
        <f>[1]节奏总纲!BE143</f>
        <v>51.169550799678412</v>
      </c>
    </row>
    <row r="144" spans="6:57" x14ac:dyDescent="0.15">
      <c r="F144" s="4">
        <f>[1]节奏总纲!F144</f>
        <v>142</v>
      </c>
      <c r="G144" s="4">
        <f>[1]节奏总纲!G144</f>
        <v>18819.273848271412</v>
      </c>
      <c r="N144" s="4">
        <f>[1]节奏总纲!N144</f>
        <v>151</v>
      </c>
      <c r="O144" s="4">
        <f>[1]节奏总纲!O144</f>
        <v>141</v>
      </c>
      <c r="P144" s="6">
        <f>[1]节奏总纲!P144</f>
        <v>17558.936410194601</v>
      </c>
      <c r="Q144" s="6">
        <f>[1]节奏总纲!Q144</f>
        <v>14839.057160255457</v>
      </c>
      <c r="R144" s="6">
        <f>[1]节奏总纲!R144</f>
        <v>11789.069905804656</v>
      </c>
      <c r="S144" s="6">
        <f>[1]节奏总纲!S144</f>
        <v>8380.8803485858825</v>
      </c>
      <c r="T144" s="6">
        <f>[1]节奏总纲!T144</f>
        <v>4489.820040086759</v>
      </c>
      <c r="V144" s="4">
        <f>[1]节奏总纲!V144</f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f>[1]节奏总纲!BA144</f>
        <v>40.332161749411313</v>
      </c>
      <c r="BB144" s="4">
        <f>[1]节奏总纲!BB144</f>
        <v>41.841717749696201</v>
      </c>
      <c r="BC144" s="4">
        <f>[1]节奏总纲!BC144</f>
        <v>43.77911147780199</v>
      </c>
      <c r="BD144" s="4">
        <f>[1]节奏总纲!BD144</f>
        <v>46.513210965282425</v>
      </c>
      <c r="BE144" s="4">
        <f>[1]节奏总纲!BE144</f>
        <v>51.215762335516104</v>
      </c>
    </row>
    <row r="145" spans="6:57" x14ac:dyDescent="0.15">
      <c r="F145" s="4">
        <f>[1]节奏总纲!F145</f>
        <v>143</v>
      </c>
      <c r="G145" s="4">
        <f>[1]节奏总纲!G145</f>
        <v>20170.070068243116</v>
      </c>
      <c r="N145" s="4">
        <f>[1]节奏总纲!N145</f>
        <v>152</v>
      </c>
      <c r="O145" s="4">
        <f>[1]节奏总纲!O145</f>
        <v>142</v>
      </c>
      <c r="P145" s="6">
        <f>[1]节奏总纲!P145</f>
        <v>18819.273848271412</v>
      </c>
      <c r="Q145" s="6">
        <f>[1]节奏总纲!Q145</f>
        <v>15904.16832917417</v>
      </c>
      <c r="R145" s="6">
        <f>[1]节奏总纲!R145</f>
        <v>12667.253227271489</v>
      </c>
      <c r="S145" s="6">
        <f>[1]节奏总纲!S145</f>
        <v>9003.140609013044</v>
      </c>
      <c r="T145" s="6">
        <f>[1]节奏总纲!T145</f>
        <v>4823.3798873119622</v>
      </c>
      <c r="V145" s="4">
        <f>[1]节奏总纲!V145</f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f>[1]节奏总纲!BA145</f>
        <v>40.378780942311145</v>
      </c>
      <c r="BB145" s="4">
        <f>[1]节奏总纲!BB145</f>
        <v>41.892000518560877</v>
      </c>
      <c r="BC145" s="4">
        <f>[1]节奏总纲!BC145</f>
        <v>43.829040422381524</v>
      </c>
      <c r="BD145" s="4">
        <f>[1]节奏总纲!BD145</f>
        <v>46.561371072329244</v>
      </c>
      <c r="BE145" s="4">
        <f>[1]节奏总纲!BE145</f>
        <v>51.261973871353796</v>
      </c>
    </row>
    <row r="146" spans="6:57" x14ac:dyDescent="0.15">
      <c r="F146" s="4">
        <f>[1]节奏总纲!F146</f>
        <v>144</v>
      </c>
      <c r="G146" s="4">
        <f>[1]节奏总纲!G146</f>
        <v>21617.817610103088</v>
      </c>
      <c r="N146" s="4">
        <f>[1]节奏总纲!N146</f>
        <v>153</v>
      </c>
      <c r="O146" s="4">
        <f>[1]节奏总纲!O146</f>
        <v>143</v>
      </c>
      <c r="P146" s="6">
        <f>[1]节奏总纲!P146</f>
        <v>20170.070068243116</v>
      </c>
      <c r="Q146" s="6">
        <f>[1]节奏总纲!Q146</f>
        <v>17065.896284740498</v>
      </c>
      <c r="R146" s="6">
        <f>[1]节奏总纲!R146</f>
        <v>13594.62722599586</v>
      </c>
      <c r="S146" s="6">
        <f>[1]节奏总纲!S146</f>
        <v>9669.5315907157492</v>
      </c>
      <c r="T146" s="6">
        <f>[1]节奏总纲!T146</f>
        <v>5185.7250145453054</v>
      </c>
      <c r="V146" s="4">
        <f>[1]节奏总纲!V146</f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f>[1]节奏总纲!BA146</f>
        <v>40.425400135210978</v>
      </c>
      <c r="BB146" s="4">
        <f>[1]节奏总纲!BB146</f>
        <v>41.94228328742556</v>
      </c>
      <c r="BC146" s="4">
        <f>[1]节奏总纲!BC146</f>
        <v>43.878969366961051</v>
      </c>
      <c r="BD146" s="4">
        <f>[1]节奏总纲!BD146</f>
        <v>46.609531179376063</v>
      </c>
      <c r="BE146" s="4">
        <f>[1]节奏总纲!BE146</f>
        <v>51.308185407191495</v>
      </c>
    </row>
    <row r="147" spans="6:57" x14ac:dyDescent="0.15">
      <c r="F147" s="4">
        <f>[1]节奏总纲!F147</f>
        <v>145</v>
      </c>
      <c r="G147" s="4">
        <f>[1]节奏总纲!G147</f>
        <v>23169.475005920798</v>
      </c>
      <c r="N147" s="4">
        <f>[1]节奏总纲!N147</f>
        <v>154</v>
      </c>
      <c r="O147" s="4">
        <f>[1]节奏总纲!O147</f>
        <v>144</v>
      </c>
      <c r="P147" s="6">
        <f>[1]节奏总纲!P147</f>
        <v>21617.817610103088</v>
      </c>
      <c r="Q147" s="6">
        <f>[1]节奏总纲!Q147</f>
        <v>18290.835479908223</v>
      </c>
      <c r="R147" s="6">
        <f>[1]节奏总纲!R147</f>
        <v>14585.541541536553</v>
      </c>
      <c r="S147" s="6">
        <f>[1]节奏总纲!S147</f>
        <v>10380.876016371503</v>
      </c>
      <c r="T147" s="6">
        <f>[1]节奏总纲!T147</f>
        <v>5547.1319987524521</v>
      </c>
      <c r="V147" s="4">
        <f>[1]节奏总纲!V147</f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f>[1]节奏总纲!BA147</f>
        <v>40.472019328110811</v>
      </c>
      <c r="BB147" s="4">
        <f>[1]节奏总纲!BB147</f>
        <v>41.992566056290244</v>
      </c>
      <c r="BC147" s="4">
        <f>[1]节奏总纲!BC147</f>
        <v>43.928898311540586</v>
      </c>
      <c r="BD147" s="4">
        <f>[1]节奏总纲!BD147</f>
        <v>46.657691286422882</v>
      </c>
      <c r="BE147" s="4">
        <f>[1]节奏总纲!BE147</f>
        <v>51.354396943029187</v>
      </c>
    </row>
    <row r="148" spans="6:57" x14ac:dyDescent="0.15">
      <c r="F148" s="4">
        <f>[1]节奏总纲!F148</f>
        <v>146</v>
      </c>
      <c r="G148" s="4">
        <f>[1]节奏总纲!G148</f>
        <v>24832.50022570635</v>
      </c>
      <c r="N148" s="4">
        <f>[1]节奏总纲!N148</f>
        <v>155</v>
      </c>
      <c r="O148" s="4">
        <f>[1]节奏总纲!O148</f>
        <v>145</v>
      </c>
      <c r="P148" s="6">
        <f>[1]节奏总纲!P148</f>
        <v>23169.475005920798</v>
      </c>
      <c r="Q148" s="6">
        <f>[1]节奏总纲!Q148</f>
        <v>19631.496172516694</v>
      </c>
      <c r="R148" s="6">
        <f>[1]节奏总纲!R148</f>
        <v>15650.9803664995</v>
      </c>
      <c r="S148" s="6">
        <f>[1]节奏总纲!S148</f>
        <v>11105.129370337838</v>
      </c>
      <c r="T148" s="6">
        <f>[1]节奏总纲!T148</f>
        <v>5926.7517065145412</v>
      </c>
      <c r="V148" s="4">
        <f>[1]节奏总纲!V148</f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f>[1]节奏总纲!BA148</f>
        <v>40.518638521010651</v>
      </c>
      <c r="BB148" s="4">
        <f>[1]节奏总纲!BB148</f>
        <v>42.036975906461073</v>
      </c>
      <c r="BC148" s="4">
        <f>[1]节奏总纲!BC148</f>
        <v>43.978827256120113</v>
      </c>
      <c r="BD148" s="4">
        <f>[1]节奏总纲!BD148</f>
        <v>46.7058513934697</v>
      </c>
      <c r="BE148" s="4">
        <f>[1]节奏总纲!BE148</f>
        <v>51.400608478866879</v>
      </c>
    </row>
    <row r="149" spans="6:57" x14ac:dyDescent="0.15">
      <c r="F149" s="4">
        <f>[1]节奏总纲!F149</f>
        <v>147</v>
      </c>
      <c r="G149" s="4">
        <f>[1]节奏总纲!G149</f>
        <v>26614.886523801088</v>
      </c>
      <c r="N149" s="4">
        <f>[1]节奏总纲!N149</f>
        <v>156</v>
      </c>
      <c r="O149" s="4">
        <f>[1]节奏总纲!O149</f>
        <v>146</v>
      </c>
      <c r="P149" s="6">
        <f>[1]节奏总纲!P149</f>
        <v>24832.50022570635</v>
      </c>
      <c r="Q149" s="6">
        <f>[1]节奏总纲!Q149</f>
        <v>21035.61094119585</v>
      </c>
      <c r="R149" s="6">
        <f>[1]节奏总纲!R149</f>
        <v>16719.722401968087</v>
      </c>
      <c r="S149" s="6">
        <f>[1]节奏总纲!S149</f>
        <v>11847.5858576845</v>
      </c>
      <c r="T149" s="6">
        <f>[1]节奏总纲!T149</f>
        <v>6324.8378074874072</v>
      </c>
      <c r="V149" s="4">
        <f>[1]节奏总纲!V149</f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f>[1]节奏总纲!BA149</f>
        <v>40.565257713910484</v>
      </c>
      <c r="BB149" s="4">
        <f>[1]节奏总纲!BB149</f>
        <v>42.080366850119908</v>
      </c>
      <c r="BC149" s="4">
        <f>[1]节奏总纲!BC149</f>
        <v>44.024818750237806</v>
      </c>
      <c r="BD149" s="4">
        <f>[1]节奏总纲!BD149</f>
        <v>46.754011500516519</v>
      </c>
      <c r="BE149" s="4">
        <f>[1]节奏总纲!BE149</f>
        <v>51.446820014704571</v>
      </c>
    </row>
    <row r="150" spans="6:57" x14ac:dyDescent="0.15">
      <c r="F150" s="4">
        <f>[1]节奏总纲!F150</f>
        <v>148</v>
      </c>
      <c r="G150" s="4">
        <f>[1]节奏总纲!G150</f>
        <v>28525.200858087381</v>
      </c>
      <c r="N150" s="4">
        <f>[1]节奏总纲!N150</f>
        <v>157</v>
      </c>
      <c r="O150" s="4">
        <f>[1]节奏总纲!O150</f>
        <v>147</v>
      </c>
      <c r="P150" s="6">
        <f>[1]节奏总纲!P150</f>
        <v>26614.886523801088</v>
      </c>
      <c r="Q150" s="6">
        <f>[1]节奏总纲!Q150</f>
        <v>22470.948692045258</v>
      </c>
      <c r="R150" s="6">
        <f>[1]节奏总纲!R150</f>
        <v>17837.296948251489</v>
      </c>
      <c r="S150" s="6">
        <f>[1]节奏总纲!S150</f>
        <v>12631.425144195997</v>
      </c>
      <c r="T150" s="6">
        <f>[1]节奏总纲!T150</f>
        <v>6754.8581997407164</v>
      </c>
      <c r="V150" s="4">
        <f>[1]节奏总纲!V150</f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f>[1]节奏总纲!BA150</f>
        <v>40.611876906810316</v>
      </c>
      <c r="BB150" s="4">
        <f>[1]节奏总纲!BB150</f>
        <v>42.123757793778736</v>
      </c>
      <c r="BC150" s="4">
        <f>[1]节奏总纲!BC150</f>
        <v>44.067911160744309</v>
      </c>
      <c r="BD150" s="4">
        <f>[1]节奏总纲!BD150</f>
        <v>46.802171607563338</v>
      </c>
      <c r="BE150" s="4">
        <f>[1]节奏总纲!BE150</f>
        <v>51.493031550542263</v>
      </c>
    </row>
    <row r="151" spans="6:57" x14ac:dyDescent="0.15">
      <c r="F151" s="4">
        <f>[1]节奏总纲!F151</f>
        <v>149</v>
      </c>
      <c r="G151" s="4">
        <f>[1]节奏总纲!G151</f>
        <v>30572.62506667812</v>
      </c>
      <c r="N151" s="4">
        <f>[1]节奏总纲!N151</f>
        <v>158</v>
      </c>
      <c r="O151" s="4">
        <f>[1]节奏总纲!O151</f>
        <v>148</v>
      </c>
      <c r="P151" s="6">
        <f>[1]节奏总纲!P151</f>
        <v>28525.200858087381</v>
      </c>
      <c r="Q151" s="6">
        <f>[1]节奏总纲!Q151</f>
        <v>24083.827084483179</v>
      </c>
      <c r="R151" s="6">
        <f>[1]节奏总纲!R151</f>
        <v>19128.999695433398</v>
      </c>
      <c r="S151" s="6">
        <f>[1]节奏总纲!S151</f>
        <v>13566.58552810636</v>
      </c>
      <c r="T151" s="6">
        <f>[1]节奏总纲!T151</f>
        <v>7242.5484978683862</v>
      </c>
      <c r="V151" s="4">
        <f>[1]节奏总纲!V151</f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f>[1]节奏总纲!BA151</f>
        <v>40.658496099710149</v>
      </c>
      <c r="BB151" s="4">
        <f>[1]节奏总纲!BB151</f>
        <v>42.167148737437564</v>
      </c>
      <c r="BC151" s="4">
        <f>[1]节奏总纲!BC151</f>
        <v>44.111003571250812</v>
      </c>
      <c r="BD151" s="4">
        <f>[1]节奏总纲!BD151</f>
        <v>46.850331714610157</v>
      </c>
      <c r="BE151" s="4">
        <f>[1]节奏总纲!BE151</f>
        <v>51.539243086379955</v>
      </c>
    </row>
    <row r="152" spans="6:57" x14ac:dyDescent="0.15">
      <c r="F152" s="4">
        <f>[1]节奏总纲!F152</f>
        <v>150</v>
      </c>
      <c r="G152" s="4">
        <f>[1]节奏总纲!G152</f>
        <v>32767</v>
      </c>
      <c r="N152" s="4">
        <f>[1]节奏总纲!N152</f>
        <v>159</v>
      </c>
      <c r="O152" s="4">
        <f>[1]节奏总纲!O152</f>
        <v>149</v>
      </c>
      <c r="P152" s="6">
        <f>[1]节奏总纲!P152</f>
        <v>30572.62506667812</v>
      </c>
      <c r="Q152" s="6">
        <f>[1]节奏总纲!Q152</f>
        <v>25818.581868809673</v>
      </c>
      <c r="R152" s="6">
        <f>[1]节奏总纲!R152</f>
        <v>20520.345944754354</v>
      </c>
      <c r="S152" s="6">
        <f>[1]节奏总纲!S152</f>
        <v>14549.512269232117</v>
      </c>
      <c r="T152" s="6">
        <f>[1]节奏总纲!T152</f>
        <v>7768.50402944291</v>
      </c>
      <c r="V152" s="4">
        <f>[1]节奏总纲!V152</f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f>[1]节奏总纲!BA152</f>
        <v>40.705115292609982</v>
      </c>
      <c r="BB152" s="4">
        <f>[1]节奏总纲!BB152</f>
        <v>42.2105396810964</v>
      </c>
      <c r="BC152" s="4">
        <f>[1]节奏总纲!BC152</f>
        <v>44.154095981757315</v>
      </c>
      <c r="BD152" s="4">
        <f>[1]节奏总纲!BD152</f>
        <v>46.898491821656968</v>
      </c>
      <c r="BE152" s="4">
        <f>[1]节奏总纲!BE152</f>
        <v>51.585454622217647</v>
      </c>
    </row>
    <row r="153" spans="6:57" x14ac:dyDescent="0.15">
      <c r="F153" s="4">
        <f>[1]节奏总纲!F153</f>
        <v>151</v>
      </c>
      <c r="G153" s="4">
        <f>[1]节奏总纲!G153</f>
        <v>35118.87282038921</v>
      </c>
      <c r="N153" s="4">
        <f>[1]节奏总纲!N153</f>
        <v>160</v>
      </c>
      <c r="O153" s="4">
        <f>[1]节奏总纲!O153</f>
        <v>150</v>
      </c>
      <c r="P153" s="6">
        <f>[1]节奏总纲!P153</f>
        <v>32767</v>
      </c>
      <c r="Q153" s="6">
        <f>[1]节奏总纲!Q153</f>
        <v>27671.731500000002</v>
      </c>
      <c r="R153" s="6">
        <f>[1]节奏总纲!R153</f>
        <v>21996.487099999998</v>
      </c>
      <c r="S153" s="6">
        <f>[1]节奏总纲!S153</f>
        <v>15603.645400000001</v>
      </c>
      <c r="T153" s="6">
        <f>[1]节奏总纲!T153</f>
        <v>8355.5850000000009</v>
      </c>
      <c r="V153" s="4">
        <f>[1]节奏总纲!V153</f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f>[1]节奏总纲!BA153</f>
        <v>40.751734485509814</v>
      </c>
      <c r="BB153" s="4">
        <f>[1]节奏总纲!BB153</f>
        <v>42.253930624755228</v>
      </c>
      <c r="BC153" s="4">
        <f>[1]节奏总纲!BC153</f>
        <v>44.197188392263818</v>
      </c>
      <c r="BD153" s="4">
        <f>[1]节奏总纲!BD153</f>
        <v>46.946651928703787</v>
      </c>
      <c r="BE153" s="4">
        <f>[1]节奏总纲!BE153</f>
        <v>51.631666158055346</v>
      </c>
    </row>
    <row r="154" spans="6:57" x14ac:dyDescent="0.15">
      <c r="F154" s="4">
        <f>[1]节奏总纲!F154</f>
        <v>152</v>
      </c>
      <c r="G154" s="4">
        <f>[1]节奏总纲!G154</f>
        <v>37639.547696542824</v>
      </c>
      <c r="N154" s="4">
        <f>[1]节奏总纲!N154</f>
        <v>161</v>
      </c>
      <c r="O154" s="4">
        <f>[1]节奏总纲!O154</f>
        <v>151</v>
      </c>
      <c r="P154" s="6">
        <f>[1]节奏总纲!P154</f>
        <v>35118.87282038921</v>
      </c>
      <c r="Q154" s="6">
        <f>[1]节奏总纲!Q154</f>
        <v>29671.935645946844</v>
      </c>
      <c r="R154" s="6">
        <f>[1]节奏总纲!R154</f>
        <v>23592.858760737468</v>
      </c>
      <c r="S154" s="6">
        <f>[1]节奏总纲!S154</f>
        <v>16804.380644556237</v>
      </c>
      <c r="T154" s="6">
        <f>[1]节奏总纲!T154</f>
        <v>9095.7880604808051</v>
      </c>
      <c r="V154" s="4">
        <f>[1]节奏总纲!V154</f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f>[1]节奏总纲!BA154</f>
        <v>40.798353678409647</v>
      </c>
      <c r="BB154" s="4">
        <f>[1]节奏总纲!BB154</f>
        <v>42.297321568414056</v>
      </c>
      <c r="BC154" s="4">
        <f>[1]节奏总纲!BC154</f>
        <v>44.240280802770329</v>
      </c>
      <c r="BD154" s="4">
        <f>[1]节奏总纲!BD154</f>
        <v>46.994812035750606</v>
      </c>
      <c r="BE154" s="4">
        <f>[1]节奏总纲!BE154</f>
        <v>51.677877693893038</v>
      </c>
    </row>
    <row r="155" spans="6:57" x14ac:dyDescent="0.15">
      <c r="F155" s="4">
        <f>[1]节奏总纲!F155</f>
        <v>153</v>
      </c>
      <c r="G155" s="4">
        <f>[1]节奏总纲!G155</f>
        <v>40341.140136486232</v>
      </c>
      <c r="N155" s="4">
        <f>[1]节奏总纲!N155</f>
        <v>162</v>
      </c>
      <c r="O155" s="4">
        <f>[1]节奏总纲!O155</f>
        <v>152</v>
      </c>
      <c r="P155" s="6">
        <f>[1]节奏总纲!P155</f>
        <v>37639.547696542824</v>
      </c>
      <c r="Q155" s="6">
        <f>[1]节奏总纲!Q155</f>
        <v>31794.125939269725</v>
      </c>
      <c r="R155" s="6">
        <f>[1]节奏总纲!R155</f>
        <v>25425.514469014677</v>
      </c>
      <c r="S155" s="6">
        <f>[1]节奏总纲!S155</f>
        <v>18255.180632823271</v>
      </c>
      <c r="T155" s="6">
        <f>[1]节奏总纲!T155</f>
        <v>14114.830386203559</v>
      </c>
      <c r="V155" s="4">
        <f>[1]节奏总纲!V155</f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f>[1]节奏总纲!BA155</f>
        <v>40.84497287130948</v>
      </c>
      <c r="BB155" s="4">
        <f>[1]节奏总纲!BB155</f>
        <v>42.340712512072891</v>
      </c>
      <c r="BC155" s="4">
        <f>[1]节奏总纲!BC155</f>
        <v>44.283373213276832</v>
      </c>
      <c r="BD155" s="4">
        <f>[1]节奏总纲!BD155</f>
        <v>47.037096473408994</v>
      </c>
      <c r="BE155" s="4">
        <f>[1]节奏总纲!BE155</f>
        <v>51.72408922973073</v>
      </c>
    </row>
    <row r="156" spans="6:57" x14ac:dyDescent="0.15">
      <c r="F156" s="4">
        <f>[1]节奏总纲!F156</f>
        <v>154</v>
      </c>
      <c r="G156" s="4">
        <f>[1]节奏总纲!G156</f>
        <v>43236.635220206183</v>
      </c>
      <c r="N156" s="4">
        <f>[1]节奏总纲!N156</f>
        <v>163</v>
      </c>
      <c r="O156" s="4">
        <f>[1]节奏总纲!O156</f>
        <v>153</v>
      </c>
      <c r="P156" s="6">
        <f>[1]节奏总纲!P156</f>
        <v>40341.140136486232</v>
      </c>
      <c r="Q156" s="6">
        <f>[1]节奏总纲!Q156</f>
        <v>34330.31025614978</v>
      </c>
      <c r="R156" s="6">
        <f>[1]节奏总纲!R156</f>
        <v>27552.998713220099</v>
      </c>
      <c r="S156" s="6">
        <f>[1]节奏总纲!S156</f>
        <v>24204.684081891737</v>
      </c>
      <c r="T156" s="6">
        <f>[1]节奏总纲!T156</f>
        <v>24204.684081891737</v>
      </c>
      <c r="V156" s="4">
        <f>[1]节奏总纲!V156</f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f>[1]节奏总纲!BA156</f>
        <v>40.891592064209313</v>
      </c>
      <c r="BB156" s="4">
        <f>[1]节奏总纲!BB156</f>
        <v>42.384103455731719</v>
      </c>
      <c r="BC156" s="4">
        <f>[1]节奏总纲!BC156</f>
        <v>44.326465623783335</v>
      </c>
      <c r="BD156" s="4">
        <f>[1]节奏总纲!BD156</f>
        <v>47.078671550054786</v>
      </c>
      <c r="BE156" s="4">
        <f>[1]节奏总纲!BE156</f>
        <v>51.770300765568422</v>
      </c>
    </row>
    <row r="157" spans="6:57" x14ac:dyDescent="0.15">
      <c r="F157" s="4">
        <f>[1]节奏总纲!F157</f>
        <v>155</v>
      </c>
      <c r="G157" s="4">
        <f>[1]节奏总纲!G157</f>
        <v>46339.950011841604</v>
      </c>
      <c r="N157" s="4">
        <f>[1]节奏总纲!N157</f>
        <v>164</v>
      </c>
      <c r="O157" s="4">
        <f>[1]节奏总纲!O157</f>
        <v>154</v>
      </c>
      <c r="P157" s="6">
        <f>[1]节奏总纲!P157</f>
        <v>43236.635220206183</v>
      </c>
      <c r="Q157" s="6">
        <f>[1]节奏总纲!Q157</f>
        <v>36967.323113276288</v>
      </c>
      <c r="R157" s="6">
        <f>[1]节奏总纲!R157</f>
        <v>33940.758647861854</v>
      </c>
      <c r="S157" s="6">
        <f>[1]节奏总纲!S157</f>
        <v>34156.941823962887</v>
      </c>
      <c r="T157" s="6">
        <f>[1]节奏总纲!T157</f>
        <v>34156.941823962887</v>
      </c>
      <c r="V157" s="4">
        <f>[1]节奏总纲!V157</f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f>[1]节奏总纲!BA157</f>
        <v>40.938211257109145</v>
      </c>
      <c r="BB157" s="4">
        <f>[1]节奏总纲!BB157</f>
        <v>42.427494399390554</v>
      </c>
      <c r="BC157" s="4">
        <f>[1]节奏总纲!BC157</f>
        <v>44.369558034289838</v>
      </c>
      <c r="BD157" s="4">
        <f>[1]节奏总纲!BD157</f>
        <v>47.12024662670057</v>
      </c>
      <c r="BE157" s="4">
        <f>[1]节奏总纲!BE157</f>
        <v>51.816512301406114</v>
      </c>
    </row>
    <row r="158" spans="6:57" x14ac:dyDescent="0.15">
      <c r="F158" s="4">
        <f>[1]节奏总纲!F158</f>
        <v>156</v>
      </c>
      <c r="G158" s="4">
        <f>[1]节奏总纲!G158</f>
        <v>49666.000451412707</v>
      </c>
      <c r="N158" s="4">
        <f>[1]节奏总纲!N158</f>
        <v>165</v>
      </c>
      <c r="O158" s="4">
        <f>[1]节奏总纲!O158</f>
        <v>155</v>
      </c>
      <c r="P158" s="6">
        <f>[1]节奏总纲!P158</f>
        <v>46339.950011841604</v>
      </c>
      <c r="Q158" s="6">
        <f>[1]节奏总纲!Q158</f>
        <v>44078.560451263736</v>
      </c>
      <c r="R158" s="6">
        <f>[1]节奏总纲!R158</f>
        <v>44402.940101346627</v>
      </c>
      <c r="S158" s="6">
        <f>[1]节奏总纲!S158</f>
        <v>44402.940101346627</v>
      </c>
      <c r="T158" s="6">
        <f>[1]节奏总纲!T158</f>
        <v>44541.959951382152</v>
      </c>
      <c r="V158" s="4">
        <f>[1]节奏总纲!V158</f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f>[1]节奏总纲!BA158</f>
        <v>40.984830450008985</v>
      </c>
      <c r="BB158" s="4">
        <f>[1]节奏总纲!BB158</f>
        <v>42.470885343049382</v>
      </c>
      <c r="BC158" s="4">
        <f>[1]节奏总纲!BC158</f>
        <v>44.412650444796341</v>
      </c>
      <c r="BD158" s="4">
        <f>[1]节奏总纲!BD158</f>
        <v>47.161821703346362</v>
      </c>
      <c r="BE158" s="4">
        <f>[1]节奏总纲!BE158</f>
        <v>51.862723837243806</v>
      </c>
    </row>
    <row r="159" spans="6:57" x14ac:dyDescent="0.15">
      <c r="F159" s="4">
        <f>[1]节奏总纲!F159</f>
        <v>157</v>
      </c>
      <c r="G159" s="4">
        <f>[1]节奏总纲!G159</f>
        <v>53230.773047602182</v>
      </c>
      <c r="N159" s="4">
        <f>[1]节奏总纲!N159</f>
        <v>166</v>
      </c>
      <c r="O159" s="4">
        <f>[1]节奏总纲!O159</f>
        <v>156</v>
      </c>
      <c r="P159" s="6">
        <f>[1]节奏总纲!P159</f>
        <v>49666.000451412707</v>
      </c>
      <c r="Q159" s="6">
        <f>[1]节奏总纲!Q159</f>
        <v>49666.000451412707</v>
      </c>
      <c r="R159" s="6">
        <f>[1]节奏总纲!R159</f>
        <v>50162.660455926831</v>
      </c>
      <c r="S159" s="6">
        <f>[1]节奏总纲!S159</f>
        <v>50162.660455926831</v>
      </c>
      <c r="T159" s="6">
        <f>[1]节奏总纲!T159</f>
        <v>50311.658457281068</v>
      </c>
      <c r="V159" s="4">
        <f>[1]节奏总纲!V159</f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f>[1]节奏总纲!BA159</f>
        <v>41.027136894088379</v>
      </c>
      <c r="BB159" s="4">
        <f>[1]节奏总纲!BB159</f>
        <v>42.51427628670821</v>
      </c>
      <c r="BC159" s="4">
        <f>[1]节奏总纲!BC159</f>
        <v>44.455742855302844</v>
      </c>
      <c r="BD159" s="4">
        <f>[1]节奏总纲!BD159</f>
        <v>47.203396779992147</v>
      </c>
      <c r="BE159" s="4">
        <f>[1]节奏总纲!BE159</f>
        <v>51.908935373081505</v>
      </c>
    </row>
    <row r="160" spans="6:57" x14ac:dyDescent="0.15">
      <c r="F160" s="4">
        <f>[1]节奏总纲!F160</f>
        <v>158</v>
      </c>
      <c r="G160" s="4">
        <f>[1]节奏总纲!G160</f>
        <v>57051.401716174769</v>
      </c>
      <c r="N160" s="4">
        <f>[1]节奏总纲!N160</f>
        <v>167</v>
      </c>
      <c r="O160" s="4">
        <f>[1]节奏总纲!O160</f>
        <v>157</v>
      </c>
      <c r="P160" s="6">
        <f>[1]节奏总纲!P160</f>
        <v>53230.773047602182</v>
      </c>
      <c r="Q160" s="6">
        <f>[1]节奏总纲!Q160</f>
        <v>53230.773047602182</v>
      </c>
      <c r="R160" s="6">
        <f>[1]节奏总纲!R160</f>
        <v>53763.080778078205</v>
      </c>
      <c r="S160" s="6">
        <f>[1]节奏总纲!S160</f>
        <v>53763.080778078205</v>
      </c>
      <c r="T160" s="6">
        <f>[1]节奏总纲!T160</f>
        <v>53763.080778078205</v>
      </c>
      <c r="V160" s="4">
        <f>[1]节奏总纲!V160</f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f>[1]节奏总纲!BA160</f>
        <v>41.067363109180121</v>
      </c>
      <c r="BB160" s="4">
        <f>[1]节奏总纲!BB160</f>
        <v>42.557667230367045</v>
      </c>
      <c r="BC160" s="4">
        <f>[1]节奏总纲!BC160</f>
        <v>44.498835265809355</v>
      </c>
      <c r="BD160" s="4">
        <f>[1]节奏总纲!BD160</f>
        <v>47.244971856637939</v>
      </c>
      <c r="BE160" s="4">
        <f>[1]节奏总纲!BE160</f>
        <v>51.955146908919197</v>
      </c>
    </row>
    <row r="161" spans="6:57" x14ac:dyDescent="0.15">
      <c r="F161" s="4">
        <f>[1]节奏总纲!F161</f>
        <v>159</v>
      </c>
      <c r="G161" s="4">
        <f>[1]节奏总纲!G161</f>
        <v>61146.25013335624</v>
      </c>
      <c r="N161" s="4">
        <f>[1]节奏总纲!N161</f>
        <v>168</v>
      </c>
      <c r="O161" s="4">
        <f>[1]节奏总纲!O161</f>
        <v>158</v>
      </c>
      <c r="P161" s="6">
        <f>[1]节奏总纲!P161</f>
        <v>57051.401716174769</v>
      </c>
      <c r="Q161" s="6">
        <f>[1]节奏总纲!Q161</f>
        <v>57051.401716174769</v>
      </c>
      <c r="R161" s="6">
        <f>[1]节奏总纲!R161</f>
        <v>57621.915733336515</v>
      </c>
      <c r="S161" s="6">
        <f>[1]节奏总纲!S161</f>
        <v>57621.915733336515</v>
      </c>
      <c r="T161" s="6">
        <f>[1]节奏总纲!T161</f>
        <v>57621.915733336515</v>
      </c>
      <c r="V161" s="4">
        <f>[1]节奏总纲!V161</f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f>[1]节奏总纲!BA161</f>
        <v>41.107589324271871</v>
      </c>
      <c r="BB161" s="4">
        <f>[1]节奏总纲!BB161</f>
        <v>42.601058174025873</v>
      </c>
      <c r="BC161" s="4">
        <f>[1]节奏总纲!BC161</f>
        <v>44.541927676315858</v>
      </c>
      <c r="BD161" s="4">
        <f>[1]节奏总纲!BD161</f>
        <v>47.286546933283724</v>
      </c>
      <c r="BE161" s="4">
        <f>[1]节奏总纲!BE161</f>
        <v>52.001173105835825</v>
      </c>
    </row>
    <row r="162" spans="6:57" x14ac:dyDescent="0.15">
      <c r="F162" s="4">
        <f>[1]节奏总纲!F162</f>
        <v>160</v>
      </c>
      <c r="G162" s="4">
        <f>[1]节奏总纲!G162</f>
        <v>65535</v>
      </c>
      <c r="N162" s="4">
        <f>[1]节奏总纲!N162</f>
        <v>169</v>
      </c>
      <c r="O162" s="4">
        <f>[1]节奏总纲!O162</f>
        <v>159</v>
      </c>
      <c r="P162" s="6">
        <f>[1]节奏总纲!P162</f>
        <v>61146.25013335624</v>
      </c>
      <c r="Q162" s="6">
        <f>[1]节奏总纲!Q162</f>
        <v>61146.25013335624</v>
      </c>
      <c r="R162" s="6">
        <f>[1]节奏总纲!R162</f>
        <v>61757.7126346898</v>
      </c>
      <c r="S162" s="6">
        <f>[1]节奏总纲!S162</f>
        <v>61757.7126346898</v>
      </c>
      <c r="T162" s="6">
        <f>[1]节奏总纲!T162</f>
        <v>61757.7126346898</v>
      </c>
      <c r="V162" s="4">
        <f>[1]节奏总纲!V162</f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f>[1]节奏总纲!BA162</f>
        <v>41.147815539363613</v>
      </c>
      <c r="BB162" s="4">
        <f>[1]节奏总纲!BB162</f>
        <v>42.644449117684701</v>
      </c>
      <c r="BC162" s="4">
        <f>[1]节奏总纲!BC162</f>
        <v>44.585020086822361</v>
      </c>
      <c r="BD162" s="4">
        <f>[1]节奏总纲!BD162</f>
        <v>47.328122009929508</v>
      </c>
      <c r="BE162" s="4">
        <f>[1]节奏总纲!BE162</f>
        <v>52.041079787427918</v>
      </c>
    </row>
    <row r="163" spans="6:57" x14ac:dyDescent="0.15">
      <c r="N163" s="4">
        <f>[1]节奏总纲!N163</f>
        <v>170</v>
      </c>
      <c r="O163" s="4">
        <f>[1]节奏总纲!O163</f>
        <v>160</v>
      </c>
      <c r="P163" s="6">
        <f>[1]节奏总纲!P163</f>
        <v>65535</v>
      </c>
      <c r="Q163" s="6">
        <f>[1]节奏总纲!Q163</f>
        <v>65535</v>
      </c>
      <c r="R163" s="6">
        <f>[1]节奏总纲!R163</f>
        <v>66190.350000000006</v>
      </c>
      <c r="S163" s="6">
        <f>[1]节奏总纲!S163</f>
        <v>66190.350000000006</v>
      </c>
      <c r="T163" s="6">
        <f>[1]节奏总纲!T163</f>
        <v>66190.350000000006</v>
      </c>
      <c r="V163" s="4">
        <f>[1]节奏总纲!V163</f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f>[1]节奏总纲!BA163</f>
        <v>41.188041754455355</v>
      </c>
      <c r="BB163" s="4">
        <f>[1]节奏总纲!BB163</f>
        <v>42.687840061343536</v>
      </c>
      <c r="BC163" s="4">
        <f>[1]节奏总纲!BC163</f>
        <v>44.628112497328864</v>
      </c>
      <c r="BD163" s="4">
        <f>[1]节奏总纲!BD163</f>
        <v>47.3696970865753</v>
      </c>
      <c r="BE163" s="4">
        <f>[1]节奏总纲!BE163</f>
        <v>52.080986469020011</v>
      </c>
    </row>
    <row r="164" spans="6:57" x14ac:dyDescent="0.15">
      <c r="AC164" s="4"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f>[1]节奏总纲!BA164</f>
        <v>41.228267969547105</v>
      </c>
      <c r="BB164" s="4">
        <f>[1]节奏总纲!BB164</f>
        <v>42.731231005002364</v>
      </c>
      <c r="BC164" s="4">
        <f>[1]节奏总纲!BC164</f>
        <v>44.671204907835367</v>
      </c>
      <c r="BD164" s="4">
        <f>[1]节奏总纲!BD164</f>
        <v>47.411272163221085</v>
      </c>
      <c r="BE164" s="4">
        <f>[1]节奏总纲!BE164</f>
        <v>52.120893150612112</v>
      </c>
    </row>
    <row r="165" spans="6:57" x14ac:dyDescent="0.15">
      <c r="AC165" s="4"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f>[1]节奏总纲!BA165</f>
        <v>41.268494184638847</v>
      </c>
      <c r="BB165" s="4">
        <f>[1]节奏总纲!BB165</f>
        <v>42.774621948661192</v>
      </c>
      <c r="BC165" s="4">
        <f>[1]节奏总纲!BC165</f>
        <v>44.714297318341877</v>
      </c>
      <c r="BD165" s="4">
        <f>[1]节奏总纲!BD165</f>
        <v>47.452847239866877</v>
      </c>
      <c r="BE165" s="4">
        <f>[1]节奏总纲!BE165</f>
        <v>52.160799832204205</v>
      </c>
    </row>
    <row r="166" spans="6:57" x14ac:dyDescent="0.15">
      <c r="AC166" s="4"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f>[1]节奏总纲!BA166</f>
        <v>41.308720399730589</v>
      </c>
      <c r="BB166" s="4">
        <f>[1]节奏总纲!BB166</f>
        <v>42.818012892320027</v>
      </c>
      <c r="BC166" s="4">
        <f>[1]节奏总纲!BC166</f>
        <v>44.757389728848381</v>
      </c>
      <c r="BD166" s="4">
        <f>[1]节奏总纲!BD166</f>
        <v>47.494422316512662</v>
      </c>
      <c r="BE166" s="4">
        <f>[1]节奏总纲!BE166</f>
        <v>52.200706513796298</v>
      </c>
    </row>
    <row r="167" spans="6:57" x14ac:dyDescent="0.15">
      <c r="AC167" s="4"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f>[1]节奏总纲!BA167</f>
        <v>41.348946614822331</v>
      </c>
      <c r="BB167" s="4">
        <f>[1]节奏总纲!BB167</f>
        <v>42.861403835978855</v>
      </c>
      <c r="BC167" s="4">
        <f>[1]节奏总纲!BC167</f>
        <v>44.800482139354884</v>
      </c>
      <c r="BD167" s="4">
        <f>[1]节奏总纲!BD167</f>
        <v>47.535997393158453</v>
      </c>
      <c r="BE167" s="4">
        <f>[1]节奏总纲!BE167</f>
        <v>52.240613195388391</v>
      </c>
    </row>
    <row r="168" spans="6:57" x14ac:dyDescent="0.15">
      <c r="AC168" s="4"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f>[1]节奏总纲!BA168</f>
        <v>41.389172829914081</v>
      </c>
      <c r="BB168" s="4">
        <f>[1]节奏总纲!BB168</f>
        <v>42.904794779637683</v>
      </c>
      <c r="BC168" s="4">
        <f>[1]节奏总纲!BC168</f>
        <v>44.843574549861387</v>
      </c>
      <c r="BD168" s="4">
        <f>[1]节奏总纲!BD168</f>
        <v>47.577572469804238</v>
      </c>
      <c r="BE168" s="4">
        <f>[1]节奏总纲!BE168</f>
        <v>52.280519876980485</v>
      </c>
    </row>
    <row r="169" spans="6:57" x14ac:dyDescent="0.15">
      <c r="AC169" s="4"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f>[1]节奏总纲!BA169</f>
        <v>41.429399045005823</v>
      </c>
      <c r="BB169" s="4">
        <f>[1]节奏总纲!BB169</f>
        <v>42.948185723296518</v>
      </c>
      <c r="BC169" s="4">
        <f>[1]节奏总纲!BC169</f>
        <v>44.88666696036789</v>
      </c>
      <c r="BD169" s="4">
        <f>[1]节奏总纲!BD169</f>
        <v>47.619147546450023</v>
      </c>
      <c r="BE169" s="4">
        <f>[1]节奏总纲!BE169</f>
        <v>52.320426558572585</v>
      </c>
    </row>
    <row r="170" spans="6:57" x14ac:dyDescent="0.15">
      <c r="AC170" s="4"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f>[1]节奏总纲!BA170</f>
        <v>41.469625260097565</v>
      </c>
      <c r="BB170" s="4">
        <f>[1]节奏总纲!BB170</f>
        <v>42.991576666955346</v>
      </c>
      <c r="BC170" s="4">
        <f>[1]节奏总纲!BC170</f>
        <v>44.9297593708744</v>
      </c>
      <c r="BD170" s="4">
        <f>[1]节奏总纲!BD170</f>
        <v>47.660722623095815</v>
      </c>
      <c r="BE170" s="4">
        <f>[1]节奏总纲!BE170</f>
        <v>52.360333240164678</v>
      </c>
    </row>
    <row r="171" spans="6:57" x14ac:dyDescent="0.15">
      <c r="AC171" s="4"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f>[1]节奏总纲!BA171</f>
        <v>41.509851475189308</v>
      </c>
      <c r="BB171" s="4">
        <f>[1]节奏总纲!BB171</f>
        <v>43.030177309109042</v>
      </c>
      <c r="BC171" s="4">
        <f>[1]节奏总纲!BC171</f>
        <v>44.972851781380903</v>
      </c>
      <c r="BD171" s="4">
        <f>[1]节奏总纲!BD171</f>
        <v>47.7022976997416</v>
      </c>
      <c r="BE171" s="4">
        <f>[1]节奏总纲!BE171</f>
        <v>52.400239921756771</v>
      </c>
    </row>
    <row r="172" spans="6:57" x14ac:dyDescent="0.15">
      <c r="AC172" s="4"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f>[1]节奏总纲!BA172</f>
        <v>41.550077690281057</v>
      </c>
      <c r="BB172" s="4">
        <f>[1]节奏总纲!BB172</f>
        <v>43.067624017543686</v>
      </c>
      <c r="BC172" s="4">
        <f>[1]节奏总纲!BC172</f>
        <v>45.013762077986961</v>
      </c>
      <c r="BD172" s="4">
        <f>[1]节奏总纲!BD172</f>
        <v>47.743872776387391</v>
      </c>
      <c r="BE172" s="4">
        <f>[1]节奏总纲!BE172</f>
        <v>52.440146603348865</v>
      </c>
    </row>
    <row r="173" spans="6:57" x14ac:dyDescent="0.15">
      <c r="AC173" s="4"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f>[1]节奏总纲!BA173</f>
        <v>41.590303905372799</v>
      </c>
      <c r="BB173" s="4">
        <f>[1]节奏总纲!BB173</f>
        <v>43.105070725978337</v>
      </c>
      <c r="BC173" s="4">
        <f>[1]节奏总纲!BC173</f>
        <v>45.050956883357138</v>
      </c>
      <c r="BD173" s="4">
        <f>[1]节奏总纲!BD173</f>
        <v>47.785447853033176</v>
      </c>
      <c r="BE173" s="4">
        <f>[1]节奏总纲!BE173</f>
        <v>52.480053284940965</v>
      </c>
    </row>
    <row r="174" spans="6:57" x14ac:dyDescent="0.15">
      <c r="AC174" s="4"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f>[1]节奏总纲!BA174</f>
        <v>41.630530120464542</v>
      </c>
      <c r="BB174" s="4">
        <f>[1]节奏总纲!BB174</f>
        <v>43.14251743441298</v>
      </c>
      <c r="BC174" s="4">
        <f>[1]节奏总纲!BC174</f>
        <v>45.088151688727308</v>
      </c>
      <c r="BD174" s="4">
        <f>[1]节奏总纲!BD174</f>
        <v>47.827022929678968</v>
      </c>
      <c r="BE174" s="4">
        <f>[1]节奏总纲!BE174</f>
        <v>52.519959966533058</v>
      </c>
    </row>
    <row r="175" spans="6:57" x14ac:dyDescent="0.15">
      <c r="AC175" s="4"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f>[1]节奏总纲!BA175</f>
        <v>41.670756335556291</v>
      </c>
      <c r="BB175" s="4">
        <f>[1]节奏总纲!BB175</f>
        <v>43.179964142847631</v>
      </c>
      <c r="BC175" s="4">
        <f>[1]节奏总纲!BC175</f>
        <v>45.125346494097485</v>
      </c>
      <c r="BD175" s="4">
        <f>[1]节奏总纲!BD175</f>
        <v>47.868598006324753</v>
      </c>
      <c r="BE175" s="4">
        <f>[1]节奏总纲!BE175</f>
        <v>52.559866648125151</v>
      </c>
    </row>
    <row r="176" spans="6:57" x14ac:dyDescent="0.15">
      <c r="AC176" s="4"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f>[1]节奏总纲!BA176</f>
        <v>41.710982550648033</v>
      </c>
      <c r="BB176" s="4">
        <f>[1]节奏总纲!BB176</f>
        <v>43.217410851282274</v>
      </c>
      <c r="BC176" s="4">
        <f>[1]节奏总纲!BC176</f>
        <v>45.162541299467655</v>
      </c>
      <c r="BD176" s="4">
        <f>[1]节奏总纲!BD176</f>
        <v>47.910173082970537</v>
      </c>
      <c r="BE176" s="4">
        <f>[1]节奏总纲!BE176</f>
        <v>52.599773329717245</v>
      </c>
    </row>
    <row r="177" spans="29:57" x14ac:dyDescent="0.15">
      <c r="AC177" s="4"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f>[1]节奏总纲!BA177</f>
        <v>41.751208765739776</v>
      </c>
      <c r="BB177" s="4">
        <f>[1]节奏总纲!BB177</f>
        <v>43.254857559716925</v>
      </c>
      <c r="BC177" s="4">
        <f>[1]节奏总纲!BC177</f>
        <v>45.199736104837832</v>
      </c>
      <c r="BD177" s="4">
        <f>[1]节奏总纲!BD177</f>
        <v>47.951748159616329</v>
      </c>
      <c r="BE177" s="4">
        <f>[1]节奏总纲!BE177</f>
        <v>52.639680011309345</v>
      </c>
    </row>
    <row r="178" spans="29:57" x14ac:dyDescent="0.15">
      <c r="AC178" s="4"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f>[1]节奏总纲!BA178</f>
        <v>41.791434980831518</v>
      </c>
      <c r="BB178" s="4">
        <f>[1]节奏总纲!BB178</f>
        <v>43.292304268151575</v>
      </c>
      <c r="BC178" s="4">
        <f>[1]节奏总纲!BC178</f>
        <v>45.236930910208002</v>
      </c>
      <c r="BD178" s="4">
        <f>[1]节奏总纲!BD178</f>
        <v>47.993323236262114</v>
      </c>
      <c r="BE178" s="4">
        <f>[1]节奏总纲!BE178</f>
        <v>52.679586692901438</v>
      </c>
    </row>
    <row r="179" spans="29:57" x14ac:dyDescent="0.15">
      <c r="AC179" s="4"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f>[1]节奏总纲!BA179</f>
        <v>41.831661195923267</v>
      </c>
      <c r="BB179" s="4">
        <f>[1]节奏总纲!BB179</f>
        <v>43.329750976586219</v>
      </c>
      <c r="BC179" s="4">
        <f>[1]节奏总纲!BC179</f>
        <v>45.274125715578172</v>
      </c>
      <c r="BD179" s="4">
        <f>[1]节奏总纲!BD179</f>
        <v>48.030128751164234</v>
      </c>
      <c r="BE179" s="4">
        <f>[1]节奏总纲!BE179</f>
        <v>52.719493374493531</v>
      </c>
    </row>
    <row r="180" spans="29:57" x14ac:dyDescent="0.15">
      <c r="AC180" s="4"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f>[1]节奏总纲!BA180</f>
        <v>41.87188741101501</v>
      </c>
      <c r="BB180" s="4">
        <f>[1]节奏总纲!BB180</f>
        <v>43.367197685020869</v>
      </c>
      <c r="BC180" s="4">
        <f>[1]节奏总纲!BC180</f>
        <v>45.31132052094835</v>
      </c>
      <c r="BD180" s="4">
        <f>[1]节奏总纲!BD180</f>
        <v>48.066021750983474</v>
      </c>
      <c r="BE180" s="4">
        <f>[1]节奏总纲!BE180</f>
        <v>52.759400056085624</v>
      </c>
    </row>
    <row r="181" spans="29:57" x14ac:dyDescent="0.15">
      <c r="AC181" s="4"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f>[1]节奏总纲!BA181</f>
        <v>41.912113626106752</v>
      </c>
      <c r="BB181" s="4">
        <f>[1]节奏总纲!BB181</f>
        <v>43.404644393455513</v>
      </c>
      <c r="BC181" s="4">
        <f>[1]节奏总纲!BC181</f>
        <v>45.34851532631852</v>
      </c>
      <c r="BD181" s="4">
        <f>[1]节奏总纲!BD181</f>
        <v>48.101914750802706</v>
      </c>
      <c r="BE181" s="4">
        <f>[1]节奏总纲!BE181</f>
        <v>52.799306737677718</v>
      </c>
    </row>
    <row r="182" spans="29:57" x14ac:dyDescent="0.15">
      <c r="AC182" s="4"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f>[1]节奏总纲!BA182</f>
        <v>41.952339841198494</v>
      </c>
      <c r="BB182" s="4">
        <f>[1]节奏总纲!BB182</f>
        <v>43.442091101890163</v>
      </c>
      <c r="BC182" s="4">
        <f>[1]节奏总纲!BC182</f>
        <v>45.385710131688697</v>
      </c>
      <c r="BD182" s="4">
        <f>[1]节奏总纲!BD182</f>
        <v>48.137807750621946</v>
      </c>
      <c r="BE182" s="4">
        <f>[1]节奏总纲!BE182</f>
        <v>52.839213419269818</v>
      </c>
    </row>
    <row r="183" spans="29:57" x14ac:dyDescent="0.15">
      <c r="AC183" s="4"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f>[1]节奏总纲!BA183</f>
        <v>41.992566056290244</v>
      </c>
      <c r="BB183" s="4">
        <f>[1]节奏总纲!BB183</f>
        <v>43.479537810324807</v>
      </c>
      <c r="BC183" s="4">
        <f>[1]节奏总纲!BC183</f>
        <v>45.422904937058867</v>
      </c>
      <c r="BD183" s="4">
        <f>[1]节奏总纲!BD183</f>
        <v>48.173700750441178</v>
      </c>
      <c r="BE183" s="4">
        <f>[1]节奏总纲!BE183</f>
        <v>52.879120100861911</v>
      </c>
    </row>
    <row r="184" spans="29:57" x14ac:dyDescent="0.15">
      <c r="AC184" s="4"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f>[1]节奏总纲!BA184</f>
        <v>42.028297717729309</v>
      </c>
      <c r="BB184" s="4">
        <f>[1]节奏总纲!BB184</f>
        <v>43.516984518759458</v>
      </c>
      <c r="BC184" s="4">
        <f>[1]节奏总纲!BC184</f>
        <v>45.460099742429037</v>
      </c>
      <c r="BD184" s="4">
        <f>[1]节奏总纲!BD184</f>
        <v>48.209593750260417</v>
      </c>
      <c r="BE184" s="4">
        <f>[1]节奏总纲!BE184</f>
        <v>52.919026782454004</v>
      </c>
    </row>
    <row r="185" spans="29:57" x14ac:dyDescent="0.15">
      <c r="AC185" s="4"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f>[1]节奏总纲!BA185</f>
        <v>42.063010472656373</v>
      </c>
      <c r="BB185" s="4">
        <f>[1]节奏总纲!BB185</f>
        <v>43.554431227194108</v>
      </c>
      <c r="BC185" s="4">
        <f>[1]节奏总纲!BC185</f>
        <v>45.497294547799214</v>
      </c>
      <c r="BD185" s="4">
        <f>[1]节奏总纲!BD185</f>
        <v>48.24548675007965</v>
      </c>
      <c r="BE185" s="4">
        <f>[1]节奏总纲!BE185</f>
        <v>52.958933464046098</v>
      </c>
    </row>
    <row r="186" spans="29:57" x14ac:dyDescent="0.15">
      <c r="AC186" s="4"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f>[1]节奏总纲!BA186</f>
        <v>42.097723227583437</v>
      </c>
      <c r="BB186" s="4">
        <f>[1]节奏总纲!BB186</f>
        <v>43.591877935628752</v>
      </c>
      <c r="BC186" s="4">
        <f>[1]节奏总纲!BC186</f>
        <v>45.534489353169384</v>
      </c>
      <c r="BD186" s="4">
        <f>[1]节奏总纲!BD186</f>
        <v>48.281379749898889</v>
      </c>
      <c r="BE186" s="4">
        <f>[1]节奏总纲!BE186</f>
        <v>52.998840145638198</v>
      </c>
    </row>
    <row r="187" spans="29:57" x14ac:dyDescent="0.15">
      <c r="AC187" s="4"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f>[1]节奏总纲!BA187</f>
        <v>42.132435982510501</v>
      </c>
      <c r="BB187" s="4">
        <f>[1]节奏总纲!BB187</f>
        <v>43.629324644063402</v>
      </c>
      <c r="BC187" s="4">
        <f>[1]节奏总纲!BC187</f>
        <v>45.571684158539561</v>
      </c>
      <c r="BD187" s="4">
        <f>[1]节奏总纲!BD187</f>
        <v>48.317272749718121</v>
      </c>
      <c r="BE187" s="4">
        <f>[1]节奏总纲!BE187</f>
        <v>53.033462597729766</v>
      </c>
    </row>
    <row r="188" spans="29:57" x14ac:dyDescent="0.15">
      <c r="AC188" s="4"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f>[1]节奏总纲!BA188</f>
        <v>42.167148737437564</v>
      </c>
      <c r="BB188" s="4">
        <f>[1]节奏总纲!BB188</f>
        <v>43.666771352498046</v>
      </c>
      <c r="BC188" s="4">
        <f>[1]节奏总纲!BC188</f>
        <v>45.608878963909731</v>
      </c>
      <c r="BD188" s="4">
        <f>[1]节奏总纲!BD188</f>
        <v>48.353165749537354</v>
      </c>
      <c r="BE188" s="4">
        <f>[1]节奏总纲!BE188</f>
        <v>53.067926870763252</v>
      </c>
    </row>
    <row r="189" spans="29:57" x14ac:dyDescent="0.15">
      <c r="AC189" s="4"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f>[1]节奏总纲!BA189</f>
        <v>42.201861492364635</v>
      </c>
      <c r="BB189" s="4">
        <f>[1]节奏总纲!BB189</f>
        <v>43.704218060932696</v>
      </c>
      <c r="BC189" s="4">
        <f>[1]节奏总纲!BC189</f>
        <v>45.646073769279901</v>
      </c>
      <c r="BD189" s="4">
        <f>[1]节奏总纲!BD189</f>
        <v>48.389058749356593</v>
      </c>
      <c r="BE189" s="4">
        <f>[1]节奏总纲!BE189</f>
        <v>53.102391143796744</v>
      </c>
    </row>
    <row r="190" spans="29:57" x14ac:dyDescent="0.15">
      <c r="AC190" s="4"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f>[1]节奏总纲!BA190</f>
        <v>42.236574247291699</v>
      </c>
      <c r="BB190" s="4">
        <f>[1]节奏总纲!BB190</f>
        <v>43.741664769367347</v>
      </c>
      <c r="BC190" s="4">
        <f>[1]节奏总纲!BC190</f>
        <v>45.683268574650079</v>
      </c>
      <c r="BD190" s="4">
        <f>[1]节奏总纲!BD190</f>
        <v>48.424951749175825</v>
      </c>
      <c r="BE190" s="4">
        <f>[1]节奏总纲!BE190</f>
        <v>53.13685541683023</v>
      </c>
    </row>
    <row r="191" spans="29:57" x14ac:dyDescent="0.15">
      <c r="AC191" s="4"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f>[1]节奏总纲!BA191</f>
        <v>42.271287002218763</v>
      </c>
      <c r="BB191" s="4">
        <f>[1]节奏总纲!BB191</f>
        <v>43.77911147780199</v>
      </c>
      <c r="BC191" s="4">
        <f>[1]节奏总纲!BC191</f>
        <v>45.720463380020249</v>
      </c>
      <c r="BD191" s="4">
        <f>[1]节奏总纲!BD191</f>
        <v>48.460844748995065</v>
      </c>
      <c r="BE191" s="4">
        <f>[1]节奏总纲!BE191</f>
        <v>53.171319689863722</v>
      </c>
    </row>
    <row r="192" spans="29:57" x14ac:dyDescent="0.15">
      <c r="AC192" s="4"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f>[1]节奏总纲!BA192</f>
        <v>42.305999757145827</v>
      </c>
      <c r="BB192" s="4">
        <f>[1]节奏总纲!BB192</f>
        <v>43.816558186236641</v>
      </c>
      <c r="BC192" s="4">
        <f>[1]节奏总纲!BC192</f>
        <v>45.757658185390426</v>
      </c>
      <c r="BD192" s="4">
        <f>[1]节奏总纲!BD192</f>
        <v>48.496737748814297</v>
      </c>
      <c r="BE192" s="4">
        <f>[1]节奏总纲!BE192</f>
        <v>53.205783962897208</v>
      </c>
    </row>
    <row r="193" spans="29:57" x14ac:dyDescent="0.15">
      <c r="AC193" s="4"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f>[1]节奏总纲!BA193</f>
        <v>42.340712512072891</v>
      </c>
      <c r="BB193" s="4">
        <f>[1]节奏总纲!BB193</f>
        <v>43.854004894671284</v>
      </c>
      <c r="BC193" s="4">
        <f>[1]节奏总纲!BC193</f>
        <v>45.794852990760596</v>
      </c>
      <c r="BD193" s="4">
        <f>[1]节奏总纲!BD193</f>
        <v>48.532630748633537</v>
      </c>
      <c r="BE193" s="4">
        <f>[1]节奏总纲!BE193</f>
        <v>53.240248235930693</v>
      </c>
    </row>
    <row r="194" spans="29:57" x14ac:dyDescent="0.15">
      <c r="AC194" s="4"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f>[1]节奏总纲!BA194</f>
        <v>42.375425266999954</v>
      </c>
      <c r="BB194" s="4">
        <f>[1]节奏总纲!BB194</f>
        <v>43.891451603105935</v>
      </c>
      <c r="BC194" s="4">
        <f>[1]节奏总纲!BC194</f>
        <v>45.832047796130773</v>
      </c>
      <c r="BD194" s="4">
        <f>[1]节奏总纲!BD194</f>
        <v>48.568523748452769</v>
      </c>
      <c r="BE194" s="4">
        <f>[1]节奏总纲!BE194</f>
        <v>53.274712508964186</v>
      </c>
    </row>
    <row r="195" spans="29:57" x14ac:dyDescent="0.15">
      <c r="AC195" s="4"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f>[1]节奏总纲!BA195</f>
        <v>42.410138021927018</v>
      </c>
      <c r="BB195" s="4">
        <f>[1]节奏总纲!BB195</f>
        <v>43.928898311540578</v>
      </c>
      <c r="BC195" s="4">
        <f>[1]节奏总纲!BC195</f>
        <v>45.869242601500943</v>
      </c>
      <c r="BD195" s="4">
        <f>[1]节奏总纲!BD195</f>
        <v>48.604416748272008</v>
      </c>
      <c r="BE195" s="4">
        <f>[1]节奏总纲!BE195</f>
        <v>53.309176781997671</v>
      </c>
    </row>
    <row r="196" spans="29:57" x14ac:dyDescent="0.15">
      <c r="AC196" s="4"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f>[1]节奏总纲!BA196</f>
        <v>42.444850776854082</v>
      </c>
      <c r="BB196" s="4">
        <f>[1]节奏总纲!BB196</f>
        <v>43.966345019975229</v>
      </c>
      <c r="BC196" s="4">
        <f>[1]节奏总纲!BC196</f>
        <v>45.906437406871113</v>
      </c>
      <c r="BD196" s="4">
        <f>[1]节奏总纲!BD196</f>
        <v>48.640309748091241</v>
      </c>
      <c r="BE196" s="4">
        <f>[1]节奏总纲!BE196</f>
        <v>53.343641055031163</v>
      </c>
    </row>
    <row r="197" spans="29:57" x14ac:dyDescent="0.15">
      <c r="AC197" s="4"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f>[1]节奏总纲!BA197</f>
        <v>42.479563531781146</v>
      </c>
      <c r="BB197" s="4">
        <f>[1]节奏总纲!BB197</f>
        <v>44.003272544984547</v>
      </c>
      <c r="BC197" s="4">
        <f>[1]节奏总纲!BC197</f>
        <v>45.94363221224129</v>
      </c>
      <c r="BD197" s="4">
        <f>[1]节奏总纲!BD197</f>
        <v>48.67620274791048</v>
      </c>
      <c r="BE197" s="4">
        <f>[1]节奏总纲!BE197</f>
        <v>53.378105328064649</v>
      </c>
    </row>
    <row r="198" spans="29:57" x14ac:dyDescent="0.15">
      <c r="AC198" s="4"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f>[1]节奏总纲!BA198</f>
        <v>42.51427628670821</v>
      </c>
      <c r="BB198" s="4">
        <f>[1]节奏总纲!BB198</f>
        <v>44.035591852864428</v>
      </c>
      <c r="BC198" s="4">
        <f>[1]节奏总纲!BC198</f>
        <v>45.98082701761146</v>
      </c>
      <c r="BD198" s="4">
        <f>[1]节奏总纲!BD198</f>
        <v>48.712095747729713</v>
      </c>
      <c r="BE198" s="4">
        <f>[1]节奏总纲!BE198</f>
        <v>53.412569601098134</v>
      </c>
    </row>
    <row r="199" spans="29:57" x14ac:dyDescent="0.15">
      <c r="AC199" s="4"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f>[1]节奏总纲!BA199</f>
        <v>42.548989041635274</v>
      </c>
      <c r="BB199" s="4">
        <f>[1]节奏总纲!BB199</f>
        <v>44.067911160744309</v>
      </c>
      <c r="BC199" s="4">
        <f>[1]节奏总纲!BC199</f>
        <v>46.01555652579863</v>
      </c>
      <c r="BD199" s="4">
        <f>[1]节奏总纲!BD199</f>
        <v>48.747988747548945</v>
      </c>
      <c r="BE199" s="4">
        <f>[1]节奏总纲!BE199</f>
        <v>53.447033874131627</v>
      </c>
    </row>
    <row r="200" spans="29:57" x14ac:dyDescent="0.15">
      <c r="AC200" s="4"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f>[1]节奏总纲!BA200</f>
        <v>42.583701796562345</v>
      </c>
      <c r="BB200" s="4">
        <f>[1]节奏总纲!BB200</f>
        <v>44.100230468624183</v>
      </c>
      <c r="BC200" s="4">
        <f>[1]节奏总纲!BC200</f>
        <v>46.047663263829847</v>
      </c>
      <c r="BD200" s="4">
        <f>[1]节奏总纲!BD200</f>
        <v>48.783881747368184</v>
      </c>
      <c r="BE200" s="4">
        <f>[1]节奏总纲!BE200</f>
        <v>53.481498147165112</v>
      </c>
    </row>
    <row r="201" spans="29:57" x14ac:dyDescent="0.15">
      <c r="AC201" s="4"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f>[1]节奏总纲!BA201</f>
        <v>42.618414551489408</v>
      </c>
      <c r="BB201" s="4">
        <f>[1]节奏总纲!BB201</f>
        <v>44.132549776504064</v>
      </c>
      <c r="BC201" s="4">
        <f>[1]节奏总纲!BC201</f>
        <v>46.079770001861057</v>
      </c>
      <c r="BD201" s="4">
        <f>[1]节奏总纲!BD201</f>
        <v>48.819774747187417</v>
      </c>
      <c r="BE201" s="4">
        <f>[1]节奏总纲!BE201</f>
        <v>53.515962420198605</v>
      </c>
    </row>
    <row r="202" spans="29:57" x14ac:dyDescent="0.15">
      <c r="AC202" s="4"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f>[1]节奏总纲!BA202</f>
        <v>42.653127306416472</v>
      </c>
      <c r="BB202" s="4">
        <f>[1]节奏总纲!BB202</f>
        <v>44.164869084383938</v>
      </c>
      <c r="BC202" s="4">
        <f>[1]节奏总纲!BC202</f>
        <v>46.111876739892267</v>
      </c>
      <c r="BD202" s="4">
        <f>[1]节奏总纲!BD202</f>
        <v>48.855667747006656</v>
      </c>
      <c r="BE202" s="4">
        <f>[1]节奏总纲!BE202</f>
        <v>53.55042669323209</v>
      </c>
    </row>
    <row r="203" spans="29:57" x14ac:dyDescent="0.15">
      <c r="AC203" s="4"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f>[1]节奏总纲!BA203</f>
        <v>42.687840061343536</v>
      </c>
      <c r="BB203" s="4">
        <f>[1]节奏总纲!BB203</f>
        <v>44.197188392263818</v>
      </c>
      <c r="BC203" s="4">
        <f>[1]节奏总纲!BC203</f>
        <v>46.143983477923484</v>
      </c>
      <c r="BD203" s="4">
        <f>[1]节奏总纲!BD203</f>
        <v>48.891560746825888</v>
      </c>
      <c r="BE203" s="4">
        <f>[1]节奏总纲!BE203</f>
        <v>53.584890966265583</v>
      </c>
    </row>
    <row r="204" spans="29:57" x14ac:dyDescent="0.15">
      <c r="AC204" s="4"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f>[1]节奏总纲!BA204</f>
        <v>42.7225528162706</v>
      </c>
      <c r="BB204" s="4">
        <f>[1]节奏总纲!BB204</f>
        <v>44.229507700143699</v>
      </c>
      <c r="BC204" s="4">
        <f>[1]节奏总纲!BC204</f>
        <v>46.176090215954694</v>
      </c>
      <c r="BD204" s="4">
        <f>[1]节奏总纲!BD204</f>
        <v>48.927453746645128</v>
      </c>
      <c r="BE204" s="4">
        <f>[1]节奏总纲!BE204</f>
        <v>53.619355239299068</v>
      </c>
    </row>
    <row r="205" spans="29:57" x14ac:dyDescent="0.15">
      <c r="AC205" s="4"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f>[1]节奏总纲!BA205</f>
        <v>42.757265571197664</v>
      </c>
      <c r="BB205" s="4">
        <f>[1]节奏总纲!BB205</f>
        <v>44.261827008023573</v>
      </c>
      <c r="BC205" s="4">
        <f>[1]节奏总纲!BC205</f>
        <v>46.208196953985905</v>
      </c>
      <c r="BD205" s="4">
        <f>[1]节奏总纲!BD205</f>
        <v>48.96334674646436</v>
      </c>
      <c r="BE205" s="4">
        <f>[1]节奏总纲!BE205</f>
        <v>53.653819512332554</v>
      </c>
    </row>
    <row r="206" spans="29:57" x14ac:dyDescent="0.15">
      <c r="AC206" s="4"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f>[1]节奏总纲!BA206</f>
        <v>42.791978326124728</v>
      </c>
      <c r="BB206" s="4">
        <f>[1]节奏总纲!BB206</f>
        <v>44.294146315903454</v>
      </c>
      <c r="BC206" s="4">
        <f>[1]节奏总纲!BC206</f>
        <v>46.240303692017122</v>
      </c>
      <c r="BD206" s="4">
        <f>[1]节奏总纲!BD206</f>
        <v>48.9992397462836</v>
      </c>
      <c r="BE206" s="4">
        <f>[1]节奏总纲!BE206</f>
        <v>53.688283785366046</v>
      </c>
    </row>
    <row r="207" spans="29:57" x14ac:dyDescent="0.15">
      <c r="AC207" s="4"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f>[1]节奏总纲!BA207</f>
        <v>42.826691081051791</v>
      </c>
      <c r="BB207" s="4">
        <f>[1]节奏总纲!BB207</f>
        <v>44.326465623783335</v>
      </c>
      <c r="BC207" s="4">
        <f>[1]节奏总纲!BC207</f>
        <v>46.272410430048332</v>
      </c>
      <c r="BD207" s="4">
        <f>[1]节奏总纲!BD207</f>
        <v>49.030333272797542</v>
      </c>
      <c r="BE207" s="4">
        <f>[1]节奏总纲!BE207</f>
        <v>53.722748058399532</v>
      </c>
    </row>
    <row r="208" spans="29:57" x14ac:dyDescent="0.15">
      <c r="AC208" s="4"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f>[1]节奏总纲!BA208</f>
        <v>42.861403835978855</v>
      </c>
      <c r="BB208" s="4">
        <f>[1]节奏总纲!BB208</f>
        <v>44.358784931663209</v>
      </c>
      <c r="BC208" s="4">
        <f>[1]节奏总纲!BC208</f>
        <v>46.304517168079542</v>
      </c>
      <c r="BD208" s="4">
        <f>[1]节奏总纲!BD208</f>
        <v>49.061322941292346</v>
      </c>
      <c r="BE208" s="4">
        <f>[1]节奏总纲!BE208</f>
        <v>53.757212331433024</v>
      </c>
    </row>
    <row r="209" spans="29:57" x14ac:dyDescent="0.15">
      <c r="AC209" s="4"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f>[1]节奏总纲!BA209</f>
        <v>42.896116590905919</v>
      </c>
      <c r="BB209" s="4">
        <f>[1]节奏总纲!BB209</f>
        <v>44.39110423954309</v>
      </c>
      <c r="BC209" s="4">
        <f>[1]节奏总纲!BC209</f>
        <v>46.336623906110759</v>
      </c>
      <c r="BD209" s="4">
        <f>[1]节奏总纲!BD209</f>
        <v>49.09231260978715</v>
      </c>
      <c r="BE209" s="4">
        <f>[1]节奏总纲!BE209</f>
        <v>53.79167660446651</v>
      </c>
    </row>
    <row r="210" spans="29:57" x14ac:dyDescent="0.15">
      <c r="AC210" s="4"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f>[1]节奏总纲!BA210</f>
        <v>42.930829345832983</v>
      </c>
      <c r="BB210" s="4">
        <f>[1]节奏总纲!BB210</f>
        <v>44.423423547422971</v>
      </c>
      <c r="BC210" s="4">
        <f>[1]节奏总纲!BC210</f>
        <v>46.368730644141969</v>
      </c>
      <c r="BD210" s="4">
        <f>[1]节奏总纲!BD210</f>
        <v>49.123302278281955</v>
      </c>
      <c r="BE210" s="4">
        <f>[1]节奏总纲!BE210</f>
        <v>53.826140877499995</v>
      </c>
    </row>
    <row r="211" spans="29:57" x14ac:dyDescent="0.15">
      <c r="AC211" s="4"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f>[1]节奏总纲!BA211</f>
        <v>42.965542100760054</v>
      </c>
      <c r="BB211" s="4">
        <f>[1]节奏总纲!BB211</f>
        <v>44.455742855302844</v>
      </c>
      <c r="BC211" s="4">
        <f>[1]节奏总纲!BC211</f>
        <v>46.400837382173179</v>
      </c>
      <c r="BD211" s="4">
        <f>[1]节奏总纲!BD211</f>
        <v>49.154291946776759</v>
      </c>
      <c r="BE211" s="4">
        <f>[1]节奏总纲!BE211</f>
        <v>53.860605150533488</v>
      </c>
    </row>
    <row r="212" spans="29:57" x14ac:dyDescent="0.15">
      <c r="AC212" s="4"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f>[1]节奏总纲!BA212</f>
        <v>43.000219942361319</v>
      </c>
      <c r="BB212" s="4">
        <f>[1]节奏总纲!BB212</f>
        <v>44.488062163182725</v>
      </c>
      <c r="BC212" s="4">
        <f>[1]节奏总纲!BC212</f>
        <v>46.432944120204397</v>
      </c>
      <c r="BD212" s="4">
        <f>[1]节奏总纲!BD212</f>
        <v>49.18528161527157</v>
      </c>
      <c r="BE212" s="4">
        <f>[1]节奏总纲!BE212</f>
        <v>53.895069423566973</v>
      </c>
    </row>
    <row r="213" spans="29:57" x14ac:dyDescent="0.15">
      <c r="AC213" s="4"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f>[1]节奏总纲!BA213</f>
        <v>43.030177309109042</v>
      </c>
      <c r="BB213" s="4">
        <f>[1]节奏总纲!BB213</f>
        <v>44.520381471062606</v>
      </c>
      <c r="BC213" s="4">
        <f>[1]节奏总纲!BC213</f>
        <v>46.465050858235607</v>
      </c>
      <c r="BD213" s="4">
        <f>[1]节奏总纲!BD213</f>
        <v>49.216271283766375</v>
      </c>
      <c r="BE213" s="4">
        <f>[1]节奏总纲!BE213</f>
        <v>53.929533696600465</v>
      </c>
    </row>
    <row r="214" spans="29:57" x14ac:dyDescent="0.15">
      <c r="AC214" s="4"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f>[1]节奏总纲!BA214</f>
        <v>43.060134675856759</v>
      </c>
      <c r="BB214" s="4">
        <f>[1]节奏总纲!BB214</f>
        <v>44.55270077894248</v>
      </c>
      <c r="BC214" s="4">
        <f>[1]节奏总纲!BC214</f>
        <v>46.497157596266817</v>
      </c>
      <c r="BD214" s="4">
        <f>[1]节奏总纲!BD214</f>
        <v>49.247260952261179</v>
      </c>
      <c r="BE214" s="4">
        <f>[1]节奏总纲!BE214</f>
        <v>53.963997969633951</v>
      </c>
    </row>
    <row r="215" spans="29:57" x14ac:dyDescent="0.15">
      <c r="AC215" s="4"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f>[1]节奏总纲!BA215</f>
        <v>43.090092042604475</v>
      </c>
      <c r="BB215" s="4">
        <f>[1]节奏总纲!BB215</f>
        <v>44.585020086822361</v>
      </c>
      <c r="BC215" s="4">
        <f>[1]节奏总纲!BC215</f>
        <v>46.529264334298034</v>
      </c>
      <c r="BD215" s="4">
        <f>[1]节奏总纲!BD215</f>
        <v>49.278250620755983</v>
      </c>
      <c r="BE215" s="4">
        <f>[1]节奏总纲!BE215</f>
        <v>53.998462242667436</v>
      </c>
    </row>
    <row r="216" spans="29:57" x14ac:dyDescent="0.15">
      <c r="AC216" s="4"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f>[1]节奏总纲!BA216</f>
        <v>43.120049409352191</v>
      </c>
      <c r="BB216" s="4">
        <f>[1]节奏总纲!BB216</f>
        <v>44.617339394702242</v>
      </c>
      <c r="BC216" s="4">
        <f>[1]节奏总纲!BC216</f>
        <v>46.561371072329244</v>
      </c>
      <c r="BD216" s="4">
        <f>[1]节奏总纲!BD216</f>
        <v>49.309240289250788</v>
      </c>
      <c r="BE216" s="4">
        <f>[1]节奏总纲!BE216</f>
        <v>54.028437871105552</v>
      </c>
    </row>
    <row r="217" spans="29:57" x14ac:dyDescent="0.15">
      <c r="AC217" s="4"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f>[1]节奏总纲!BA217</f>
        <v>43.150006776099914</v>
      </c>
      <c r="BB217" s="4">
        <f>[1]节奏总纲!BB217</f>
        <v>44.649658702582116</v>
      </c>
      <c r="BC217" s="4">
        <f>[1]节奏总纲!BC217</f>
        <v>46.593477810360454</v>
      </c>
      <c r="BD217" s="4">
        <f>[1]节奏总纲!BD217</f>
        <v>49.340229957745592</v>
      </c>
      <c r="BE217" s="4">
        <f>[1]节奏总纲!BE217</f>
        <v>54.058203867701586</v>
      </c>
    </row>
    <row r="218" spans="29:57" x14ac:dyDescent="0.15">
      <c r="AC218" s="4"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f>[1]节奏总纲!BA218</f>
        <v>43.179964142847631</v>
      </c>
      <c r="BB218" s="4">
        <f>[1]节奏总纲!BB218</f>
        <v>44.681978010461997</v>
      </c>
      <c r="BC218" s="4">
        <f>[1]节奏总纲!BC218</f>
        <v>46.625584548391664</v>
      </c>
      <c r="BD218" s="4">
        <f>[1]节奏总纲!BD218</f>
        <v>49.371219626240396</v>
      </c>
      <c r="BE218" s="4">
        <f>[1]节奏总纲!BE218</f>
        <v>54.087969864297619</v>
      </c>
    </row>
    <row r="219" spans="29:57" x14ac:dyDescent="0.15">
      <c r="AC219" s="4"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f>[1]节奏总纲!BA219</f>
        <v>43.209921509595347</v>
      </c>
      <c r="BB219" s="4">
        <f>[1]节奏总纲!BB219</f>
        <v>44.71429731834187</v>
      </c>
      <c r="BC219" s="4">
        <f>[1]节奏总纲!BC219</f>
        <v>46.657691286422882</v>
      </c>
      <c r="BD219" s="4">
        <f>[1]节奏总纲!BD219</f>
        <v>49.402209294735208</v>
      </c>
      <c r="BE219" s="4">
        <f>[1]节奏总纲!BE219</f>
        <v>54.117735860893646</v>
      </c>
    </row>
    <row r="220" spans="29:57" x14ac:dyDescent="0.15">
      <c r="AC220" s="4"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f>[1]节奏总纲!BA220</f>
        <v>43.239878876343063</v>
      </c>
      <c r="BB220" s="4">
        <f>[1]节奏总纲!BB220</f>
        <v>44.746616626221751</v>
      </c>
      <c r="BC220" s="4">
        <f>[1]节奏总纲!BC220</f>
        <v>46.689798024454092</v>
      </c>
      <c r="BD220" s="4">
        <f>[1]节奏总纲!BD220</f>
        <v>49.433198963230012</v>
      </c>
      <c r="BE220" s="4">
        <f>[1]节奏总纲!BE220</f>
        <v>54.147501857489679</v>
      </c>
    </row>
    <row r="221" spans="29:57" x14ac:dyDescent="0.15">
      <c r="AC221" s="4"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f>[1]节奏总纲!BA221</f>
        <v>43.269836243090786</v>
      </c>
      <c r="BB221" s="4">
        <f>[1]节奏总纲!BB221</f>
        <v>44.778935934101632</v>
      </c>
      <c r="BC221" s="4">
        <f>[1]节奏总纲!BC221</f>
        <v>46.721904762485302</v>
      </c>
      <c r="BD221" s="4">
        <f>[1]节奏总纲!BD221</f>
        <v>49.464188631724817</v>
      </c>
      <c r="BE221" s="4">
        <f>[1]节奏总纲!BE221</f>
        <v>54.177267854085706</v>
      </c>
    </row>
    <row r="222" spans="29:57" x14ac:dyDescent="0.15">
      <c r="AC222" s="4"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f>[1]节奏总纲!BA222</f>
        <v>43.299793609838503</v>
      </c>
      <c r="BB222" s="4">
        <f>[1]节奏总纲!BB222</f>
        <v>44.811255241981506</v>
      </c>
      <c r="BC222" s="4">
        <f>[1]节奏总纲!BC222</f>
        <v>46.754011500516519</v>
      </c>
      <c r="BD222" s="4">
        <f>[1]节奏总纲!BD222</f>
        <v>49.495178300219621</v>
      </c>
      <c r="BE222" s="4">
        <f>[1]节奏总纲!BE222</f>
        <v>54.207033850681739</v>
      </c>
    </row>
    <row r="223" spans="29:57" x14ac:dyDescent="0.15">
      <c r="AC223" s="4"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f>[1]节奏总纲!BA223</f>
        <v>43.329750976586219</v>
      </c>
      <c r="BB223" s="4">
        <f>[1]节奏总纲!BB223</f>
        <v>44.843574549861387</v>
      </c>
      <c r="BC223" s="4">
        <f>[1]节奏总纲!BC223</f>
        <v>46.786118238547729</v>
      </c>
      <c r="BD223" s="4">
        <f>[1]节奏总纲!BD223</f>
        <v>49.526167968714425</v>
      </c>
      <c r="BE223" s="4">
        <f>[1]节奏总纲!BE223</f>
        <v>54.236799847277773</v>
      </c>
    </row>
    <row r="224" spans="29:57" x14ac:dyDescent="0.15">
      <c r="AC224" s="4"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f>[1]节奏总纲!BA224</f>
        <v>43.359708343333942</v>
      </c>
      <c r="BB224" s="4">
        <f>[1]节奏总纲!BB224</f>
        <v>44.875893857741268</v>
      </c>
      <c r="BC224" s="4">
        <f>[1]节奏总纲!BC224</f>
        <v>46.818224976578939</v>
      </c>
      <c r="BD224" s="4">
        <f>[1]节奏总纲!BD224</f>
        <v>49.55715763720923</v>
      </c>
      <c r="BE224" s="4">
        <f>[1]节奏总纲!BE224</f>
        <v>54.266565843873799</v>
      </c>
    </row>
    <row r="225" spans="29:57" x14ac:dyDescent="0.15">
      <c r="AC225" s="4"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f>[1]节奏总纲!BA225</f>
        <v>43.389665710081658</v>
      </c>
      <c r="BB225" s="4">
        <f>[1]节奏总纲!BB225</f>
        <v>44.908213165621142</v>
      </c>
      <c r="BC225" s="4">
        <f>[1]节奏总纲!BC225</f>
        <v>46.850331714610157</v>
      </c>
      <c r="BD225" s="4">
        <f>[1]节奏总纲!BD225</f>
        <v>49.588147305704041</v>
      </c>
      <c r="BE225" s="4">
        <f>[1]节奏总纲!BE225</f>
        <v>54.296331840469833</v>
      </c>
    </row>
    <row r="226" spans="29:57" x14ac:dyDescent="0.15">
      <c r="AC226" s="4"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f>[1]节奏总纲!BA226</f>
        <v>43.419623076829374</v>
      </c>
      <c r="BB226" s="4">
        <f>[1]节奏总纲!BB226</f>
        <v>44.940532473501023</v>
      </c>
      <c r="BC226" s="4">
        <f>[1]节奏总纲!BC226</f>
        <v>46.882438452641367</v>
      </c>
      <c r="BD226" s="4">
        <f>[1]节奏总纲!BD226</f>
        <v>49.619136974198845</v>
      </c>
      <c r="BE226" s="4">
        <f>[1]节奏总纲!BE226</f>
        <v>54.326097837065859</v>
      </c>
    </row>
    <row r="227" spans="29:57" x14ac:dyDescent="0.15">
      <c r="AC227" s="4"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f>[1]节奏总纲!BA227</f>
        <v>43.449580443577091</v>
      </c>
      <c r="BB227" s="4">
        <f>[1]节奏总纲!BB227</f>
        <v>44.972851781380903</v>
      </c>
      <c r="BC227" s="4">
        <f>[1]节奏总纲!BC227</f>
        <v>46.914545190672577</v>
      </c>
      <c r="BD227" s="4">
        <f>[1]节奏总纲!BD227</f>
        <v>49.65012664269365</v>
      </c>
      <c r="BE227" s="4">
        <f>[1]节奏总纲!BE227</f>
        <v>54.355863833661893</v>
      </c>
    </row>
    <row r="228" spans="29:57" x14ac:dyDescent="0.15">
      <c r="AC228" s="4"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f>[1]节奏总纲!BA228</f>
        <v>43.479537810324814</v>
      </c>
      <c r="BB228" s="4">
        <f>[1]节奏总纲!BB228</f>
        <v>45.004463376644416</v>
      </c>
      <c r="BC228" s="4">
        <f>[1]节奏总纲!BC228</f>
        <v>46.946651928703794</v>
      </c>
      <c r="BD228" s="4">
        <f>[1]节奏总纲!BD228</f>
        <v>49.681116311188454</v>
      </c>
      <c r="BE228" s="4">
        <f>[1]节奏总纲!BE228</f>
        <v>54.385629830257926</v>
      </c>
    </row>
    <row r="229" spans="29:57" x14ac:dyDescent="0.15">
      <c r="AC229" s="4"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f>[1]节奏总纲!BA229</f>
        <v>43.50949517707253</v>
      </c>
      <c r="BB229" s="4">
        <f>[1]节奏总纲!BB229</f>
        <v>45.032359480672049</v>
      </c>
      <c r="BC229" s="4">
        <f>[1]节奏总纲!BC229</f>
        <v>46.978758666735004</v>
      </c>
      <c r="BD229" s="4">
        <f>[1]节奏总纲!BD229</f>
        <v>49.712105979683258</v>
      </c>
      <c r="BE229" s="4">
        <f>[1]节奏总纲!BE229</f>
        <v>54.415395826853953</v>
      </c>
    </row>
    <row r="230" spans="29:57" x14ac:dyDescent="0.15">
      <c r="AC230" s="4"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f>[1]节奏总纲!BA230</f>
        <v>43.539452543820246</v>
      </c>
      <c r="BB230" s="4">
        <f>[1]节奏总纲!BB230</f>
        <v>45.060255584699682</v>
      </c>
      <c r="BC230" s="4">
        <f>[1]节奏总纲!BC230</f>
        <v>47.009379755645142</v>
      </c>
      <c r="BD230" s="4">
        <f>[1]节奏总纲!BD230</f>
        <v>49.743095648178063</v>
      </c>
      <c r="BE230" s="4">
        <f>[1]节奏总纲!BE230</f>
        <v>54.445161823449986</v>
      </c>
    </row>
    <row r="231" spans="29:57" x14ac:dyDescent="0.15">
      <c r="AC231" s="4"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f>[1]节奏总纲!BA231</f>
        <v>43.569409910567963</v>
      </c>
      <c r="BB231" s="4">
        <f>[1]节奏总纲!BB231</f>
        <v>45.088151688727308</v>
      </c>
      <c r="BC231" s="4">
        <f>[1]节奏总纲!BC231</f>
        <v>47.037096473409001</v>
      </c>
      <c r="BD231" s="4">
        <f>[1]节奏总纲!BD231</f>
        <v>49.774085316672867</v>
      </c>
      <c r="BE231" s="4">
        <f>[1]节奏总纲!BE231</f>
        <v>54.47492782004602</v>
      </c>
    </row>
    <row r="232" spans="29:57" x14ac:dyDescent="0.15">
      <c r="AC232" s="4"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f>[1]节奏总纲!BA232</f>
        <v>43.599367277315686</v>
      </c>
      <c r="BB232" s="4">
        <f>[1]节奏总纲!BB232</f>
        <v>45.116047792754941</v>
      </c>
      <c r="BC232" s="4">
        <f>[1]节奏总纲!BC232</f>
        <v>47.06481319117286</v>
      </c>
      <c r="BD232" s="4">
        <f>[1]节奏总纲!BD232</f>
        <v>49.805074985167678</v>
      </c>
      <c r="BE232" s="4">
        <f>[1]节奏总纲!BE232</f>
        <v>54.504693816642046</v>
      </c>
    </row>
    <row r="233" spans="29:57" x14ac:dyDescent="0.15">
      <c r="AC233" s="4"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f>[1]节奏总纲!BA233</f>
        <v>43.629324644063402</v>
      </c>
      <c r="BB233" s="4">
        <f>[1]节奏总纲!BB233</f>
        <v>45.143943896782567</v>
      </c>
      <c r="BC233" s="4">
        <f>[1]节奏总纲!BC233</f>
        <v>47.092529908936719</v>
      </c>
      <c r="BD233" s="4">
        <f>[1]节奏总纲!BD233</f>
        <v>49.836064653662483</v>
      </c>
      <c r="BE233" s="4">
        <f>[1]节奏总纲!BE233</f>
        <v>54.53445981323808</v>
      </c>
    </row>
    <row r="234" spans="29:57" x14ac:dyDescent="0.15">
      <c r="AC234" s="4"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f>[1]节奏总纲!BA234</f>
        <v>43.659282010811118</v>
      </c>
      <c r="BB234" s="4">
        <f>[1]节奏总纲!BB234</f>
        <v>45.171840000810199</v>
      </c>
      <c r="BC234" s="4">
        <f>[1]节奏总纲!BC234</f>
        <v>47.120246626700578</v>
      </c>
      <c r="BD234" s="4">
        <f>[1]节奏总纲!BD234</f>
        <v>49.867054322157287</v>
      </c>
      <c r="BE234" s="4">
        <f>[1]节奏总纲!BE234</f>
        <v>54.564225809834106</v>
      </c>
    </row>
    <row r="235" spans="29:57" x14ac:dyDescent="0.15">
      <c r="AC235" s="4"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f>[1]节奏总纲!BA235</f>
        <v>43.689239377558835</v>
      </c>
      <c r="BB235" s="4">
        <f>[1]节奏总纲!BB235</f>
        <v>45.199736104837825</v>
      </c>
      <c r="BC235" s="4">
        <f>[1]节奏总纲!BC235</f>
        <v>47.147963344464429</v>
      </c>
      <c r="BD235" s="4">
        <f>[1]节奏总纲!BD235</f>
        <v>49.898043990652091</v>
      </c>
      <c r="BE235" s="4">
        <f>[1]节奏总纲!BE235</f>
        <v>54.593991806430139</v>
      </c>
    </row>
    <row r="236" spans="29:57" x14ac:dyDescent="0.15">
      <c r="AC236" s="4"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f>[1]节奏总纲!BA236</f>
        <v>43.719196744306558</v>
      </c>
      <c r="BB236" s="4">
        <f>[1]节奏总纲!BB236</f>
        <v>45.227632208865458</v>
      </c>
      <c r="BC236" s="4">
        <f>[1]节奏总纲!BC236</f>
        <v>47.175680062228288</v>
      </c>
      <c r="BD236" s="4">
        <f>[1]节奏总纲!BD236</f>
        <v>49.929033659146896</v>
      </c>
      <c r="BE236" s="4">
        <f>[1]节奏总纲!BE236</f>
        <v>54.623757803026173</v>
      </c>
    </row>
    <row r="237" spans="29:57" x14ac:dyDescent="0.15">
      <c r="AC237" s="4"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f>[1]节奏总纲!BA237</f>
        <v>43.749154111054274</v>
      </c>
      <c r="BB237" s="4">
        <f>[1]节奏总纲!BB237</f>
        <v>45.255528312893091</v>
      </c>
      <c r="BC237" s="4">
        <f>[1]节奏总纲!BC237</f>
        <v>47.203396779992147</v>
      </c>
      <c r="BD237" s="4">
        <f>[1]节奏总纲!BD237</f>
        <v>49.9600233276417</v>
      </c>
      <c r="BE237" s="4">
        <f>[1]节奏总纲!BE237</f>
        <v>54.653523799622199</v>
      </c>
    </row>
    <row r="238" spans="29:57" x14ac:dyDescent="0.15">
      <c r="AC238" s="4"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f>[1]节奏总纲!BA238</f>
        <v>43.77911147780199</v>
      </c>
      <c r="BB238" s="4">
        <f>[1]节奏总纲!BB238</f>
        <v>45.283424416920717</v>
      </c>
      <c r="BC238" s="4">
        <f>[1]节奏总纲!BC238</f>
        <v>47.231113497756006</v>
      </c>
      <c r="BD238" s="4">
        <f>[1]节奏总纲!BD238</f>
        <v>49.991012996136504</v>
      </c>
      <c r="BE238" s="4">
        <f>[1]节奏总纲!BE238</f>
        <v>54.683289796218233</v>
      </c>
    </row>
    <row r="239" spans="29:57" x14ac:dyDescent="0.15">
      <c r="AC239" s="4"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f>[1]节奏总纲!BA239</f>
        <v>43.809068844549707</v>
      </c>
      <c r="BB239" s="4">
        <f>[1]节奏总纲!BB239</f>
        <v>45.31132052094835</v>
      </c>
      <c r="BC239" s="4">
        <f>[1]节奏总纲!BC239</f>
        <v>47.258830215519865</v>
      </c>
      <c r="BD239" s="4">
        <f>[1]节奏总纲!BD239</f>
        <v>50.018998195299922</v>
      </c>
      <c r="BE239" s="4">
        <f>[1]节奏总纲!BE239</f>
        <v>54.713055792814259</v>
      </c>
    </row>
    <row r="240" spans="29:57" x14ac:dyDescent="0.15">
      <c r="AC240" s="4"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f>[1]节奏总纲!BA240</f>
        <v>43.83902621129743</v>
      </c>
      <c r="BB240" s="4">
        <f>[1]节奏总纲!BB240</f>
        <v>45.339216624975975</v>
      </c>
      <c r="BC240" s="4">
        <f>[1]节奏总纲!BC240</f>
        <v>47.286546933283724</v>
      </c>
      <c r="BD240" s="4">
        <f>[1]节奏总纲!BD240</f>
        <v>50.045756216849099</v>
      </c>
      <c r="BE240" s="4">
        <f>[1]节奏总纲!BE240</f>
        <v>54.742821789410293</v>
      </c>
    </row>
    <row r="241" spans="29:57" x14ac:dyDescent="0.15">
      <c r="AC241" s="4"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f>[1]节奏总纲!BA241</f>
        <v>43.868983578045146</v>
      </c>
      <c r="BB241" s="4">
        <f>[1]节奏总纲!BB241</f>
        <v>45.367112729003608</v>
      </c>
      <c r="BC241" s="4">
        <f>[1]节奏总纲!BC241</f>
        <v>47.314263651047582</v>
      </c>
      <c r="BD241" s="4">
        <f>[1]节奏总纲!BD241</f>
        <v>50.072514238398277</v>
      </c>
      <c r="BE241" s="4">
        <f>[1]节奏总纲!BE241</f>
        <v>54.772587786006326</v>
      </c>
    </row>
    <row r="242" spans="29:57" x14ac:dyDescent="0.15">
      <c r="AC242" s="4"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f>[1]节奏总纲!BA242</f>
        <v>43.898940944792862</v>
      </c>
      <c r="BB242" s="4">
        <f>[1]节奏总纲!BB242</f>
        <v>45.395008833031234</v>
      </c>
      <c r="BC242" s="4">
        <f>[1]节奏总纲!BC242</f>
        <v>47.341980368811441</v>
      </c>
      <c r="BD242" s="4">
        <f>[1]节奏总纲!BD242</f>
        <v>50.099272259947462</v>
      </c>
      <c r="BE242" s="4">
        <f>[1]节奏总纲!BE242</f>
        <v>54.802353782602353</v>
      </c>
    </row>
    <row r="243" spans="29:57" x14ac:dyDescent="0.15">
      <c r="AC243" s="4"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f>[1]节奏总纲!BA243</f>
        <v>43.928898311540586</v>
      </c>
      <c r="BB243" s="4">
        <f>[1]节奏总纲!BB243</f>
        <v>45.422904937058867</v>
      </c>
      <c r="BC243" s="4">
        <f>[1]节奏总纲!BC243</f>
        <v>47.3696970865753</v>
      </c>
      <c r="BD243" s="4">
        <f>[1]节奏总纲!BD243</f>
        <v>50.126030281496639</v>
      </c>
      <c r="BE243" s="4">
        <f>[1]节奏总纲!BE243</f>
        <v>54.832119779198386</v>
      </c>
    </row>
    <row r="244" spans="29:57" x14ac:dyDescent="0.15">
      <c r="AC244" s="4"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f>[1]节奏总纲!BA244</f>
        <v>43.958855678288302</v>
      </c>
      <c r="BB244" s="4">
        <f>[1]节奏总纲!BB244</f>
        <v>45.450801041086493</v>
      </c>
      <c r="BC244" s="4">
        <f>[1]节奏总纲!BC244</f>
        <v>47.397413804339159</v>
      </c>
      <c r="BD244" s="4">
        <f>[1]节奏总纲!BD244</f>
        <v>50.152788303045817</v>
      </c>
      <c r="BE244" s="4">
        <f>[1]节奏总纲!BE244</f>
        <v>54.86188577579442</v>
      </c>
    </row>
    <row r="245" spans="29:57" x14ac:dyDescent="0.15">
      <c r="AC245" s="4"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f>[1]节奏总纲!BA245</f>
        <v>43.988813045036018</v>
      </c>
      <c r="BB245" s="4">
        <f>[1]节奏总纲!BB245</f>
        <v>45.478697145114126</v>
      </c>
      <c r="BC245" s="4">
        <f>[1]节奏总纲!BC245</f>
        <v>47.425130522103018</v>
      </c>
      <c r="BD245" s="4">
        <f>[1]节奏总纲!BD245</f>
        <v>50.179546324595002</v>
      </c>
      <c r="BE245" s="4">
        <f>[1]节奏总纲!BE245</f>
        <v>54.891651772390446</v>
      </c>
    </row>
    <row r="246" spans="29:57" x14ac:dyDescent="0.15">
      <c r="AC246" s="4"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f>[1]节奏总纲!BA246</f>
        <v>44.016200268136501</v>
      </c>
      <c r="BB246" s="4">
        <f>[1]节奏总纲!BB246</f>
        <v>45.506593249141758</v>
      </c>
      <c r="BC246" s="4">
        <f>[1]节奏总纲!BC246</f>
        <v>47.452847239866877</v>
      </c>
      <c r="BD246" s="4">
        <f>[1]节奏总纲!BD246</f>
        <v>50.206304346144179</v>
      </c>
      <c r="BE246" s="4">
        <f>[1]节奏总纲!BE246</f>
        <v>54.92141776898648</v>
      </c>
    </row>
    <row r="247" spans="29:57" x14ac:dyDescent="0.15">
      <c r="AC247" s="4"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f>[1]节奏总纲!BA247</f>
        <v>44.042055714440401</v>
      </c>
      <c r="BB247" s="4">
        <f>[1]节奏总纲!BB247</f>
        <v>45.534489353169384</v>
      </c>
      <c r="BC247" s="4">
        <f>[1]节奏总纲!BC247</f>
        <v>47.480563957630736</v>
      </c>
      <c r="BD247" s="4">
        <f>[1]节奏总纲!BD247</f>
        <v>50.233062367693357</v>
      </c>
      <c r="BE247" s="4">
        <f>[1]节奏总纲!BE247</f>
        <v>54.951183765582506</v>
      </c>
    </row>
    <row r="248" spans="29:57" x14ac:dyDescent="0.15">
      <c r="AC248" s="4"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f>[1]节奏总纲!BA248</f>
        <v>44.067911160744309</v>
      </c>
      <c r="BB248" s="4">
        <f>[1]节奏总纲!BB248</f>
        <v>45.562385457197017</v>
      </c>
      <c r="BC248" s="4">
        <f>[1]节奏总纲!BC248</f>
        <v>47.508280675394595</v>
      </c>
      <c r="BD248" s="4">
        <f>[1]节奏总纲!BD248</f>
        <v>50.259820389242542</v>
      </c>
      <c r="BE248" s="4">
        <f>[1]节奏总纲!BE248</f>
        <v>54.98094976217854</v>
      </c>
    </row>
    <row r="249" spans="29:57" x14ac:dyDescent="0.15">
      <c r="AC249" s="4"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f>[1]节奏总纲!BA249</f>
        <v>44.093766607048209</v>
      </c>
      <c r="BB249" s="4">
        <f>[1]节奏总纲!BB249</f>
        <v>45.590281561224643</v>
      </c>
      <c r="BC249" s="4">
        <f>[1]节奏总纲!BC249</f>
        <v>47.535997393158453</v>
      </c>
      <c r="BD249" s="4">
        <f>[1]节奏总纲!BD249</f>
        <v>50.286578410791719</v>
      </c>
      <c r="BE249" s="4">
        <f>[1]节奏总纲!BE249</f>
        <v>55.009255535630842</v>
      </c>
    </row>
    <row r="250" spans="29:57" x14ac:dyDescent="0.15">
      <c r="AC250" s="4"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f>[1]节奏总纲!BA250</f>
        <v>44.11962205335211</v>
      </c>
      <c r="BB250" s="4">
        <f>[1]节奏总纲!BB250</f>
        <v>45.618177665252276</v>
      </c>
      <c r="BC250" s="4">
        <f>[1]节奏总纲!BC250</f>
        <v>47.563714110922312</v>
      </c>
      <c r="BD250" s="4">
        <f>[1]节奏总纲!BD250</f>
        <v>50.313336432340897</v>
      </c>
      <c r="BE250" s="4">
        <f>[1]节奏总纲!BE250</f>
        <v>55.034965356827627</v>
      </c>
    </row>
    <row r="251" spans="29:57" x14ac:dyDescent="0.15">
      <c r="AC251" s="4"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f>[1]节奏总纲!BA251</f>
        <v>44.145477499656018</v>
      </c>
      <c r="BB251" s="4">
        <f>[1]节奏总纲!BB251</f>
        <v>45.646073769279901</v>
      </c>
      <c r="BC251" s="4">
        <f>[1]节奏总纲!BC251</f>
        <v>47.591430828686171</v>
      </c>
      <c r="BD251" s="4">
        <f>[1]节奏总纲!BD251</f>
        <v>50.340094453890082</v>
      </c>
      <c r="BE251" s="4">
        <f>[1]节奏总纲!BE251</f>
        <v>55.060675178024418</v>
      </c>
    </row>
    <row r="252" spans="29:57" x14ac:dyDescent="0.15">
      <c r="AC252" s="4"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f>[1]节奏总纲!BA252</f>
        <v>44.171332945959918</v>
      </c>
      <c r="BB252" s="4">
        <f>[1]节奏总纲!BB252</f>
        <v>45.673969873307534</v>
      </c>
      <c r="BC252" s="4">
        <f>[1]节奏总纲!BC252</f>
        <v>47.61914754645003</v>
      </c>
      <c r="BD252" s="4">
        <f>[1]节奏总纲!BD252</f>
        <v>50.366852475439259</v>
      </c>
      <c r="BE252" s="4">
        <f>[1]节奏总纲!BE252</f>
        <v>55.086384999221202</v>
      </c>
    </row>
    <row r="253" spans="29:57" x14ac:dyDescent="0.15">
      <c r="AC253" s="4"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f>[1]节奏总纲!BA253</f>
        <v>44.197188392263818</v>
      </c>
      <c r="BB253" s="4">
        <f>[1]节奏总纲!BB253</f>
        <v>45.701865977335167</v>
      </c>
      <c r="BC253" s="4">
        <f>[1]节奏总纲!BC253</f>
        <v>47.646864264213889</v>
      </c>
      <c r="BD253" s="4">
        <f>[1]节奏总纲!BD253</f>
        <v>50.393610496988437</v>
      </c>
      <c r="BE253" s="4">
        <f>[1]节奏总纲!BE253</f>
        <v>55.112094820417994</v>
      </c>
    </row>
    <row r="254" spans="29:57" x14ac:dyDescent="0.15">
      <c r="AC254" s="4"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f>[1]节奏总纲!BA254</f>
        <v>44.223043838567726</v>
      </c>
      <c r="BB254" s="4">
        <f>[1]节奏总纲!BB254</f>
        <v>45.729762081362793</v>
      </c>
      <c r="BC254" s="4">
        <f>[1]节奏总纲!BC254</f>
        <v>47.674580981977748</v>
      </c>
      <c r="BD254" s="4">
        <f>[1]节奏总纲!BD254</f>
        <v>50.420368518537622</v>
      </c>
      <c r="BE254" s="4">
        <f>[1]节奏总纲!BE254</f>
        <v>55.137804641614778</v>
      </c>
    </row>
    <row r="255" spans="29:57" x14ac:dyDescent="0.15">
      <c r="AC255" s="4"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f>[1]节奏总纲!BA255</f>
        <v>44.248899284871626</v>
      </c>
      <c r="BB255" s="4">
        <f>[1]节奏总纲!BB255</f>
        <v>45.757658185390426</v>
      </c>
      <c r="BC255" s="4">
        <f>[1]节奏总纲!BC255</f>
        <v>47.7022976997416</v>
      </c>
      <c r="BD255" s="4">
        <f>[1]节奏总纲!BD255</f>
        <v>50.447126540086799</v>
      </c>
      <c r="BE255" s="4">
        <f>[1]节奏总纲!BE255</f>
        <v>55.163514462811563</v>
      </c>
    </row>
    <row r="256" spans="29:57" x14ac:dyDescent="0.15">
      <c r="AC256" s="4"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f>[1]节奏总纲!BA256</f>
        <v>44.274754731175527</v>
      </c>
      <c r="BB256" s="4">
        <f>[1]节奏总纲!BB256</f>
        <v>45.785554289418052</v>
      </c>
      <c r="BC256" s="4">
        <f>[1]节奏总纲!BC256</f>
        <v>47.730014417505458</v>
      </c>
      <c r="BD256" s="4">
        <f>[1]节奏总纲!BD256</f>
        <v>50.473884561635977</v>
      </c>
      <c r="BE256" s="4">
        <f>[1]节奏总纲!BE256</f>
        <v>55.189224284008354</v>
      </c>
    </row>
    <row r="257" spans="29:57" x14ac:dyDescent="0.15">
      <c r="AC257" s="4"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f>[1]节奏总纲!BA257</f>
        <v>44.300610177479435</v>
      </c>
      <c r="BB257" s="4">
        <f>[1]节奏总纲!BB257</f>
        <v>45.813450393445684</v>
      </c>
      <c r="BC257" s="4">
        <f>[1]节奏总纲!BC257</f>
        <v>47.757731135269317</v>
      </c>
      <c r="BD257" s="4">
        <f>[1]节奏总纲!BD257</f>
        <v>50.500642583185162</v>
      </c>
      <c r="BE257" s="4">
        <f>[1]节奏总纲!BE257</f>
        <v>55.214934105205138</v>
      </c>
    </row>
    <row r="258" spans="29:57" x14ac:dyDescent="0.15">
      <c r="AC258" s="4"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f>[1]节奏总纲!BA258</f>
        <v>44.326465623783335</v>
      </c>
      <c r="BB258" s="4">
        <f>[1]节奏总纲!BB258</f>
        <v>45.84134649747331</v>
      </c>
      <c r="BC258" s="4">
        <f>[1]节奏总纲!BC258</f>
        <v>47.785447853033176</v>
      </c>
      <c r="BD258" s="4">
        <f>[1]节奏总纲!BD258</f>
        <v>50.527400604734339</v>
      </c>
      <c r="BE258" s="4">
        <f>[1]节奏总纲!BE258</f>
        <v>55.24064392640193</v>
      </c>
    </row>
    <row r="259" spans="29:57" x14ac:dyDescent="0.15">
      <c r="AC259" s="4"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f>[1]节奏总纲!BA259</f>
        <v>44.352321070087235</v>
      </c>
      <c r="BB259" s="4">
        <f>[1]节奏总纲!BB259</f>
        <v>45.869242601500943</v>
      </c>
      <c r="BC259" s="4">
        <f>[1]节奏总纲!BC259</f>
        <v>47.813164570797035</v>
      </c>
      <c r="BD259" s="4">
        <f>[1]节奏总纲!BD259</f>
        <v>50.554158626283517</v>
      </c>
      <c r="BE259" s="4">
        <f>[1]节奏总纲!BE259</f>
        <v>55.266353747598714</v>
      </c>
    </row>
    <row r="260" spans="29:57" x14ac:dyDescent="0.15">
      <c r="AC260" s="4"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f>[1]节奏总纲!BA260</f>
        <v>44.378176516391136</v>
      </c>
      <c r="BB260" s="4">
        <f>[1]节奏总纲!BB260</f>
        <v>45.897138705528576</v>
      </c>
      <c r="BC260" s="4">
        <f>[1]节奏总纲!BC260</f>
        <v>47.840881288560894</v>
      </c>
      <c r="BD260" s="4">
        <f>[1]节奏总纲!BD260</f>
        <v>50.580916647832701</v>
      </c>
      <c r="BE260" s="4">
        <f>[1]节奏总纲!BE260</f>
        <v>55.292063568795498</v>
      </c>
    </row>
    <row r="261" spans="29:57" x14ac:dyDescent="0.15">
      <c r="AC261" s="4"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f>[1]节奏总纲!BA261</f>
        <v>44.404031962695043</v>
      </c>
      <c r="BB261" s="4">
        <f>[1]节奏总纲!BB261</f>
        <v>45.925034809556202</v>
      </c>
      <c r="BC261" s="4">
        <f>[1]节奏总纲!BC261</f>
        <v>47.868598006324753</v>
      </c>
      <c r="BD261" s="4">
        <f>[1]节奏总纲!BD261</f>
        <v>50.607674669381879</v>
      </c>
      <c r="BE261" s="4">
        <f>[1]节奏总纲!BE261</f>
        <v>55.31777338999229</v>
      </c>
    </row>
    <row r="262" spans="29:57" x14ac:dyDescent="0.15">
      <c r="AC262" s="4"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f>[1]节奏总纲!BA262</f>
        <v>44.429887408998944</v>
      </c>
      <c r="BB262" s="4">
        <f>[1]节奏总纲!BB262</f>
        <v>45.952930913583835</v>
      </c>
      <c r="BC262" s="4">
        <f>[1]节奏总纲!BC262</f>
        <v>47.896314724088612</v>
      </c>
      <c r="BD262" s="4">
        <f>[1]节奏总纲!BD262</f>
        <v>50.634432690931064</v>
      </c>
      <c r="BE262" s="4">
        <f>[1]节奏总纲!BE262</f>
        <v>55.343483211189074</v>
      </c>
    </row>
    <row r="263" spans="29:57" x14ac:dyDescent="0.15">
      <c r="AC263" s="4"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f>[1]节奏总纲!BA263</f>
        <v>44.455742855302844</v>
      </c>
      <c r="BB263" s="4">
        <f>[1]节奏总纲!BB263</f>
        <v>45.98082701761146</v>
      </c>
      <c r="BC263" s="4">
        <f>[1]节奏总纲!BC263</f>
        <v>47.92403144185247</v>
      </c>
      <c r="BD263" s="4">
        <f>[1]节奏总纲!BD263</f>
        <v>50.661190712480241</v>
      </c>
      <c r="BE263" s="4">
        <f>[1]节奏总纲!BE263</f>
        <v>55.369193032385866</v>
      </c>
    </row>
    <row r="264" spans="29:57" x14ac:dyDescent="0.15">
      <c r="AC264" s="4"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f>[1]节奏总纲!BA264</f>
        <v>44.481598301606752</v>
      </c>
      <c r="BB264" s="4">
        <f>[1]节奏总纲!BB264</f>
        <v>46.007529841290832</v>
      </c>
      <c r="BC264" s="4">
        <f>[1]节奏总纲!BC264</f>
        <v>47.951748159616329</v>
      </c>
      <c r="BD264" s="4">
        <f>[1]节奏总纲!BD264</f>
        <v>50.687948734029419</v>
      </c>
      <c r="BE264" s="4">
        <f>[1]节奏总纲!BE264</f>
        <v>55.39490285358265</v>
      </c>
    </row>
    <row r="265" spans="29:57" x14ac:dyDescent="0.15">
      <c r="AC265" s="4"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f>[1]节奏总纲!BA265</f>
        <v>44.507453747910652</v>
      </c>
      <c r="BB265" s="4">
        <f>[1]节奏总纲!BB265</f>
        <v>46.031609894814238</v>
      </c>
      <c r="BC265" s="4">
        <f>[1]节奏总纲!BC265</f>
        <v>47.979464877380188</v>
      </c>
      <c r="BD265" s="4">
        <f>[1]节奏总纲!BD265</f>
        <v>50.714706755578604</v>
      </c>
      <c r="BE265" s="4">
        <f>[1]节奏总纲!BE265</f>
        <v>55.420612674779434</v>
      </c>
    </row>
    <row r="266" spans="29:57" x14ac:dyDescent="0.15">
      <c r="AC266" s="4"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f>[1]节奏总纲!BA266</f>
        <v>44.533309194214553</v>
      </c>
      <c r="BB266" s="4">
        <f>[1]节奏总纲!BB266</f>
        <v>46.055689948337651</v>
      </c>
      <c r="BC266" s="4">
        <f>[1]节奏总纲!BC266</f>
        <v>48.006200084618079</v>
      </c>
      <c r="BD266" s="4">
        <f>[1]节奏总纲!BD266</f>
        <v>50.741464777127781</v>
      </c>
      <c r="BE266" s="4">
        <f>[1]节奏总纲!BE266</f>
        <v>55.446322495976226</v>
      </c>
    </row>
    <row r="267" spans="29:57" x14ac:dyDescent="0.15">
      <c r="AC267" s="4"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f>[1]节奏总纲!BA267</f>
        <v>44.55916464051846</v>
      </c>
      <c r="BB267" s="4">
        <f>[1]节奏总纲!BB267</f>
        <v>46.079770001861057</v>
      </c>
      <c r="BC267" s="4">
        <f>[1]节奏总纲!BC267</f>
        <v>48.030128751164241</v>
      </c>
      <c r="BD267" s="4">
        <f>[1]节奏总纲!BD267</f>
        <v>50.768222798676959</v>
      </c>
      <c r="BE267" s="4">
        <f>[1]节奏总纲!BE267</f>
        <v>55.47203231717301</v>
      </c>
    </row>
    <row r="268" spans="29:57" x14ac:dyDescent="0.15">
      <c r="AC268" s="4"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f>[1]节奏总纲!BA268</f>
        <v>44.585020086822361</v>
      </c>
      <c r="BB268" s="4">
        <f>[1]节奏总纲!BB268</f>
        <v>46.10385005538447</v>
      </c>
      <c r="BC268" s="4">
        <f>[1]节奏总纲!BC268</f>
        <v>48.054057417710396</v>
      </c>
      <c r="BD268" s="4">
        <f>[1]节奏总纲!BD268</f>
        <v>50.794980820226144</v>
      </c>
      <c r="BE268" s="4">
        <f>[1]节奏总纲!BE268</f>
        <v>55.497742138369794</v>
      </c>
    </row>
    <row r="269" spans="29:57" x14ac:dyDescent="0.15">
      <c r="AC269" s="4"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f>[1]节奏总纲!BA269</f>
        <v>44.610875533126261</v>
      </c>
      <c r="BB269" s="4">
        <f>[1]节奏总纲!BB269</f>
        <v>46.127930108907876</v>
      </c>
      <c r="BC269" s="4">
        <f>[1]节奏总纲!BC269</f>
        <v>48.077986084256551</v>
      </c>
      <c r="BD269" s="4">
        <f>[1]节奏总纲!BD269</f>
        <v>50.821738841775321</v>
      </c>
      <c r="BE269" s="4">
        <f>[1]节奏总纲!BE269</f>
        <v>55.523451959566586</v>
      </c>
    </row>
    <row r="270" spans="29:57" x14ac:dyDescent="0.15">
      <c r="AC270" s="4"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f>[1]节奏总纲!BA270</f>
        <v>44.636730979430169</v>
      </c>
      <c r="BB270" s="4">
        <f>[1]节奏总纲!BB270</f>
        <v>46.152010162431289</v>
      </c>
      <c r="BC270" s="4">
        <f>[1]节奏总纲!BC270</f>
        <v>48.101914750802706</v>
      </c>
      <c r="BD270" s="4">
        <f>[1]节奏总纲!BD270</f>
        <v>50.848496863324499</v>
      </c>
      <c r="BE270" s="4">
        <f>[1]节奏总纲!BE270</f>
        <v>55.54916178076337</v>
      </c>
    </row>
    <row r="271" spans="29:57" x14ac:dyDescent="0.15">
      <c r="AC271" s="4"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f>[1]节奏总纲!BA271</f>
        <v>44.662586425734069</v>
      </c>
      <c r="BB271" s="4">
        <f>[1]节奏总纲!BB271</f>
        <v>46.176090215954694</v>
      </c>
      <c r="BC271" s="4">
        <f>[1]节奏总纲!BC271</f>
        <v>48.125843417348868</v>
      </c>
      <c r="BD271" s="4">
        <f>[1]节奏总纲!BD271</f>
        <v>50.875254884873684</v>
      </c>
      <c r="BE271" s="4">
        <f>[1]节奏总纲!BE271</f>
        <v>55.574871601960162</v>
      </c>
    </row>
    <row r="272" spans="29:57" x14ac:dyDescent="0.15">
      <c r="AC272" s="4"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f>[1]节奏总纲!BA272</f>
        <v>44.68844187203797</v>
      </c>
      <c r="BB272" s="4">
        <f>[1]节奏总纲!BB272</f>
        <v>46.200170269478107</v>
      </c>
      <c r="BC272" s="4">
        <f>[1]节奏总纲!BC272</f>
        <v>48.149772083895023</v>
      </c>
      <c r="BD272" s="4">
        <f>[1]节奏总纲!BD272</f>
        <v>50.902012906422861</v>
      </c>
      <c r="BE272" s="4">
        <f>[1]节奏总纲!BE272</f>
        <v>55.600581423156946</v>
      </c>
    </row>
    <row r="273" spans="29:57" x14ac:dyDescent="0.15">
      <c r="AC273" s="4"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f>[1]节奏总纲!BA273</f>
        <v>44.714297318341877</v>
      </c>
      <c r="BB273" s="4">
        <f>[1]节奏总纲!BB273</f>
        <v>46.224250323001513</v>
      </c>
      <c r="BC273" s="4">
        <f>[1]节奏总纲!BC273</f>
        <v>48.173700750441178</v>
      </c>
      <c r="BD273" s="4">
        <f>[1]节奏总纲!BD273</f>
        <v>50.928770927972039</v>
      </c>
      <c r="BE273" s="4">
        <f>[1]节奏总纲!BE273</f>
        <v>55.62629124435373</v>
      </c>
    </row>
    <row r="274" spans="29:57" x14ac:dyDescent="0.15">
      <c r="AC274" s="4"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f>[1]节奏总纲!BA274</f>
        <v>44.740152764645778</v>
      </c>
      <c r="BB274" s="4">
        <f>[1]节奏总纲!BB274</f>
        <v>46.248330376524919</v>
      </c>
      <c r="BC274" s="4">
        <f>[1]节奏总纲!BC274</f>
        <v>48.19762941698734</v>
      </c>
      <c r="BD274" s="4">
        <f>[1]节奏总纲!BD274</f>
        <v>50.955528949521224</v>
      </c>
      <c r="BE274" s="4">
        <f>[1]节奏总纲!BE274</f>
        <v>55.652001065550522</v>
      </c>
    </row>
    <row r="275" spans="29:57" x14ac:dyDescent="0.15">
      <c r="AC275" s="4"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f>[1]节奏总纲!BA275</f>
        <v>44.766008210949678</v>
      </c>
      <c r="BB275" s="4">
        <f>[1]节奏总纲!BB275</f>
        <v>46.272410430048332</v>
      </c>
      <c r="BC275" s="4">
        <f>[1]节奏总纲!BC275</f>
        <v>48.221558083533495</v>
      </c>
      <c r="BD275" s="4">
        <f>[1]节奏总纲!BD275</f>
        <v>50.982286971070401</v>
      </c>
      <c r="BE275" s="4">
        <f>[1]节奏总纲!BE275</f>
        <v>55.677710886747306</v>
      </c>
    </row>
    <row r="276" spans="29:57" x14ac:dyDescent="0.15">
      <c r="AC276" s="4"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f>[1]节奏总纲!BA276</f>
        <v>44.791863657253586</v>
      </c>
      <c r="BB276" s="4">
        <f>[1]节奏总纲!BB276</f>
        <v>46.296490483571738</v>
      </c>
      <c r="BC276" s="4">
        <f>[1]节奏总纲!BC276</f>
        <v>48.24548675007965</v>
      </c>
      <c r="BD276" s="4">
        <f>[1]节奏总纲!BD276</f>
        <v>51.007810424246486</v>
      </c>
      <c r="BE276" s="4">
        <f>[1]节奏总纲!BE276</f>
        <v>55.703420707944098</v>
      </c>
    </row>
    <row r="277" spans="29:57" x14ac:dyDescent="0.15">
      <c r="AC277" s="4"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f>[1]节奏总纲!BA277</f>
        <v>44.817719103557486</v>
      </c>
      <c r="BB277" s="4">
        <f>[1]节奏总纲!BB277</f>
        <v>46.320570537095151</v>
      </c>
      <c r="BC277" s="4">
        <f>[1]节奏总纲!BC277</f>
        <v>48.269415416625804</v>
      </c>
      <c r="BD277" s="4">
        <f>[1]节奏总纲!BD277</f>
        <v>51.030916192165336</v>
      </c>
      <c r="BE277" s="4">
        <f>[1]节奏总纲!BE277</f>
        <v>55.729130529140882</v>
      </c>
    </row>
    <row r="278" spans="29:57" x14ac:dyDescent="0.15">
      <c r="AC278" s="4"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f>[1]节奏总纲!BA278</f>
        <v>44.843574549861387</v>
      </c>
      <c r="BB278" s="4">
        <f>[1]节奏总纲!BB278</f>
        <v>46.344650590618556</v>
      </c>
      <c r="BC278" s="4">
        <f>[1]节奏总纲!BC278</f>
        <v>48.293344083171966</v>
      </c>
      <c r="BD278" s="4">
        <f>[1]节奏总纲!BD278</f>
        <v>51.054021960084178</v>
      </c>
      <c r="BE278" s="4">
        <f>[1]节奏总纲!BE278</f>
        <v>55.754840350337666</v>
      </c>
    </row>
    <row r="279" spans="29:57" x14ac:dyDescent="0.15">
      <c r="AC279" s="4"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f>[1]节奏总纲!BA279</f>
        <v>44.869429996165294</v>
      </c>
      <c r="BB279" s="4">
        <f>[1]节奏总纲!BB279</f>
        <v>46.368730644141969</v>
      </c>
      <c r="BC279" s="4">
        <f>[1]节奏总纲!BC279</f>
        <v>48.317272749718121</v>
      </c>
      <c r="BD279" s="4">
        <f>[1]节奏总纲!BD279</f>
        <v>51.077127728003028</v>
      </c>
      <c r="BE279" s="4">
        <f>[1]节奏总纲!BE279</f>
        <v>55.780550171534458</v>
      </c>
    </row>
    <row r="280" spans="29:57" x14ac:dyDescent="0.15">
      <c r="AC280" s="4"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f>[1]节奏总纲!BA280</f>
        <v>44.895285442469195</v>
      </c>
      <c r="BB280" s="4">
        <f>[1]节奏总纲!BB280</f>
        <v>46.392810697665375</v>
      </c>
      <c r="BC280" s="4">
        <f>[1]节奏总纲!BC280</f>
        <v>48.341201416264276</v>
      </c>
      <c r="BD280" s="4">
        <f>[1]节奏总纲!BD280</f>
        <v>51.10023349592187</v>
      </c>
      <c r="BE280" s="4">
        <f>[1]节奏总纲!BE280</f>
        <v>55.806259992731242</v>
      </c>
    </row>
    <row r="281" spans="29:57" x14ac:dyDescent="0.15">
      <c r="AC281" s="4"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f>[1]节奏总纲!BA281</f>
        <v>44.921140888773095</v>
      </c>
      <c r="BB281" s="4">
        <f>[1]节奏总纲!BB281</f>
        <v>46.416890751188788</v>
      </c>
      <c r="BC281" s="4">
        <f>[1]节奏总纲!BC281</f>
        <v>48.365130082810438</v>
      </c>
      <c r="BD281" s="4">
        <f>[1]节奏总纲!BD281</f>
        <v>51.12333926384072</v>
      </c>
      <c r="BE281" s="4">
        <f>[1]节奏总纲!BE281</f>
        <v>55.831969813928033</v>
      </c>
    </row>
    <row r="282" spans="29:57" x14ac:dyDescent="0.15">
      <c r="AC282" s="4"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f>[1]节奏总纲!BA282</f>
        <v>44.946996335076996</v>
      </c>
      <c r="BB282" s="4">
        <f>[1]节奏总纲!BB282</f>
        <v>46.440970804712194</v>
      </c>
      <c r="BC282" s="4">
        <f>[1]节奏总纲!BC282</f>
        <v>48.389058749356593</v>
      </c>
      <c r="BD282" s="4">
        <f>[1]节奏总纲!BD282</f>
        <v>51.146445031759569</v>
      </c>
      <c r="BE282" s="4">
        <f>[1]节奏总纲!BE282</f>
        <v>55.857679635124818</v>
      </c>
    </row>
    <row r="283" spans="29:57" x14ac:dyDescent="0.15">
      <c r="AC283" s="4"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f>[1]节奏总纲!BA283</f>
        <v>44.972851781380903</v>
      </c>
      <c r="BB283" s="4">
        <f>[1]节奏总纲!BB283</f>
        <v>46.465050858235607</v>
      </c>
      <c r="BC283" s="4">
        <f>[1]节奏总纲!BC283</f>
        <v>48.412987415902748</v>
      </c>
      <c r="BD283" s="4">
        <f>[1]节奏总纲!BD283</f>
        <v>51.169550799678412</v>
      </c>
      <c r="BE283" s="4">
        <f>[1]节奏总纲!BE283</f>
        <v>55.883389456321602</v>
      </c>
    </row>
    <row r="284" spans="29:57" x14ac:dyDescent="0.15">
      <c r="AC284" s="4"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f>[1]节奏总纲!BA284</f>
        <v>44.998707227684804</v>
      </c>
      <c r="BB284" s="4">
        <f>[1]节奏总纲!BB284</f>
        <v>46.489130911759013</v>
      </c>
      <c r="BC284" s="4">
        <f>[1]节奏总纲!BC284</f>
        <v>48.43691608244891</v>
      </c>
      <c r="BD284" s="4">
        <f>[1]节奏总纲!BD284</f>
        <v>51.192656567597261</v>
      </c>
      <c r="BE284" s="4">
        <f>[1]节奏总纲!BE284</f>
        <v>55.909099277518393</v>
      </c>
    </row>
    <row r="285" spans="29:57" x14ac:dyDescent="0.15">
      <c r="AC285" s="4"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f>[1]节奏总纲!BA285</f>
        <v>45.021201039060998</v>
      </c>
      <c r="BB285" s="4">
        <f>[1]节奏总纲!BB285</f>
        <v>46.513210965282425</v>
      </c>
      <c r="BC285" s="4">
        <f>[1]节奏总纲!BC285</f>
        <v>48.460844748995065</v>
      </c>
      <c r="BD285" s="4">
        <f>[1]节奏总纲!BD285</f>
        <v>51.215762335516104</v>
      </c>
      <c r="BE285" s="4">
        <f>[1]节奏总纲!BE285</f>
        <v>55.934809098715178</v>
      </c>
    </row>
    <row r="286" spans="29:57" x14ac:dyDescent="0.15">
      <c r="AC286" s="4"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f>[1]节奏总纲!BA286</f>
        <v>45.043517922283101</v>
      </c>
      <c r="BB286" s="4">
        <f>[1]节奏总纲!BB286</f>
        <v>46.537291018805831</v>
      </c>
      <c r="BC286" s="4">
        <f>[1]节奏总纲!BC286</f>
        <v>48.48477341554122</v>
      </c>
      <c r="BD286" s="4">
        <f>[1]节奏总纲!BD286</f>
        <v>51.238868103434953</v>
      </c>
      <c r="BE286" s="4">
        <f>[1]节奏总纲!BE286</f>
        <v>55.960518919911962</v>
      </c>
    </row>
    <row r="287" spans="29:57" x14ac:dyDescent="0.15">
      <c r="AC287" s="4"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f>[1]节奏总纲!BA287</f>
        <v>45.065834805505204</v>
      </c>
      <c r="BB287" s="4">
        <f>[1]节奏总纲!BB287</f>
        <v>46.561371072329244</v>
      </c>
      <c r="BC287" s="4">
        <f>[1]节奏总纲!BC287</f>
        <v>48.508702082087382</v>
      </c>
      <c r="BD287" s="4">
        <f>[1]节奏总纲!BD287</f>
        <v>51.261973871353796</v>
      </c>
      <c r="BE287" s="4">
        <f>[1]节奏总纲!BE287</f>
        <v>55.986228741108754</v>
      </c>
    </row>
    <row r="288" spans="29:57" x14ac:dyDescent="0.15">
      <c r="AC288" s="4"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f>[1]节奏总纲!BA288</f>
        <v>45.088151688727308</v>
      </c>
      <c r="BB288" s="4">
        <f>[1]节奏总纲!BB288</f>
        <v>46.58545112585265</v>
      </c>
      <c r="BC288" s="4">
        <f>[1]节奏总纲!BC288</f>
        <v>48.532630748633537</v>
      </c>
      <c r="BD288" s="4">
        <f>[1]节奏总纲!BD288</f>
        <v>51.285079639272645</v>
      </c>
      <c r="BE288" s="4">
        <f>[1]节奏总纲!BE288</f>
        <v>56.010312347085055</v>
      </c>
    </row>
    <row r="289" spans="29:57" x14ac:dyDescent="0.15">
      <c r="AC289" s="4"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f>[1]节奏总纲!BA289</f>
        <v>45.110468571949411</v>
      </c>
      <c r="BB289" s="4">
        <f>[1]节奏总纲!BB289</f>
        <v>46.609531179376063</v>
      </c>
      <c r="BC289" s="4">
        <f>[1]节奏总纲!BC289</f>
        <v>48.556559415179692</v>
      </c>
      <c r="BD289" s="4">
        <f>[1]节奏总纲!BD289</f>
        <v>51.308185407191495</v>
      </c>
      <c r="BE289" s="4">
        <f>[1]节奏总纲!BE289</f>
        <v>56.032520096468168</v>
      </c>
    </row>
    <row r="290" spans="29:57" x14ac:dyDescent="0.15">
      <c r="AC290" s="4"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f>[1]节奏总纲!BA290</f>
        <v>45.132785455171515</v>
      </c>
      <c r="BB290" s="4">
        <f>[1]节奏总纲!BB290</f>
        <v>46.633611232899469</v>
      </c>
      <c r="BC290" s="4">
        <f>[1]节奏总纲!BC290</f>
        <v>48.580488081725846</v>
      </c>
      <c r="BD290" s="4">
        <f>[1]节奏总纲!BD290</f>
        <v>51.331291175110337</v>
      </c>
      <c r="BE290" s="4">
        <f>[1]节奏总纲!BE290</f>
        <v>56.054727845851275</v>
      </c>
    </row>
    <row r="291" spans="29:57" x14ac:dyDescent="0.15">
      <c r="AC291" s="4"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f>[1]节奏总纲!BA291</f>
        <v>45.155102338393618</v>
      </c>
      <c r="BB291" s="4">
        <f>[1]节奏总纲!BB291</f>
        <v>46.657691286422882</v>
      </c>
      <c r="BC291" s="4">
        <f>[1]节奏总纲!BC291</f>
        <v>48.604416748272008</v>
      </c>
      <c r="BD291" s="4">
        <f>[1]节奏总纲!BD291</f>
        <v>51.354396943029187</v>
      </c>
      <c r="BE291" s="4">
        <f>[1]节奏总纲!BE291</f>
        <v>56.076935595234382</v>
      </c>
    </row>
    <row r="292" spans="29:57" x14ac:dyDescent="0.15">
      <c r="AC292" s="4"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f>[1]节奏总纲!BA292</f>
        <v>45.177419221615722</v>
      </c>
      <c r="BB292" s="4">
        <f>[1]节奏总纲!BB292</f>
        <v>46.681771339946287</v>
      </c>
      <c r="BC292" s="4">
        <f>[1]节奏总纲!BC292</f>
        <v>48.628345414818163</v>
      </c>
      <c r="BD292" s="4">
        <f>[1]节奏总纲!BD292</f>
        <v>51.377502710948029</v>
      </c>
      <c r="BE292" s="4">
        <f>[1]节奏总纲!BE292</f>
        <v>56.099143344617488</v>
      </c>
    </row>
    <row r="293" spans="29:57" x14ac:dyDescent="0.15">
      <c r="AC293" s="4"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f>[1]节奏总纲!BA293</f>
        <v>45.199736104837825</v>
      </c>
      <c r="BB293" s="4">
        <f>[1]节奏总纲!BB293</f>
        <v>46.7058513934697</v>
      </c>
      <c r="BC293" s="4">
        <f>[1]节奏总纲!BC293</f>
        <v>48.652274081364318</v>
      </c>
      <c r="BD293" s="4">
        <f>[1]节奏总纲!BD293</f>
        <v>51.400608478866879</v>
      </c>
      <c r="BE293" s="4">
        <f>[1]节奏总纲!BE293</f>
        <v>56.121351094000602</v>
      </c>
    </row>
    <row r="294" spans="29:57" x14ac:dyDescent="0.15">
      <c r="AC294" s="4"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f>[1]节奏总纲!BA294</f>
        <v>45.222052988059936</v>
      </c>
      <c r="BB294" s="4">
        <f>[1]节奏总纲!BB294</f>
        <v>46.729931446993106</v>
      </c>
      <c r="BC294" s="4">
        <f>[1]节奏总纲!BC294</f>
        <v>48.67620274791048</v>
      </c>
      <c r="BD294" s="4">
        <f>[1]节奏总纲!BD294</f>
        <v>51.423714246785721</v>
      </c>
      <c r="BE294" s="4">
        <f>[1]节奏总纲!BE294</f>
        <v>56.143558843383708</v>
      </c>
    </row>
    <row r="295" spans="29:57" x14ac:dyDescent="0.15">
      <c r="AC295" s="4"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f>[1]节奏总纲!BA295</f>
        <v>45.244369871282039</v>
      </c>
      <c r="BB295" s="4">
        <f>[1]节奏总纲!BB295</f>
        <v>46.754011500516519</v>
      </c>
      <c r="BC295" s="4">
        <f>[1]节奏总纲!BC295</f>
        <v>48.700131414456635</v>
      </c>
      <c r="BD295" s="4">
        <f>[1]节奏总纲!BD295</f>
        <v>51.446820014704571</v>
      </c>
      <c r="BE295" s="4">
        <f>[1]节奏总纲!BE295</f>
        <v>56.165766592766815</v>
      </c>
    </row>
    <row r="296" spans="29:57" x14ac:dyDescent="0.15">
      <c r="AC296" s="4"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f>[1]节奏总纲!BA296</f>
        <v>45.266686754504143</v>
      </c>
      <c r="BB296" s="4">
        <f>[1]节奏总纲!BB296</f>
        <v>46.778091554039925</v>
      </c>
      <c r="BC296" s="4">
        <f>[1]节奏总纲!BC296</f>
        <v>48.72406008100279</v>
      </c>
      <c r="BD296" s="4">
        <f>[1]节奏总纲!BD296</f>
        <v>51.46992578262342</v>
      </c>
      <c r="BE296" s="4">
        <f>[1]节奏总纲!BE296</f>
        <v>56.187974342149921</v>
      </c>
    </row>
    <row r="297" spans="29:57" x14ac:dyDescent="0.15">
      <c r="AC297" s="4"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f>[1]节奏总纲!BA297</f>
        <v>45.289003637726246</v>
      </c>
      <c r="BB297" s="4">
        <f>[1]节奏总纲!BB297</f>
        <v>46.802171607563338</v>
      </c>
      <c r="BC297" s="4">
        <f>[1]节奏总纲!BC297</f>
        <v>48.747988747548945</v>
      </c>
      <c r="BD297" s="4">
        <f>[1]节奏总纲!BD297</f>
        <v>51.493031550542263</v>
      </c>
      <c r="BE297" s="4">
        <f>[1]节奏总纲!BE297</f>
        <v>56.210182091533035</v>
      </c>
    </row>
    <row r="298" spans="29:57" x14ac:dyDescent="0.15">
      <c r="AC298" s="4"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f>[1]节奏总纲!BA298</f>
        <v>45.31132052094835</v>
      </c>
      <c r="BB298" s="4">
        <f>[1]节奏总纲!BB298</f>
        <v>46.826251661086744</v>
      </c>
      <c r="BC298" s="4">
        <f>[1]节奏总纲!BC298</f>
        <v>48.771917414095107</v>
      </c>
      <c r="BD298" s="4">
        <f>[1]节奏总纲!BD298</f>
        <v>51.516137318461112</v>
      </c>
      <c r="BE298" s="4">
        <f>[1]节奏总纲!BE298</f>
        <v>56.232389840916142</v>
      </c>
    </row>
    <row r="299" spans="29:57" x14ac:dyDescent="0.15">
      <c r="AC299" s="4"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f>[1]节奏总纲!BA299</f>
        <v>45.333637404170453</v>
      </c>
      <c r="BB299" s="4">
        <f>[1]节奏总纲!BB299</f>
        <v>46.850331714610157</v>
      </c>
      <c r="BC299" s="4">
        <f>[1]节奏总纲!BC299</f>
        <v>48.795846080641262</v>
      </c>
      <c r="BD299" s="4">
        <f>[1]节奏总纲!BD299</f>
        <v>51.539243086379955</v>
      </c>
      <c r="BE299" s="4">
        <f>[1]节奏总纲!BE299</f>
        <v>56.254597590299248</v>
      </c>
    </row>
    <row r="300" spans="29:57" x14ac:dyDescent="0.15">
      <c r="AC300" s="4"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f>[1]节奏总纲!BA300</f>
        <v>45.355954287392557</v>
      </c>
      <c r="BB300" s="4">
        <f>[1]节奏总纲!BB300</f>
        <v>46.874411768133562</v>
      </c>
      <c r="BC300" s="4">
        <f>[1]节奏总纲!BC300</f>
        <v>48.819774747187417</v>
      </c>
      <c r="BD300" s="4">
        <f>[1]节奏总纲!BD300</f>
        <v>51.562348854298804</v>
      </c>
      <c r="BE300" s="4">
        <f>[1]节奏总纲!BE300</f>
        <v>56.276805339682355</v>
      </c>
    </row>
    <row r="301" spans="29:57" x14ac:dyDescent="0.15">
      <c r="AC301" s="4"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f>[1]节奏总纲!BA301</f>
        <v>45.37827117061466</v>
      </c>
      <c r="BB301" s="4">
        <f>[1]节奏总纲!BB301</f>
        <v>46.898491821656968</v>
      </c>
      <c r="BC301" s="4">
        <f>[1]节奏总纲!BC301</f>
        <v>48.843703413733579</v>
      </c>
      <c r="BD301" s="4">
        <f>[1]节奏总纲!BD301</f>
        <v>51.585454622217647</v>
      </c>
      <c r="BE301" s="4">
        <f>[1]节奏总纲!BE301</f>
        <v>56.299013089065468</v>
      </c>
    </row>
    <row r="302" spans="29:57" x14ac:dyDescent="0.15">
      <c r="AC302" s="4"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f>[1]节奏总纲!BA302</f>
        <v>45.400588053836763</v>
      </c>
      <c r="BB302" s="4">
        <f>[1]节奏总纲!BB302</f>
        <v>46.922571875180381</v>
      </c>
      <c r="BC302" s="4">
        <f>[1]节奏总纲!BC302</f>
        <v>48.867632080279733</v>
      </c>
      <c r="BD302" s="4">
        <f>[1]节奏总纲!BD302</f>
        <v>51.608560390136496</v>
      </c>
      <c r="BE302" s="4">
        <f>[1]节奏总纲!BE302</f>
        <v>56.321220838448575</v>
      </c>
    </row>
    <row r="303" spans="29:57" x14ac:dyDescent="0.15">
      <c r="AC303" s="4"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f>[1]节奏总纲!BA303</f>
        <v>45.422904937058867</v>
      </c>
      <c r="BB303" s="4">
        <f>[1]节奏总纲!BB303</f>
        <v>46.946651928703787</v>
      </c>
      <c r="BC303" s="4">
        <f>[1]节奏总纲!BC303</f>
        <v>48.891560746825888</v>
      </c>
      <c r="BD303" s="4">
        <f>[1]节奏总纲!BD303</f>
        <v>51.631666158055346</v>
      </c>
      <c r="BE303" s="4">
        <f>[1]节奏总纲!BE303</f>
        <v>56.343428587831681</v>
      </c>
    </row>
    <row r="304" spans="29:57" x14ac:dyDescent="0.15">
      <c r="AC304" s="4"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f>[1]节奏总纲!BA304</f>
        <v>45.44522182028097</v>
      </c>
      <c r="BB304" s="4">
        <f>[1]节奏总纲!BB304</f>
        <v>46.9707319822272</v>
      </c>
      <c r="BC304" s="4">
        <f>[1]节奏总纲!BC304</f>
        <v>48.91548941337205</v>
      </c>
      <c r="BD304" s="4">
        <f>[1]节奏总纲!BD304</f>
        <v>51.654771925974188</v>
      </c>
      <c r="BE304" s="4">
        <f>[1]节奏总纲!BE304</f>
        <v>56.365636337214795</v>
      </c>
    </row>
    <row r="305" spans="29:57" x14ac:dyDescent="0.15">
      <c r="AC305" s="4"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f>[1]节奏总纲!BA305</f>
        <v>45.467538703503074</v>
      </c>
      <c r="BB305" s="4">
        <f>[1]节奏总纲!BB305</f>
        <v>46.994812035750606</v>
      </c>
      <c r="BC305" s="4">
        <f>[1]节奏总纲!BC305</f>
        <v>48.939418079918205</v>
      </c>
      <c r="BD305" s="4">
        <f>[1]节奏总纲!BD305</f>
        <v>51.677877693893038</v>
      </c>
      <c r="BE305" s="4">
        <f>[1]节奏总纲!BE305</f>
        <v>56.387844086597902</v>
      </c>
    </row>
    <row r="306" spans="29:57" x14ac:dyDescent="0.15">
      <c r="AC306" s="4"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f>[1]节奏总纲!BA306</f>
        <v>45.489855586725177</v>
      </c>
      <c r="BB306" s="4">
        <f>[1]节奏总纲!BB306</f>
        <v>47.016308935086101</v>
      </c>
      <c r="BC306" s="4">
        <f>[1]节奏总纲!BC306</f>
        <v>48.96334674646436</v>
      </c>
      <c r="BD306" s="4">
        <f>[1]节奏总纲!BD306</f>
        <v>51.70098346181188</v>
      </c>
      <c r="BE306" s="4">
        <f>[1]节奏总纲!BE306</f>
        <v>56.410051835981008</v>
      </c>
    </row>
    <row r="307" spans="29:57" x14ac:dyDescent="0.15">
      <c r="AC307" s="4"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f>[1]节奏总纲!BA307</f>
        <v>45.512172469947281</v>
      </c>
      <c r="BB307" s="4">
        <f>[1]节奏总纲!BB307</f>
        <v>47.037096473408994</v>
      </c>
      <c r="BC307" s="4">
        <f>[1]节奏总纲!BC307</f>
        <v>48.987275413010522</v>
      </c>
      <c r="BD307" s="4">
        <f>[1]节奏总纲!BD307</f>
        <v>51.72408922973073</v>
      </c>
      <c r="BE307" s="4">
        <f>[1]节奏总纲!BE307</f>
        <v>56.432259585364115</v>
      </c>
    </row>
    <row r="308" spans="29:57" x14ac:dyDescent="0.15">
      <c r="AC308" s="4"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f>[1]节奏总纲!BA308</f>
        <v>45.534489353169384</v>
      </c>
      <c r="BB308" s="4">
        <f>[1]节奏总纲!BB308</f>
        <v>47.057884011731893</v>
      </c>
      <c r="BC308" s="4">
        <f>[1]节奏总纲!BC308</f>
        <v>49.009673493801003</v>
      </c>
      <c r="BD308" s="4">
        <f>[1]节奏总纲!BD308</f>
        <v>51.747194997649579</v>
      </c>
      <c r="BE308" s="4">
        <f>[1]节奏总纲!BE308</f>
        <v>56.454467334747228</v>
      </c>
    </row>
    <row r="309" spans="29:57" x14ac:dyDescent="0.15">
      <c r="AC309" s="4"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f>[1]节奏总纲!BA309</f>
        <v>45.556806236391488</v>
      </c>
      <c r="BB309" s="4">
        <f>[1]节奏总纲!BB309</f>
        <v>47.078671550054786</v>
      </c>
      <c r="BC309" s="4">
        <f>[1]节奏总纲!BC309</f>
        <v>49.030333272797542</v>
      </c>
      <c r="BD309" s="4">
        <f>[1]节奏总纲!BD309</f>
        <v>51.770300765568422</v>
      </c>
      <c r="BE309" s="4">
        <f>[1]节奏总纲!BE309</f>
        <v>56.476675084130335</v>
      </c>
    </row>
    <row r="310" spans="29:57" x14ac:dyDescent="0.15">
      <c r="AC310" s="4"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f>[1]节奏总纲!BA310</f>
        <v>45.579123119613591</v>
      </c>
      <c r="BB310" s="4">
        <f>[1]节奏总纲!BB310</f>
        <v>47.099459088377678</v>
      </c>
      <c r="BC310" s="4">
        <f>[1]节奏总纲!BC310</f>
        <v>49.05099305179408</v>
      </c>
      <c r="BD310" s="4">
        <f>[1]节奏总纲!BD310</f>
        <v>51.793406533487271</v>
      </c>
      <c r="BE310" s="4">
        <f>[1]节奏总纲!BE310</f>
        <v>56.498882833513441</v>
      </c>
    </row>
    <row r="311" spans="29:57" x14ac:dyDescent="0.15">
      <c r="AC311" s="4"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f>[1]节奏总纲!BA311</f>
        <v>45.601440002835695</v>
      </c>
      <c r="BB311" s="4">
        <f>[1]节奏总纲!BB311</f>
        <v>47.12024662670057</v>
      </c>
      <c r="BC311" s="4">
        <f>[1]节奏总纲!BC311</f>
        <v>49.071652830790612</v>
      </c>
      <c r="BD311" s="4">
        <f>[1]节奏总纲!BD311</f>
        <v>51.816512301406114</v>
      </c>
      <c r="BE311" s="4">
        <f>[1]节奏总纲!BE311</f>
        <v>56.521090582896548</v>
      </c>
    </row>
    <row r="312" spans="29:57" x14ac:dyDescent="0.15">
      <c r="AC312" s="4"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f>[1]节奏总纲!BA312</f>
        <v>45.623756886057798</v>
      </c>
      <c r="BB312" s="4">
        <f>[1]节奏总纲!BB312</f>
        <v>47.14103416502347</v>
      </c>
      <c r="BC312" s="4">
        <f>[1]节奏总纲!BC312</f>
        <v>49.09231260978715</v>
      </c>
      <c r="BD312" s="4">
        <f>[1]节奏总纲!BD312</f>
        <v>51.839618069324963</v>
      </c>
      <c r="BE312" s="4">
        <f>[1]节奏总纲!BE312</f>
        <v>56.543298332279662</v>
      </c>
    </row>
    <row r="313" spans="29:57" x14ac:dyDescent="0.15">
      <c r="AC313" s="4"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f>[1]节奏总纲!BA313</f>
        <v>45.646073769279901</v>
      </c>
      <c r="BB313" s="4">
        <f>[1]节奏总纲!BB313</f>
        <v>47.161821703346362</v>
      </c>
      <c r="BC313" s="4">
        <f>[1]节奏总纲!BC313</f>
        <v>49.112972388783689</v>
      </c>
      <c r="BD313" s="4">
        <f>[1]节奏总纲!BD313</f>
        <v>51.862723837243806</v>
      </c>
      <c r="BE313" s="4">
        <f>[1]节奏总纲!BE313</f>
        <v>56.565506081662768</v>
      </c>
    </row>
    <row r="314" spans="29:57" x14ac:dyDescent="0.15">
      <c r="AC314" s="4"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f>[1]节奏总纲!BA314</f>
        <v>45.668390652502012</v>
      </c>
      <c r="BB314" s="4">
        <f>[1]节奏总纲!BB314</f>
        <v>47.182609241669255</v>
      </c>
      <c r="BC314" s="4">
        <f>[1]节奏总纲!BC314</f>
        <v>49.133632167780227</v>
      </c>
      <c r="BD314" s="4">
        <f>[1]节奏总纲!BD314</f>
        <v>51.885829605162655</v>
      </c>
      <c r="BE314" s="4">
        <f>[1]节奏总纲!BE314</f>
        <v>56.587713831045875</v>
      </c>
    </row>
    <row r="315" spans="29:57" x14ac:dyDescent="0.15">
      <c r="AC315" s="4"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f>[1]节奏总纲!BA315</f>
        <v>45.690707535724115</v>
      </c>
      <c r="BB315" s="4">
        <f>[1]节奏总纲!BB315</f>
        <v>47.203396779992147</v>
      </c>
      <c r="BC315" s="4">
        <f>[1]节奏总纲!BC315</f>
        <v>49.154291946776759</v>
      </c>
      <c r="BD315" s="4">
        <f>[1]节奏总纲!BD315</f>
        <v>51.908935373081505</v>
      </c>
      <c r="BE315" s="4">
        <f>[1]节奏总纲!BE315</f>
        <v>56.609921580428981</v>
      </c>
    </row>
    <row r="316" spans="29:57" x14ac:dyDescent="0.15">
      <c r="AC316" s="4"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f>[1]节奏总纲!BA316</f>
        <v>45.713024418946219</v>
      </c>
      <c r="BB316" s="4">
        <f>[1]节奏总纲!BB316</f>
        <v>47.224184318315039</v>
      </c>
      <c r="BC316" s="4">
        <f>[1]节奏总纲!BC316</f>
        <v>49.174951725773298</v>
      </c>
      <c r="BD316" s="4">
        <f>[1]节奏总纲!BD316</f>
        <v>51.932041141000347</v>
      </c>
      <c r="BE316" s="4">
        <f>[1]节奏总纲!BE316</f>
        <v>56.632129329812095</v>
      </c>
    </row>
    <row r="317" spans="29:57" x14ac:dyDescent="0.15">
      <c r="AC317" s="4"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f>[1]节奏总纲!BA317</f>
        <v>45.735341302168322</v>
      </c>
      <c r="BB317" s="4">
        <f>[1]节奏总纲!BB317</f>
        <v>47.244971856637939</v>
      </c>
      <c r="BC317" s="4">
        <f>[1]节奏总纲!BC317</f>
        <v>49.195611504769836</v>
      </c>
      <c r="BD317" s="4">
        <f>[1]节奏总纲!BD317</f>
        <v>51.955146908919197</v>
      </c>
      <c r="BE317" s="4">
        <f>[1]节奏总纲!BE317</f>
        <v>56.654337079195201</v>
      </c>
    </row>
    <row r="318" spans="29:57" x14ac:dyDescent="0.15">
      <c r="AC318" s="4"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f>[1]节奏总纲!BA318</f>
        <v>45.757658185390426</v>
      </c>
      <c r="BB318" s="4">
        <f>[1]节奏总纲!BB318</f>
        <v>47.265759394960831</v>
      </c>
      <c r="BC318" s="4">
        <f>[1]节奏总纲!BC318</f>
        <v>49.216271283766375</v>
      </c>
      <c r="BD318" s="4">
        <f>[1]节奏总纲!BD318</f>
        <v>51.978252676838039</v>
      </c>
      <c r="BE318" s="4">
        <f>[1]节奏总纲!BE318</f>
        <v>56.676544828578308</v>
      </c>
    </row>
    <row r="319" spans="29:57" x14ac:dyDescent="0.15">
      <c r="AC319" s="4"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f>[1]节奏总纲!BA319</f>
        <v>45.779975068612529</v>
      </c>
      <c r="BB319" s="4">
        <f>[1]节奏总纲!BB319</f>
        <v>47.286546933283724</v>
      </c>
      <c r="BC319" s="4">
        <f>[1]节奏总纲!BC319</f>
        <v>49.236931062762913</v>
      </c>
      <c r="BD319" s="4">
        <f>[1]节奏总纲!BD319</f>
        <v>52.001173105835825</v>
      </c>
      <c r="BE319" s="4">
        <f>[1]节奏总纲!BE319</f>
        <v>56.698752577961415</v>
      </c>
    </row>
    <row r="320" spans="29:57" x14ac:dyDescent="0.15">
      <c r="AC320" s="4"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f>[1]节奏总纲!BA320</f>
        <v>45.802291951834633</v>
      </c>
      <c r="BB320" s="4">
        <f>[1]节奏总纲!BB320</f>
        <v>47.307334471606616</v>
      </c>
      <c r="BC320" s="4">
        <f>[1]节奏总纲!BC320</f>
        <v>49.257590841759445</v>
      </c>
      <c r="BD320" s="4">
        <f>[1]节奏总纲!BD320</f>
        <v>52.021126446631868</v>
      </c>
      <c r="BE320" s="4">
        <f>[1]节奏总纲!BE320</f>
        <v>56.720960327344528</v>
      </c>
    </row>
    <row r="321" spans="29:57" x14ac:dyDescent="0.15">
      <c r="AC321" s="4"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f>[1]节奏总纲!BA321</f>
        <v>45.824608835056736</v>
      </c>
      <c r="BB321" s="4">
        <f>[1]节奏总纲!BB321</f>
        <v>47.328122009929508</v>
      </c>
      <c r="BC321" s="4">
        <f>[1]节奏总纲!BC321</f>
        <v>49.278250620755983</v>
      </c>
      <c r="BD321" s="4">
        <f>[1]节奏总纲!BD321</f>
        <v>52.041079787427918</v>
      </c>
      <c r="BE321" s="4">
        <f>[1]节奏总纲!BE321</f>
        <v>56.743168076727635</v>
      </c>
    </row>
    <row r="322" spans="29:57" x14ac:dyDescent="0.15">
      <c r="AC322" s="4"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f>[1]节奏总纲!BA322</f>
        <v>45.84692571827884</v>
      </c>
      <c r="BB322" s="4">
        <f>[1]节奏总纲!BB322</f>
        <v>47.348909548252408</v>
      </c>
      <c r="BC322" s="4">
        <f>[1]节奏总纲!BC322</f>
        <v>49.298910399752522</v>
      </c>
      <c r="BD322" s="4">
        <f>[1]节奏总纲!BD322</f>
        <v>52.061033128223968</v>
      </c>
      <c r="BE322" s="4">
        <f>[1]节奏总纲!BE322</f>
        <v>56.765375826110741</v>
      </c>
    </row>
    <row r="323" spans="29:57" x14ac:dyDescent="0.15">
      <c r="AC323" s="4"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f>[1]节奏总纲!BA323</f>
        <v>45.869242601500943</v>
      </c>
      <c r="BB323" s="4">
        <f>[1]节奏总纲!BB323</f>
        <v>47.3696970865753</v>
      </c>
      <c r="BC323" s="4">
        <f>[1]节奏总纲!BC323</f>
        <v>49.319570178749061</v>
      </c>
      <c r="BD323" s="4">
        <f>[1]节奏总纲!BD323</f>
        <v>52.080986469020011</v>
      </c>
      <c r="BE323" s="4">
        <f>[1]节奏总纲!BE323</f>
        <v>56.787583575493848</v>
      </c>
    </row>
    <row r="324" spans="29:57" x14ac:dyDescent="0.15">
      <c r="AC324" s="4"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f>[1]节奏总纲!BA324</f>
        <v>45.891559484723047</v>
      </c>
      <c r="BB324" s="4">
        <f>[1]节奏总纲!BB324</f>
        <v>47.390484624898193</v>
      </c>
      <c r="BC324" s="4">
        <f>[1]节奏总纲!BC324</f>
        <v>49.340229957745592</v>
      </c>
      <c r="BD324" s="4">
        <f>[1]节奏总纲!BD324</f>
        <v>52.100939809816062</v>
      </c>
      <c r="BE324" s="4">
        <f>[1]节奏总纲!BE324</f>
        <v>56.809791324876961</v>
      </c>
    </row>
    <row r="325" spans="29:57" x14ac:dyDescent="0.15">
      <c r="AC325" s="4"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f>[1]节奏总纲!BA325</f>
        <v>45.91387636794515</v>
      </c>
      <c r="BB325" s="4">
        <f>[1]节奏总纲!BB325</f>
        <v>47.411272163221085</v>
      </c>
      <c r="BC325" s="4">
        <f>[1]节奏总纲!BC325</f>
        <v>49.360889736742131</v>
      </c>
      <c r="BD325" s="4">
        <f>[1]节奏总纲!BD325</f>
        <v>52.120893150612112</v>
      </c>
      <c r="BE325" s="4">
        <f>[1]节奏总纲!BE325</f>
        <v>56.831999074260068</v>
      </c>
    </row>
    <row r="326" spans="29:57" x14ac:dyDescent="0.15">
      <c r="AC326" s="4"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f>[1]节奏总纲!BA326</f>
        <v>45.936193251167253</v>
      </c>
      <c r="BB326" s="4">
        <f>[1]节奏总纲!BB326</f>
        <v>47.432059701543984</v>
      </c>
      <c r="BC326" s="4">
        <f>[1]节奏总纲!BC326</f>
        <v>49.381549515738669</v>
      </c>
      <c r="BD326" s="4">
        <f>[1]节奏总纲!BD326</f>
        <v>52.140846491408155</v>
      </c>
      <c r="BE326" s="4">
        <f>[1]节奏总纲!BE326</f>
        <v>56.854206823643175</v>
      </c>
    </row>
    <row r="327" spans="29:57" x14ac:dyDescent="0.15">
      <c r="AC327" s="4"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f>[1]节奏总纲!BA327</f>
        <v>45.958510134389357</v>
      </c>
      <c r="BB327" s="4">
        <f>[1]节奏总纲!BB327</f>
        <v>47.452847239866877</v>
      </c>
      <c r="BC327" s="4">
        <f>[1]节奏总纲!BC327</f>
        <v>49.402209294735208</v>
      </c>
      <c r="BD327" s="4">
        <f>[1]节奏总纲!BD327</f>
        <v>52.160799832204205</v>
      </c>
      <c r="BE327" s="4">
        <f>[1]节奏总纲!BE327</f>
        <v>56.876414573026281</v>
      </c>
    </row>
    <row r="328" spans="29:57" x14ac:dyDescent="0.15">
      <c r="AC328" s="4"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f>[1]节奏总纲!BA328</f>
        <v>45.98082701761146</v>
      </c>
      <c r="BB328" s="4">
        <f>[1]节奏总纲!BB328</f>
        <v>47.473634778189769</v>
      </c>
      <c r="BC328" s="4">
        <f>[1]节奏总纲!BC328</f>
        <v>49.422869073731739</v>
      </c>
      <c r="BD328" s="4">
        <f>[1]节奏总纲!BD328</f>
        <v>52.180753173000248</v>
      </c>
      <c r="BE328" s="4">
        <f>[1]节奏总纲!BE328</f>
        <v>56.898622322409395</v>
      </c>
    </row>
    <row r="329" spans="29:57" x14ac:dyDescent="0.15">
      <c r="AC329" s="4"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f>[1]节奏总纲!BA329</f>
        <v>46.002713830586146</v>
      </c>
      <c r="BB329" s="4">
        <f>[1]节奏总纲!BB329</f>
        <v>47.494422316512662</v>
      </c>
      <c r="BC329" s="4">
        <f>[1]节奏总纲!BC329</f>
        <v>49.443528852728278</v>
      </c>
      <c r="BD329" s="4">
        <f>[1]节奏总纲!BD329</f>
        <v>52.200706513796298</v>
      </c>
      <c r="BE329" s="4">
        <f>[1]节奏总纲!BE329</f>
        <v>56.920830071792501</v>
      </c>
    </row>
    <row r="330" spans="29:57" x14ac:dyDescent="0.15">
      <c r="AC330" s="4"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f>[1]节奏总纲!BA330</f>
        <v>46.021977873404879</v>
      </c>
      <c r="BB330" s="4">
        <f>[1]节奏总纲!BB330</f>
        <v>47.515209854835554</v>
      </c>
      <c r="BC330" s="4">
        <f>[1]节奏总纲!BC330</f>
        <v>49.464188631724817</v>
      </c>
      <c r="BD330" s="4">
        <f>[1]节奏总纲!BD330</f>
        <v>52.220659854592348</v>
      </c>
      <c r="BE330" s="4">
        <f>[1]节奏总纲!BE330</f>
        <v>56.943037821175608</v>
      </c>
    </row>
    <row r="331" spans="29:57" x14ac:dyDescent="0.15">
      <c r="AC331" s="4"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f>[1]节奏总纲!BA331</f>
        <v>46.041241916223605</v>
      </c>
      <c r="BB331" s="4">
        <f>[1]节奏总纲!BB331</f>
        <v>47.535997393158453</v>
      </c>
      <c r="BC331" s="4">
        <f>[1]节奏总纲!BC331</f>
        <v>49.484848410721355</v>
      </c>
      <c r="BD331" s="4">
        <f>[1]节奏总纲!BD331</f>
        <v>52.240613195388391</v>
      </c>
      <c r="BE331" s="4">
        <f>[1]节奏总纲!BE331</f>
        <v>56.965245570558714</v>
      </c>
    </row>
    <row r="332" spans="29:57" x14ac:dyDescent="0.15">
      <c r="AC332" s="4"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f>[1]节奏总纲!BA332</f>
        <v>46.060505959042331</v>
      </c>
      <c r="BB332" s="4">
        <f>[1]节奏总纲!BB332</f>
        <v>47.556784931481346</v>
      </c>
      <c r="BC332" s="4">
        <f>[1]节奏总纲!BC332</f>
        <v>49.505508189717887</v>
      </c>
      <c r="BD332" s="4">
        <f>[1]节奏总纲!BD332</f>
        <v>52.260566536184442</v>
      </c>
      <c r="BE332" s="4">
        <f>[1]节奏总纲!BE332</f>
        <v>56.987453319941828</v>
      </c>
    </row>
    <row r="333" spans="29:57" x14ac:dyDescent="0.15">
      <c r="AC333" s="4"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f>[1]节奏总纲!BA333</f>
        <v>46.079770001861057</v>
      </c>
      <c r="BB333" s="4">
        <f>[1]节奏总纲!BB333</f>
        <v>47.577572469804238</v>
      </c>
      <c r="BC333" s="4">
        <f>[1]节奏总纲!BC333</f>
        <v>49.526167968714425</v>
      </c>
      <c r="BD333" s="4">
        <f>[1]节奏总纲!BD333</f>
        <v>52.280519876980485</v>
      </c>
      <c r="BE333" s="4">
        <f>[1]节奏总纲!BE333</f>
        <v>57.008345591208631</v>
      </c>
    </row>
    <row r="334" spans="29:57" x14ac:dyDescent="0.15">
      <c r="AC334" s="4"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f>[1]节奏总纲!BA334</f>
        <v>46.099034044679783</v>
      </c>
      <c r="BB334" s="4">
        <f>[1]节奏总纲!BB334</f>
        <v>47.598360008127131</v>
      </c>
      <c r="BC334" s="4">
        <f>[1]节奏总纲!BC334</f>
        <v>49.546827747710964</v>
      </c>
      <c r="BD334" s="4">
        <f>[1]节奏总纲!BD334</f>
        <v>52.300473217776535</v>
      </c>
      <c r="BE334" s="4">
        <f>[1]节奏总纲!BE334</f>
        <v>57.027529471561998</v>
      </c>
    </row>
    <row r="335" spans="29:57" x14ac:dyDescent="0.15">
      <c r="AC335" s="4"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f>[1]节奏总纲!BA335</f>
        <v>46.118298087498509</v>
      </c>
      <c r="BB335" s="4">
        <f>[1]节奏总纲!BB335</f>
        <v>47.619147546450023</v>
      </c>
      <c r="BC335" s="4">
        <f>[1]节奏总纲!BC335</f>
        <v>49.567487526707502</v>
      </c>
      <c r="BD335" s="4">
        <f>[1]节奏总纲!BD335</f>
        <v>52.320426558572585</v>
      </c>
      <c r="BE335" s="4">
        <f>[1]节奏总纲!BE335</f>
        <v>57.046713351915365</v>
      </c>
    </row>
    <row r="336" spans="29:57" x14ac:dyDescent="0.15">
      <c r="AC336" s="4"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f>[1]节奏总纲!BA336</f>
        <v>46.137562130317242</v>
      </c>
      <c r="BB336" s="4">
        <f>[1]节奏总纲!BB336</f>
        <v>47.639935084772922</v>
      </c>
      <c r="BC336" s="4">
        <f>[1]节奏总纲!BC336</f>
        <v>49.588147305704041</v>
      </c>
      <c r="BD336" s="4">
        <f>[1]节奏总纲!BD336</f>
        <v>52.340379899368628</v>
      </c>
      <c r="BE336" s="4">
        <f>[1]节奏总纲!BE336</f>
        <v>57.065897232268732</v>
      </c>
    </row>
    <row r="337" spans="29:57" x14ac:dyDescent="0.15">
      <c r="AC337" s="4"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f>[1]节奏总纲!BA337</f>
        <v>46.156826173135968</v>
      </c>
      <c r="BB337" s="4">
        <f>[1]节奏总纲!BB337</f>
        <v>47.660722623095815</v>
      </c>
      <c r="BC337" s="4">
        <f>[1]节奏总纲!BC337</f>
        <v>49.608807084700572</v>
      </c>
      <c r="BD337" s="4">
        <f>[1]节奏总纲!BD337</f>
        <v>52.360333240164678</v>
      </c>
      <c r="BE337" s="4">
        <f>[1]节奏总纲!BE337</f>
        <v>57.085081112622099</v>
      </c>
    </row>
    <row r="338" spans="29:57" x14ac:dyDescent="0.15">
      <c r="AC338" s="4"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f>[1]节奏总纲!BA338</f>
        <v>46.176090215954694</v>
      </c>
      <c r="BB338" s="4">
        <f>[1]节奏总纲!BB338</f>
        <v>47.681510161418707</v>
      </c>
      <c r="BC338" s="4">
        <f>[1]节奏总纲!BC338</f>
        <v>49.629466863697111</v>
      </c>
      <c r="BD338" s="4">
        <f>[1]节奏总纲!BD338</f>
        <v>52.380286580960728</v>
      </c>
      <c r="BE338" s="4">
        <f>[1]节奏总纲!BE338</f>
        <v>57.104264992975466</v>
      </c>
    </row>
    <row r="339" spans="29:57" x14ac:dyDescent="0.15">
      <c r="AC339" s="4"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f>[1]节奏总纲!BA339</f>
        <v>46.19535425877342</v>
      </c>
      <c r="BB339" s="4">
        <f>[1]节奏总纲!BB339</f>
        <v>47.7022976997416</v>
      </c>
      <c r="BC339" s="4">
        <f>[1]节奏总纲!BC339</f>
        <v>49.65012664269365</v>
      </c>
      <c r="BD339" s="4">
        <f>[1]节奏总纲!BD339</f>
        <v>52.400239921756771</v>
      </c>
      <c r="BE339" s="4">
        <f>[1]节奏总纲!BE339</f>
        <v>57.123448873328833</v>
      </c>
    </row>
    <row r="340" spans="29:57" x14ac:dyDescent="0.15">
      <c r="AC340" s="4"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f>[1]节奏总纲!BA340</f>
        <v>46.214618301592147</v>
      </c>
      <c r="BB340" s="4">
        <f>[1]节奏总纲!BB340</f>
        <v>47.723085238064499</v>
      </c>
      <c r="BC340" s="4">
        <f>[1]节奏总纲!BC340</f>
        <v>49.670786421690188</v>
      </c>
      <c r="BD340" s="4">
        <f>[1]节奏总纲!BD340</f>
        <v>52.420193262552822</v>
      </c>
      <c r="BE340" s="4">
        <f>[1]节奏总纲!BE340</f>
        <v>57.1426327536822</v>
      </c>
    </row>
    <row r="341" spans="29:57" x14ac:dyDescent="0.15">
      <c r="AC341" s="4"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f>[1]节奏总纲!BA341</f>
        <v>46.23388234441088</v>
      </c>
      <c r="BB341" s="4">
        <f>[1]节奏总纲!BB341</f>
        <v>47.743872776387391</v>
      </c>
      <c r="BC341" s="4">
        <f>[1]节奏总纲!BC341</f>
        <v>49.69144620068672</v>
      </c>
      <c r="BD341" s="4">
        <f>[1]节奏总纲!BD341</f>
        <v>52.440146603348865</v>
      </c>
      <c r="BE341" s="4">
        <f>[1]节奏总纲!BE341</f>
        <v>57.161816634035567</v>
      </c>
    </row>
    <row r="342" spans="29:57" x14ac:dyDescent="0.15">
      <c r="AC342" s="4"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f>[1]节奏总纲!BA342</f>
        <v>46.253146387229606</v>
      </c>
      <c r="BB342" s="4">
        <f>[1]节奏总纲!BB342</f>
        <v>47.764660314710284</v>
      </c>
      <c r="BC342" s="4">
        <f>[1]节奏总纲!BC342</f>
        <v>49.712105979683258</v>
      </c>
      <c r="BD342" s="4">
        <f>[1]节奏总纲!BD342</f>
        <v>52.460099944144915</v>
      </c>
      <c r="BE342" s="4">
        <f>[1]节奏总纲!BE342</f>
        <v>57.181000514388934</v>
      </c>
    </row>
    <row r="343" spans="29:57" x14ac:dyDescent="0.15">
      <c r="AC343" s="4"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f>[1]节奏总纲!BA343</f>
        <v>46.272410430048332</v>
      </c>
      <c r="BB343" s="4">
        <f>[1]节奏总纲!BB343</f>
        <v>47.785447853033176</v>
      </c>
      <c r="BC343" s="4">
        <f>[1]节奏总纲!BC343</f>
        <v>49.732765758679797</v>
      </c>
      <c r="BD343" s="4">
        <f>[1]节奏总纲!BD343</f>
        <v>52.480053284940965</v>
      </c>
      <c r="BE343" s="4">
        <f>[1]节奏总纲!BE343</f>
        <v>57.200184394742301</v>
      </c>
    </row>
    <row r="344" spans="29:57" x14ac:dyDescent="0.15">
      <c r="AC344" s="4"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f>[1]节奏总纲!BA344</f>
        <v>46.291674472867058</v>
      </c>
      <c r="BB344" s="4">
        <f>[1]节奏总纲!BB344</f>
        <v>47.806235391356068</v>
      </c>
      <c r="BC344" s="4">
        <f>[1]节奏总纲!BC344</f>
        <v>49.753425537676335</v>
      </c>
      <c r="BD344" s="4">
        <f>[1]节奏总纲!BD344</f>
        <v>52.500006625737008</v>
      </c>
      <c r="BE344" s="4">
        <f>[1]节奏总纲!BE344</f>
        <v>57.219368275095675</v>
      </c>
    </row>
    <row r="345" spans="29:57" x14ac:dyDescent="0.15">
      <c r="AC345" s="4"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f>[1]节奏总纲!BA345</f>
        <v>46.310938515685784</v>
      </c>
      <c r="BB345" s="4">
        <f>[1]节奏总纲!BB345</f>
        <v>47.827022929678968</v>
      </c>
      <c r="BC345" s="4">
        <f>[1]节奏总纲!BC345</f>
        <v>49.774085316672867</v>
      </c>
      <c r="BD345" s="4">
        <f>[1]节奏总纲!BD345</f>
        <v>52.519959966533058</v>
      </c>
      <c r="BE345" s="4">
        <f>[1]节奏总纲!BE345</f>
        <v>57.238552155449042</v>
      </c>
    </row>
    <row r="346" spans="29:57" x14ac:dyDescent="0.15">
      <c r="AC346" s="4"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f>[1]节奏总纲!BA346</f>
        <v>46.330202558504517</v>
      </c>
      <c r="BB346" s="4">
        <f>[1]节奏总纲!BB346</f>
        <v>47.84781046800186</v>
      </c>
      <c r="BC346" s="4">
        <f>[1]节奏总纲!BC346</f>
        <v>49.794745095669406</v>
      </c>
      <c r="BD346" s="4">
        <f>[1]节奏总纲!BD346</f>
        <v>52.539913307329101</v>
      </c>
      <c r="BE346" s="4">
        <f>[1]节奏总纲!BE346</f>
        <v>57.257736035802409</v>
      </c>
    </row>
    <row r="347" spans="29:57" x14ac:dyDescent="0.15">
      <c r="AC347" s="4"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f>[1]节奏总纲!BA347</f>
        <v>46.349466601323243</v>
      </c>
      <c r="BB347" s="4">
        <f>[1]节奏总纲!BB347</f>
        <v>47.868598006324753</v>
      </c>
      <c r="BC347" s="4">
        <f>[1]节奏总纲!BC347</f>
        <v>49.815404874665944</v>
      </c>
      <c r="BD347" s="4">
        <f>[1]节奏总纲!BD347</f>
        <v>52.559866648125151</v>
      </c>
      <c r="BE347" s="4">
        <f>[1]节奏总纲!BE347</f>
        <v>57.276919916155776</v>
      </c>
    </row>
    <row r="348" spans="29:57" x14ac:dyDescent="0.15">
      <c r="AC348" s="4"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f>[1]节奏总纲!BA348</f>
        <v>46.368730644141969</v>
      </c>
      <c r="BB348" s="4">
        <f>[1]节奏总纲!BB348</f>
        <v>47.889385544647645</v>
      </c>
      <c r="BC348" s="4">
        <f>[1]节奏总纲!BC348</f>
        <v>49.836064653662483</v>
      </c>
      <c r="BD348" s="4">
        <f>[1]节奏总纲!BD348</f>
        <v>52.579819988921201</v>
      </c>
      <c r="BE348" s="4">
        <f>[1]节奏总纲!BE348</f>
        <v>57.296103796509144</v>
      </c>
    </row>
    <row r="349" spans="29:57" x14ac:dyDescent="0.15">
      <c r="AC349" s="4"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f>[1]节奏总纲!BA349</f>
        <v>46.387994686960695</v>
      </c>
      <c r="BB349" s="4">
        <f>[1]节奏总纲!BB349</f>
        <v>47.910173082970537</v>
      </c>
      <c r="BC349" s="4">
        <f>[1]节奏总纲!BC349</f>
        <v>49.856724432659014</v>
      </c>
      <c r="BD349" s="4">
        <f>[1]节奏总纲!BD349</f>
        <v>52.599773329717245</v>
      </c>
      <c r="BE349" s="4">
        <f>[1]节奏总纲!BE349</f>
        <v>57.315287676862511</v>
      </c>
    </row>
    <row r="350" spans="29:57" x14ac:dyDescent="0.15">
      <c r="AC350" s="4"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f>[1]节奏总纲!BA350</f>
        <v>46.407258729779421</v>
      </c>
      <c r="BB350" s="4">
        <f>[1]节奏总纲!BB350</f>
        <v>47.930960621293437</v>
      </c>
      <c r="BC350" s="4">
        <f>[1]节奏总纲!BC350</f>
        <v>49.877384211655553</v>
      </c>
      <c r="BD350" s="4">
        <f>[1]节奏总纲!BD350</f>
        <v>52.619726670513295</v>
      </c>
      <c r="BE350" s="4">
        <f>[1]节奏总纲!BE350</f>
        <v>57.334471557215878</v>
      </c>
    </row>
    <row r="351" spans="29:57" x14ac:dyDescent="0.15">
      <c r="AC351" s="4"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f>[1]节奏总纲!BA351</f>
        <v>46.426522772598148</v>
      </c>
      <c r="BB351" s="4">
        <f>[1]节奏总纲!BB351</f>
        <v>47.951748159616329</v>
      </c>
      <c r="BC351" s="4">
        <f>[1]节奏总纲!BC351</f>
        <v>49.898043990652091</v>
      </c>
      <c r="BD351" s="4">
        <f>[1]节奏总纲!BD351</f>
        <v>52.639680011309345</v>
      </c>
      <c r="BE351" s="4">
        <f>[1]节奏总纲!BE351</f>
        <v>57.353655437569245</v>
      </c>
    </row>
    <row r="352" spans="29:57" x14ac:dyDescent="0.15">
      <c r="AC352" s="4"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f>[1]节奏总纲!BA352</f>
        <v>46.445786815416881</v>
      </c>
      <c r="BB352" s="4">
        <f>[1]节奏总纲!BB352</f>
        <v>47.972535697939222</v>
      </c>
      <c r="BC352" s="4">
        <f>[1]节奏总纲!BC352</f>
        <v>49.91870376964863</v>
      </c>
      <c r="BD352" s="4">
        <f>[1]节奏总纲!BD352</f>
        <v>52.659633352105388</v>
      </c>
      <c r="BE352" s="4">
        <f>[1]节奏总纲!BE352</f>
        <v>57.372839317922612</v>
      </c>
    </row>
    <row r="353" spans="29:57" x14ac:dyDescent="0.15">
      <c r="AC353" s="4"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f>[1]节奏总纲!BA353</f>
        <v>46.465050858235607</v>
      </c>
      <c r="BB353" s="4">
        <f>[1]节奏总纲!BB353</f>
        <v>47.993323236262114</v>
      </c>
      <c r="BC353" s="4">
        <f>[1]节奏总纲!BC353</f>
        <v>49.939363548645169</v>
      </c>
      <c r="BD353" s="4">
        <f>[1]节奏总纲!BD353</f>
        <v>52.679586692901438</v>
      </c>
      <c r="BE353" s="4">
        <f>[1]节奏总纲!BE353</f>
        <v>57.392023198275979</v>
      </c>
    </row>
    <row r="354" spans="29:57" x14ac:dyDescent="0.15">
      <c r="AC354" s="4"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f>[1]节奏总纲!BA354</f>
        <v>46.484314901054333</v>
      </c>
      <c r="BB354" s="4">
        <f>[1]节奏总纲!BB354</f>
        <v>48.012182251254622</v>
      </c>
      <c r="BC354" s="4">
        <f>[1]节奏总纲!BC354</f>
        <v>49.9600233276417</v>
      </c>
      <c r="BD354" s="4">
        <f>[1]节奏总纲!BD354</f>
        <v>52.699540033697481</v>
      </c>
      <c r="BE354" s="4">
        <f>[1]节奏总纲!BE354</f>
        <v>57.411207078629346</v>
      </c>
    </row>
    <row r="355" spans="29:57" x14ac:dyDescent="0.15">
      <c r="AC355" s="4"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f>[1]节奏总纲!BA355</f>
        <v>46.503578943873059</v>
      </c>
      <c r="BB355" s="4">
        <f>[1]节奏总纲!BB355</f>
        <v>48.030128751164234</v>
      </c>
      <c r="BC355" s="4">
        <f>[1]节奏总纲!BC355</f>
        <v>49.980683106638239</v>
      </c>
      <c r="BD355" s="4">
        <f>[1]节奏总纲!BD355</f>
        <v>52.719493374493531</v>
      </c>
      <c r="BE355" s="4">
        <f>[1]节奏总纲!BE355</f>
        <v>57.430390958982713</v>
      </c>
    </row>
    <row r="356" spans="29:57" x14ac:dyDescent="0.15">
      <c r="AC356" s="4"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f>[1]节奏总纲!BA356</f>
        <v>46.522842986691785</v>
      </c>
      <c r="BB356" s="4">
        <f>[1]节奏总纲!BB356</f>
        <v>48.048075251073854</v>
      </c>
      <c r="BC356" s="4">
        <f>[1]节奏总纲!BC356</f>
        <v>50.00115951426713</v>
      </c>
      <c r="BD356" s="4">
        <f>[1]节奏总纲!BD356</f>
        <v>52.739446715289581</v>
      </c>
      <c r="BE356" s="4">
        <f>[1]节奏总纲!BE356</f>
        <v>57.44957483933608</v>
      </c>
    </row>
    <row r="357" spans="29:57" x14ac:dyDescent="0.15">
      <c r="AC357" s="4"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f>[1]节奏总纲!BA357</f>
        <v>46.542107029510518</v>
      </c>
      <c r="BB357" s="4">
        <f>[1]节奏总纲!BB357</f>
        <v>48.066021750983474</v>
      </c>
      <c r="BC357" s="4">
        <f>[1]节奏总纲!BC357</f>
        <v>50.018998195299922</v>
      </c>
      <c r="BD357" s="4">
        <f>[1]节奏总纲!BD357</f>
        <v>52.759400056085624</v>
      </c>
      <c r="BE357" s="4">
        <f>[1]节奏总纲!BE357</f>
        <v>57.468758719689447</v>
      </c>
    </row>
    <row r="358" spans="29:57" x14ac:dyDescent="0.15">
      <c r="AC358" s="4"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f>[1]节奏总纲!BA358</f>
        <v>46.561371072329244</v>
      </c>
      <c r="BB358" s="4">
        <f>[1]节奏总纲!BB358</f>
        <v>48.083968250893093</v>
      </c>
      <c r="BC358" s="4">
        <f>[1]节奏总纲!BC358</f>
        <v>50.036836876332707</v>
      </c>
      <c r="BD358" s="4">
        <f>[1]节奏总纲!BD358</f>
        <v>52.779353396881675</v>
      </c>
      <c r="BE358" s="4">
        <f>[1]节奏总纲!BE358</f>
        <v>57.487942600042821</v>
      </c>
    </row>
    <row r="359" spans="29:57" x14ac:dyDescent="0.15">
      <c r="AC359" s="4"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f>[1]节奏总纲!BA359</f>
        <v>46.58063511514797</v>
      </c>
      <c r="BB359" s="4">
        <f>[1]节奏总纲!BB359</f>
        <v>48.101914750802706</v>
      </c>
      <c r="BC359" s="4">
        <f>[1]节奏总纲!BC359</f>
        <v>50.054675557365492</v>
      </c>
      <c r="BD359" s="4">
        <f>[1]节奏总纲!BD359</f>
        <v>52.799306737677718</v>
      </c>
      <c r="BE359" s="4">
        <f>[1]节奏总纲!BE359</f>
        <v>57.507126480396188</v>
      </c>
    </row>
    <row r="360" spans="29:57" x14ac:dyDescent="0.15">
      <c r="AC360" s="4"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f>[1]节奏总纲!BA360</f>
        <v>46.599899157966696</v>
      </c>
      <c r="BB360" s="4">
        <f>[1]节奏总纲!BB360</f>
        <v>48.119861250712326</v>
      </c>
      <c r="BC360" s="4">
        <f>[1]节奏总纲!BC360</f>
        <v>50.072514238398277</v>
      </c>
      <c r="BD360" s="4">
        <f>[1]节奏总纲!BD360</f>
        <v>52.819260078473768</v>
      </c>
      <c r="BE360" s="4">
        <f>[1]节奏总纲!BE360</f>
        <v>57.526310360749555</v>
      </c>
    </row>
    <row r="361" spans="29:57" x14ac:dyDescent="0.15">
      <c r="AC361" s="4"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f>[1]节奏总纲!BA361</f>
        <v>46.619163200785422</v>
      </c>
      <c r="BB361" s="4">
        <f>[1]节奏总纲!BB361</f>
        <v>48.137807750621946</v>
      </c>
      <c r="BC361" s="4">
        <f>[1]节奏总纲!BC361</f>
        <v>50.090352919431069</v>
      </c>
      <c r="BD361" s="4">
        <f>[1]节奏总纲!BD361</f>
        <v>52.839213419269818</v>
      </c>
      <c r="BE361" s="4">
        <f>[1]节奏总纲!BE361</f>
        <v>57.545494241102922</v>
      </c>
    </row>
    <row r="362" spans="29:57" x14ac:dyDescent="0.15">
      <c r="AC362" s="4"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f>[1]节奏总纲!BA362</f>
        <v>46.638427243604156</v>
      </c>
      <c r="BB362" s="4">
        <f>[1]节奏总纲!BB362</f>
        <v>48.155754250531558</v>
      </c>
      <c r="BC362" s="4">
        <f>[1]节奏总纲!BC362</f>
        <v>50.108191600463854</v>
      </c>
      <c r="BD362" s="4">
        <f>[1]节奏总纲!BD362</f>
        <v>52.859166760065861</v>
      </c>
      <c r="BE362" s="4">
        <f>[1]节奏总纲!BE362</f>
        <v>57.564678121456289</v>
      </c>
    </row>
    <row r="363" spans="29:57" x14ac:dyDescent="0.15">
      <c r="AC363" s="4"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f>[1]节奏总纲!BA363</f>
        <v>46.657691286422882</v>
      </c>
      <c r="BB363" s="4">
        <f>[1]节奏总纲!BB363</f>
        <v>48.173700750441178</v>
      </c>
      <c r="BC363" s="4">
        <f>[1]节奏总纲!BC363</f>
        <v>50.126030281496639</v>
      </c>
      <c r="BD363" s="4">
        <f>[1]节奏总纲!BD363</f>
        <v>52.879120100861911</v>
      </c>
      <c r="BE363" s="4">
        <f>[1]节奏总纲!BE363</f>
        <v>57.583862001809656</v>
      </c>
    </row>
  </sheetData>
  <mergeCells count="15">
    <mergeCell ref="BJ38:BN38"/>
    <mergeCell ref="BJ2:BN2"/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4625B-B54A-40CD-8D46-952E5376A4F6}">
  <dimension ref="B1:BA607"/>
  <sheetViews>
    <sheetView workbookViewId="0">
      <selection activeCell="R14" sqref="R14"/>
    </sheetView>
  </sheetViews>
  <sheetFormatPr defaultColWidth="6.625" defaultRowHeight="11.25" x14ac:dyDescent="0.15"/>
  <cols>
    <col min="1" max="1" width="6.625" style="7"/>
    <col min="2" max="2" width="6.625" style="7" customWidth="1"/>
    <col min="3" max="3" width="15.5" style="7" bestFit="1" customWidth="1"/>
    <col min="4" max="10" width="6.625" style="7"/>
    <col min="11" max="11" width="6.625" style="14"/>
    <col min="12" max="14" width="6.625" style="7"/>
    <col min="15" max="15" width="6.625" style="18"/>
    <col min="16" max="23" width="6.625" style="7"/>
    <col min="24" max="24" width="6.625" style="18"/>
    <col min="25" max="29" width="6.625" style="7"/>
    <col min="30" max="30" width="6.625" style="18"/>
    <col min="31" max="38" width="6.625" style="7"/>
    <col min="39" max="39" width="6.625" style="18"/>
    <col min="40" max="40" width="6.625" style="7"/>
    <col min="41" max="47" width="6.625" style="43"/>
    <col min="48" max="16384" width="6.625" style="7"/>
  </cols>
  <sheetData>
    <row r="1" spans="2:53" x14ac:dyDescent="0.15">
      <c r="C1" s="7" t="s">
        <v>81</v>
      </c>
      <c r="Q1" s="7" t="s">
        <v>82</v>
      </c>
      <c r="Z1" s="7" t="s">
        <v>90</v>
      </c>
    </row>
    <row r="2" spans="2:53" x14ac:dyDescent="0.15">
      <c r="AV2" s="43"/>
      <c r="AW2" s="43"/>
      <c r="AX2" s="43"/>
      <c r="AY2" s="43"/>
      <c r="AZ2" s="43"/>
      <c r="BA2" s="43"/>
    </row>
    <row r="3" spans="2:53" x14ac:dyDescent="0.15">
      <c r="AV3" s="43"/>
      <c r="AW3" s="43"/>
      <c r="AX3" s="43"/>
      <c r="AY3" s="43"/>
      <c r="AZ3" s="43"/>
      <c r="BA3" s="43"/>
    </row>
    <row r="4" spans="2:53" x14ac:dyDescent="0.15">
      <c r="AV4" s="43"/>
      <c r="AW4" s="43"/>
      <c r="AX4" s="43"/>
      <c r="AY4" s="43"/>
      <c r="AZ4" s="43"/>
      <c r="BA4" s="43"/>
    </row>
    <row r="5" spans="2:53" x14ac:dyDescent="0.15">
      <c r="AV5" s="43"/>
      <c r="AW5" s="43"/>
      <c r="AX5" s="43"/>
      <c r="AY5" s="43"/>
      <c r="AZ5" s="43"/>
      <c r="BA5" s="43"/>
    </row>
    <row r="6" spans="2:53" x14ac:dyDescent="0.15">
      <c r="E6" s="68" t="s">
        <v>74</v>
      </c>
      <c r="F6" s="68"/>
      <c r="G6" s="68"/>
      <c r="H6" s="68"/>
      <c r="I6" s="68"/>
      <c r="AF6" s="68" t="s">
        <v>149</v>
      </c>
      <c r="AG6" s="68"/>
      <c r="AH6" s="68"/>
      <c r="AI6" s="68"/>
      <c r="AJ6" s="68"/>
      <c r="AK6" s="68"/>
      <c r="AW6" s="68" t="s">
        <v>220</v>
      </c>
      <c r="AX6" s="68"/>
      <c r="AY6" s="68"/>
      <c r="AZ6" s="68"/>
      <c r="BA6" s="68"/>
    </row>
    <row r="7" spans="2:53" s="15" customFormat="1" ht="45" x14ac:dyDescent="0.15">
      <c r="C7" s="15" t="s">
        <v>64</v>
      </c>
      <c r="D7" s="15" t="s">
        <v>52</v>
      </c>
      <c r="E7" s="15">
        <v>1</v>
      </c>
      <c r="F7" s="15">
        <v>2</v>
      </c>
      <c r="G7" s="15">
        <v>3</v>
      </c>
      <c r="H7" s="15">
        <v>4</v>
      </c>
      <c r="I7" s="15">
        <v>5</v>
      </c>
      <c r="K7" s="15" t="s">
        <v>76</v>
      </c>
      <c r="L7" s="15" t="s">
        <v>75</v>
      </c>
      <c r="M7" s="15" t="s">
        <v>63</v>
      </c>
      <c r="O7" s="19"/>
      <c r="Q7" s="15" t="s">
        <v>57</v>
      </c>
      <c r="R7" s="15" t="s">
        <v>58</v>
      </c>
      <c r="S7" s="15" t="s">
        <v>59</v>
      </c>
      <c r="T7" s="15" t="s">
        <v>77</v>
      </c>
      <c r="V7" s="9" t="s">
        <v>61</v>
      </c>
      <c r="X7" s="19"/>
      <c r="Z7" s="15" t="s">
        <v>87</v>
      </c>
      <c r="AA7" s="15" t="s">
        <v>88</v>
      </c>
      <c r="AB7" s="15" t="s">
        <v>89</v>
      </c>
      <c r="AD7" s="19"/>
      <c r="AF7" s="7" t="s">
        <v>148</v>
      </c>
      <c r="AG7" s="7" t="s">
        <v>142</v>
      </c>
      <c r="AH7" s="7" t="s">
        <v>143</v>
      </c>
      <c r="AI7" s="7" t="s">
        <v>144</v>
      </c>
      <c r="AJ7" s="7" t="s">
        <v>145</v>
      </c>
      <c r="AK7" s="7" t="s">
        <v>146</v>
      </c>
      <c r="AM7" s="19"/>
      <c r="AO7" s="69" t="s">
        <v>222</v>
      </c>
      <c r="AP7" s="69"/>
      <c r="AQ7" s="69"/>
      <c r="AR7" s="69"/>
      <c r="AS7" s="69"/>
      <c r="AT7" s="69"/>
      <c r="AU7" s="44"/>
      <c r="AV7" s="7" t="s">
        <v>221</v>
      </c>
      <c r="AW7" s="7" t="s">
        <v>142</v>
      </c>
      <c r="AX7" s="7" t="s">
        <v>143</v>
      </c>
      <c r="AY7" s="7" t="s">
        <v>144</v>
      </c>
      <c r="AZ7" s="7" t="s">
        <v>145</v>
      </c>
      <c r="BA7" s="7" t="s">
        <v>146</v>
      </c>
    </row>
    <row r="8" spans="2:53" x14ac:dyDescent="0.15">
      <c r="C8" s="7" t="s">
        <v>65</v>
      </c>
      <c r="D8" s="12">
        <f>'[2]功能-军团技术'!FU8</f>
        <v>1</v>
      </c>
      <c r="E8" s="12">
        <f>'[2]功能-军团技术'!FV8</f>
        <v>0.5</v>
      </c>
      <c r="F8" s="12">
        <f>'[2]功能-军团技术'!FW8</f>
        <v>1.01</v>
      </c>
      <c r="G8" s="12">
        <f>'[2]功能-军团技术'!FX8</f>
        <v>2.0300000000000002</v>
      </c>
      <c r="H8" s="12">
        <f>'[2]功能-军团技术'!FY8</f>
        <v>2.57</v>
      </c>
      <c r="I8" s="12">
        <f>'[2]功能-军团技术'!FZ8</f>
        <v>4.12</v>
      </c>
      <c r="K8" s="14">
        <v>4</v>
      </c>
      <c r="L8" s="7">
        <v>5</v>
      </c>
      <c r="M8" s="17">
        <f t="array" ref="M8">INDEX($I$8:$I$59,MATCH($L$7&amp;$K8,$C$8:$C$59&amp;$D$8:$D$59,0))</f>
        <v>4.7300000000000004</v>
      </c>
      <c r="Q8" s="7">
        <v>1</v>
      </c>
      <c r="R8" s="7">
        <v>1.5</v>
      </c>
      <c r="S8" s="7">
        <f>SUM($R$8:R8)</f>
        <v>1.5</v>
      </c>
      <c r="T8" s="11">
        <f>[1]服务器生态!$AO27</f>
        <v>44</v>
      </c>
      <c r="V8" s="7">
        <v>1</v>
      </c>
      <c r="Z8" s="11">
        <f>'[2]资源-4赛季军团信息'!$D5</f>
        <v>1</v>
      </c>
      <c r="AA8" s="11">
        <f>'[2]资源-4赛季军团信息'!$F5</f>
        <v>225</v>
      </c>
      <c r="AB8" s="11">
        <f>'[2]资源-4赛季军团信息'!$G5</f>
        <v>138</v>
      </c>
      <c r="AF8" s="7">
        <v>1</v>
      </c>
      <c r="AG8" s="11">
        <f>[1]服务器生态!AC22</f>
        <v>0.9</v>
      </c>
      <c r="AH8" s="11">
        <f>[1]服务器生态!AD22</f>
        <v>7.259999999999997E-2</v>
      </c>
      <c r="AI8" s="11">
        <f>[1]服务器生态!AE22</f>
        <v>2.5600000000000001E-2</v>
      </c>
      <c r="AJ8" s="11">
        <f>[1]服务器生态!AF22</f>
        <v>1.6000000000000001E-3</v>
      </c>
      <c r="AK8" s="11">
        <f>[1]服务器生态!AG22</f>
        <v>2.0000000000000001E-4</v>
      </c>
      <c r="AP8" s="43" t="s">
        <v>142</v>
      </c>
      <c r="AQ8" s="43" t="s">
        <v>143</v>
      </c>
      <c r="AR8" s="43" t="s">
        <v>144</v>
      </c>
      <c r="AS8" s="43" t="s">
        <v>145</v>
      </c>
      <c r="AT8" s="43" t="s">
        <v>146</v>
      </c>
      <c r="AV8" s="7">
        <v>1</v>
      </c>
      <c r="AW8" s="11">
        <f>'[1]功能-行军令'!N4</f>
        <v>3.301579276669484</v>
      </c>
      <c r="AX8" s="11">
        <f>'[1]功能-行军令'!O4</f>
        <v>4.0057487176130557</v>
      </c>
      <c r="AY8" s="11">
        <f>'[1]功能-行军令'!P4</f>
        <v>4.2565036636761029</v>
      </c>
      <c r="AZ8" s="11">
        <f>'[1]功能-行军令'!Q4</f>
        <v>3.3562706551221395</v>
      </c>
      <c r="BA8" s="11">
        <f>'[1]功能-行军令'!R4</f>
        <v>1.7550190606299467</v>
      </c>
    </row>
    <row r="9" spans="2:53" x14ac:dyDescent="0.15">
      <c r="C9" s="7" t="s">
        <v>66</v>
      </c>
      <c r="D9" s="12">
        <f>'[2]功能-军团技术'!FU9</f>
        <v>2</v>
      </c>
      <c r="E9" s="12">
        <f>'[2]功能-军团技术'!FV9</f>
        <v>0.6</v>
      </c>
      <c r="F9" s="12">
        <f>'[2]功能-军团技术'!FW9</f>
        <v>1.1100000000000001</v>
      </c>
      <c r="G9" s="12">
        <f>'[2]功能-军团技术'!FX9</f>
        <v>2.13</v>
      </c>
      <c r="H9" s="12">
        <f>'[2]功能-军团技术'!FY9</f>
        <v>2.67</v>
      </c>
      <c r="I9" s="12">
        <f>'[2]功能-军团技术'!FZ9</f>
        <v>4.2200000000000006</v>
      </c>
      <c r="K9" s="13">
        <f>K8+5</f>
        <v>9</v>
      </c>
      <c r="L9" s="7">
        <v>10</v>
      </c>
      <c r="M9" s="17">
        <f t="array" ref="M9">INDEX($I$8:$I$59,MATCH($L$7&amp;$K9,$C$8:$C$59&amp;$D$8:$D$59,0))</f>
        <v>10.039999999999999</v>
      </c>
      <c r="Q9" s="7">
        <v>2</v>
      </c>
      <c r="R9" s="7">
        <v>2</v>
      </c>
      <c r="S9" s="7">
        <f>SUM($R$8:R9)</f>
        <v>3.5</v>
      </c>
      <c r="T9" s="11">
        <f>[1]服务器生态!$AO28</f>
        <v>50</v>
      </c>
      <c r="Y9" s="47"/>
      <c r="Z9" s="11">
        <f>'[2]资源-4赛季军团信息'!$D6</f>
        <v>2</v>
      </c>
      <c r="AA9" s="11">
        <f>'[2]资源-4赛季军团信息'!$F6</f>
        <v>225.1</v>
      </c>
      <c r="AB9" s="11">
        <f>'[2]资源-4赛季军团信息'!$G6</f>
        <v>138</v>
      </c>
      <c r="AF9" s="7">
        <v>2</v>
      </c>
      <c r="AG9" s="11">
        <f>[1]服务器生态!AC23</f>
        <v>0.86357608695652177</v>
      </c>
      <c r="AH9" s="11">
        <f>[1]服务器生态!AD23</f>
        <v>0.10665057971014487</v>
      </c>
      <c r="AI9" s="11">
        <f>[1]服务器生态!AE23</f>
        <v>2.7306666666666667E-2</v>
      </c>
      <c r="AJ9" s="11">
        <f>[1]服务器生态!AF23</f>
        <v>2.1333333333333334E-3</v>
      </c>
      <c r="AK9" s="11">
        <f>[1]服务器生态!AG23</f>
        <v>3.3333333333333338E-4</v>
      </c>
      <c r="AO9" s="43" t="s">
        <v>223</v>
      </c>
      <c r="AP9" s="11">
        <f>'[1]功能-行军令'!F4</f>
        <v>10</v>
      </c>
      <c r="AQ9" s="11">
        <f>'[1]功能-行军令'!G4</f>
        <v>10</v>
      </c>
      <c r="AR9" s="11">
        <f>'[1]功能-行军令'!H4</f>
        <v>10</v>
      </c>
      <c r="AS9" s="11">
        <f>'[1]功能-行军令'!I4</f>
        <v>10</v>
      </c>
      <c r="AT9" s="11">
        <f>'[1]功能-行军令'!J4</f>
        <v>10</v>
      </c>
      <c r="AV9" s="7">
        <v>2</v>
      </c>
      <c r="AW9" s="11">
        <f>'[1]功能-行军令'!N5</f>
        <v>6.840124329863615</v>
      </c>
      <c r="AX9" s="11">
        <f>'[1]功能-行军令'!O5</f>
        <v>8.3787062090179365</v>
      </c>
      <c r="AY9" s="11">
        <f>'[1]功能-行军令'!P5</f>
        <v>8.9944214875541597</v>
      </c>
      <c r="AZ9" s="11">
        <f>'[1]功能-行军令'!Q5</f>
        <v>7.192360993180591</v>
      </c>
      <c r="BA9" s="11">
        <f>'[1]功能-行军令'!R5</f>
        <v>3.819793082834837</v>
      </c>
    </row>
    <row r="10" spans="2:53" x14ac:dyDescent="0.15">
      <c r="C10" s="14" t="s">
        <v>73</v>
      </c>
      <c r="D10" s="12">
        <f>'[2]功能-军团技术'!FU10</f>
        <v>2</v>
      </c>
      <c r="E10" s="12">
        <f>'[2]功能-军团技术'!FV10</f>
        <v>0.6</v>
      </c>
      <c r="F10" s="12">
        <f>'[2]功能-军团技术'!FW10</f>
        <v>1.1100000000000001</v>
      </c>
      <c r="G10" s="12">
        <f>'[2]功能-军团技术'!FX10</f>
        <v>2.13</v>
      </c>
      <c r="H10" s="12">
        <f>'[2]功能-军团技术'!FY10</f>
        <v>2.67</v>
      </c>
      <c r="I10" s="12">
        <f>'[2]功能-军团技术'!FZ10</f>
        <v>4.2200000000000006</v>
      </c>
      <c r="K10" s="13">
        <f t="shared" ref="K10:K11" si="0">K9+5</f>
        <v>14</v>
      </c>
      <c r="L10" s="7">
        <v>15</v>
      </c>
      <c r="M10" s="17">
        <f t="array" ref="M10">INDEX($I$8:$I$59,MATCH($L$7&amp;$K10,$C$8:$C$59&amp;$D$8:$D$59,0))</f>
        <v>26.66</v>
      </c>
      <c r="P10" s="32"/>
      <c r="Q10" s="7">
        <v>3</v>
      </c>
      <c r="R10" s="7">
        <v>2</v>
      </c>
      <c r="S10" s="7">
        <f>SUM($R$8:R10)</f>
        <v>5.5</v>
      </c>
      <c r="T10" s="11">
        <f>[1]服务器生态!$AO29</f>
        <v>42</v>
      </c>
      <c r="W10" s="47"/>
      <c r="Y10" s="47"/>
      <c r="Z10" s="11">
        <f>'[2]资源-4赛季军团信息'!$D7</f>
        <v>3</v>
      </c>
      <c r="AA10" s="11">
        <f>'[2]资源-4赛季军团信息'!$F7</f>
        <v>225.22</v>
      </c>
      <c r="AB10" s="11">
        <f>'[2]资源-4赛季军团信息'!$G7</f>
        <v>138</v>
      </c>
      <c r="AF10" s="7">
        <v>3</v>
      </c>
      <c r="AG10" s="11">
        <f>[1]服务器生态!AC24</f>
        <v>0.82715217391304352</v>
      </c>
      <c r="AH10" s="11">
        <f>[1]服务器生态!AD24</f>
        <v>0.14070115942028977</v>
      </c>
      <c r="AI10" s="11">
        <f>[1]服务器生态!AE24</f>
        <v>2.9013333333333332E-2</v>
      </c>
      <c r="AJ10" s="11">
        <f>[1]服务器生态!AF24</f>
        <v>2.666666666666667E-3</v>
      </c>
      <c r="AK10" s="11">
        <f>[1]服务器生态!AG24</f>
        <v>4.6666666666666666E-4</v>
      </c>
      <c r="AO10" s="43" t="s">
        <v>224</v>
      </c>
      <c r="AV10" s="7">
        <v>3</v>
      </c>
      <c r="AW10" s="11">
        <f>'[1]功能-行军令'!N6</f>
        <v>10.632643013866151</v>
      </c>
      <c r="AX10" s="11">
        <f>'[1]功能-行军令'!O6</f>
        <v>13.120311648049476</v>
      </c>
      <c r="AY10" s="11">
        <f>'[1]功能-行军令'!P6</f>
        <v>14.210666074680118</v>
      </c>
      <c r="AZ10" s="11">
        <f>'[1]功能-行军令'!Q6</f>
        <v>11.453968457804642</v>
      </c>
      <c r="BA10" s="11">
        <f>'[1]功能-行军令'!R6</f>
        <v>6.1162429781958272</v>
      </c>
    </row>
    <row r="11" spans="2:53" x14ac:dyDescent="0.15">
      <c r="C11" s="7" t="s">
        <v>68</v>
      </c>
      <c r="D11" s="12">
        <f>'[2]功能-军团技术'!FU11</f>
        <v>3</v>
      </c>
      <c r="E11" s="12">
        <f>'[2]功能-军团技术'!FV11</f>
        <v>0.79</v>
      </c>
      <c r="F11" s="12">
        <f>'[2]功能-军团技术'!FW11</f>
        <v>1.31</v>
      </c>
      <c r="G11" s="12">
        <f>'[2]功能-军团技术'!FX11</f>
        <v>2.34</v>
      </c>
      <c r="H11" s="12">
        <f>'[2]功能-军团技术'!FY11</f>
        <v>2.89</v>
      </c>
      <c r="I11" s="12">
        <f>'[2]功能-军团技术'!FZ11</f>
        <v>4.45</v>
      </c>
      <c r="K11" s="13">
        <f t="shared" si="0"/>
        <v>19</v>
      </c>
      <c r="L11" s="7">
        <v>20</v>
      </c>
      <c r="M11" s="17">
        <f t="array" ref="M11">INDEX($I$8:$I$59,MATCH($L$7&amp;$K11,$C$8:$C$59&amp;$D$8:$D$59,0))</f>
        <v>61.49</v>
      </c>
      <c r="P11" s="32"/>
      <c r="Q11" s="7">
        <v>4</v>
      </c>
      <c r="R11" s="7">
        <v>3</v>
      </c>
      <c r="S11" s="7">
        <f>SUM($R$8:R11)</f>
        <v>8.5</v>
      </c>
      <c r="T11" s="11">
        <f>[1]服务器生态!$AO30</f>
        <v>26</v>
      </c>
      <c r="W11" s="47"/>
      <c r="Y11" s="47"/>
      <c r="Z11" s="11">
        <f>'[2]资源-4赛季军团信息'!$D8</f>
        <v>4</v>
      </c>
      <c r="AA11" s="11">
        <f>'[2]资源-4赛季军团信息'!$F8</f>
        <v>225.38</v>
      </c>
      <c r="AB11" s="11">
        <f>'[2]资源-4赛季军团信息'!$G8</f>
        <v>138</v>
      </c>
      <c r="AF11" s="7">
        <v>4</v>
      </c>
      <c r="AG11" s="11">
        <f>[1]服务器生态!AC25</f>
        <v>0.79072826086956538</v>
      </c>
      <c r="AH11" s="11">
        <f>[1]服务器生态!AD25</f>
        <v>0.17475173913043468</v>
      </c>
      <c r="AI11" s="11">
        <f>[1]服务器生态!AE25</f>
        <v>3.0719999999999997E-2</v>
      </c>
      <c r="AJ11" s="11">
        <f>[1]服务器生态!AF25</f>
        <v>3.2000000000000006E-3</v>
      </c>
      <c r="AK11" s="11">
        <f>[1]服务器生态!AG25</f>
        <v>6.0000000000000006E-4</v>
      </c>
      <c r="AV11" s="15">
        <v>4</v>
      </c>
      <c r="AW11" s="11">
        <f>'[1]功能-行军令'!N7</f>
        <v>14.697363895553133</v>
      </c>
      <c r="AX11" s="11">
        <f>'[1]功能-行军令'!O7</f>
        <v>18.221663954542464</v>
      </c>
      <c r="AY11" s="11">
        <f>'[1]功能-行军令'!P7</f>
        <v>19.852560134291625</v>
      </c>
      <c r="AZ11" s="11">
        <f>'[1]功能-行军令'!Q7</f>
        <v>16.076200284493559</v>
      </c>
      <c r="BA11" s="11">
        <f>'[1]功能-行军令'!R7</f>
        <v>8.6584407264078909</v>
      </c>
    </row>
    <row r="12" spans="2:53" x14ac:dyDescent="0.15">
      <c r="C12" s="7" t="s">
        <v>69</v>
      </c>
      <c r="D12" s="12">
        <f>'[2]功能-军团技术'!FU12</f>
        <v>3</v>
      </c>
      <c r="E12" s="12">
        <f>'[2]功能-军团技术'!FV12</f>
        <v>0.79</v>
      </c>
      <c r="F12" s="12">
        <f>'[2]功能-军团技术'!FW12</f>
        <v>1.31</v>
      </c>
      <c r="G12" s="12">
        <f>'[2]功能-军团技术'!FX12</f>
        <v>2.34</v>
      </c>
      <c r="H12" s="12">
        <f>'[2]功能-军团技术'!FY12</f>
        <v>2.89</v>
      </c>
      <c r="I12" s="12">
        <f>'[2]功能-军团技术'!FZ12</f>
        <v>4.45</v>
      </c>
      <c r="P12" s="32"/>
      <c r="Q12" s="7">
        <v>5</v>
      </c>
      <c r="R12" s="7">
        <v>3</v>
      </c>
      <c r="S12" s="7">
        <f>SUM($R$8:R12)</f>
        <v>11.5</v>
      </c>
      <c r="T12" s="11">
        <f>[1]服务器生态!$AO31</f>
        <v>12</v>
      </c>
      <c r="W12" s="47"/>
      <c r="Y12" s="47"/>
      <c r="Z12" s="11">
        <f>'[2]资源-4赛季军团信息'!$D9</f>
        <v>5</v>
      </c>
      <c r="AA12" s="11">
        <f>'[2]资源-4赛季军团信息'!$F9</f>
        <v>225.6</v>
      </c>
      <c r="AB12" s="11">
        <f>'[2]资源-4赛季军团信息'!$G9</f>
        <v>138</v>
      </c>
      <c r="AF12" s="7">
        <v>5</v>
      </c>
      <c r="AG12" s="11">
        <f>[1]服务器生态!AC26</f>
        <v>0.75430434782608713</v>
      </c>
      <c r="AH12" s="11">
        <f>[1]服务器生态!AD26</f>
        <v>0.20880231884057956</v>
      </c>
      <c r="AI12" s="11">
        <f>[1]服务器生态!AE26</f>
        <v>3.2426666666666666E-2</v>
      </c>
      <c r="AJ12" s="11">
        <f>[1]服务器生态!AF26</f>
        <v>3.7333333333333342E-3</v>
      </c>
      <c r="AK12" s="11">
        <f>[1]服务器生态!AG26</f>
        <v>7.3333333333333334E-4</v>
      </c>
      <c r="AO12" s="43" t="s">
        <v>225</v>
      </c>
      <c r="AP12" s="11">
        <f>'[1]功能-行军令'!F7</f>
        <v>10</v>
      </c>
      <c r="AQ12" s="11">
        <f>'[1]功能-行军令'!G7</f>
        <v>10</v>
      </c>
      <c r="AR12" s="11">
        <f>'[1]功能-行军令'!H7</f>
        <v>10</v>
      </c>
      <c r="AS12" s="11">
        <f>'[1]功能-行军令'!I7</f>
        <v>10</v>
      </c>
      <c r="AT12" s="11">
        <f>'[1]功能-行军令'!J7</f>
        <v>10</v>
      </c>
      <c r="AV12" s="7">
        <v>5</v>
      </c>
      <c r="AW12" s="11">
        <f>'[1]功能-行军令'!N8</f>
        <v>19.053823869162375</v>
      </c>
      <c r="AX12" s="11">
        <f>'[1]功能-行军令'!O8</f>
        <v>23.611664224090969</v>
      </c>
      <c r="AY12" s="11">
        <f>'[1]功能-行军令'!P8</f>
        <v>25.76723160268055</v>
      </c>
      <c r="AZ12" s="11">
        <f>'[1]功能-行军令'!Q8</f>
        <v>20.905358492970112</v>
      </c>
      <c r="BA12" s="11">
        <f>'[1]功能-行军令'!R8</f>
        <v>11.280360786818976</v>
      </c>
    </row>
    <row r="13" spans="2:53" x14ac:dyDescent="0.15">
      <c r="C13" s="7" t="s">
        <v>70</v>
      </c>
      <c r="D13" s="12">
        <f>'[2]功能-军团技术'!FU13</f>
        <v>3</v>
      </c>
      <c r="E13" s="12">
        <f>'[2]功能-军团技术'!FV13</f>
        <v>0.79</v>
      </c>
      <c r="F13" s="12">
        <f>'[2]功能-军团技术'!FW13</f>
        <v>1.31</v>
      </c>
      <c r="G13" s="12">
        <f>'[2]功能-军团技术'!FX13</f>
        <v>2.34</v>
      </c>
      <c r="H13" s="12">
        <f>'[2]功能-军团技术'!FY13</f>
        <v>2.89</v>
      </c>
      <c r="I13" s="12">
        <f>'[2]功能-军团技术'!FZ13</f>
        <v>4.45</v>
      </c>
      <c r="P13" s="32"/>
      <c r="Q13" s="7">
        <v>6</v>
      </c>
      <c r="R13" s="7">
        <v>5</v>
      </c>
      <c r="S13" s="7">
        <f>SUM($R$8:R13)</f>
        <v>16.5</v>
      </c>
      <c r="T13" s="11">
        <f>[1]服务器生态!$AO32</f>
        <v>5</v>
      </c>
      <c r="W13" s="47"/>
      <c r="Y13" s="47"/>
      <c r="Z13" s="11">
        <f>'[2]资源-4赛季军团信息'!$D10</f>
        <v>6</v>
      </c>
      <c r="AA13" s="11">
        <f>'[2]资源-4赛季军团信息'!$F10</f>
        <v>225.9</v>
      </c>
      <c r="AB13" s="11">
        <f>'[2]资源-4赛季军团信息'!$G10</f>
        <v>138</v>
      </c>
      <c r="AF13" s="7">
        <v>6</v>
      </c>
      <c r="AG13" s="11">
        <f>[1]服务器生态!AC27</f>
        <v>0.71788043478260888</v>
      </c>
      <c r="AH13" s="11">
        <f>[1]服务器生态!AD27</f>
        <v>0.24285289855072448</v>
      </c>
      <c r="AI13" s="11">
        <f>[1]服务器生态!AE27</f>
        <v>3.4133333333333335E-2</v>
      </c>
      <c r="AJ13" s="11">
        <f>[1]服务器生态!AF27</f>
        <v>4.2666666666666677E-3</v>
      </c>
      <c r="AK13" s="11">
        <f>[1]服务器生态!AG27</f>
        <v>8.6666666666666674E-4</v>
      </c>
      <c r="AV13" s="7">
        <v>6</v>
      </c>
      <c r="AW13" s="11">
        <f>'[1]功能-行军令'!N9</f>
        <v>23.722962059478306</v>
      </c>
      <c r="AX13" s="11">
        <f>'[1]功能-行军令'!O9</f>
        <v>29.439164482679558</v>
      </c>
      <c r="AY13" s="11">
        <f>'[1]功能-行军令'!P9</f>
        <v>32.156578214936147</v>
      </c>
      <c r="AZ13" s="11">
        <f>'[1]功能-行军令'!Q9</f>
        <v>26.203507172736675</v>
      </c>
      <c r="BA13" s="11">
        <f>'[1]功能-行军令'!R9</f>
        <v>14.251775743858198</v>
      </c>
    </row>
    <row r="14" spans="2:53" x14ac:dyDescent="0.15">
      <c r="C14" s="7" t="s">
        <v>71</v>
      </c>
      <c r="D14" s="12">
        <f>'[2]功能-军团技术'!FU14</f>
        <v>3</v>
      </c>
      <c r="E14" s="12">
        <f>'[2]功能-军团技术'!FV14</f>
        <v>0.79</v>
      </c>
      <c r="F14" s="12">
        <f>'[2]功能-军团技术'!FW14</f>
        <v>1.31</v>
      </c>
      <c r="G14" s="12">
        <f>'[2]功能-军团技术'!FX14</f>
        <v>2.34</v>
      </c>
      <c r="H14" s="12">
        <f>'[2]功能-军团技术'!FY14</f>
        <v>2.89</v>
      </c>
      <c r="I14" s="12">
        <f>'[2]功能-军团技术'!FZ14</f>
        <v>4.45</v>
      </c>
      <c r="P14" s="32"/>
      <c r="Q14" s="7">
        <v>7</v>
      </c>
      <c r="R14" s="7">
        <v>8</v>
      </c>
      <c r="S14" s="7">
        <f>SUM($R$8:R14)</f>
        <v>24.5</v>
      </c>
      <c r="T14" s="11">
        <f>[1]服务器生态!$AO33</f>
        <v>1</v>
      </c>
      <c r="W14" s="47"/>
      <c r="Y14" s="47"/>
      <c r="Z14" s="11">
        <f>'[2]资源-4赛季军团信息'!$D11</f>
        <v>7</v>
      </c>
      <c r="AA14" s="11">
        <f>'[2]资源-4赛季军团信息'!$F11</f>
        <v>226.3</v>
      </c>
      <c r="AB14" s="11">
        <f>'[2]资源-4赛季军团信息'!$G11</f>
        <v>138</v>
      </c>
      <c r="AF14" s="7">
        <v>7</v>
      </c>
      <c r="AG14" s="11">
        <f>[1]服务器生态!AC28</f>
        <v>0.68145652173913063</v>
      </c>
      <c r="AH14" s="11">
        <f>[1]服务器生态!AD28</f>
        <v>0.27690347826086936</v>
      </c>
      <c r="AI14" s="11">
        <f>[1]服务器生态!AE28</f>
        <v>3.5839999999999997E-2</v>
      </c>
      <c r="AJ14" s="11">
        <f>[1]服务器生态!AF28</f>
        <v>4.8000000000000004E-3</v>
      </c>
      <c r="AK14" s="11">
        <f>[1]服务器生态!AG28</f>
        <v>1E-3</v>
      </c>
      <c r="AO14" s="43" t="s">
        <v>226</v>
      </c>
      <c r="AV14" s="7">
        <v>7</v>
      </c>
      <c r="AW14" s="11">
        <f>'[1]功能-行军令'!N10</f>
        <v>28.727220464773662</v>
      </c>
      <c r="AX14" s="11">
        <f>'[1]功能-行军令'!O10</f>
        <v>35.787309596867416</v>
      </c>
      <c r="AY14" s="11">
        <f>'[1]功能-行军令'!P10</f>
        <v>39.195606953575002</v>
      </c>
      <c r="AZ14" s="11">
        <f>'[1]功能-行军令'!Q10</f>
        <v>31.878971252634962</v>
      </c>
      <c r="BA14" s="11">
        <f>'[1]功能-行军令'!R10</f>
        <v>17.200235901845417</v>
      </c>
    </row>
    <row r="15" spans="2:53" x14ac:dyDescent="0.15">
      <c r="C15" s="7" t="s">
        <v>72</v>
      </c>
      <c r="D15" s="12">
        <f>'[2]功能-军团技术'!FU15</f>
        <v>4</v>
      </c>
      <c r="E15" s="12">
        <f>'[2]功能-军团技术'!FV15</f>
        <v>1.07</v>
      </c>
      <c r="F15" s="12">
        <f>'[2]功能-军团技术'!FW15</f>
        <v>1.59</v>
      </c>
      <c r="G15" s="12">
        <f>'[2]功能-军团技术'!FX15</f>
        <v>2.62</v>
      </c>
      <c r="H15" s="12">
        <f>'[2]功能-军团技术'!FY15</f>
        <v>3.17</v>
      </c>
      <c r="I15" s="12">
        <f>'[2]功能-军团技术'!FZ15</f>
        <v>4.7300000000000004</v>
      </c>
      <c r="W15" s="47"/>
      <c r="Y15" s="47"/>
      <c r="Z15" s="11">
        <f>'[2]资源-4赛季军团信息'!$D12</f>
        <v>8</v>
      </c>
      <c r="AA15" s="11">
        <f>'[2]资源-4赛季军团信息'!$F12</f>
        <v>226.82</v>
      </c>
      <c r="AB15" s="11">
        <f>'[2]资源-4赛季军团信息'!$G12</f>
        <v>138</v>
      </c>
      <c r="AF15" s="7">
        <v>8</v>
      </c>
      <c r="AG15" s="11">
        <f>[1]服务器生态!AC29</f>
        <v>0.67007731420004302</v>
      </c>
      <c r="AH15" s="11">
        <f>[1]服务器生态!AD29</f>
        <v>0.28808314294281412</v>
      </c>
      <c r="AI15" s="11">
        <f>[1]服务器生态!AE29</f>
        <v>3.5942399999999999E-2</v>
      </c>
      <c r="AJ15" s="11">
        <f>[1]服务器生态!AF29</f>
        <v>4.8685714285714287E-3</v>
      </c>
      <c r="AK15" s="11">
        <f>[1]服务器生态!AG29</f>
        <v>1.0285714285714286E-3</v>
      </c>
      <c r="AP15" s="43" t="s">
        <v>142</v>
      </c>
      <c r="AQ15" s="43" t="s">
        <v>143</v>
      </c>
      <c r="AR15" s="43" t="s">
        <v>144</v>
      </c>
      <c r="AS15" s="43" t="s">
        <v>145</v>
      </c>
      <c r="AT15" s="43" t="s">
        <v>146</v>
      </c>
      <c r="AV15" s="7">
        <v>8</v>
      </c>
      <c r="AW15" s="11">
        <f>'[1]功能-行军令'!N11</f>
        <v>34.090651823243419</v>
      </c>
      <c r="AX15" s="11">
        <f>'[1]功能-行军令'!O11</f>
        <v>42.270259067554726</v>
      </c>
      <c r="AY15" s="11">
        <f>'[1]功能-行军令'!P11</f>
        <v>46.0009621388201</v>
      </c>
      <c r="AZ15" s="11">
        <f>'[1]功能-行军令'!Q11</f>
        <v>37.281240393448371</v>
      </c>
      <c r="BA15" s="11">
        <f>'[1]功能-行军令'!R11</f>
        <v>20.167288517504215</v>
      </c>
    </row>
    <row r="16" spans="2:53" x14ac:dyDescent="0.15">
      <c r="B16" s="14"/>
      <c r="C16" s="14" t="s">
        <v>67</v>
      </c>
      <c r="D16" s="12">
        <f>'[2]功能-军团技术'!FU16</f>
        <v>4</v>
      </c>
      <c r="E16" s="12">
        <f>'[2]功能-军团技术'!FV16</f>
        <v>1.07</v>
      </c>
      <c r="F16" s="12">
        <f>'[2]功能-军团技术'!FW16</f>
        <v>1.59</v>
      </c>
      <c r="G16" s="12">
        <f>'[2]功能-军团技术'!FX16</f>
        <v>2.62</v>
      </c>
      <c r="H16" s="12">
        <f>'[2]功能-军团技术'!FY16</f>
        <v>3.17</v>
      </c>
      <c r="I16" s="12">
        <f>'[2]功能-军团技术'!FZ16</f>
        <v>4.7300000000000004</v>
      </c>
      <c r="W16" s="47"/>
      <c r="Y16" s="47"/>
      <c r="Z16" s="11">
        <f>'[2]资源-4赛季军团信息'!$D13</f>
        <v>9</v>
      </c>
      <c r="AA16" s="11">
        <f>'[2]资源-4赛季军团信息'!$F13</f>
        <v>227.48</v>
      </c>
      <c r="AB16" s="11">
        <f>'[2]资源-4赛季军团信息'!$G13</f>
        <v>138</v>
      </c>
      <c r="AF16" s="7">
        <v>9</v>
      </c>
      <c r="AG16" s="11">
        <f>[1]服务器生态!AC30</f>
        <v>0.65869810666095541</v>
      </c>
      <c r="AH16" s="11">
        <f>[1]服务器生态!AD30</f>
        <v>0.29926280762475882</v>
      </c>
      <c r="AI16" s="11">
        <f>[1]服务器生态!AE30</f>
        <v>3.6044799999999995E-2</v>
      </c>
      <c r="AJ16" s="11">
        <f>[1]服务器生态!AF30</f>
        <v>4.9371428571428578E-3</v>
      </c>
      <c r="AK16" s="11">
        <f>[1]服务器生态!AG30</f>
        <v>1.0571428571428572E-3</v>
      </c>
      <c r="AO16" s="43" t="s">
        <v>227</v>
      </c>
      <c r="AP16" s="11">
        <f>'[1]功能-行军令'!F11</f>
        <v>12</v>
      </c>
      <c r="AQ16" s="11">
        <f>'[1]功能-行军令'!G11</f>
        <v>21</v>
      </c>
      <c r="AR16" s="11">
        <f>'[1]功能-行军令'!H11</f>
        <v>33</v>
      </c>
      <c r="AS16" s="11">
        <f>'[1]功能-行军令'!I11</f>
        <v>45</v>
      </c>
      <c r="AT16" s="11">
        <f>'[1]功能-行军令'!J11</f>
        <v>45</v>
      </c>
      <c r="AV16" s="7">
        <v>9</v>
      </c>
      <c r="AW16" s="11">
        <f>'[1]功能-行军令'!N12</f>
        <v>39.839035221386283</v>
      </c>
      <c r="AX16" s="11">
        <f>'[1]功能-行军令'!O12</f>
        <v>49.380484156908295</v>
      </c>
      <c r="AY16" s="11">
        <f>'[1]功能-行军令'!P12</f>
        <v>53.946817052663931</v>
      </c>
      <c r="AZ16" s="11">
        <f>'[1]功能-行军令'!Q12</f>
        <v>44.049328391500353</v>
      </c>
      <c r="BA16" s="11">
        <f>'[1]功能-行军令'!R12</f>
        <v>23.889044437512744</v>
      </c>
    </row>
    <row r="17" spans="3:53" x14ac:dyDescent="0.15">
      <c r="C17" s="7" t="s">
        <v>68</v>
      </c>
      <c r="D17" s="12">
        <f>'[2]功能-军团技术'!FU17</f>
        <v>5</v>
      </c>
      <c r="E17" s="12">
        <f>'[2]功能-军团技术'!FV17</f>
        <v>1.52</v>
      </c>
      <c r="F17" s="12">
        <f>'[2]功能-军团技术'!FW17</f>
        <v>2.0499999999999998</v>
      </c>
      <c r="G17" s="12">
        <f>'[2]功能-军团技术'!FX17</f>
        <v>3.09</v>
      </c>
      <c r="H17" s="12">
        <f>'[2]功能-军团技术'!FY17</f>
        <v>3.65</v>
      </c>
      <c r="I17" s="12">
        <f>'[2]功能-军团技术'!FZ17</f>
        <v>5.22</v>
      </c>
      <c r="R17" s="14"/>
      <c r="W17" s="47"/>
      <c r="Y17" s="47"/>
      <c r="Z17" s="11">
        <f>'[2]资源-4赛季军团信息'!$D14</f>
        <v>10</v>
      </c>
      <c r="AA17" s="11">
        <f>'[2]资源-4赛季军团信息'!$F14</f>
        <v>228.3</v>
      </c>
      <c r="AB17" s="11">
        <f>'[2]资源-4赛季军团信息'!$G14</f>
        <v>138</v>
      </c>
      <c r="AF17" s="7">
        <v>10</v>
      </c>
      <c r="AG17" s="11">
        <f>[1]服务器生态!AC31</f>
        <v>0.6473188991218678</v>
      </c>
      <c r="AH17" s="11">
        <f>[1]服务器生态!AD31</f>
        <v>0.31044247230670358</v>
      </c>
      <c r="AI17" s="11">
        <f>[1]服务器生态!AE31</f>
        <v>3.6147199999999997E-2</v>
      </c>
      <c r="AJ17" s="11">
        <f>[1]服务器生态!AF31</f>
        <v>5.0057142857142861E-3</v>
      </c>
      <c r="AK17" s="11">
        <f>[1]服务器生态!AG31</f>
        <v>1.0857142857142858E-3</v>
      </c>
      <c r="AO17" s="43" t="s">
        <v>228</v>
      </c>
      <c r="AP17" s="11">
        <f>'[1]功能-行军令'!F12</f>
        <v>0</v>
      </c>
      <c r="AQ17" s="11">
        <f>'[1]功能-行军令'!G12</f>
        <v>12</v>
      </c>
      <c r="AR17" s="11">
        <f>'[1]功能-行军令'!H12</f>
        <v>24</v>
      </c>
      <c r="AS17" s="11">
        <f>'[1]功能-行军令'!I12</f>
        <v>24</v>
      </c>
      <c r="AT17" s="11">
        <f>'[1]功能-行军令'!J12</f>
        <v>24</v>
      </c>
      <c r="AV17" s="7">
        <v>10</v>
      </c>
      <c r="AW17" s="11">
        <f>'[1]功能-行军令'!N13</f>
        <v>46</v>
      </c>
      <c r="AX17" s="11">
        <f>'[1]功能-行军令'!O13</f>
        <v>57.271599999999999</v>
      </c>
      <c r="AY17" s="11">
        <f>'[1]功能-行军令'!P13</f>
        <v>62.744500000000002</v>
      </c>
      <c r="AZ17" s="11">
        <f>'[1]功能-行军令'!Q13</f>
        <v>51.479400000000005</v>
      </c>
      <c r="BA17" s="11">
        <f>'[1]功能-行军令'!R13</f>
        <v>28.139600000000002</v>
      </c>
    </row>
    <row r="18" spans="3:53" x14ac:dyDescent="0.15">
      <c r="C18" s="7" t="s">
        <v>69</v>
      </c>
      <c r="D18" s="12">
        <f>'[2]功能-军团技术'!FU18</f>
        <v>5</v>
      </c>
      <c r="E18" s="12">
        <f>'[2]功能-军团技术'!FV18</f>
        <v>1.52</v>
      </c>
      <c r="F18" s="12">
        <f>'[2]功能-军团技术'!FW18</f>
        <v>2.0499999999999998</v>
      </c>
      <c r="G18" s="12">
        <f>'[2]功能-军团技术'!FX18</f>
        <v>3.09</v>
      </c>
      <c r="H18" s="12">
        <f>'[2]功能-军团技术'!FY18</f>
        <v>3.65</v>
      </c>
      <c r="I18" s="12">
        <f>'[2]功能-军团技术'!FZ18</f>
        <v>5.22</v>
      </c>
      <c r="W18" s="47"/>
      <c r="Y18" s="47"/>
      <c r="Z18" s="11">
        <f>'[2]资源-4赛季军团信息'!$D15</f>
        <v>11</v>
      </c>
      <c r="AA18" s="11">
        <f>'[2]资源-4赛季军团信息'!$F15</f>
        <v>229.3</v>
      </c>
      <c r="AB18" s="11">
        <f>'[2]资源-4赛季军团信息'!$G15</f>
        <v>138</v>
      </c>
      <c r="AF18" s="7">
        <v>11</v>
      </c>
      <c r="AG18" s="11">
        <f>[1]服务器生态!AC32</f>
        <v>0.6359396915827803</v>
      </c>
      <c r="AH18" s="11">
        <f>[1]服务器生态!AD32</f>
        <v>0.32162213698864833</v>
      </c>
      <c r="AI18" s="11">
        <f>[1]服务器生态!AE32</f>
        <v>3.62496E-2</v>
      </c>
      <c r="AJ18" s="11">
        <f>[1]服务器生态!AF32</f>
        <v>5.0742857142857152E-3</v>
      </c>
      <c r="AK18" s="11">
        <f>[1]服务器生态!AG32</f>
        <v>1.1142857142857141E-3</v>
      </c>
      <c r="AO18" s="43" t="s">
        <v>224</v>
      </c>
      <c r="AP18" s="11">
        <f>'[1]功能-行军令'!F13</f>
        <v>0</v>
      </c>
      <c r="AQ18" s="11">
        <f>'[1]功能-行军令'!G13</f>
        <v>0</v>
      </c>
      <c r="AR18" s="11">
        <f>'[1]功能-行军令'!H13</f>
        <v>0</v>
      </c>
      <c r="AS18" s="11">
        <f>'[1]功能-行军令'!I13</f>
        <v>0</v>
      </c>
      <c r="AT18" s="11">
        <f>'[1]功能-行军令'!J13</f>
        <v>0</v>
      </c>
      <c r="AV18" s="7">
        <v>11</v>
      </c>
      <c r="AW18" s="11">
        <f>'[1]功能-行军令'!N14</f>
        <v>52.603158553338972</v>
      </c>
      <c r="AX18" s="11">
        <f>'[1]功能-行军令'!O14</f>
        <v>65.684306183936783</v>
      </c>
      <c r="AY18" s="11">
        <f>'[1]功能-行军令'!P14</f>
        <v>72.302812722179397</v>
      </c>
      <c r="AZ18" s="11">
        <f>'[1]功能-行军令'!Q14</f>
        <v>59.304915307726851</v>
      </c>
      <c r="BA18" s="11">
        <f>'[1]功能-行军令'!R14</f>
        <v>32.720765585871938</v>
      </c>
    </row>
    <row r="19" spans="3:53" x14ac:dyDescent="0.15">
      <c r="C19" s="7" t="s">
        <v>70</v>
      </c>
      <c r="D19" s="12">
        <f>'[2]功能-军团技术'!FU19</f>
        <v>5</v>
      </c>
      <c r="E19" s="12">
        <f>'[2]功能-军团技术'!FV19</f>
        <v>1.52</v>
      </c>
      <c r="F19" s="12">
        <f>'[2]功能-军团技术'!FW19</f>
        <v>2.0499999999999998</v>
      </c>
      <c r="G19" s="12">
        <f>'[2]功能-军团技术'!FX19</f>
        <v>3.09</v>
      </c>
      <c r="H19" s="12">
        <f>'[2]功能-军团技术'!FY19</f>
        <v>3.65</v>
      </c>
      <c r="I19" s="12">
        <f>'[2]功能-军团技术'!FZ19</f>
        <v>5.22</v>
      </c>
      <c r="W19" s="47"/>
      <c r="Y19" s="47"/>
      <c r="Z19" s="11">
        <f>'[2]资源-4赛季军团信息'!$D16</f>
        <v>12</v>
      </c>
      <c r="AA19" s="11">
        <f>'[2]资源-4赛季军团信息'!$F16</f>
        <v>230.5</v>
      </c>
      <c r="AB19" s="11">
        <f>'[2]资源-4赛季军团信息'!$G16</f>
        <v>138</v>
      </c>
      <c r="AF19" s="7">
        <v>12</v>
      </c>
      <c r="AG19" s="11">
        <f>[1]服务器生态!AC33</f>
        <v>0.62456048404369269</v>
      </c>
      <c r="AH19" s="11">
        <f>[1]服务器生态!AD33</f>
        <v>0.33280180167059309</v>
      </c>
      <c r="AI19" s="11">
        <f>[1]服务器生态!AE33</f>
        <v>3.6352000000000002E-2</v>
      </c>
      <c r="AJ19" s="11">
        <f>[1]服务器生态!AF33</f>
        <v>5.1428571428571435E-3</v>
      </c>
      <c r="AK19" s="11">
        <f>[1]服务器生态!AG33</f>
        <v>1.1428571428571427E-3</v>
      </c>
      <c r="AO19" s="43" t="s">
        <v>225</v>
      </c>
      <c r="AP19" s="11">
        <f>'[1]功能-行军令'!F14</f>
        <v>12</v>
      </c>
      <c r="AQ19" s="11">
        <f>'[1]功能-行军令'!G14</f>
        <v>33</v>
      </c>
      <c r="AR19" s="11">
        <f>'[1]功能-行军令'!H14</f>
        <v>57</v>
      </c>
      <c r="AS19" s="11">
        <f>'[1]功能-行军令'!I14</f>
        <v>69</v>
      </c>
      <c r="AT19" s="11">
        <f>'[1]功能-行军令'!J14</f>
        <v>69</v>
      </c>
      <c r="AV19" s="7">
        <v>12</v>
      </c>
      <c r="AW19" s="11">
        <f>'[1]功能-行军令'!N15</f>
        <v>59.680248659727226</v>
      </c>
      <c r="AX19" s="11">
        <f>'[1]功能-行军令'!O15</f>
        <v>74.54737703889127</v>
      </c>
      <c r="AY19" s="11">
        <f>'[1]功能-行军令'!P15</f>
        <v>82.431656845525254</v>
      </c>
      <c r="AZ19" s="11">
        <f>'[1]功能-行军令'!Q15</f>
        <v>68.205701920440248</v>
      </c>
      <c r="BA19" s="11">
        <f>'[1]功能-行军令'!R15</f>
        <v>37.657458466261879</v>
      </c>
    </row>
    <row r="20" spans="3:53" x14ac:dyDescent="0.15">
      <c r="C20" s="7" t="s">
        <v>71</v>
      </c>
      <c r="D20" s="12">
        <f>'[2]功能-军团技术'!FU20</f>
        <v>5</v>
      </c>
      <c r="E20" s="12">
        <f>'[2]功能-军团技术'!FV20</f>
        <v>1.52</v>
      </c>
      <c r="F20" s="12">
        <f>'[2]功能-军团技术'!FW20</f>
        <v>2.0499999999999998</v>
      </c>
      <c r="G20" s="12">
        <f>'[2]功能-军团技术'!FX20</f>
        <v>3.09</v>
      </c>
      <c r="H20" s="12">
        <f>'[2]功能-军团技术'!FY20</f>
        <v>3.65</v>
      </c>
      <c r="I20" s="12">
        <f>'[2]功能-军团技术'!FZ20</f>
        <v>5.22</v>
      </c>
      <c r="W20" s="47"/>
      <c r="Y20" s="47"/>
      <c r="Z20" s="11">
        <f>'[2]资源-4赛季军团信息'!$D17</f>
        <v>13</v>
      </c>
      <c r="AA20" s="11">
        <f>'[2]资源-4赛季军团信息'!$F17</f>
        <v>231.92</v>
      </c>
      <c r="AB20" s="11">
        <f>'[2]资源-4赛季军团信息'!$G17</f>
        <v>138</v>
      </c>
      <c r="AF20" s="7">
        <v>13</v>
      </c>
      <c r="AG20" s="11">
        <f>[1]服务器生态!AC34</f>
        <v>0.61318127650460508</v>
      </c>
      <c r="AH20" s="11">
        <f>[1]服务器生态!AD34</f>
        <v>0.34398146635253779</v>
      </c>
      <c r="AI20" s="11">
        <f>[1]服务器生态!AE34</f>
        <v>3.6454399999999998E-2</v>
      </c>
      <c r="AJ20" s="11">
        <f>[1]服务器生态!AF34</f>
        <v>5.2114285714285717E-3</v>
      </c>
      <c r="AK20" s="11">
        <f>[1]服务器生态!AG34</f>
        <v>1.1714285714285713E-3</v>
      </c>
      <c r="AV20" s="7">
        <v>13</v>
      </c>
      <c r="AW20" s="11">
        <f>'[1]功能-行军令'!N16</f>
        <v>67.265286027732301</v>
      </c>
      <c r="AX20" s="11">
        <f>'[1]功能-行军令'!O16</f>
        <v>84.609786258865753</v>
      </c>
      <c r="AY20" s="11">
        <f>'[1]功能-行军令'!P16</f>
        <v>93.680071393057432</v>
      </c>
      <c r="AZ20" s="11">
        <f>'[1]功能-行军令'!Q16</f>
        <v>77.82315758531557</v>
      </c>
      <c r="BA20" s="11">
        <f>'[1]功能-行军令'!R16</f>
        <v>43.121288981373802</v>
      </c>
    </row>
    <row r="21" spans="3:53" x14ac:dyDescent="0.15">
      <c r="C21" s="14" t="s">
        <v>65</v>
      </c>
      <c r="D21" s="12">
        <f>'[2]功能-军团技术'!FU21</f>
        <v>6</v>
      </c>
      <c r="E21" s="12">
        <f>'[2]功能-军团技术'!FV21</f>
        <v>2.1800000000000002</v>
      </c>
      <c r="F21" s="12">
        <f>'[2]功能-军团技术'!FW21</f>
        <v>2.72</v>
      </c>
      <c r="G21" s="12">
        <f>'[2]功能-军团技术'!FX21</f>
        <v>3.77</v>
      </c>
      <c r="H21" s="12">
        <f>'[2]功能-军团技术'!FY21</f>
        <v>4.3499999999999996</v>
      </c>
      <c r="I21" s="12">
        <f>'[2]功能-军团技术'!FZ21</f>
        <v>5.94</v>
      </c>
      <c r="W21" s="47"/>
      <c r="Y21" s="47"/>
      <c r="Z21" s="11">
        <f>'[2]资源-4赛季军团信息'!$D18</f>
        <v>14</v>
      </c>
      <c r="AA21" s="11">
        <f>'[2]资源-4赛季军团信息'!$F18</f>
        <v>233.58</v>
      </c>
      <c r="AB21" s="11">
        <f>'[2]资源-4赛季军团信息'!$G18</f>
        <v>138</v>
      </c>
      <c r="AF21" s="7">
        <v>14</v>
      </c>
      <c r="AG21" s="11">
        <f>[1]服务器生态!AC35</f>
        <v>0.60180206896551747</v>
      </c>
      <c r="AH21" s="11">
        <f>[1]服务器生态!AD35</f>
        <v>0.35516113103448255</v>
      </c>
      <c r="AI21" s="11">
        <f>[1]服务器生态!AE35</f>
        <v>3.65568E-2</v>
      </c>
      <c r="AJ21" s="11">
        <f>[1]服务器生态!AF35</f>
        <v>5.2800000000000008E-3</v>
      </c>
      <c r="AK21" s="11">
        <f>[1]服务器生态!AG35</f>
        <v>1.1999999999999999E-3</v>
      </c>
      <c r="AO21" s="45" t="s">
        <v>229</v>
      </c>
      <c r="AP21" s="13">
        <f>AP12+AP19+2+86400/3600</f>
        <v>48</v>
      </c>
      <c r="AQ21" s="13">
        <f t="shared" ref="AQ21:AT21" si="1">AQ12+AQ19+2+86400/3600</f>
        <v>69</v>
      </c>
      <c r="AR21" s="13">
        <f t="shared" si="1"/>
        <v>93</v>
      </c>
      <c r="AS21" s="13">
        <f t="shared" si="1"/>
        <v>105</v>
      </c>
      <c r="AT21" s="13">
        <f t="shared" si="1"/>
        <v>105</v>
      </c>
      <c r="AV21" s="7">
        <v>14</v>
      </c>
      <c r="AW21" s="11">
        <f>'[1]功能-行军令'!N17</f>
        <v>75.394727791106263</v>
      </c>
      <c r="AX21" s="11">
        <f>'[1]功能-行军令'!O17</f>
        <v>94.714626787577259</v>
      </c>
      <c r="AY21" s="11">
        <f>'[1]功能-行军令'!P17</f>
        <v>105.06156976741366</v>
      </c>
      <c r="AZ21" s="11">
        <f>'[1]功能-行军令'!Q17</f>
        <v>87.144176609439413</v>
      </c>
      <c r="BA21" s="11">
        <f>'[1]功能-行军令'!R17</f>
        <v>48.214600619248152</v>
      </c>
    </row>
    <row r="22" spans="3:53" x14ac:dyDescent="0.15">
      <c r="C22" s="14" t="s">
        <v>66</v>
      </c>
      <c r="D22" s="12">
        <f>'[2]功能-军团技术'!FU22</f>
        <v>7</v>
      </c>
      <c r="E22" s="12">
        <f>'[2]功能-军团技术'!FV22</f>
        <v>3.11</v>
      </c>
      <c r="F22" s="12">
        <f>'[2]功能-军团技术'!FW22</f>
        <v>3.67</v>
      </c>
      <c r="G22" s="12">
        <f>'[2]功能-军团技术'!FX22</f>
        <v>4.74</v>
      </c>
      <c r="H22" s="12">
        <f>'[2]功能-军团技术'!FY22</f>
        <v>5.33</v>
      </c>
      <c r="I22" s="12">
        <f>'[2]功能-军团技术'!FZ22</f>
        <v>6.94</v>
      </c>
      <c r="W22" s="47"/>
      <c r="Y22" s="47"/>
      <c r="Z22" s="11">
        <f>'[2]资源-4赛季军团信息'!$D19</f>
        <v>15</v>
      </c>
      <c r="AA22" s="11">
        <f>'[2]资源-4赛季军团信息'!$F19</f>
        <v>235.5</v>
      </c>
      <c r="AB22" s="11">
        <f>'[2]资源-4赛季军团信息'!$G19</f>
        <v>138</v>
      </c>
      <c r="AF22" s="7">
        <v>15</v>
      </c>
      <c r="AG22" s="11">
        <f>[1]服务器生态!AC36</f>
        <v>0.59774000783699077</v>
      </c>
      <c r="AH22" s="11">
        <f>[1]服务器生态!AD36</f>
        <v>0.35912949616300921</v>
      </c>
      <c r="AI22" s="11">
        <f>[1]服务器生态!AE36</f>
        <v>3.6602495999999998E-2</v>
      </c>
      <c r="AJ22" s="11">
        <f>[1]服务器生态!AF36</f>
        <v>5.3130000000000009E-3</v>
      </c>
      <c r="AK22" s="11">
        <f>[1]服务器生态!AG36</f>
        <v>1.2149999999999999E-3</v>
      </c>
      <c r="AV22" s="7">
        <v>15</v>
      </c>
      <c r="AW22" s="11">
        <f>'[1]功能-行军令'!N18</f>
        <v>84.107647738324729</v>
      </c>
      <c r="AX22" s="11">
        <f>'[1]功能-行军令'!O18</f>
        <v>105.81948847383583</v>
      </c>
      <c r="AY22" s="11">
        <f>'[1]功能-行军令'!P18</f>
        <v>117.65215461163081</v>
      </c>
      <c r="AZ22" s="11">
        <f>'[1]功能-行军令'!Q18</f>
        <v>97.742228807557069</v>
      </c>
      <c r="BA22" s="11">
        <f>'[1]功能-行军令'!R18</f>
        <v>54.294960626625631</v>
      </c>
    </row>
    <row r="23" spans="3:53" x14ac:dyDescent="0.15">
      <c r="C23" s="14" t="s">
        <v>73</v>
      </c>
      <c r="D23" s="12">
        <f>'[2]功能-军团技术'!FU23</f>
        <v>7</v>
      </c>
      <c r="E23" s="12">
        <f>'[2]功能-军团技术'!FV23</f>
        <v>3.11</v>
      </c>
      <c r="F23" s="12">
        <f>'[2]功能-军团技术'!FW23</f>
        <v>3.67</v>
      </c>
      <c r="G23" s="12">
        <f>'[2]功能-军团技术'!FX23</f>
        <v>4.74</v>
      </c>
      <c r="H23" s="12">
        <f>'[2]功能-军团技术'!FY23</f>
        <v>5.33</v>
      </c>
      <c r="I23" s="12">
        <f>'[2]功能-军团技术'!FZ23</f>
        <v>6.94</v>
      </c>
      <c r="W23" s="47"/>
      <c r="Y23" s="47"/>
      <c r="Z23" s="11">
        <f>'[2]资源-4赛季军团信息'!$D20</f>
        <v>16</v>
      </c>
      <c r="AA23" s="11">
        <f>'[2]资源-4赛季军团信息'!$F20</f>
        <v>237.7</v>
      </c>
      <c r="AB23" s="11">
        <f>'[2]资源-4赛季军团信息'!$G20</f>
        <v>138</v>
      </c>
      <c r="AF23" s="7">
        <v>16</v>
      </c>
      <c r="AG23" s="11">
        <f>[1]服务器生态!AC37</f>
        <v>0.59367794670846419</v>
      </c>
      <c r="AH23" s="11">
        <f>[1]服务器生态!AD37</f>
        <v>0.36309786129153582</v>
      </c>
      <c r="AI23" s="11">
        <f>[1]服务器生态!AE37</f>
        <v>3.6648192000000003E-2</v>
      </c>
      <c r="AJ23" s="11">
        <f>[1]服务器生态!AF37</f>
        <v>5.3460000000000009E-3</v>
      </c>
      <c r="AK23" s="11">
        <f>[1]服务器生态!AG37</f>
        <v>1.23E-3</v>
      </c>
      <c r="AV23" s="7">
        <v>16</v>
      </c>
      <c r="AW23" s="11">
        <f>'[1]功能-行军令'!N19</f>
        <v>93.445924118956611</v>
      </c>
      <c r="AX23" s="11">
        <f>'[1]功能-行军令'!O19</f>
        <v>117.82698143815891</v>
      </c>
      <c r="AY23" s="11">
        <f>'[1]功能-行军令'!P19</f>
        <v>131.02906222634775</v>
      </c>
      <c r="AZ23" s="11">
        <f>'[1]功能-行军令'!Q19</f>
        <v>109.36850015888693</v>
      </c>
      <c r="BA23" s="11">
        <f>'[1]功能-行军令'!R19</f>
        <v>61.243849237624261</v>
      </c>
    </row>
    <row r="24" spans="3:53" x14ac:dyDescent="0.15">
      <c r="C24" s="14" t="s">
        <v>68</v>
      </c>
      <c r="D24" s="12">
        <f>'[2]功能-军团技术'!FU24</f>
        <v>8</v>
      </c>
      <c r="E24" s="12">
        <f>'[2]功能-军团技术'!FV24</f>
        <v>4.3600000000000003</v>
      </c>
      <c r="F24" s="12">
        <f>'[2]功能-军团技术'!FW24</f>
        <v>4.95</v>
      </c>
      <c r="G24" s="12">
        <f>'[2]功能-军团技术'!FX24</f>
        <v>6.05</v>
      </c>
      <c r="H24" s="12">
        <f>'[2]功能-军团技术'!FY24</f>
        <v>6.67</v>
      </c>
      <c r="I24" s="12">
        <f>'[2]功能-军团技术'!FZ24</f>
        <v>8.3000000000000007</v>
      </c>
      <c r="W24" s="47"/>
      <c r="Y24" s="47"/>
      <c r="Z24" s="11">
        <f>'[2]资源-4赛季军团信息'!$D21</f>
        <v>17</v>
      </c>
      <c r="AA24" s="11">
        <f>'[2]资源-4赛季军团信息'!$F21</f>
        <v>240.2</v>
      </c>
      <c r="AB24" s="11">
        <f>'[2]资源-4赛季军团信息'!$G21</f>
        <v>138</v>
      </c>
      <c r="AF24" s="7">
        <v>17</v>
      </c>
      <c r="AG24" s="11">
        <f>[1]服务器生态!AC38</f>
        <v>0.58961588557993749</v>
      </c>
      <c r="AH24" s="11">
        <f>[1]服务器生态!AD38</f>
        <v>0.36706622642006248</v>
      </c>
      <c r="AI24" s="11">
        <f>[1]服务器生态!AE38</f>
        <v>3.6693888000000001E-2</v>
      </c>
      <c r="AJ24" s="11">
        <f>[1]服务器生态!AF38</f>
        <v>5.379000000000001E-3</v>
      </c>
      <c r="AK24" s="11">
        <f>[1]服务器生态!AG38</f>
        <v>1.2449999999999998E-3</v>
      </c>
      <c r="AV24" s="7">
        <v>17</v>
      </c>
      <c r="AW24" s="11">
        <f>'[1]功能-行军令'!N20</f>
        <v>103.45444092954733</v>
      </c>
      <c r="AX24" s="11">
        <f>'[1]功能-行军令'!O20</f>
        <v>130.20573524530138</v>
      </c>
      <c r="AY24" s="11">
        <f>'[1]功能-行军令'!P20</f>
        <v>144.73546167193922</v>
      </c>
      <c r="AZ24" s="11">
        <f>'[1]功能-行军令'!Q20</f>
        <v>120.9434141686873</v>
      </c>
      <c r="BA24" s="11">
        <f>'[1]功能-行军令'!R20</f>
        <v>67.270575511562512</v>
      </c>
    </row>
    <row r="25" spans="3:53" x14ac:dyDescent="0.15">
      <c r="C25" s="14" t="s">
        <v>69</v>
      </c>
      <c r="D25" s="12">
        <f>'[2]功能-军团技术'!FU25</f>
        <v>8</v>
      </c>
      <c r="E25" s="12">
        <f>'[2]功能-军团技术'!FV25</f>
        <v>4.3600000000000003</v>
      </c>
      <c r="F25" s="12">
        <f>'[2]功能-军团技术'!FW25</f>
        <v>4.95</v>
      </c>
      <c r="G25" s="12">
        <f>'[2]功能-军团技术'!FX25</f>
        <v>6.05</v>
      </c>
      <c r="H25" s="12">
        <f>'[2]功能-军团技术'!FY25</f>
        <v>6.67</v>
      </c>
      <c r="I25" s="12">
        <f>'[2]功能-军团技术'!FZ25</f>
        <v>8.3000000000000007</v>
      </c>
      <c r="W25" s="47"/>
      <c r="Y25" s="47"/>
      <c r="Z25" s="11">
        <f>'[2]资源-4赛季军团信息'!$D22</f>
        <v>18</v>
      </c>
      <c r="AA25" s="11">
        <f>'[2]资源-4赛季军团信息'!$F22</f>
        <v>243.02</v>
      </c>
      <c r="AB25" s="11">
        <f>'[2]资源-4赛季军团信息'!$G22</f>
        <v>138</v>
      </c>
      <c r="AF25" s="7">
        <v>18</v>
      </c>
      <c r="AG25" s="11">
        <f>[1]服务器生态!AC39</f>
        <v>0.58555382445141091</v>
      </c>
      <c r="AH25" s="11">
        <f>[1]服务器生态!AD39</f>
        <v>0.37103459154858914</v>
      </c>
      <c r="AI25" s="11">
        <f>[1]服务器生态!AE39</f>
        <v>3.6739583999999999E-2</v>
      </c>
      <c r="AJ25" s="11">
        <f>[1]服务器生态!AF39</f>
        <v>5.412000000000001E-3</v>
      </c>
      <c r="AK25" s="11">
        <f>[1]服务器生态!AG39</f>
        <v>1.2599999999999998E-3</v>
      </c>
      <c r="AV25" s="7">
        <v>18</v>
      </c>
      <c r="AW25" s="11">
        <f>'[1]功能-行军令'!N21</f>
        <v>114.18130364648684</v>
      </c>
      <c r="AX25" s="11">
        <f>'[1]功能-行军令'!O21</f>
        <v>144.15538517504154</v>
      </c>
      <c r="AY25" s="11">
        <f>'[1]功能-行军令'!P21</f>
        <v>160.98496467185777</v>
      </c>
      <c r="AZ25" s="11">
        <f>'[1]功能-行军令'!Q21</f>
        <v>134.58302040586085</v>
      </c>
      <c r="BA25" s="11">
        <f>'[1]功能-行军令'!R21</f>
        <v>74.731415016400319</v>
      </c>
    </row>
    <row r="26" spans="3:53" x14ac:dyDescent="0.15">
      <c r="C26" s="14" t="s">
        <v>70</v>
      </c>
      <c r="D26" s="12">
        <f>'[2]功能-军团技术'!FU26</f>
        <v>8</v>
      </c>
      <c r="E26" s="12">
        <f>'[2]功能-军团技术'!FV26</f>
        <v>4.3600000000000003</v>
      </c>
      <c r="F26" s="12">
        <f>'[2]功能-军团技术'!FW26</f>
        <v>4.95</v>
      </c>
      <c r="G26" s="12">
        <f>'[2]功能-军团技术'!FX26</f>
        <v>6.05</v>
      </c>
      <c r="H26" s="12">
        <f>'[2]功能-军团技术'!FY26</f>
        <v>6.67</v>
      </c>
      <c r="I26" s="12">
        <f>'[2]功能-军团技术'!FZ26</f>
        <v>8.3000000000000007</v>
      </c>
      <c r="W26" s="47"/>
      <c r="Y26" s="47"/>
      <c r="Z26" s="11">
        <f>'[2]资源-4赛季军团信息'!$D23</f>
        <v>19</v>
      </c>
      <c r="AA26" s="11">
        <f>'[2]资源-4赛季军团信息'!$F23</f>
        <v>246.18</v>
      </c>
      <c r="AB26" s="11">
        <f>'[2]资源-4赛季军团信息'!$G23</f>
        <v>138</v>
      </c>
      <c r="AF26" s="7">
        <v>19</v>
      </c>
      <c r="AG26" s="11">
        <f>[1]服务器生态!AC40</f>
        <v>0.58149176332288421</v>
      </c>
      <c r="AH26" s="11">
        <f>[1]服务器生态!AD40</f>
        <v>0.37500295667711575</v>
      </c>
      <c r="AI26" s="11">
        <f>[1]服务器生态!AE40</f>
        <v>3.6785280000000004E-2</v>
      </c>
      <c r="AJ26" s="11">
        <f>[1]服务器生态!AF40</f>
        <v>5.4450000000000011E-3</v>
      </c>
      <c r="AK26" s="11">
        <f>[1]服务器生态!AG40</f>
        <v>1.2749999999999999E-3</v>
      </c>
      <c r="AV26" s="7">
        <v>19</v>
      </c>
      <c r="AW26" s="11">
        <f>'[1]功能-行军令'!N22</f>
        <v>125.67807044277257</v>
      </c>
      <c r="AX26" s="11">
        <f>'[1]功能-行军令'!O22</f>
        <v>159.01800361247061</v>
      </c>
      <c r="AY26" s="11">
        <f>'[1]功能-行军令'!P22</f>
        <v>177.54240476934203</v>
      </c>
      <c r="AZ26" s="11">
        <f>'[1]功能-行军令'!Q22</f>
        <v>148.27471429518647</v>
      </c>
      <c r="BA26" s="11">
        <f>'[1]功能-行军令'!R22</f>
        <v>82.678138280367776</v>
      </c>
    </row>
    <row r="27" spans="3:53" x14ac:dyDescent="0.15">
      <c r="C27" s="14" t="s">
        <v>71</v>
      </c>
      <c r="D27" s="12">
        <f>'[2]功能-军团技术'!FU27</f>
        <v>8</v>
      </c>
      <c r="E27" s="12">
        <f>'[2]功能-军团技术'!FV27</f>
        <v>4.3600000000000003</v>
      </c>
      <c r="F27" s="12">
        <f>'[2]功能-军团技术'!FW27</f>
        <v>4.95</v>
      </c>
      <c r="G27" s="12">
        <f>'[2]功能-军团技术'!FX27</f>
        <v>6.05</v>
      </c>
      <c r="H27" s="12">
        <f>'[2]功能-军团技术'!FY27</f>
        <v>6.67</v>
      </c>
      <c r="I27" s="12">
        <f>'[2]功能-军团技术'!FZ27</f>
        <v>8.3000000000000007</v>
      </c>
      <c r="W27" s="47"/>
      <c r="Y27" s="47"/>
      <c r="Z27" s="11">
        <f>'[2]资源-4赛季军团信息'!$D24</f>
        <v>20</v>
      </c>
      <c r="AA27" s="11">
        <f>'[2]资源-4赛季军团信息'!$F24</f>
        <v>249.7</v>
      </c>
      <c r="AB27" s="11">
        <f>'[2]资源-4赛季军团信息'!$G24</f>
        <v>138</v>
      </c>
      <c r="AF27" s="7">
        <v>20</v>
      </c>
      <c r="AG27" s="11">
        <f>[1]服务器生态!AC41</f>
        <v>0.57742970219435763</v>
      </c>
      <c r="AH27" s="11">
        <f>[1]服务器生态!AD41</f>
        <v>0.37897132180564241</v>
      </c>
      <c r="AI27" s="11">
        <f>[1]服务器生态!AE41</f>
        <v>3.6830976000000001E-2</v>
      </c>
      <c r="AJ27" s="11">
        <f>[1]服务器生态!AF41</f>
        <v>5.4780000000000011E-3</v>
      </c>
      <c r="AK27" s="11">
        <f>[1]服务器生态!AG41</f>
        <v>1.2899999999999999E-3</v>
      </c>
      <c r="AV27" s="7">
        <v>20</v>
      </c>
      <c r="AW27" s="11">
        <f>'[1]功能-行军令'!N23</f>
        <v>138</v>
      </c>
      <c r="AX27" s="11">
        <f>'[1]功能-行军令'!O23</f>
        <v>174.4479</v>
      </c>
      <c r="AY27" s="11">
        <f>'[1]功能-行军令'!P23</f>
        <v>194.48519999999999</v>
      </c>
      <c r="AZ27" s="11">
        <f>'[1]功能-行军令'!Q23</f>
        <v>162.75029999999998</v>
      </c>
      <c r="BA27" s="11">
        <f>'[1]功能-行军令'!R23</f>
        <v>90.6297</v>
      </c>
    </row>
    <row r="28" spans="3:53" x14ac:dyDescent="0.15">
      <c r="C28" s="14" t="s">
        <v>72</v>
      </c>
      <c r="D28" s="12">
        <f>'[2]功能-军团技术'!FU28</f>
        <v>9</v>
      </c>
      <c r="E28" s="12">
        <f>'[2]功能-军团技术'!FV28</f>
        <v>5.97</v>
      </c>
      <c r="F28" s="12">
        <f>'[2]功能-军团技术'!FW28</f>
        <v>6.59</v>
      </c>
      <c r="G28" s="12">
        <f>'[2]功能-军团技术'!FX28</f>
        <v>7.72</v>
      </c>
      <c r="H28" s="12">
        <f>'[2]功能-军团技术'!FY28</f>
        <v>8.3699999999999992</v>
      </c>
      <c r="I28" s="12">
        <f>'[2]功能-军团技术'!FZ28</f>
        <v>10.039999999999999</v>
      </c>
      <c r="AF28" s="7">
        <v>21</v>
      </c>
      <c r="AG28" s="11">
        <f>[1]服务器生态!AC42</f>
        <v>0.57336764106583094</v>
      </c>
      <c r="AH28" s="11">
        <f>[1]服务器生态!AD42</f>
        <v>0.38293968693416908</v>
      </c>
      <c r="AI28" s="11">
        <f>[1]服务器生态!AE42</f>
        <v>3.6876671999999999E-2</v>
      </c>
      <c r="AJ28" s="11">
        <f>[1]服务器生态!AF42</f>
        <v>5.5110000000000011E-3</v>
      </c>
      <c r="AK28" s="11">
        <f>[1]服务器生态!AG42</f>
        <v>1.305E-3</v>
      </c>
      <c r="AV28" s="7">
        <v>21</v>
      </c>
      <c r="AW28" s="11">
        <f>'[1]功能-行军令'!N24</f>
        <v>151.20631710667794</v>
      </c>
      <c r="AX28" s="11">
        <f>'[1]功能-行军令'!O24</f>
        <v>191.07613583385876</v>
      </c>
      <c r="AY28" s="11">
        <f>'[1]功能-行军令'!P24</f>
        <v>213.54572326529612</v>
      </c>
      <c r="AZ28" s="11">
        <f>'[1]功能-行军令'!Q24</f>
        <v>178.86688314626454</v>
      </c>
      <c r="BA28" s="11">
        <f>'[1]功能-行军令'!R24</f>
        <v>100.08148903660003</v>
      </c>
    </row>
    <row r="29" spans="3:53" x14ac:dyDescent="0.15">
      <c r="C29" s="14" t="s">
        <v>67</v>
      </c>
      <c r="D29" s="12">
        <f>'[2]功能-军团技术'!FU29</f>
        <v>9</v>
      </c>
      <c r="E29" s="12">
        <f>'[2]功能-军团技术'!FV29</f>
        <v>5.97</v>
      </c>
      <c r="F29" s="12">
        <f>'[2]功能-军团技术'!FW29</f>
        <v>6.59</v>
      </c>
      <c r="G29" s="12">
        <f>'[2]功能-军团技术'!FX29</f>
        <v>7.72</v>
      </c>
      <c r="H29" s="12">
        <f>'[2]功能-军团技术'!FY29</f>
        <v>8.3699999999999992</v>
      </c>
      <c r="I29" s="12">
        <f>'[2]功能-军团技术'!FZ29</f>
        <v>10.039999999999999</v>
      </c>
      <c r="AF29" s="7">
        <v>22</v>
      </c>
      <c r="AG29" s="11">
        <f>[1]服务器生态!AC43</f>
        <v>0.56930557993730435</v>
      </c>
      <c r="AH29" s="11">
        <f>[1]服务器生态!AD43</f>
        <v>0.38690805206269574</v>
      </c>
      <c r="AI29" s="11">
        <f>[1]服务器生态!AE43</f>
        <v>3.6922367999999997E-2</v>
      </c>
      <c r="AJ29" s="11">
        <f>[1]服务器生态!AF43</f>
        <v>5.5440000000000012E-3</v>
      </c>
      <c r="AK29" s="11">
        <f>[1]服务器生态!AG43</f>
        <v>1.32E-3</v>
      </c>
      <c r="AV29" s="7">
        <v>22</v>
      </c>
      <c r="AW29" s="11">
        <f>'[1]功能-行军令'!N25</f>
        <v>165.36049731945442</v>
      </c>
      <c r="AX29" s="11">
        <f>'[1]功能-行军令'!O25</f>
        <v>209.32374240788337</v>
      </c>
      <c r="AY29" s="11">
        <f>'[1]功能-行军令'!P25</f>
        <v>234.3204979331129</v>
      </c>
      <c r="AZ29" s="11">
        <f>'[1]功能-行军令'!Q25</f>
        <v>196.49895740273368</v>
      </c>
      <c r="BA29" s="11">
        <f>'[1]功能-行军令'!R25</f>
        <v>110.07940462753481</v>
      </c>
    </row>
    <row r="30" spans="3:53" x14ac:dyDescent="0.15">
      <c r="C30" s="14" t="s">
        <v>68</v>
      </c>
      <c r="D30" s="12">
        <f>'[2]功能-军团技术'!FU30</f>
        <v>10</v>
      </c>
      <c r="E30" s="12">
        <f>'[2]功能-军团技术'!FV30</f>
        <v>8</v>
      </c>
      <c r="F30" s="12">
        <f>'[2]功能-军团技术'!FW30</f>
        <v>8.66</v>
      </c>
      <c r="G30" s="12">
        <f>'[2]功能-军团技术'!FX30</f>
        <v>9.83</v>
      </c>
      <c r="H30" s="12">
        <f>'[2]功能-军团技术'!FY30</f>
        <v>10.53</v>
      </c>
      <c r="I30" s="12">
        <f>'[2]功能-军团技术'!FZ30</f>
        <v>12.24</v>
      </c>
      <c r="AF30" s="7">
        <v>23</v>
      </c>
      <c r="AG30" s="11">
        <f>[1]服务器生态!AC44</f>
        <v>0.56524351880877766</v>
      </c>
      <c r="AH30" s="11">
        <f>[1]服务器生态!AD44</f>
        <v>0.39087641719122235</v>
      </c>
      <c r="AI30" s="11">
        <f>[1]服务器生态!AE44</f>
        <v>3.6968064000000002E-2</v>
      </c>
      <c r="AJ30" s="11">
        <f>[1]服务器生态!AF44</f>
        <v>5.5770000000000012E-3</v>
      </c>
      <c r="AK30" s="11">
        <f>[1]服务器生态!AG44</f>
        <v>1.3349999999999998E-3</v>
      </c>
      <c r="AV30" s="7">
        <v>23</v>
      </c>
      <c r="AW30" s="11">
        <f>'[1]功能-行军令'!N26</f>
        <v>180.53057205546457</v>
      </c>
      <c r="AX30" s="11">
        <f>'[1]功能-行军令'!O26</f>
        <v>228.34291669105832</v>
      </c>
      <c r="AY30" s="11">
        <f>'[1]功能-行军令'!P26</f>
        <v>255.38835867379359</v>
      </c>
      <c r="AZ30" s="11">
        <f>'[1]功能-行军令'!Q26</f>
        <v>214.20227094816607</v>
      </c>
      <c r="BA30" s="11">
        <f>'[1]功能-行军令'!R26</f>
        <v>119.57167719657959</v>
      </c>
    </row>
    <row r="31" spans="3:53" x14ac:dyDescent="0.15">
      <c r="C31" s="14" t="s">
        <v>69</v>
      </c>
      <c r="D31" s="12">
        <f>'[2]功能-军团技术'!FU31</f>
        <v>10</v>
      </c>
      <c r="E31" s="12">
        <f>'[2]功能-军团技术'!FV31</f>
        <v>8</v>
      </c>
      <c r="F31" s="12">
        <f>'[2]功能-军团技术'!FW31</f>
        <v>8.66</v>
      </c>
      <c r="G31" s="12">
        <f>'[2]功能-军团技术'!FX31</f>
        <v>9.83</v>
      </c>
      <c r="H31" s="12">
        <f>'[2]功能-军团技术'!FY31</f>
        <v>10.53</v>
      </c>
      <c r="I31" s="12">
        <f>'[2]功能-军团技术'!FZ31</f>
        <v>12.24</v>
      </c>
      <c r="AF31" s="7">
        <v>24</v>
      </c>
      <c r="AG31" s="11">
        <f>[1]服务器生态!AC45</f>
        <v>0.56118145768025096</v>
      </c>
      <c r="AH31" s="11">
        <f>[1]服务器生态!AD45</f>
        <v>0.39484478231974901</v>
      </c>
      <c r="AI31" s="11">
        <f>[1]服务器生态!AE45</f>
        <v>3.701376E-2</v>
      </c>
      <c r="AJ31" s="11">
        <f>[1]服务器生态!AF45</f>
        <v>5.6100000000000013E-3</v>
      </c>
      <c r="AK31" s="11">
        <f>[1]服务器生态!AG45</f>
        <v>1.3499999999999999E-3</v>
      </c>
      <c r="AV31" s="7">
        <v>24</v>
      </c>
      <c r="AW31" s="11">
        <f>'[1]功能-行军令'!N27</f>
        <v>196.78945558221253</v>
      </c>
      <c r="AX31" s="11">
        <f>'[1]功能-行军令'!O27</f>
        <v>249.3378016637993</v>
      </c>
      <c r="AY31" s="11">
        <f>'[1]功能-行军令'!P27</f>
        <v>279.36231114450891</v>
      </c>
      <c r="AZ31" s="11">
        <f>'[1]功能-行军令'!Q27</f>
        <v>234.24276701115065</v>
      </c>
      <c r="BA31" s="11">
        <f>'[1]功能-行军令'!R27</f>
        <v>130.73707481604291</v>
      </c>
    </row>
    <row r="32" spans="3:53" x14ac:dyDescent="0.15">
      <c r="C32" s="14" t="s">
        <v>70</v>
      </c>
      <c r="D32" s="12">
        <f>'[2]功能-军团技术'!FU32</f>
        <v>10</v>
      </c>
      <c r="E32" s="12">
        <f>'[2]功能-军团技术'!FV32</f>
        <v>8</v>
      </c>
      <c r="F32" s="12">
        <f>'[2]功能-军团技术'!FW32</f>
        <v>8.66</v>
      </c>
      <c r="G32" s="12">
        <f>'[2]功能-军团技术'!FX32</f>
        <v>9.83</v>
      </c>
      <c r="H32" s="12">
        <f>'[2]功能-军团技术'!FY32</f>
        <v>10.53</v>
      </c>
      <c r="I32" s="12">
        <f>'[2]功能-军团技术'!FZ32</f>
        <v>12.24</v>
      </c>
      <c r="AF32" s="7">
        <v>25</v>
      </c>
      <c r="AG32" s="11">
        <f>[1]服务器生态!AC46</f>
        <v>0.55711939655172438</v>
      </c>
      <c r="AH32" s="11">
        <f>[1]服务器生态!AD46</f>
        <v>0.39881314744827567</v>
      </c>
      <c r="AI32" s="11">
        <f>[1]服务器生态!AE46</f>
        <v>3.7059455999999998E-2</v>
      </c>
      <c r="AJ32" s="11">
        <f>[1]服务器生态!AF46</f>
        <v>5.6430000000000013E-3</v>
      </c>
      <c r="AK32" s="11">
        <f>[1]服务器生态!AG46</f>
        <v>1.3649999999999999E-3</v>
      </c>
      <c r="AV32" s="7">
        <v>25</v>
      </c>
      <c r="AW32" s="11">
        <f>'[1]功能-行军令'!N28</f>
        <v>214.21529547664952</v>
      </c>
      <c r="AX32" s="11">
        <f>'[1]功能-行军令'!O28</f>
        <v>271.6352397437405</v>
      </c>
      <c r="AY32" s="11">
        <f>'[1]功能-行军令'!P28</f>
        <v>304.3542977006739</v>
      </c>
      <c r="AZ32" s="11">
        <f>'[1]功能-行军令'!Q28</f>
        <v>255.27291665272404</v>
      </c>
      <c r="BA32" s="11">
        <f>'[1]功能-行军令'!R28</f>
        <v>142.17003475360278</v>
      </c>
    </row>
    <row r="33" spans="3:53" x14ac:dyDescent="0.15">
      <c r="C33" s="14" t="s">
        <v>71</v>
      </c>
      <c r="D33" s="12">
        <f>'[2]功能-军团技术'!FU33</f>
        <v>10</v>
      </c>
      <c r="E33" s="12">
        <f>'[2]功能-军团技术'!FV33</f>
        <v>8</v>
      </c>
      <c r="F33" s="12">
        <f>'[2]功能-军团技术'!FW33</f>
        <v>8.66</v>
      </c>
      <c r="G33" s="12">
        <f>'[2]功能-军团技术'!FX33</f>
        <v>9.83</v>
      </c>
      <c r="H33" s="12">
        <f>'[2]功能-军团技术'!FY33</f>
        <v>10.53</v>
      </c>
      <c r="I33" s="12">
        <f>'[2]功能-军团技术'!FZ33</f>
        <v>12.24</v>
      </c>
      <c r="AF33" s="7">
        <v>26</v>
      </c>
      <c r="AG33" s="11">
        <f>[1]服务器生态!AC47</f>
        <v>0.55305733542319768</v>
      </c>
      <c r="AH33" s="11">
        <f>[1]服务器生态!AD47</f>
        <v>0.40278151257680228</v>
      </c>
      <c r="AI33" s="11">
        <f>[1]服务器生态!AE47</f>
        <v>3.7105152000000002E-2</v>
      </c>
      <c r="AJ33" s="11">
        <f>[1]服务器生态!AF47</f>
        <v>5.6760000000000014E-3</v>
      </c>
      <c r="AK33" s="11">
        <f>[1]服务器生态!AG47</f>
        <v>1.3799999999999999E-3</v>
      </c>
      <c r="AV33" s="7">
        <v>26</v>
      </c>
      <c r="AW33" s="11">
        <f>'[1]功能-行军令'!N29</f>
        <v>232.89184823791322</v>
      </c>
      <c r="AX33" s="11">
        <f>'[1]功能-行军令'!O29</f>
        <v>295.38584427942419</v>
      </c>
      <c r="AY33" s="11">
        <f>'[1]功能-行军令'!P29</f>
        <v>330.98184442270946</v>
      </c>
      <c r="AZ33" s="11">
        <f>'[1]功能-行军令'!Q29</f>
        <v>277.21622982385412</v>
      </c>
      <c r="BA33" s="11">
        <f>'[1]功能-行军令'!R29</f>
        <v>154.46096176415654</v>
      </c>
    </row>
    <row r="34" spans="3:53" x14ac:dyDescent="0.15">
      <c r="C34" s="14" t="s">
        <v>65</v>
      </c>
      <c r="D34" s="12">
        <f>'[2]功能-军团技术'!FU34</f>
        <v>11</v>
      </c>
      <c r="E34" s="12">
        <f>'[2]功能-军团技术'!FV34</f>
        <v>10.5</v>
      </c>
      <c r="F34" s="12">
        <f>'[2]功能-军团技术'!FW34</f>
        <v>11.21</v>
      </c>
      <c r="G34" s="12">
        <f>'[2]功能-军团技术'!FX34</f>
        <v>12.43</v>
      </c>
      <c r="H34" s="12">
        <f>'[2]功能-军团技术'!FY34</f>
        <v>13.18</v>
      </c>
      <c r="I34" s="12">
        <f>'[2]功能-军团技术'!FZ34</f>
        <v>14.94</v>
      </c>
      <c r="AF34" s="7">
        <v>27</v>
      </c>
      <c r="AG34" s="11">
        <f>[1]服务器生态!AC48</f>
        <v>0.5489952742946711</v>
      </c>
      <c r="AH34" s="11">
        <f>[1]服务器生态!AD48</f>
        <v>0.40674987770532894</v>
      </c>
      <c r="AI34" s="11">
        <f>[1]服务器生态!AE48</f>
        <v>3.7150848E-2</v>
      </c>
      <c r="AJ34" s="11">
        <f>[1]服务器生态!AF48</f>
        <v>5.7090000000000014E-3</v>
      </c>
      <c r="AK34" s="11">
        <f>[1]服务器生态!AG48</f>
        <v>1.395E-3</v>
      </c>
      <c r="AV34" s="7">
        <v>27</v>
      </c>
      <c r="AW34" s="11">
        <f>'[1]功能-行军令'!N30</f>
        <v>252.90888185909469</v>
      </c>
      <c r="AX34" s="11">
        <f>'[1]功能-行军令'!O30</f>
        <v>320.81106802484203</v>
      </c>
      <c r="AY34" s="11">
        <f>'[1]功能-行军令'!P30</f>
        <v>359.37967250835402</v>
      </c>
      <c r="AZ34" s="11">
        <f>'[1]功能-行军令'!Q30</f>
        <v>300.81642170621222</v>
      </c>
      <c r="BA34" s="11">
        <f>'[1]功能-行军令'!R30</f>
        <v>167.79349727325055</v>
      </c>
    </row>
    <row r="35" spans="3:53" x14ac:dyDescent="0.15">
      <c r="C35" s="14" t="s">
        <v>66</v>
      </c>
      <c r="D35" s="12">
        <f>'[2]功能-军团技术'!FU35</f>
        <v>12</v>
      </c>
      <c r="E35" s="12">
        <f>'[2]功能-军团技术'!FV35</f>
        <v>13.52</v>
      </c>
      <c r="F35" s="12">
        <f>'[2]功能-军团技术'!FW35</f>
        <v>14.29</v>
      </c>
      <c r="G35" s="12">
        <f>'[2]功能-军团技术'!FX35</f>
        <v>15.58</v>
      </c>
      <c r="H35" s="12">
        <f>'[2]功能-军团技术'!FY35</f>
        <v>16.39</v>
      </c>
      <c r="I35" s="12">
        <f>'[2]功能-军团技术'!FZ35</f>
        <v>18.22</v>
      </c>
      <c r="AF35" s="7">
        <v>28</v>
      </c>
      <c r="AG35" s="11">
        <f>[1]服务器生态!AC49</f>
        <v>0.5449332131661444</v>
      </c>
      <c r="AH35" s="11">
        <f>[1]服务器生态!AD49</f>
        <v>0.41071824283385561</v>
      </c>
      <c r="AI35" s="11">
        <f>[1]服务器生态!AE49</f>
        <v>3.7196543999999998E-2</v>
      </c>
      <c r="AJ35" s="11">
        <f>[1]服务器生态!AF49</f>
        <v>5.7420000000000014E-3</v>
      </c>
      <c r="AK35" s="11">
        <f>[1]服务器生态!AG49</f>
        <v>1.4099999999999998E-3</v>
      </c>
      <c r="AV35" s="7">
        <v>28</v>
      </c>
      <c r="AW35" s="11">
        <f>'[1]功能-行军令'!N31</f>
        <v>274.36260729297362</v>
      </c>
      <c r="AX35" s="11">
        <f>'[1]功能-行军令'!O31</f>
        <v>347.82498471701922</v>
      </c>
      <c r="AY35" s="11">
        <f>'[1]功能-行军令'!P31</f>
        <v>389.05094866504174</v>
      </c>
      <c r="AZ35" s="11">
        <f>'[1]功能-行军令'!Q31</f>
        <v>326.02687556759241</v>
      </c>
      <c r="BA35" s="11">
        <f>'[1]功能-行军令'!R31</f>
        <v>182.70283171999623</v>
      </c>
    </row>
    <row r="36" spans="3:53" x14ac:dyDescent="0.15">
      <c r="C36" s="14" t="s">
        <v>73</v>
      </c>
      <c r="D36" s="12">
        <f>'[2]功能-军团技术'!FU36</f>
        <v>12</v>
      </c>
      <c r="E36" s="12">
        <f>'[2]功能-军团技术'!FV36</f>
        <v>13.52</v>
      </c>
      <c r="F36" s="12">
        <f>'[2]功能-军团技术'!FW36</f>
        <v>14.29</v>
      </c>
      <c r="G36" s="12">
        <f>'[2]功能-军团技术'!FX36</f>
        <v>15.58</v>
      </c>
      <c r="H36" s="12">
        <f>'[2]功能-军团技术'!FY36</f>
        <v>16.39</v>
      </c>
      <c r="I36" s="12">
        <f>'[2]功能-军团技术'!FZ36</f>
        <v>18.22</v>
      </c>
      <c r="AF36" s="7">
        <v>29</v>
      </c>
      <c r="AG36" s="11">
        <f>[1]服务器生态!AC50</f>
        <v>0.54087115203761782</v>
      </c>
      <c r="AH36" s="11">
        <f>[1]服务器生态!AD50</f>
        <v>0.41468660796238221</v>
      </c>
      <c r="AI36" s="11">
        <f>[1]服务器生态!AE50</f>
        <v>3.7242240000000003E-2</v>
      </c>
      <c r="AJ36" s="11">
        <f>[1]服务器生态!AF50</f>
        <v>5.7750000000000015E-3</v>
      </c>
      <c r="AK36" s="11">
        <f>[1]服务器生态!AG50</f>
        <v>1.4249999999999998E-3</v>
      </c>
      <c r="AV36" s="7">
        <v>29</v>
      </c>
      <c r="AW36" s="11">
        <f>'[1]功能-行军令'!N32</f>
        <v>297.35614088554507</v>
      </c>
      <c r="AX36" s="11">
        <f>'[1]功能-行军令'!O32</f>
        <v>377.36498200194677</v>
      </c>
      <c r="AY36" s="11">
        <f>'[1]功能-行军令'!P32</f>
        <v>423.24444883501349</v>
      </c>
      <c r="AZ36" s="11">
        <f>'[1]功能-行军令'!Q32</f>
        <v>355.68060864106502</v>
      </c>
      <c r="BA36" s="11">
        <f>'[1]功能-行军令'!R32</f>
        <v>199.4794278338882</v>
      </c>
    </row>
    <row r="37" spans="3:53" x14ac:dyDescent="0.15">
      <c r="C37" s="14" t="s">
        <v>68</v>
      </c>
      <c r="D37" s="12">
        <f>'[2]功能-军团技术'!FU37</f>
        <v>13</v>
      </c>
      <c r="E37" s="12">
        <f>'[2]功能-军团技术'!FV37</f>
        <v>17.11</v>
      </c>
      <c r="F37" s="12">
        <f>'[2]功能-军团技术'!FW37</f>
        <v>17.95</v>
      </c>
      <c r="G37" s="12">
        <f>'[2]功能-军团技术'!FX37</f>
        <v>19.309999999999999</v>
      </c>
      <c r="H37" s="12">
        <f>'[2]功能-军团技术'!FY37</f>
        <v>20.2</v>
      </c>
      <c r="I37" s="12">
        <f>'[2]功能-军团技术'!FZ37</f>
        <v>22.1</v>
      </c>
      <c r="AF37" s="7">
        <v>30</v>
      </c>
      <c r="AG37" s="11">
        <f>[1]服务器生态!AC51</f>
        <v>0.53680909090909112</v>
      </c>
      <c r="AH37" s="11">
        <f>[1]服务器生态!AD51</f>
        <v>0.41865497309090888</v>
      </c>
      <c r="AI37" s="11">
        <f>[1]服务器生态!AE51</f>
        <v>3.7287936000000001E-2</v>
      </c>
      <c r="AJ37" s="11">
        <f>[1]服务器生态!AF51</f>
        <v>5.8080000000000015E-3</v>
      </c>
      <c r="AK37" s="11">
        <f>[1]服务器生态!AG51</f>
        <v>1.4399999999999999E-3</v>
      </c>
      <c r="AV37" s="7">
        <v>30</v>
      </c>
      <c r="AW37" s="11">
        <f>'[1]功能-行军令'!N33</f>
        <v>322</v>
      </c>
      <c r="AX37" s="11">
        <f>'[1]功能-行军令'!O33</f>
        <v>408.87419999999997</v>
      </c>
      <c r="AY37" s="11">
        <f>'[1]功能-行军令'!P33</f>
        <v>458.83110000000005</v>
      </c>
      <c r="AZ37" s="11">
        <f>'[1]功能-行军令'!Q33</f>
        <v>385.51869999999997</v>
      </c>
      <c r="BA37" s="11">
        <f>'[1]功能-行军令'!R33</f>
        <v>216.37209999999999</v>
      </c>
    </row>
    <row r="38" spans="3:53" x14ac:dyDescent="0.15">
      <c r="C38" s="14" t="s">
        <v>69</v>
      </c>
      <c r="D38" s="12">
        <f>'[2]功能-军团技术'!FU38</f>
        <v>13</v>
      </c>
      <c r="E38" s="12">
        <f>'[2]功能-军团技术'!FV38</f>
        <v>17.11</v>
      </c>
      <c r="F38" s="12">
        <f>'[2]功能-军团技术'!FW38</f>
        <v>17.95</v>
      </c>
      <c r="G38" s="12">
        <f>'[2]功能-军团技术'!FX38</f>
        <v>19.309999999999999</v>
      </c>
      <c r="H38" s="12">
        <f>'[2]功能-军团技术'!FY38</f>
        <v>20.2</v>
      </c>
      <c r="I38" s="12">
        <f>'[2]功能-军团技术'!FZ38</f>
        <v>22.1</v>
      </c>
      <c r="AF38" s="7">
        <v>31</v>
      </c>
      <c r="AG38" s="11">
        <f>[1]服务器生态!AC52</f>
        <v>0.53574441954545471</v>
      </c>
      <c r="AH38" s="11">
        <f>[1]服务器生态!AD52</f>
        <v>0.41966582583054524</v>
      </c>
      <c r="AI38" s="11">
        <f>[1]服务器生态!AE52</f>
        <v>3.7312794624000001E-2</v>
      </c>
      <c r="AJ38" s="11">
        <f>[1]服务器生态!AF52</f>
        <v>5.8273600000000019E-3</v>
      </c>
      <c r="AK38" s="11">
        <f>[1]服务器生态!AG52</f>
        <v>1.4495999999999999E-3</v>
      </c>
      <c r="AV38" s="7">
        <v>31</v>
      </c>
      <c r="AW38" s="11">
        <f>'[1]功能-行军令'!N34</f>
        <v>348.41263421335577</v>
      </c>
      <c r="AX38" s="11">
        <f>'[1]功能-行军令'!O34</f>
        <v>442.97106572009051</v>
      </c>
      <c r="AY38" s="11">
        <f>'[1]功能-行军令'!P34</f>
        <v>497.15680452796772</v>
      </c>
      <c r="AZ38" s="11">
        <f>'[1]功能-行军令'!Q34</f>
        <v>417.37561322449938</v>
      </c>
      <c r="BA38" s="11">
        <f>'[1]功能-行军令'!R34</f>
        <v>234.66651300547557</v>
      </c>
    </row>
    <row r="39" spans="3:53" x14ac:dyDescent="0.15">
      <c r="C39" s="14" t="s">
        <v>70</v>
      </c>
      <c r="D39" s="12">
        <f>'[2]功能-军团技术'!FU39</f>
        <v>13</v>
      </c>
      <c r="E39" s="12">
        <f>'[2]功能-军团技术'!FV39</f>
        <v>17.11</v>
      </c>
      <c r="F39" s="12">
        <f>'[2]功能-军团技术'!FW39</f>
        <v>17.95</v>
      </c>
      <c r="G39" s="12">
        <f>'[2]功能-军团技术'!FX39</f>
        <v>19.309999999999999</v>
      </c>
      <c r="H39" s="12">
        <f>'[2]功能-军团技术'!FY39</f>
        <v>20.2</v>
      </c>
      <c r="I39" s="12">
        <f>'[2]功能-军团技术'!FZ39</f>
        <v>22.1</v>
      </c>
      <c r="AF39" s="7">
        <v>32</v>
      </c>
      <c r="AG39" s="11">
        <f>[1]服务器生态!AC53</f>
        <v>0.5346797481818184</v>
      </c>
      <c r="AH39" s="11">
        <f>[1]服务器生态!AD53</f>
        <v>0.42067667857018159</v>
      </c>
      <c r="AI39" s="11">
        <f>[1]服务器生态!AE53</f>
        <v>3.7337653248000001E-2</v>
      </c>
      <c r="AJ39" s="11">
        <f>[1]服务器生态!AF53</f>
        <v>5.8467200000000014E-3</v>
      </c>
      <c r="AK39" s="11">
        <f>[1]服务器生态!AG53</f>
        <v>1.4591999999999999E-3</v>
      </c>
      <c r="AV39" s="7">
        <v>32</v>
      </c>
      <c r="AW39" s="11">
        <f>'[1]功能-行军令'!N35</f>
        <v>376.72099463890885</v>
      </c>
      <c r="AX39" s="11">
        <f>'[1]功能-行军令'!O35</f>
        <v>479.18173455253606</v>
      </c>
      <c r="AY39" s="11">
        <f>'[1]功能-行军令'!P35</f>
        <v>537.4760326381712</v>
      </c>
      <c r="AZ39" s="11">
        <f>'[1]功能-行军令'!Q35</f>
        <v>451.70894653915161</v>
      </c>
      <c r="BA39" s="11">
        <f>'[1]功能-行军令'!R35</f>
        <v>253.90176079978457</v>
      </c>
    </row>
    <row r="40" spans="3:53" x14ac:dyDescent="0.15">
      <c r="C40" s="14" t="s">
        <v>71</v>
      </c>
      <c r="D40" s="12">
        <f>'[2]功能-军团技术'!FU40</f>
        <v>13</v>
      </c>
      <c r="E40" s="12">
        <f>'[2]功能-军团技术'!FV40</f>
        <v>17.11</v>
      </c>
      <c r="F40" s="12">
        <f>'[2]功能-军团技术'!FW40</f>
        <v>17.95</v>
      </c>
      <c r="G40" s="12">
        <f>'[2]功能-军团技术'!FX40</f>
        <v>19.309999999999999</v>
      </c>
      <c r="H40" s="12">
        <f>'[2]功能-军团技术'!FY40</f>
        <v>20.2</v>
      </c>
      <c r="I40" s="12">
        <f>'[2]功能-军团技术'!FZ40</f>
        <v>22.1</v>
      </c>
      <c r="AF40" s="7">
        <v>33</v>
      </c>
      <c r="AG40" s="11">
        <f>[1]服务器生态!AC54</f>
        <v>0.53361507681818199</v>
      </c>
      <c r="AH40" s="11">
        <f>[1]服务器生态!AD54</f>
        <v>0.42168753130981795</v>
      </c>
      <c r="AI40" s="11">
        <f>[1]服务器生态!AE54</f>
        <v>3.7362511872000001E-2</v>
      </c>
      <c r="AJ40" s="11">
        <f>[1]服务器生态!AF54</f>
        <v>5.8660800000000018E-3</v>
      </c>
      <c r="AK40" s="11">
        <f>[1]服务器生态!AG54</f>
        <v>1.4687999999999999E-3</v>
      </c>
      <c r="AV40" s="7">
        <v>33</v>
      </c>
      <c r="AW40" s="11">
        <f>'[1]功能-行军令'!N36</f>
        <v>407.06114411092915</v>
      </c>
      <c r="AX40" s="11">
        <f>'[1]功能-行军令'!O36</f>
        <v>516.70660293933065</v>
      </c>
      <c r="AY40" s="11">
        <f>'[1]功能-行军令'!P36</f>
        <v>579.63560107228818</v>
      </c>
      <c r="AZ40" s="11">
        <f>'[1]功能-行军令'!Q36</f>
        <v>487.81499577829209</v>
      </c>
      <c r="BA40" s="11">
        <f>'[1]功能-行军令'!R36</f>
        <v>274.25921567579985</v>
      </c>
    </row>
    <row r="41" spans="3:53" x14ac:dyDescent="0.15">
      <c r="C41" s="14" t="s">
        <v>72</v>
      </c>
      <c r="D41" s="12">
        <f>'[2]功能-军团技术'!FU41</f>
        <v>14</v>
      </c>
      <c r="E41" s="12">
        <f>'[2]功能-军团技术'!FV41</f>
        <v>21.32</v>
      </c>
      <c r="F41" s="12">
        <f>'[2]功能-军团技术'!FW41</f>
        <v>22.25</v>
      </c>
      <c r="G41" s="12">
        <f>'[2]功能-军团技术'!FX41</f>
        <v>23.7</v>
      </c>
      <c r="H41" s="12">
        <f>'[2]功能-军团技术'!FY41</f>
        <v>24.67</v>
      </c>
      <c r="I41" s="12">
        <f>'[2]功能-军团技术'!FZ41</f>
        <v>26.66</v>
      </c>
      <c r="AF41" s="7">
        <v>34</v>
      </c>
      <c r="AG41" s="11">
        <f>[1]服务器生态!AC55</f>
        <v>0.53255040545454568</v>
      </c>
      <c r="AH41" s="11">
        <f>[1]服务器生态!AD55</f>
        <v>0.42269838404945431</v>
      </c>
      <c r="AI41" s="11">
        <f>[1]服务器生态!AE55</f>
        <v>3.7387370496000001E-2</v>
      </c>
      <c r="AJ41" s="11">
        <f>[1]服务器生态!AF55</f>
        <v>5.8854400000000013E-3</v>
      </c>
      <c r="AK41" s="11">
        <f>[1]服务器生态!AG55</f>
        <v>1.4783999999999999E-3</v>
      </c>
      <c r="AV41" s="7">
        <v>34</v>
      </c>
      <c r="AW41" s="11">
        <f>'[1]功能-行军令'!N37</f>
        <v>439.57891116442499</v>
      </c>
      <c r="AX41" s="11">
        <f>'[1]功能-行军令'!O37</f>
        <v>558.17539018392961</v>
      </c>
      <c r="AY41" s="11">
        <f>'[1]功能-行军令'!P37</f>
        <v>627.15678862157131</v>
      </c>
      <c r="AZ41" s="11">
        <f>'[1]功能-行军令'!Q37</f>
        <v>528.26013406653317</v>
      </c>
      <c r="BA41" s="11">
        <f>'[1]功能-行军令'!R37</f>
        <v>296.75876732077467</v>
      </c>
    </row>
    <row r="42" spans="3:53" x14ac:dyDescent="0.15">
      <c r="C42" s="14" t="s">
        <v>67</v>
      </c>
      <c r="D42" s="12">
        <f>'[2]功能-军团技术'!FU42</f>
        <v>14</v>
      </c>
      <c r="E42" s="12">
        <f>'[2]功能-军团技术'!FV42</f>
        <v>21.32</v>
      </c>
      <c r="F42" s="12">
        <f>'[2]功能-军团技术'!FW42</f>
        <v>22.25</v>
      </c>
      <c r="G42" s="12">
        <f>'[2]功能-军团技术'!FX42</f>
        <v>23.7</v>
      </c>
      <c r="H42" s="12">
        <f>'[2]功能-军团技术'!FY42</f>
        <v>24.67</v>
      </c>
      <c r="I42" s="12">
        <f>'[2]功能-军团技术'!FZ42</f>
        <v>26.66</v>
      </c>
      <c r="AF42" s="7">
        <v>35</v>
      </c>
      <c r="AG42" s="11">
        <f>[1]服务器生态!AC56</f>
        <v>0.53148573409090927</v>
      </c>
      <c r="AH42" s="11">
        <f>[1]服务器生态!AD56</f>
        <v>0.42370923678909067</v>
      </c>
      <c r="AI42" s="11">
        <f>[1]服务器生态!AE56</f>
        <v>3.7412229120000001E-2</v>
      </c>
      <c r="AJ42" s="11">
        <f>[1]服务器生态!AF56</f>
        <v>5.9048000000000017E-3</v>
      </c>
      <c r="AK42" s="11">
        <f>[1]服务器生态!AG56</f>
        <v>1.4879999999999997E-3</v>
      </c>
      <c r="AV42" s="7">
        <v>35</v>
      </c>
      <c r="AW42" s="11">
        <f>'[1]功能-行军令'!N38</f>
        <v>474.43059095329892</v>
      </c>
      <c r="AX42" s="11">
        <f>'[1]功能-行军令'!O38</f>
        <v>603.32822566106074</v>
      </c>
      <c r="AY42" s="11">
        <f>'[1]功能-行军令'!P38</f>
        <v>678.38211377902269</v>
      </c>
      <c r="AZ42" s="11">
        <f>'[1]功能-行军令'!Q38</f>
        <v>570.67399318242508</v>
      </c>
      <c r="BA42" s="11">
        <f>'[1]功能-行军令'!R38</f>
        <v>320.39329177926174</v>
      </c>
    </row>
    <row r="43" spans="3:53" x14ac:dyDescent="0.15">
      <c r="C43" s="14" t="s">
        <v>68</v>
      </c>
      <c r="D43" s="12">
        <f>'[2]功能-军团技术'!FU43</f>
        <v>15</v>
      </c>
      <c r="E43" s="12">
        <f>'[2]功能-军团技术'!FV43</f>
        <v>26.2</v>
      </c>
      <c r="F43" s="12">
        <f>'[2]功能-军团技术'!FW43</f>
        <v>27.22</v>
      </c>
      <c r="G43" s="12">
        <f>'[2]功能-军团技术'!FX43</f>
        <v>28.76</v>
      </c>
      <c r="H43" s="12">
        <f>'[2]功能-军团技术'!FY43</f>
        <v>29.84</v>
      </c>
      <c r="I43" s="12">
        <f>'[2]功能-军团技术'!FZ43</f>
        <v>31.94</v>
      </c>
      <c r="AF43" s="7">
        <v>36</v>
      </c>
      <c r="AG43" s="11">
        <f>[1]服务器生态!AC57</f>
        <v>0.53042106272727296</v>
      </c>
      <c r="AH43" s="11">
        <f>[1]服务器生态!AD57</f>
        <v>0.42472008952872708</v>
      </c>
      <c r="AI43" s="11">
        <f>[1]服务器生态!AE57</f>
        <v>3.7437087744000001E-2</v>
      </c>
      <c r="AJ43" s="11">
        <f>[1]服务器生态!AF57</f>
        <v>5.9241600000000012E-3</v>
      </c>
      <c r="AK43" s="11">
        <f>[1]服务器生态!AG57</f>
        <v>1.4975999999999998E-3</v>
      </c>
      <c r="AV43" s="7">
        <v>36</v>
      </c>
      <c r="AW43" s="11">
        <f>'[1]功能-行军令'!N39</f>
        <v>511.78369647582645</v>
      </c>
      <c r="AX43" s="11">
        <f>'[1]功能-行军令'!O39</f>
        <v>651.64973042965698</v>
      </c>
      <c r="AY43" s="11">
        <f>'[1]功能-行军令'!P39</f>
        <v>731.69158798522301</v>
      </c>
      <c r="AZ43" s="11">
        <f>'[1]功能-行军令'!Q39</f>
        <v>614.91701190173114</v>
      </c>
      <c r="BA43" s="11">
        <f>'[1]功能-行军令'!R39</f>
        <v>343.89973028645079</v>
      </c>
    </row>
    <row r="44" spans="3:53" x14ac:dyDescent="0.15">
      <c r="C44" s="14" t="s">
        <v>69</v>
      </c>
      <c r="D44" s="12">
        <f>'[2]功能-军团技术'!FU44</f>
        <v>15</v>
      </c>
      <c r="E44" s="12">
        <f>'[2]功能-军团技术'!FV44</f>
        <v>26.2</v>
      </c>
      <c r="F44" s="12">
        <f>'[2]功能-军团技术'!FW44</f>
        <v>27.22</v>
      </c>
      <c r="G44" s="12">
        <f>'[2]功能-军团技术'!FX44</f>
        <v>28.76</v>
      </c>
      <c r="H44" s="12">
        <f>'[2]功能-军团技术'!FY44</f>
        <v>29.84</v>
      </c>
      <c r="I44" s="12">
        <f>'[2]功能-军团技术'!FZ44</f>
        <v>31.94</v>
      </c>
      <c r="AF44" s="7">
        <v>37</v>
      </c>
      <c r="AG44" s="11">
        <f>[1]服务器生态!AC58</f>
        <v>0.52935639136363655</v>
      </c>
      <c r="AH44" s="11">
        <f>[1]服务器生态!AD58</f>
        <v>0.42573094226836344</v>
      </c>
      <c r="AI44" s="11">
        <f>[1]服务器生态!AE58</f>
        <v>3.7461946368000001E-2</v>
      </c>
      <c r="AJ44" s="11">
        <f>[1]服务器生态!AF58</f>
        <v>5.9435200000000016E-3</v>
      </c>
      <c r="AK44" s="11">
        <f>[1]服务器生态!AG58</f>
        <v>1.5071999999999998E-3</v>
      </c>
      <c r="AV44" s="7">
        <v>37</v>
      </c>
      <c r="AW44" s="11">
        <f>'[1]功能-行军令'!N40</f>
        <v>551.81776371818933</v>
      </c>
      <c r="AX44" s="11">
        <f>'[1]功能-行军令'!O40</f>
        <v>702.3836397563656</v>
      </c>
      <c r="AY44" s="11">
        <f>'[1]功能-行军令'!P40</f>
        <v>788.70953087090561</v>
      </c>
      <c r="AZ44" s="11">
        <f>'[1]功能-行军令'!Q40</f>
        <v>660.91813362444623</v>
      </c>
      <c r="BA44" s="11">
        <f>'[1]功能-行军令'!R40</f>
        <v>370.80114395344231</v>
      </c>
    </row>
    <row r="45" spans="3:53" x14ac:dyDescent="0.15">
      <c r="C45" s="14" t="s">
        <v>70</v>
      </c>
      <c r="D45" s="12">
        <f>'[2]功能-军团技术'!FU45</f>
        <v>15</v>
      </c>
      <c r="E45" s="12">
        <f>'[2]功能-军团技术'!FV45</f>
        <v>26.2</v>
      </c>
      <c r="F45" s="12">
        <f>'[2]功能-军团技术'!FW45</f>
        <v>27.22</v>
      </c>
      <c r="G45" s="12">
        <f>'[2]功能-军团技术'!FX45</f>
        <v>28.76</v>
      </c>
      <c r="H45" s="12">
        <f>'[2]功能-军团技术'!FY45</f>
        <v>29.84</v>
      </c>
      <c r="I45" s="12">
        <f>'[2]功能-军团技术'!FZ45</f>
        <v>31.94</v>
      </c>
      <c r="AF45" s="7">
        <v>38</v>
      </c>
      <c r="AG45" s="11">
        <f>[1]服务器生态!AC59</f>
        <v>0.52829172000000024</v>
      </c>
      <c r="AH45" s="11">
        <f>[1]服务器生态!AD59</f>
        <v>0.4267417950079998</v>
      </c>
      <c r="AI45" s="11">
        <f>[1]服务器生态!AE59</f>
        <v>3.7486804992000002E-2</v>
      </c>
      <c r="AJ45" s="11">
        <f>[1]服务器生态!AF59</f>
        <v>5.962880000000002E-3</v>
      </c>
      <c r="AK45" s="11">
        <f>[1]服务器生态!AG59</f>
        <v>1.5167999999999998E-3</v>
      </c>
      <c r="AV45" s="7">
        <v>38</v>
      </c>
      <c r="AW45" s="11">
        <f>'[1]功能-行军令'!N41</f>
        <v>594.72521458594724</v>
      </c>
      <c r="AX45" s="11">
        <f>'[1]功能-行军令'!O41</f>
        <v>756.5654600455988</v>
      </c>
      <c r="AY45" s="11">
        <f>'[1]功能-行军令'!P41</f>
        <v>848.03678381072007</v>
      </c>
      <c r="AZ45" s="11">
        <f>'[1]功能-行军令'!Q41</f>
        <v>710.3113529216273</v>
      </c>
      <c r="BA45" s="11">
        <f>'[1]功能-行军令'!R41</f>
        <v>398.70119809661651</v>
      </c>
    </row>
    <row r="46" spans="3:53" x14ac:dyDescent="0.15">
      <c r="C46" s="14" t="s">
        <v>71</v>
      </c>
      <c r="D46" s="12">
        <f>'[2]功能-军团技术'!FU46</f>
        <v>15</v>
      </c>
      <c r="E46" s="12">
        <f>'[2]功能-军团技术'!FV46</f>
        <v>26.2</v>
      </c>
      <c r="F46" s="12">
        <f>'[2]功能-军团技术'!FW46</f>
        <v>27.22</v>
      </c>
      <c r="G46" s="12">
        <f>'[2]功能-军团技术'!FX46</f>
        <v>28.76</v>
      </c>
      <c r="H46" s="12">
        <f>'[2]功能-军团技术'!FY46</f>
        <v>29.84</v>
      </c>
      <c r="I46" s="12">
        <f>'[2]功能-军团技术'!FZ46</f>
        <v>31.94</v>
      </c>
      <c r="AF46" s="7">
        <v>39</v>
      </c>
      <c r="AG46" s="11">
        <f>[1]服务器生态!AC60</f>
        <v>0.52722704863636383</v>
      </c>
      <c r="AH46" s="11">
        <f>[1]服务器生态!AD60</f>
        <v>0.42775264774763616</v>
      </c>
      <c r="AI46" s="11">
        <f>[1]服务器生态!AE60</f>
        <v>3.7511663616000002E-2</v>
      </c>
      <c r="AJ46" s="11">
        <f>[1]服务器生态!AF60</f>
        <v>5.9822400000000015E-3</v>
      </c>
      <c r="AK46" s="11">
        <f>[1]服务器生态!AG60</f>
        <v>1.5263999999999998E-3</v>
      </c>
      <c r="AV46" s="7">
        <v>39</v>
      </c>
      <c r="AW46" s="11">
        <f>'[1]功能-行军令'!N42</f>
        <v>640.71228177109015</v>
      </c>
      <c r="AX46" s="11">
        <f>'[1]功能-行军令'!O42</f>
        <v>813.85363309743559</v>
      </c>
      <c r="AY46" s="11">
        <f>'[1]功能-行军令'!P42</f>
        <v>911.45639925575597</v>
      </c>
      <c r="AZ46" s="11">
        <f>'[1]功能-行军令'!Q42</f>
        <v>764.23185972705107</v>
      </c>
      <c r="BA46" s="11">
        <f>'[1]功能-行军令'!R42</f>
        <v>429.53072799376594</v>
      </c>
    </row>
    <row r="47" spans="3:53" x14ac:dyDescent="0.15">
      <c r="C47" s="14" t="s">
        <v>65</v>
      </c>
      <c r="D47" s="12">
        <f>'[2]功能-军团技术'!FU47</f>
        <v>16</v>
      </c>
      <c r="E47" s="12">
        <f>'[2]功能-军团技术'!FV47</f>
        <v>31.81</v>
      </c>
      <c r="F47" s="12">
        <f>'[2]功能-军团技术'!FW47</f>
        <v>32.950000000000003</v>
      </c>
      <c r="G47" s="12">
        <f>'[2]功能-军团技术'!FX47</f>
        <v>34.61</v>
      </c>
      <c r="H47" s="12">
        <f>'[2]功能-军团技术'!FY47</f>
        <v>35.799999999999997</v>
      </c>
      <c r="I47" s="12">
        <f>'[2]功能-军团技术'!FZ47</f>
        <v>38.020000000000003</v>
      </c>
      <c r="AF47" s="7">
        <v>40</v>
      </c>
      <c r="AG47" s="11">
        <f>[1]服务器生态!AC61</f>
        <v>0.52616237727272752</v>
      </c>
      <c r="AH47" s="11">
        <f>[1]服务器生态!AD61</f>
        <v>0.42876350048727252</v>
      </c>
      <c r="AI47" s="11">
        <f>[1]服务器生态!AE61</f>
        <v>3.7536522240000002E-2</v>
      </c>
      <c r="AJ47" s="11">
        <f>[1]服务器生态!AF61</f>
        <v>6.0016000000000019E-3</v>
      </c>
      <c r="AK47" s="11">
        <f>[1]服务器生态!AG61</f>
        <v>1.5359999999999998E-3</v>
      </c>
      <c r="AV47" s="7">
        <v>40</v>
      </c>
      <c r="AW47" s="11">
        <f>'[1]功能-行军令'!N43</f>
        <v>690</v>
      </c>
      <c r="AX47" s="11">
        <f>'[1]功能-行军令'!O43</f>
        <v>874.95300000000009</v>
      </c>
      <c r="AY47" s="11">
        <f>'[1]功能-行军令'!P43</f>
        <v>981.16200000000003</v>
      </c>
      <c r="AZ47" s="11">
        <f>'[1]功能-行军令'!Q43</f>
        <v>824.10299999999995</v>
      </c>
      <c r="BA47" s="11">
        <f>'[1]功能-行军令'!R43</f>
        <v>463.5</v>
      </c>
    </row>
    <row r="48" spans="3:53" x14ac:dyDescent="0.15">
      <c r="C48" s="14" t="s">
        <v>66</v>
      </c>
      <c r="D48" s="12">
        <f>'[2]功能-军团技术'!FU48</f>
        <v>17</v>
      </c>
      <c r="E48" s="12">
        <f>'[2]功能-军团技术'!FV48</f>
        <v>38.200000000000003</v>
      </c>
      <c r="F48" s="12">
        <f>'[2]功能-军团技术'!FW48</f>
        <v>39.46</v>
      </c>
      <c r="G48" s="12">
        <f>'[2]功能-军团技术'!FX48</f>
        <v>41.25</v>
      </c>
      <c r="H48" s="12">
        <f>'[2]功能-军团技术'!FY48</f>
        <v>42.58</v>
      </c>
      <c r="I48" s="12">
        <f>'[2]功能-军团技术'!FZ48</f>
        <v>44.93</v>
      </c>
      <c r="AF48" s="7">
        <v>41</v>
      </c>
      <c r="AG48" s="11">
        <f>[1]服务器生态!AC62</f>
        <v>0.52509770590909111</v>
      </c>
      <c r="AH48" s="11">
        <f>[1]服务器生态!AD62</f>
        <v>0.42977435322690888</v>
      </c>
      <c r="AI48" s="11">
        <f>[1]服务器生态!AE62</f>
        <v>3.7561380864000002E-2</v>
      </c>
      <c r="AJ48" s="11">
        <f>[1]服务器生态!AF62</f>
        <v>6.0209600000000014E-3</v>
      </c>
      <c r="AK48" s="11">
        <f>[1]服务器生态!AG62</f>
        <v>1.5455999999999998E-3</v>
      </c>
      <c r="AV48" s="7">
        <v>41</v>
      </c>
      <c r="AW48" s="11">
        <f>'[1]功能-行军令'!N44</f>
        <v>742.82526842671143</v>
      </c>
      <c r="AX48" s="11">
        <f>'[1]功能-行军令'!O44</f>
        <v>942.37074325168692</v>
      </c>
      <c r="AY48" s="11">
        <f>'[1]功能-行军令'!P44</f>
        <v>1057.6007055976104</v>
      </c>
      <c r="AZ48" s="11">
        <f>'[1]功能-行军令'!Q44</f>
        <v>888.85825684924259</v>
      </c>
      <c r="BA48" s="11">
        <f>'[1]功能-行军令'!R44</f>
        <v>500.64808254420291</v>
      </c>
    </row>
    <row r="49" spans="3:53" x14ac:dyDescent="0.15">
      <c r="C49" s="14" t="s">
        <v>73</v>
      </c>
      <c r="D49" s="12">
        <f>'[2]功能-军团技术'!FU49</f>
        <v>17</v>
      </c>
      <c r="E49" s="12">
        <f>'[2]功能-军团技术'!FV49</f>
        <v>38.200000000000003</v>
      </c>
      <c r="F49" s="12">
        <f>'[2]功能-军团技术'!FW49</f>
        <v>39.46</v>
      </c>
      <c r="G49" s="12">
        <f>'[2]功能-军团技术'!FX49</f>
        <v>41.25</v>
      </c>
      <c r="H49" s="12">
        <f>'[2]功能-军团技术'!FY49</f>
        <v>42.58</v>
      </c>
      <c r="I49" s="12">
        <f>'[2]功能-军团技术'!FZ49</f>
        <v>44.93</v>
      </c>
      <c r="AF49" s="7">
        <v>42</v>
      </c>
      <c r="AG49" s="11">
        <f>[1]服务器生态!AC63</f>
        <v>0.5240330345454548</v>
      </c>
      <c r="AH49" s="11">
        <f>[1]服务器生态!AD63</f>
        <v>0.43078520596654524</v>
      </c>
      <c r="AI49" s="11">
        <f>[1]服务器生态!AE63</f>
        <v>3.7586239488000002E-2</v>
      </c>
      <c r="AJ49" s="11">
        <f>[1]服务器生态!AF63</f>
        <v>6.0403200000000018E-3</v>
      </c>
      <c r="AK49" s="11">
        <f>[1]服务器生态!AG63</f>
        <v>1.5551999999999999E-3</v>
      </c>
      <c r="AV49" s="7">
        <v>42</v>
      </c>
      <c r="AW49" s="11">
        <f>'[1]功能-行军令'!N45</f>
        <v>799.4419892778177</v>
      </c>
      <c r="AX49" s="11">
        <f>'[1]功能-行军令'!O45</f>
        <v>1017.2238904960392</v>
      </c>
      <c r="AY49" s="11">
        <f>'[1]功能-行军令'!P45</f>
        <v>1141.846469120243</v>
      </c>
      <c r="AZ49" s="11">
        <f>'[1]功能-行军令'!Q45</f>
        <v>960.18544247843488</v>
      </c>
      <c r="BA49" s="11">
        <f>'[1]功能-行军令'!R45</f>
        <v>540.59657648860423</v>
      </c>
    </row>
    <row r="50" spans="3:53" x14ac:dyDescent="0.15">
      <c r="C50" s="14" t="s">
        <v>68</v>
      </c>
      <c r="D50" s="12">
        <f>'[2]功能-军团技术'!FU50</f>
        <v>18</v>
      </c>
      <c r="E50" s="12">
        <f>'[2]功能-军团技术'!FV50</f>
        <v>45.41</v>
      </c>
      <c r="F50" s="12">
        <f>'[2]功能-军团技术'!FW50</f>
        <v>46.82</v>
      </c>
      <c r="G50" s="12">
        <f>'[2]功能-军团技术'!FX50</f>
        <v>48.76</v>
      </c>
      <c r="H50" s="12">
        <f>'[2]功能-军团技术'!FY50</f>
        <v>50.24</v>
      </c>
      <c r="I50" s="12">
        <f>'[2]功能-军团技术'!FZ50</f>
        <v>52.74</v>
      </c>
      <c r="AF50" s="7">
        <v>43</v>
      </c>
      <c r="AG50" s="11">
        <f>[1]服务器生态!AC64</f>
        <v>0.52296836318181839</v>
      </c>
      <c r="AH50" s="11">
        <f>[1]服务器生态!AD64</f>
        <v>0.4317960587061816</v>
      </c>
      <c r="AI50" s="11">
        <f>[1]服务器生态!AE64</f>
        <v>3.7611098112000002E-2</v>
      </c>
      <c r="AJ50" s="11">
        <f>[1]服务器生态!AF64</f>
        <v>6.0596800000000013E-3</v>
      </c>
      <c r="AK50" s="11">
        <f>[1]服务器生态!AG64</f>
        <v>1.5647999999999999E-3</v>
      </c>
      <c r="AV50" s="7">
        <v>43</v>
      </c>
      <c r="AW50" s="11">
        <f>'[1]功能-行军令'!N46</f>
        <v>860.12228822185841</v>
      </c>
      <c r="AX50" s="11">
        <f>'[1]功能-行军令'!O46</f>
        <v>1094.6851155442046</v>
      </c>
      <c r="AY50" s="11">
        <f>'[1]功能-行军令'!P46</f>
        <v>1229.3671770623182</v>
      </c>
      <c r="AZ50" s="11">
        <f>'[1]功能-行军令'!Q46</f>
        <v>1032.1037397518191</v>
      </c>
      <c r="BA50" s="11">
        <f>'[1]功能-行军令'!R46</f>
        <v>580.8592795468345</v>
      </c>
    </row>
    <row r="51" spans="3:53" x14ac:dyDescent="0.15">
      <c r="C51" s="14" t="s">
        <v>69</v>
      </c>
      <c r="D51" s="12">
        <f>'[2]功能-军团技术'!FU51</f>
        <v>18</v>
      </c>
      <c r="E51" s="12">
        <f>'[2]功能-军团技术'!FV51</f>
        <v>45.41</v>
      </c>
      <c r="F51" s="12">
        <f>'[2]功能-军团技术'!FW51</f>
        <v>46.82</v>
      </c>
      <c r="G51" s="12">
        <f>'[2]功能-军团技术'!FX51</f>
        <v>48.76</v>
      </c>
      <c r="H51" s="12">
        <f>'[2]功能-军团技术'!FY51</f>
        <v>50.24</v>
      </c>
      <c r="I51" s="12">
        <f>'[2]功能-军团技术'!FZ51</f>
        <v>52.74</v>
      </c>
      <c r="AF51" s="7">
        <v>44</v>
      </c>
      <c r="AG51" s="11">
        <f>[1]服务器生态!AC65</f>
        <v>0.52190369181818208</v>
      </c>
      <c r="AH51" s="11">
        <f>[1]服务器生态!AD65</f>
        <v>0.43280691144581795</v>
      </c>
      <c r="AI51" s="11">
        <f>[1]服务器生态!AE65</f>
        <v>3.7635956736000002E-2</v>
      </c>
      <c r="AJ51" s="11">
        <f>[1]服务器生态!AF65</f>
        <v>6.0790400000000017E-3</v>
      </c>
      <c r="AK51" s="11">
        <f>[1]服务器生态!AG65</f>
        <v>1.5743999999999999E-3</v>
      </c>
      <c r="AV51" s="7">
        <v>44</v>
      </c>
      <c r="AW51" s="11">
        <f>'[1]功能-行军令'!N47</f>
        <v>925.1578223288501</v>
      </c>
      <c r="AX51" s="11">
        <f>'[1]功能-行军令'!O47</f>
        <v>1177.4564053285565</v>
      </c>
      <c r="AY51" s="11">
        <f>'[1]功能-行军令'!P47</f>
        <v>1321.4069400576111</v>
      </c>
      <c r="AZ51" s="11">
        <f>'[1]功能-行军令'!Q47</f>
        <v>1109.1073543850268</v>
      </c>
      <c r="BA51" s="11">
        <f>'[1]功能-行军令'!R47</f>
        <v>623.53626012307257</v>
      </c>
    </row>
    <row r="52" spans="3:53" x14ac:dyDescent="0.15">
      <c r="C52" s="14" t="s">
        <v>70</v>
      </c>
      <c r="D52" s="12">
        <f>'[2]功能-军团技术'!FU52</f>
        <v>18</v>
      </c>
      <c r="E52" s="12">
        <f>'[2]功能-军团技术'!FV52</f>
        <v>45.41</v>
      </c>
      <c r="F52" s="12">
        <f>'[2]功能-军团技术'!FW52</f>
        <v>46.82</v>
      </c>
      <c r="G52" s="12">
        <f>'[2]功能-军团技术'!FX52</f>
        <v>48.76</v>
      </c>
      <c r="H52" s="12">
        <f>'[2]功能-军团技术'!FY52</f>
        <v>50.24</v>
      </c>
      <c r="I52" s="12">
        <f>'[2]功能-军团技术'!FZ52</f>
        <v>52.74</v>
      </c>
      <c r="AF52" s="7">
        <v>45</v>
      </c>
      <c r="AG52" s="11">
        <f>[1]服务器生态!AC66</f>
        <v>0.52083902045454566</v>
      </c>
      <c r="AH52" s="11">
        <f>[1]服务器生态!AD66</f>
        <v>0.43381776418545437</v>
      </c>
      <c r="AI52" s="11">
        <f>[1]服务器生态!AE66</f>
        <v>3.7660815360000002E-2</v>
      </c>
      <c r="AJ52" s="11">
        <f>[1]服务器生态!AF66</f>
        <v>6.0984000000000021E-3</v>
      </c>
      <c r="AK52" s="11">
        <f>[1]服务器生态!AG66</f>
        <v>1.5839999999999999E-3</v>
      </c>
      <c r="AV52" s="7">
        <v>45</v>
      </c>
      <c r="AW52" s="11">
        <f>'[1]功能-行军令'!N48</f>
        <v>994.86118190659784</v>
      </c>
      <c r="AX52" s="11">
        <f>'[1]功能-行军令'!O48</f>
        <v>1266.3133808732127</v>
      </c>
      <c r="AY52" s="11">
        <f>'[1]功能-行军令'!P48</f>
        <v>1419.9805041271859</v>
      </c>
      <c r="AZ52" s="11">
        <f>'[1]功能-行军令'!Q48</f>
        <v>1192.0015760681895</v>
      </c>
      <c r="BA52" s="11">
        <f>'[1]功能-行军令'!R48</f>
        <v>669.40099721265346</v>
      </c>
    </row>
    <row r="53" spans="3:53" x14ac:dyDescent="0.15">
      <c r="C53" s="14" t="s">
        <v>71</v>
      </c>
      <c r="D53" s="12">
        <f>'[2]功能-军团技术'!FU53</f>
        <v>18</v>
      </c>
      <c r="E53" s="12">
        <f>'[2]功能-军团技术'!FV53</f>
        <v>45.41</v>
      </c>
      <c r="F53" s="12">
        <f>'[2]功能-军团技术'!FW53</f>
        <v>46.82</v>
      </c>
      <c r="G53" s="12">
        <f>'[2]功能-军团技术'!FX53</f>
        <v>48.76</v>
      </c>
      <c r="H53" s="12">
        <f>'[2]功能-军团技术'!FY53</f>
        <v>50.24</v>
      </c>
      <c r="I53" s="12">
        <f>'[2]功能-军团技术'!FZ53</f>
        <v>52.74</v>
      </c>
      <c r="AF53" s="7">
        <v>46</v>
      </c>
      <c r="AG53" s="11">
        <f>[1]服务器生态!AC67</f>
        <v>0.51977434909090925</v>
      </c>
      <c r="AH53" s="11">
        <f>[1]服务器生态!AD67</f>
        <v>0.43482861692509073</v>
      </c>
      <c r="AI53" s="11">
        <f>[1]服务器生态!AE67</f>
        <v>3.7685673984000002E-2</v>
      </c>
      <c r="AJ53" s="11">
        <f>[1]服务器生态!AF67</f>
        <v>6.1177600000000016E-3</v>
      </c>
      <c r="AK53" s="11">
        <f>[1]服务器生态!AG67</f>
        <v>1.5935999999999997E-3</v>
      </c>
      <c r="AV53" s="7">
        <v>46</v>
      </c>
      <c r="AW53" s="11">
        <f>'[1]功能-行军令'!N49</f>
        <v>1069.5673929516524</v>
      </c>
      <c r="AX53" s="11">
        <f>'[1]功能-行军令'!O49</f>
        <v>1360.7803671478041</v>
      </c>
      <c r="AY53" s="11">
        <f>'[1]功能-行军令'!P49</f>
        <v>1524.9171093287671</v>
      </c>
      <c r="AZ53" s="11">
        <f>'[1]功能-行军令'!Q49</f>
        <v>1279.8350418199216</v>
      </c>
      <c r="BA53" s="11">
        <f>'[1]功能-行军令'!R49</f>
        <v>716.31485967129208</v>
      </c>
    </row>
    <row r="54" spans="3:53" x14ac:dyDescent="0.15">
      <c r="C54" s="14" t="s">
        <v>72</v>
      </c>
      <c r="D54" s="12">
        <f>'[2]功能-军团技术'!FU54</f>
        <v>19</v>
      </c>
      <c r="E54" s="12">
        <f>'[2]功能-军团技术'!FV54</f>
        <v>53.5</v>
      </c>
      <c r="F54" s="12">
        <f>'[2]功能-军团技术'!FW54</f>
        <v>55.07</v>
      </c>
      <c r="G54" s="12">
        <f>'[2]功能-军团技术'!FX54</f>
        <v>57.17</v>
      </c>
      <c r="H54" s="12">
        <f>'[2]功能-军团技术'!FY54</f>
        <v>58.81</v>
      </c>
      <c r="I54" s="12">
        <f>'[2]功能-军团技术'!FZ54</f>
        <v>61.49</v>
      </c>
      <c r="AF54" s="7">
        <v>47</v>
      </c>
      <c r="AG54" s="11">
        <f>[1]服务器生态!AC68</f>
        <v>0.51870967772727294</v>
      </c>
      <c r="AH54" s="11">
        <f>[1]服务器生态!AD68</f>
        <v>0.43583946966472709</v>
      </c>
      <c r="AI54" s="11">
        <f>[1]服务器生态!AE68</f>
        <v>3.7710532608000003E-2</v>
      </c>
      <c r="AJ54" s="11">
        <f>[1]服务器生态!AF68</f>
        <v>6.137120000000002E-3</v>
      </c>
      <c r="AK54" s="11">
        <f>[1]服务器生态!AG68</f>
        <v>1.6031999999999997E-3</v>
      </c>
      <c r="AV54" s="7">
        <v>47</v>
      </c>
      <c r="AW54" s="11">
        <f>'[1]功能-行军令'!N50</f>
        <v>1149.6355274363787</v>
      </c>
      <c r="AX54" s="11">
        <f>'[1]功能-行军令'!O50</f>
        <v>1462.1464511162799</v>
      </c>
      <c r="AY54" s="11">
        <f>'[1]功能-行军令'!P50</f>
        <v>1637.7082921941562</v>
      </c>
      <c r="AZ54" s="11">
        <f>'[1]功能-行军令'!Q50</f>
        <v>1373.584528180985</v>
      </c>
      <c r="BA54" s="11">
        <f>'[1]功能-行军令'!R50</f>
        <v>766.59196494058733</v>
      </c>
    </row>
    <row r="55" spans="3:53" x14ac:dyDescent="0.15">
      <c r="C55" s="14" t="s">
        <v>67</v>
      </c>
      <c r="D55" s="12">
        <f>'[2]功能-军团技术'!FU55</f>
        <v>19</v>
      </c>
      <c r="E55" s="12">
        <f>'[2]功能-军团技术'!FV55</f>
        <v>53.5</v>
      </c>
      <c r="F55" s="12">
        <f>'[2]功能-军团技术'!FW55</f>
        <v>55.07</v>
      </c>
      <c r="G55" s="12">
        <f>'[2]功能-军团技术'!FX55</f>
        <v>57.17</v>
      </c>
      <c r="H55" s="12">
        <f>'[2]功能-军团技术'!FY55</f>
        <v>58.81</v>
      </c>
      <c r="I55" s="12">
        <f>'[2]功能-军团技术'!FZ55</f>
        <v>61.49</v>
      </c>
      <c r="AF55" s="7">
        <v>48</v>
      </c>
      <c r="AG55" s="11">
        <f>[1]服务器生态!AC69</f>
        <v>0.51764500636363653</v>
      </c>
      <c r="AH55" s="11">
        <f>[1]服务器生态!AD69</f>
        <v>0.43685032240436344</v>
      </c>
      <c r="AI55" s="11">
        <f>[1]服务器生态!AE69</f>
        <v>3.7735391232000003E-2</v>
      </c>
      <c r="AJ55" s="11">
        <f>[1]服务器生态!AF69</f>
        <v>6.1564800000000015E-3</v>
      </c>
      <c r="AK55" s="11">
        <f>[1]服务器生态!AG69</f>
        <v>1.6127999999999997E-3</v>
      </c>
      <c r="AV55" s="7">
        <v>48</v>
      </c>
      <c r="AW55" s="11">
        <f>'[1]功能-行军令'!N51</f>
        <v>1235.4504291718947</v>
      </c>
      <c r="AX55" s="11">
        <f>'[1]功能-行军令'!O51</f>
        <v>1569.4893676019494</v>
      </c>
      <c r="AY55" s="11">
        <f>'[1]功能-行军令'!P51</f>
        <v>1758.9779200570902</v>
      </c>
      <c r="AZ55" s="11">
        <f>'[1]功能-行军令'!Q51</f>
        <v>1469.7536030643444</v>
      </c>
      <c r="BA55" s="11">
        <f>'[1]功能-行军令'!R51</f>
        <v>819.941592223361</v>
      </c>
    </row>
    <row r="56" spans="3:53" x14ac:dyDescent="0.15">
      <c r="C56" s="14" t="s">
        <v>68</v>
      </c>
      <c r="D56" s="12">
        <f>'[2]功能-军团技术'!FU56</f>
        <v>20</v>
      </c>
      <c r="E56" s="12">
        <f>'[2]功能-军团技术'!FV56</f>
        <v>62.52</v>
      </c>
      <c r="F56" s="12">
        <f>'[2]功能-军团技术'!FW56</f>
        <v>64.27</v>
      </c>
      <c r="G56" s="12">
        <f>'[2]功能-军团技术'!FX56</f>
        <v>66.56</v>
      </c>
      <c r="H56" s="12">
        <f>'[2]功能-军团技术'!FY56</f>
        <v>68.39</v>
      </c>
      <c r="I56" s="12">
        <f>'[2]功能-军团技术'!FZ56</f>
        <v>71.260000000000005</v>
      </c>
      <c r="AF56" s="7">
        <v>49</v>
      </c>
      <c r="AG56" s="11">
        <f>[1]服务器生态!AC70</f>
        <v>0.51658033500000022</v>
      </c>
      <c r="AH56" s="11">
        <f>[1]服务器生态!AD70</f>
        <v>0.4378611751439998</v>
      </c>
      <c r="AI56" s="11">
        <f>[1]服务器生态!AE70</f>
        <v>3.7760249856000003E-2</v>
      </c>
      <c r="AJ56" s="11">
        <f>[1]服务器生态!AF70</f>
        <v>6.1758400000000019E-3</v>
      </c>
      <c r="AK56" s="11">
        <f>[1]服务器生态!AG70</f>
        <v>1.6223999999999998E-3</v>
      </c>
      <c r="AV56" s="7">
        <v>49</v>
      </c>
      <c r="AW56" s="11">
        <f>'[1]功能-行军令'!N52</f>
        <v>1327.4245635421805</v>
      </c>
      <c r="AX56" s="11">
        <f>'[1]功能-行军令'!O52</f>
        <v>1686.1379661948713</v>
      </c>
      <c r="AY56" s="11">
        <f>'[1]功能-行军令'!P52</f>
        <v>1885.4623072330214</v>
      </c>
      <c r="AZ56" s="11">
        <f>'[1]功能-行军令'!Q52</f>
        <v>1572.6316231897233</v>
      </c>
      <c r="BA56" s="11">
        <f>'[1]功能-行军令'!R52</f>
        <v>880.3883704191951</v>
      </c>
    </row>
    <row r="57" spans="3:53" x14ac:dyDescent="0.15">
      <c r="C57" s="14" t="s">
        <v>69</v>
      </c>
      <c r="D57" s="12">
        <f>'[2]功能-军团技术'!FU57</f>
        <v>20</v>
      </c>
      <c r="E57" s="12">
        <f>'[2]功能-军团技术'!FV57</f>
        <v>62.52</v>
      </c>
      <c r="F57" s="12">
        <f>'[2]功能-军团技术'!FW57</f>
        <v>64.27</v>
      </c>
      <c r="G57" s="12">
        <f>'[2]功能-军团技术'!FX57</f>
        <v>66.56</v>
      </c>
      <c r="H57" s="12">
        <f>'[2]功能-军团技术'!FY57</f>
        <v>68.39</v>
      </c>
      <c r="I57" s="12">
        <f>'[2]功能-军团技术'!FZ57</f>
        <v>71.260000000000005</v>
      </c>
      <c r="AF57" s="7">
        <v>50</v>
      </c>
      <c r="AG57" s="11">
        <f>[1]服务器生态!AC71</f>
        <v>0.51551566363636381</v>
      </c>
      <c r="AH57" s="11">
        <f>[1]服务器生态!AD71</f>
        <v>0.43887202788363616</v>
      </c>
      <c r="AI57" s="11">
        <f>[1]服务器生态!AE71</f>
        <v>3.7785108480000003E-2</v>
      </c>
      <c r="AJ57" s="11">
        <f>[1]服务器生态!AF71</f>
        <v>6.1952000000000014E-3</v>
      </c>
      <c r="AK57" s="11">
        <f>[1]服务器生态!AG71</f>
        <v>1.6319999999999998E-3</v>
      </c>
      <c r="AV57" s="7">
        <v>50</v>
      </c>
      <c r="AW57" s="11">
        <f>'[1]功能-行军令'!N53</f>
        <v>1426</v>
      </c>
      <c r="AX57" s="11">
        <f>'[1]功能-行军令'!O53</f>
        <v>1811.3516999999999</v>
      </c>
      <c r="AY57" s="11">
        <f>'[1]功能-行军令'!P53</f>
        <v>2020.6823000000002</v>
      </c>
      <c r="AZ57" s="11">
        <f>'[1]功能-行军令'!Q53</f>
        <v>1687.8197999999998</v>
      </c>
      <c r="BA57" s="11">
        <f>'[1]功能-行军令'!R53</f>
        <v>946.40519999999992</v>
      </c>
    </row>
    <row r="58" spans="3:53" x14ac:dyDescent="0.15">
      <c r="C58" s="14" t="s">
        <v>70</v>
      </c>
      <c r="D58" s="12">
        <f>'[2]功能-军团技术'!FU58</f>
        <v>20</v>
      </c>
      <c r="E58" s="12">
        <f>'[2]功能-军团技术'!FV58</f>
        <v>62.52</v>
      </c>
      <c r="F58" s="12">
        <f>'[2]功能-军团技术'!FW58</f>
        <v>64.27</v>
      </c>
      <c r="G58" s="12">
        <f>'[2]功能-军团技术'!FX58</f>
        <v>66.56</v>
      </c>
      <c r="H58" s="12">
        <f>'[2]功能-军团技术'!FY58</f>
        <v>68.39</v>
      </c>
      <c r="I58" s="12">
        <f>'[2]功能-军团技术'!FZ58</f>
        <v>71.260000000000005</v>
      </c>
      <c r="AF58" s="7">
        <v>51</v>
      </c>
      <c r="AG58" s="11">
        <f>[1]服务器生态!AC72</f>
        <v>0.5144509922727275</v>
      </c>
      <c r="AH58" s="11">
        <f>[1]服务器生态!AD72</f>
        <v>0.43988288062327252</v>
      </c>
      <c r="AI58" s="11">
        <f>[1]服务器生态!AE72</f>
        <v>3.7809967104000003E-2</v>
      </c>
      <c r="AJ58" s="11">
        <f>[1]服务器生态!AF72</f>
        <v>6.2145600000000018E-3</v>
      </c>
      <c r="AK58" s="11">
        <f>[1]服务器生态!AG72</f>
        <v>1.6415999999999998E-3</v>
      </c>
      <c r="AV58" s="7">
        <v>51</v>
      </c>
      <c r="AW58" s="11">
        <f>'[1]功能-行军令'!N54</f>
        <v>1531.6505368534229</v>
      </c>
      <c r="AX58" s="11">
        <f>'[1]功能-行军令'!O54</f>
        <v>1938.1905454352827</v>
      </c>
      <c r="AY58" s="11">
        <f>'[1]功能-行军令'!P54</f>
        <v>2164.3320878515306</v>
      </c>
      <c r="AZ58" s="11">
        <f>'[1]功能-行军令'!Q54</f>
        <v>1811.4964086368636</v>
      </c>
      <c r="BA58" s="11">
        <f>'[1]功能-行军令'!R54</f>
        <v>1014.1224688260519</v>
      </c>
    </row>
    <row r="59" spans="3:53" x14ac:dyDescent="0.15">
      <c r="C59" s="14" t="s">
        <v>71</v>
      </c>
      <c r="D59" s="12">
        <f>'[2]功能-军团技术'!FU59</f>
        <v>20</v>
      </c>
      <c r="E59" s="12">
        <f>'[2]功能-军团技术'!FV59</f>
        <v>62.52</v>
      </c>
      <c r="F59" s="12">
        <f>'[2]功能-军团技术'!FW59</f>
        <v>64.27</v>
      </c>
      <c r="G59" s="12">
        <f>'[2]功能-军团技术'!FX59</f>
        <v>66.56</v>
      </c>
      <c r="H59" s="12">
        <f>'[2]功能-军团技术'!FY59</f>
        <v>68.39</v>
      </c>
      <c r="I59" s="12">
        <f>'[2]功能-军团技术'!FZ59</f>
        <v>71.260000000000005</v>
      </c>
      <c r="AF59" s="7">
        <v>52</v>
      </c>
      <c r="AG59" s="11">
        <f>[1]服务器生态!AC73</f>
        <v>0.51338632090909109</v>
      </c>
      <c r="AH59" s="11">
        <f>[1]服务器生态!AD73</f>
        <v>0.44089373336290888</v>
      </c>
      <c r="AI59" s="11">
        <f>[1]服务器生态!AE73</f>
        <v>3.7834825728000003E-2</v>
      </c>
      <c r="AJ59" s="11">
        <f>[1]服务器生态!AF73</f>
        <v>6.2339200000000013E-3</v>
      </c>
      <c r="AK59" s="11">
        <f>[1]服务器生态!AG73</f>
        <v>1.6511999999999998E-3</v>
      </c>
      <c r="AV59" s="7">
        <v>52</v>
      </c>
      <c r="AW59" s="11">
        <f>'[1]功能-行军令'!N55</f>
        <v>1644.8839785556356</v>
      </c>
      <c r="AX59" s="11">
        <f>'[1]功能-行军令'!O55</f>
        <v>2082.4374201903788</v>
      </c>
      <c r="AY59" s="11">
        <f>'[1]功能-行军令'!P55</f>
        <v>2330.1962815429533</v>
      </c>
      <c r="AZ59" s="11">
        <f>'[1]功能-行军令'!Q55</f>
        <v>1949.8383165103787</v>
      </c>
      <c r="BA59" s="11">
        <f>'[1]功能-行军令'!R55</f>
        <v>1088.7272503975591</v>
      </c>
    </row>
    <row r="60" spans="3:53" x14ac:dyDescent="0.15">
      <c r="AF60" s="7">
        <v>53</v>
      </c>
      <c r="AG60" s="11">
        <f>[1]服务器生态!AC74</f>
        <v>0.51232164954545478</v>
      </c>
      <c r="AH60" s="11">
        <f>[1]服务器生态!AD74</f>
        <v>0.44190458610254524</v>
      </c>
      <c r="AI60" s="11">
        <f>[1]服务器生态!AE74</f>
        <v>3.7859684352000003E-2</v>
      </c>
      <c r="AJ60" s="11">
        <f>[1]服务器生态!AF74</f>
        <v>6.2532800000000017E-3</v>
      </c>
      <c r="AK60" s="11">
        <f>[1]服务器生态!AG74</f>
        <v>1.6607999999999998E-3</v>
      </c>
      <c r="AV60" s="7">
        <v>53</v>
      </c>
      <c r="AW60" s="11">
        <f>'[1]功能-行军令'!N56</f>
        <v>1766.2445764437161</v>
      </c>
      <c r="AX60" s="11">
        <f>'[1]功能-行军令'!O56</f>
        <v>2239.6825954973315</v>
      </c>
      <c r="AY60" s="11">
        <f>'[1]功能-行军令'!P56</f>
        <v>2509.806665491662</v>
      </c>
      <c r="AZ60" s="11">
        <f>'[1]功能-行军令'!Q56</f>
        <v>2092.9076711948587</v>
      </c>
      <c r="BA60" s="11">
        <f>'[1]功能-行军令'!R56</f>
        <v>1167.8677915794442</v>
      </c>
    </row>
    <row r="61" spans="3:53" x14ac:dyDescent="0.15">
      <c r="AF61" s="7">
        <v>54</v>
      </c>
      <c r="AG61" s="11">
        <f>[1]服务器生态!AC75</f>
        <v>0.51125697818181837</v>
      </c>
      <c r="AH61" s="11">
        <f>[1]服务器生态!AD75</f>
        <v>0.4429154388421816</v>
      </c>
      <c r="AI61" s="11">
        <f>[1]服务器生态!AE75</f>
        <v>3.7884542976000003E-2</v>
      </c>
      <c r="AJ61" s="11">
        <f>[1]服务器生态!AF75</f>
        <v>6.2726400000000021E-3</v>
      </c>
      <c r="AK61" s="11">
        <f>[1]服务器生态!AG75</f>
        <v>1.6703999999999998E-3</v>
      </c>
      <c r="AV61" s="7">
        <v>54</v>
      </c>
      <c r="AW61" s="11">
        <f>'[1]功能-行军令'!N57</f>
        <v>1896.3156446577002</v>
      </c>
      <c r="AX61" s="11">
        <f>'[1]功能-行军令'!O57</f>
        <v>2408.4857657278585</v>
      </c>
      <c r="AY61" s="11">
        <f>'[1]功能-行军令'!P57</f>
        <v>2689.3837042307518</v>
      </c>
      <c r="AZ61" s="11">
        <f>'[1]功能-行军令'!Q57</f>
        <v>2241.5151732157478</v>
      </c>
      <c r="BA61" s="11">
        <f>'[1]功能-行军令'!R57</f>
        <v>1247.5036141140115</v>
      </c>
    </row>
    <row r="62" spans="3:53" x14ac:dyDescent="0.15">
      <c r="AF62" s="7">
        <v>55</v>
      </c>
      <c r="AG62" s="11">
        <f>[1]服务器生态!AC76</f>
        <v>0.51019230681818206</v>
      </c>
      <c r="AH62" s="11">
        <f>[1]服务器生态!AD76</f>
        <v>0.44392629158181801</v>
      </c>
      <c r="AI62" s="11">
        <f>[1]服务器生态!AE76</f>
        <v>3.7909401600000003E-2</v>
      </c>
      <c r="AJ62" s="11">
        <f>[1]服务器生态!AF76</f>
        <v>6.2920000000000016E-3</v>
      </c>
      <c r="AK62" s="11">
        <f>[1]服务器生态!AG76</f>
        <v>1.6799999999999996E-3</v>
      </c>
      <c r="AV62" s="7">
        <v>55</v>
      </c>
      <c r="AW62" s="11">
        <f>'[1]功能-行军令'!N58</f>
        <v>2035.7223638131961</v>
      </c>
      <c r="AX62" s="11">
        <f>'[1]功能-行军令'!O58</f>
        <v>2581.6898253376967</v>
      </c>
      <c r="AY62" s="11">
        <f>'[1]功能-行军令'!P58</f>
        <v>2879.4407739457738</v>
      </c>
      <c r="AZ62" s="11">
        <f>'[1]功能-行军令'!Q58</f>
        <v>2398.0942210221438</v>
      </c>
      <c r="BA62" s="11">
        <f>'[1]功能-行军令'!R58</f>
        <v>1333.2875112126535</v>
      </c>
    </row>
    <row r="63" spans="3:53" x14ac:dyDescent="0.15">
      <c r="AF63" s="7">
        <v>56</v>
      </c>
      <c r="AG63" s="11">
        <f>[1]服务器生态!AC77</f>
        <v>0.50912763545454565</v>
      </c>
      <c r="AH63" s="11">
        <f>[1]服务器生态!AD77</f>
        <v>0.44493714432145437</v>
      </c>
      <c r="AI63" s="11">
        <f>[1]服务器生态!AE77</f>
        <v>3.7934260224000003E-2</v>
      </c>
      <c r="AJ63" s="11">
        <f>[1]服务器生态!AF77</f>
        <v>6.311360000000002E-3</v>
      </c>
      <c r="AK63" s="11">
        <f>[1]服务器生态!AG77</f>
        <v>1.6895999999999997E-3</v>
      </c>
      <c r="AV63" s="7">
        <v>56</v>
      </c>
      <c r="AW63" s="11">
        <f>'[1]功能-行军令'!N59</f>
        <v>2185.1347859033053</v>
      </c>
      <c r="AX63" s="11">
        <f>'[1]功能-行军令'!O59</f>
        <v>2765.4448312300565</v>
      </c>
      <c r="AY63" s="11">
        <f>'[1]功能-行军令'!P59</f>
        <v>3083.8617221732834</v>
      </c>
      <c r="AZ63" s="11">
        <f>'[1]功能-行军令'!Q59</f>
        <v>2565.7852656076611</v>
      </c>
      <c r="BA63" s="11">
        <f>'[1]功能-行军令'!R59</f>
        <v>1425.2731652774821</v>
      </c>
    </row>
    <row r="64" spans="3:53" x14ac:dyDescent="0.15">
      <c r="AF64" s="7">
        <v>57</v>
      </c>
      <c r="AG64" s="11">
        <f>[1]服务器生态!AC78</f>
        <v>0.50806296409090934</v>
      </c>
      <c r="AH64" s="11">
        <f>[1]服务器生态!AD78</f>
        <v>0.44594799706109073</v>
      </c>
      <c r="AI64" s="11">
        <f>[1]服务器生态!AE78</f>
        <v>3.7959118848000004E-2</v>
      </c>
      <c r="AJ64" s="11">
        <f>[1]服务器生态!AF78</f>
        <v>6.3307200000000015E-3</v>
      </c>
      <c r="AK64" s="11">
        <f>[1]服务器生态!AG78</f>
        <v>1.6991999999999997E-3</v>
      </c>
      <c r="AV64" s="7">
        <v>57</v>
      </c>
      <c r="AW64" s="11">
        <f>'[1]功能-行军令'!N60</f>
        <v>2345.2710548727578</v>
      </c>
      <c r="AX64" s="11">
        <f>'[1]功能-行军令'!O60</f>
        <v>2968.7919553027004</v>
      </c>
      <c r="AY64" s="11">
        <f>'[1]功能-行军令'!P60</f>
        <v>3304.7571323285597</v>
      </c>
      <c r="AZ64" s="11">
        <f>'[1]功能-行军令'!Q60</f>
        <v>2746.4653577160998</v>
      </c>
      <c r="BA64" s="11">
        <f>'[1]功能-行军令'!R60</f>
        <v>1526.0474817443567</v>
      </c>
    </row>
    <row r="65" spans="32:53" x14ac:dyDescent="0.15">
      <c r="AF65" s="7">
        <v>58</v>
      </c>
      <c r="AG65" s="11">
        <f>[1]服务器生态!AC79</f>
        <v>0.50699829272727293</v>
      </c>
      <c r="AH65" s="11">
        <f>[1]服务器生态!AD79</f>
        <v>0.44695884980072709</v>
      </c>
      <c r="AI65" s="11">
        <f>[1]服务器生态!AE79</f>
        <v>3.7983977472000004E-2</v>
      </c>
      <c r="AJ65" s="11">
        <f>[1]服务器生态!AF79</f>
        <v>6.3500800000000019E-3</v>
      </c>
      <c r="AK65" s="11">
        <f>[1]服务器生态!AG79</f>
        <v>1.7087999999999997E-3</v>
      </c>
      <c r="AV65" s="7">
        <v>58</v>
      </c>
      <c r="AW65" s="11">
        <f>'[1]功能-行军令'!N61</f>
        <v>2516.9008583437885</v>
      </c>
      <c r="AX65" s="11">
        <f>'[1]功能-行军令'!O61</f>
        <v>3179.8197152899115</v>
      </c>
      <c r="AY65" s="11">
        <f>'[1]功能-行军令'!P61</f>
        <v>3541.126305028768</v>
      </c>
      <c r="AZ65" s="11">
        <f>'[1]功能-行军令'!Q61</f>
        <v>2942.9465153781307</v>
      </c>
      <c r="BA65" s="11">
        <f>'[1]功能-行军令'!R61</f>
        <v>1633.2169669792843</v>
      </c>
    </row>
    <row r="66" spans="32:53" x14ac:dyDescent="0.15">
      <c r="AF66" s="7">
        <v>59</v>
      </c>
      <c r="AG66" s="11">
        <f>[1]服务器生态!AC80</f>
        <v>0.50593362136363662</v>
      </c>
      <c r="AH66" s="11">
        <f>[1]服务器生态!AD80</f>
        <v>0.44796970254036345</v>
      </c>
      <c r="AI66" s="11">
        <f>[1]服务器生态!AE80</f>
        <v>3.8008836096000004E-2</v>
      </c>
      <c r="AJ66" s="11">
        <f>[1]服务器生态!AF80</f>
        <v>6.3694400000000014E-3</v>
      </c>
      <c r="AK66" s="11">
        <f>[1]服务器生态!AG80</f>
        <v>1.7183999999999997E-3</v>
      </c>
      <c r="AV66" s="7">
        <v>59</v>
      </c>
      <c r="AW66" s="11">
        <f>'[1]功能-行军令'!N62</f>
        <v>2700.8491270843624</v>
      </c>
      <c r="AX66" s="11">
        <f>'[1]功能-行军令'!O62</f>
        <v>3413.0043277850505</v>
      </c>
      <c r="AY66" s="11">
        <f>'[1]功能-行军令'!P62</f>
        <v>3797.2588302242589</v>
      </c>
      <c r="AZ66" s="11">
        <f>'[1]功能-行军令'!Q62</f>
        <v>3152.5896292338052</v>
      </c>
      <c r="BA66" s="11">
        <f>'[1]功能-行军令'!R62</f>
        <v>1751.3714878690009</v>
      </c>
    </row>
    <row r="67" spans="32:53" x14ac:dyDescent="0.15">
      <c r="AF67" s="7">
        <v>60</v>
      </c>
      <c r="AG67" s="11">
        <f>[1]服务器生态!AC81</f>
        <v>0.50486895000000021</v>
      </c>
      <c r="AH67" s="11">
        <f>[1]服务器生态!AD81</f>
        <v>0.4489805552799998</v>
      </c>
      <c r="AI67" s="11">
        <f>[1]服务器生态!AE81</f>
        <v>3.8033694720000004E-2</v>
      </c>
      <c r="AJ67" s="11">
        <f>[1]服务器生态!AF81</f>
        <v>6.3888000000000018E-3</v>
      </c>
      <c r="AK67" s="11">
        <f>[1]服务器生态!AG81</f>
        <v>1.7279999999999997E-3</v>
      </c>
      <c r="AV67" s="7">
        <v>60</v>
      </c>
      <c r="AW67" s="11">
        <f>'[1]功能-行军令'!N63</f>
        <v>2898</v>
      </c>
      <c r="AX67" s="11">
        <f>'[1]功能-行军令'!O63</f>
        <v>3657.4965000000002</v>
      </c>
      <c r="AY67" s="11">
        <f>'[1]功能-行军令'!P63</f>
        <v>4069.2833999999998</v>
      </c>
      <c r="AZ67" s="11">
        <f>'[1]功能-行军令'!Q63</f>
        <v>3379.4712</v>
      </c>
      <c r="BA67" s="11">
        <f>'[1]功能-行军令'!R63</f>
        <v>1882.4589000000003</v>
      </c>
    </row>
    <row r="68" spans="32:53" x14ac:dyDescent="0.15">
      <c r="AF68" s="7">
        <v>61</v>
      </c>
      <c r="AG68" s="11">
        <f>[1]服务器生态!AC82</f>
        <v>0.50402750175000022</v>
      </c>
      <c r="AH68" s="11">
        <f>[1]服务器生态!AD82</f>
        <v>0.44977837468263981</v>
      </c>
      <c r="AI68" s="11">
        <f>[1]服务器生态!AE82</f>
        <v>3.8052711567360002E-2</v>
      </c>
      <c r="AJ68" s="11">
        <f>[1]服务器生态!AF82</f>
        <v>6.4047720000000022E-3</v>
      </c>
      <c r="AK68" s="11">
        <f>[1]服务器生态!AG82</f>
        <v>1.7366399999999998E-3</v>
      </c>
      <c r="AV68" s="7">
        <v>61</v>
      </c>
      <c r="AW68" s="11">
        <f>'[1]功能-行军令'!N64</f>
        <v>3109.3010737068457</v>
      </c>
      <c r="AX68" s="11">
        <f>'[1]功能-行军令'!O64</f>
        <v>3925.9860381165895</v>
      </c>
      <c r="AY68" s="11">
        <f>'[1]功能-行军令'!P64</f>
        <v>4365.9859367969093</v>
      </c>
      <c r="AZ68" s="11">
        <f>'[1]功能-行军令'!Q64</f>
        <v>3628.6625026184524</v>
      </c>
      <c r="BA68" s="11">
        <f>'[1]功能-行军令'!R64</f>
        <v>2019.01789286138</v>
      </c>
    </row>
    <row r="69" spans="32:53" x14ac:dyDescent="0.15">
      <c r="AF69" s="7">
        <v>62</v>
      </c>
      <c r="AG69" s="11">
        <f>[1]服务器生态!AC83</f>
        <v>0.50318605350000023</v>
      </c>
      <c r="AH69" s="11">
        <f>[1]服务器生态!AD83</f>
        <v>0.45057619408527982</v>
      </c>
      <c r="AI69" s="11">
        <f>[1]服务器生态!AE83</f>
        <v>3.8071728414720001E-2</v>
      </c>
      <c r="AJ69" s="11">
        <f>[1]服务器生态!AF83</f>
        <v>6.4207440000000017E-3</v>
      </c>
      <c r="AK69" s="11">
        <f>[1]服务器生态!AG83</f>
        <v>1.7452799999999997E-3</v>
      </c>
      <c r="AV69" s="7">
        <v>62</v>
      </c>
      <c r="AW69" s="11">
        <f>'[1]功能-行军令'!N65</f>
        <v>3335.7679571112699</v>
      </c>
      <c r="AX69" s="11">
        <f>'[1]功能-行军令'!O65</f>
        <v>4210.4788321605647</v>
      </c>
      <c r="AY69" s="11">
        <f>'[1]功能-行军令'!P65</f>
        <v>4687.2833516127894</v>
      </c>
      <c r="AZ69" s="11">
        <f>'[1]功能-行军令'!Q65</f>
        <v>3898.1856863497019</v>
      </c>
      <c r="BA69" s="11">
        <f>'[1]功能-行军令'!R65</f>
        <v>2175.7836567037139</v>
      </c>
    </row>
    <row r="70" spans="32:53" x14ac:dyDescent="0.15">
      <c r="AF70" s="7">
        <v>63</v>
      </c>
      <c r="AG70" s="11">
        <f>[1]服务器生态!AC84</f>
        <v>0.50234460525000013</v>
      </c>
      <c r="AH70" s="11">
        <f>[1]服务器生态!AD84</f>
        <v>0.45137401348791983</v>
      </c>
      <c r="AI70" s="11">
        <f>[1]服务器生态!AE84</f>
        <v>3.8090745262080006E-2</v>
      </c>
      <c r="AJ70" s="11">
        <f>[1]服务器生态!AF84</f>
        <v>6.436716000000002E-3</v>
      </c>
      <c r="AK70" s="11">
        <f>[1]服务器生态!AG84</f>
        <v>1.7539199999999997E-3</v>
      </c>
      <c r="AV70" s="7">
        <v>63</v>
      </c>
      <c r="AW70" s="11">
        <f>'[1]功能-行军令'!N66</f>
        <v>3578.4891528874323</v>
      </c>
      <c r="AX70" s="11">
        <f>'[1]功能-行军令'!O66</f>
        <v>4520.4953050880667</v>
      </c>
      <c r="AY70" s="11">
        <f>'[1]功能-行军令'!P66</f>
        <v>5030.4689059957536</v>
      </c>
      <c r="AZ70" s="11">
        <f>'[1]功能-行军令'!Q66</f>
        <v>4189.8429073612688</v>
      </c>
      <c r="BA70" s="11">
        <f>'[1]功能-行军令'!R66</f>
        <v>2338.1070192541943</v>
      </c>
    </row>
    <row r="71" spans="32:53" x14ac:dyDescent="0.15">
      <c r="AF71" s="7">
        <v>64</v>
      </c>
      <c r="AG71" s="11">
        <f>[1]服务器生态!AC85</f>
        <v>0.50150315700000014</v>
      </c>
      <c r="AH71" s="11">
        <f>[1]服务器生态!AD85</f>
        <v>0.45217183289055984</v>
      </c>
      <c r="AI71" s="11">
        <f>[1]服务器生态!AE85</f>
        <v>3.8109762109440004E-2</v>
      </c>
      <c r="AJ71" s="11">
        <f>[1]服务器生态!AF85</f>
        <v>6.4526880000000016E-3</v>
      </c>
      <c r="AK71" s="11">
        <f>[1]服务器生态!AG85</f>
        <v>1.7625599999999998E-3</v>
      </c>
      <c r="AV71" s="7">
        <v>64</v>
      </c>
      <c r="AW71" s="11">
        <f>'[1]功能-行军令'!N67</f>
        <v>3838.631289315399</v>
      </c>
      <c r="AX71" s="11">
        <f>'[1]功能-行军令'!O67</f>
        <v>4850.7949118015804</v>
      </c>
      <c r="AY71" s="11">
        <f>'[1]功能-行军令'!P67</f>
        <v>5402.2393310636253</v>
      </c>
      <c r="AZ71" s="11">
        <f>'[1]功能-行军令'!Q67</f>
        <v>4503.0232618402342</v>
      </c>
      <c r="BA71" s="11">
        <f>'[1]功能-行军令'!R67</f>
        <v>2507.2187163176109</v>
      </c>
    </row>
    <row r="72" spans="32:53" x14ac:dyDescent="0.15">
      <c r="AF72" s="7">
        <v>65</v>
      </c>
      <c r="AG72" s="11">
        <f>[1]服务器生态!AC86</f>
        <v>0.50066170875000016</v>
      </c>
      <c r="AH72" s="11">
        <f>[1]服务器生态!AD86</f>
        <v>0.45296965229319985</v>
      </c>
      <c r="AI72" s="11">
        <f>[1]服务器生态!AE86</f>
        <v>3.8128778956800002E-2</v>
      </c>
      <c r="AJ72" s="11">
        <f>[1]服务器生态!AF86</f>
        <v>6.4686600000000019E-3</v>
      </c>
      <c r="AK72" s="11">
        <f>[1]服务器生态!AG86</f>
        <v>1.7711999999999997E-3</v>
      </c>
      <c r="AV72" s="7">
        <v>65</v>
      </c>
      <c r="AW72" s="11">
        <f>'[1]功能-行军令'!N68</f>
        <v>4117.4447276263909</v>
      </c>
      <c r="AX72" s="11">
        <f>'[1]功能-行军令'!O68</f>
        <v>5202.5256778579324</v>
      </c>
      <c r="AY72" s="11">
        <f>'[1]功能-行军令'!P68</f>
        <v>5806.0267123595722</v>
      </c>
      <c r="AZ72" s="11">
        <f>'[1]功能-行军令'!Q68</f>
        <v>4833.7816495985917</v>
      </c>
      <c r="BA72" s="11">
        <f>'[1]功能-行军令'!R68</f>
        <v>2677.3415812386629</v>
      </c>
    </row>
    <row r="73" spans="32:53" x14ac:dyDescent="0.15">
      <c r="AF73" s="7">
        <v>66</v>
      </c>
      <c r="AG73" s="11">
        <f>[1]服务器生态!AC87</f>
        <v>0.49982026050000017</v>
      </c>
      <c r="AH73" s="11">
        <f>[1]服务器生态!AD87</f>
        <v>0.45376747169583986</v>
      </c>
      <c r="AI73" s="11">
        <f>[1]服务器生态!AE87</f>
        <v>3.8147795804160001E-2</v>
      </c>
      <c r="AJ73" s="11">
        <f>[1]服务器生态!AF87</f>
        <v>6.4846320000000015E-3</v>
      </c>
      <c r="AK73" s="11">
        <f>[1]服务器生态!AG87</f>
        <v>1.7798399999999998E-3</v>
      </c>
      <c r="AV73" s="7">
        <v>66</v>
      </c>
      <c r="AW73" s="11">
        <f>'[1]功能-行军令'!N69</f>
        <v>4416.2695718066107</v>
      </c>
      <c r="AX73" s="11">
        <f>'[1]功能-行军令'!O69</f>
        <v>5584.6032876140744</v>
      </c>
      <c r="AY73" s="11">
        <f>'[1]功能-行军令'!P69</f>
        <v>6232.6428443465666</v>
      </c>
      <c r="AZ73" s="11">
        <f>'[1]功能-行军令'!Q69</f>
        <v>5166.7953843630921</v>
      </c>
      <c r="BA73" s="11">
        <f>'[1]功能-行军令'!R69</f>
        <v>2868.6839062272406</v>
      </c>
    </row>
    <row r="74" spans="32:53" x14ac:dyDescent="0.15">
      <c r="AF74" s="7">
        <v>67</v>
      </c>
      <c r="AG74" s="11">
        <f>[1]服务器生态!AC88</f>
        <v>0.49897881225000013</v>
      </c>
      <c r="AH74" s="11">
        <f>[1]服务器生态!AD88</f>
        <v>0.45456529109847987</v>
      </c>
      <c r="AI74" s="11">
        <f>[1]服务器生态!AE88</f>
        <v>3.8166812651520006E-2</v>
      </c>
      <c r="AJ74" s="11">
        <f>[1]服务器生态!AF88</f>
        <v>6.5006040000000018E-3</v>
      </c>
      <c r="AK74" s="11">
        <f>[1]服务器生态!AG88</f>
        <v>1.7884799999999996E-3</v>
      </c>
      <c r="AV74" s="7">
        <v>67</v>
      </c>
      <c r="AW74" s="11">
        <f>'[1]功能-行军令'!N70</f>
        <v>4736.5421097455128</v>
      </c>
      <c r="AX74" s="11">
        <f>'[1]功能-行军令'!O70</f>
        <v>5994.4338352951672</v>
      </c>
      <c r="AY74" s="11">
        <f>'[1]功能-行军令'!P70</f>
        <v>6669.648506700737</v>
      </c>
      <c r="AZ74" s="11">
        <f>'[1]功能-行军令'!Q70</f>
        <v>5523.467097126364</v>
      </c>
      <c r="BA74" s="11">
        <f>'[1]功能-行军令'!R70</f>
        <v>3069.2998807764393</v>
      </c>
    </row>
    <row r="75" spans="32:53" x14ac:dyDescent="0.15">
      <c r="AF75" s="7">
        <v>68</v>
      </c>
      <c r="AG75" s="11">
        <f>[1]服务器生态!AC89</f>
        <v>0.49813736400000014</v>
      </c>
      <c r="AH75" s="11">
        <f>[1]服务器生态!AD89</f>
        <v>0.45536311050111983</v>
      </c>
      <c r="AI75" s="11">
        <f>[1]服务器生态!AE89</f>
        <v>3.8185829498880004E-2</v>
      </c>
      <c r="AJ75" s="11">
        <f>[1]服务器生态!AF89</f>
        <v>6.5165760000000022E-3</v>
      </c>
      <c r="AK75" s="11">
        <f>[1]服务器生态!AG89</f>
        <v>1.7971199999999997E-3</v>
      </c>
      <c r="AV75" s="7">
        <v>68</v>
      </c>
      <c r="AW75" s="11">
        <f>'[1]功能-行军令'!N71</f>
        <v>5079.8017166875779</v>
      </c>
      <c r="AX75" s="11">
        <f>'[1]功能-行军令'!O71</f>
        <v>6420.7147672321553</v>
      </c>
      <c r="AY75" s="11">
        <f>'[1]功能-行军令'!P71</f>
        <v>7120.8439603582265</v>
      </c>
      <c r="AZ75" s="11">
        <f>'[1]功能-行军令'!Q71</f>
        <v>5913.5186519153212</v>
      </c>
      <c r="BA75" s="11">
        <f>'[1]功能-行军令'!R71</f>
        <v>3281.4966937441241</v>
      </c>
    </row>
    <row r="76" spans="32:53" x14ac:dyDescent="0.15">
      <c r="AF76" s="7">
        <v>69</v>
      </c>
      <c r="AG76" s="11">
        <f>[1]服务器生态!AC90</f>
        <v>0.49729591575000015</v>
      </c>
      <c r="AH76" s="11">
        <f>[1]服务器生态!AD90</f>
        <v>0.45616092990375984</v>
      </c>
      <c r="AI76" s="11">
        <f>[1]服务器生态!AE90</f>
        <v>3.8204846346240003E-2</v>
      </c>
      <c r="AJ76" s="11">
        <f>[1]服务器生态!AF90</f>
        <v>6.5325480000000017E-3</v>
      </c>
      <c r="AK76" s="11">
        <f>[1]服务器生态!AG90</f>
        <v>1.8057599999999998E-3</v>
      </c>
      <c r="AV76" s="7">
        <v>69</v>
      </c>
      <c r="AW76" s="11">
        <f>'[1]功能-行军令'!N72</f>
        <v>5447.6982541687212</v>
      </c>
      <c r="AX76" s="11">
        <f>'[1]功能-行军令'!O72</f>
        <v>6868.2684736992569</v>
      </c>
      <c r="AY76" s="11">
        <f>'[1]功能-行军令'!P72</f>
        <v>7634.4043333920454</v>
      </c>
      <c r="AZ76" s="11">
        <f>'[1]功能-行军令'!Q72</f>
        <v>6338.1363766348895</v>
      </c>
      <c r="BA76" s="11">
        <f>'[1]功能-行军令'!R72</f>
        <v>3508.175561817156</v>
      </c>
    </row>
    <row r="77" spans="32:53" x14ac:dyDescent="0.15">
      <c r="AF77" s="7">
        <v>70</v>
      </c>
      <c r="AG77" s="11">
        <f>[1]服务器生态!AC91</f>
        <v>0.49645446750000011</v>
      </c>
      <c r="AH77" s="11">
        <f>[1]服务器生态!AD91</f>
        <v>0.45695874930639985</v>
      </c>
      <c r="AI77" s="11">
        <f>[1]服务器生态!AE91</f>
        <v>3.8223863193600001E-2</v>
      </c>
      <c r="AJ77" s="11">
        <f>[1]服务器生态!AF91</f>
        <v>6.5485200000000021E-3</v>
      </c>
      <c r="AK77" s="11">
        <f>[1]服务器生态!AG91</f>
        <v>1.8143999999999997E-3</v>
      </c>
      <c r="AV77" s="7">
        <v>70</v>
      </c>
      <c r="AW77" s="11">
        <f>'[1]功能-行军令'!N73</f>
        <v>5842</v>
      </c>
      <c r="AX77" s="11">
        <f>'[1]功能-行军令'!O73</f>
        <v>7367.9431000000004</v>
      </c>
      <c r="AY77" s="11">
        <f>'[1]功能-行军令'!P73</f>
        <v>8199.691499999999</v>
      </c>
      <c r="AZ77" s="11">
        <f>'[1]功能-行军令'!Q73</f>
        <v>6790.3471000000009</v>
      </c>
      <c r="BA77" s="11">
        <f>'[1]功能-行军令'!R73</f>
        <v>3759.4794000000002</v>
      </c>
    </row>
    <row r="78" spans="32:53" x14ac:dyDescent="0.15">
      <c r="AF78" s="7">
        <v>71</v>
      </c>
      <c r="AG78" s="11">
        <f>[1]服务器生态!AC92</f>
        <v>0.49561301925000012</v>
      </c>
      <c r="AH78" s="11">
        <f>[1]服务器生态!AD92</f>
        <v>0.45775656870903986</v>
      </c>
      <c r="AI78" s="11">
        <f>[1]服务器生态!AE92</f>
        <v>3.8242880040960006E-2</v>
      </c>
      <c r="AJ78" s="11">
        <f>[1]服务器生态!AF92</f>
        <v>6.5644920000000016E-3</v>
      </c>
      <c r="AK78" s="11">
        <f>[1]服务器生态!AG92</f>
        <v>1.8230399999999997E-3</v>
      </c>
      <c r="AV78" s="7">
        <v>71</v>
      </c>
      <c r="AW78" s="11">
        <f>'[1]功能-行军令'!N74</f>
        <v>6264.6021474136924</v>
      </c>
      <c r="AX78" s="11">
        <f>'[1]功能-行军令'!O74</f>
        <v>7908.2294703902389</v>
      </c>
      <c r="AY78" s="11">
        <f>'[1]功能-行军令'!P74</f>
        <v>8789.1278632188478</v>
      </c>
      <c r="AZ78" s="11">
        <f>'[1]功能-行军令'!Q74</f>
        <v>7273.1349996456938</v>
      </c>
      <c r="BA78" s="11">
        <f>'[1]功能-行军令'!R74</f>
        <v>4030.0321801315486</v>
      </c>
    </row>
    <row r="79" spans="32:53" x14ac:dyDescent="0.15">
      <c r="AF79" s="7">
        <v>72</v>
      </c>
      <c r="AG79" s="11">
        <f>[1]服务器生态!AC93</f>
        <v>0.49477157100000013</v>
      </c>
      <c r="AH79" s="11">
        <f>[1]服务器生态!AD93</f>
        <v>0.45855438811167987</v>
      </c>
      <c r="AI79" s="11">
        <f>[1]服务器生态!AE93</f>
        <v>3.8261896888320004E-2</v>
      </c>
      <c r="AJ79" s="11">
        <f>[1]服务器生态!AF93</f>
        <v>6.580464000000002E-3</v>
      </c>
      <c r="AK79" s="11">
        <f>[1]服务器生态!AG93</f>
        <v>1.8316799999999998E-3</v>
      </c>
      <c r="AV79" s="7">
        <v>72</v>
      </c>
      <c r="AW79" s="11">
        <f>'[1]功能-行军令'!N75</f>
        <v>6717.5359142225398</v>
      </c>
      <c r="AX79" s="11">
        <f>'[1]功能-行军令'!O75</f>
        <v>8480.9767117396204</v>
      </c>
      <c r="AY79" s="11">
        <f>'[1]功能-行军令'!P75</f>
        <v>9401.9946955963624</v>
      </c>
      <c r="AZ79" s="11">
        <f>'[1]功能-行军令'!Q75</f>
        <v>7785.4488845165961</v>
      </c>
      <c r="BA79" s="11">
        <f>'[1]功能-行军令'!R75</f>
        <v>4315.3888813133908</v>
      </c>
    </row>
    <row r="80" spans="32:53" x14ac:dyDescent="0.15">
      <c r="AF80" s="7">
        <v>73</v>
      </c>
      <c r="AG80" s="11">
        <f>[1]服务器生态!AC94</f>
        <v>0.49393012275000009</v>
      </c>
      <c r="AH80" s="11">
        <f>[1]服务器生态!AD94</f>
        <v>0.45935220751431988</v>
      </c>
      <c r="AI80" s="11">
        <f>[1]服务器生态!AE94</f>
        <v>3.8280913735680003E-2</v>
      </c>
      <c r="AJ80" s="11">
        <f>[1]服务器生态!AF94</f>
        <v>6.5964360000000015E-3</v>
      </c>
      <c r="AK80" s="11">
        <f>[1]服务器生态!AG94</f>
        <v>1.8403199999999997E-3</v>
      </c>
      <c r="AV80" s="7">
        <v>73</v>
      </c>
      <c r="AW80" s="11">
        <f>'[1]功能-行军令'!N76</f>
        <v>7202.9783057748664</v>
      </c>
      <c r="AX80" s="11">
        <f>'[1]功能-行军令'!O76</f>
        <v>9072.871473954021</v>
      </c>
      <c r="AY80" s="11">
        <f>'[1]功能-行军令'!P76</f>
        <v>10062.905183434286</v>
      </c>
      <c r="AZ80" s="11">
        <f>'[1]功能-行军令'!Q76</f>
        <v>8338.3869078438565</v>
      </c>
      <c r="BA80" s="11">
        <f>'[1]功能-行军令'!R76</f>
        <v>4622.4017171915848</v>
      </c>
    </row>
    <row r="81" spans="32:53" x14ac:dyDescent="0.15">
      <c r="AF81" s="7">
        <v>74</v>
      </c>
      <c r="AG81" s="11">
        <f>[1]服务器生态!AC95</f>
        <v>0.4930886745000001</v>
      </c>
      <c r="AH81" s="11">
        <f>[1]服务器生态!AD95</f>
        <v>0.46015002691695989</v>
      </c>
      <c r="AI81" s="11">
        <f>[1]服务器生态!AE95</f>
        <v>3.8299930583040001E-2</v>
      </c>
      <c r="AJ81" s="11">
        <f>[1]服务器生态!AF95</f>
        <v>6.6124080000000019E-3</v>
      </c>
      <c r="AK81" s="11">
        <f>[1]服务器生态!AG95</f>
        <v>1.8489599999999998E-3</v>
      </c>
      <c r="AV81" s="7">
        <v>74</v>
      </c>
      <c r="AW81" s="11">
        <f>'[1]功能-行军令'!N77</f>
        <v>7723.2625786307999</v>
      </c>
      <c r="AX81" s="11">
        <f>'[1]功能-行军令'!O77</f>
        <v>9725.9717240747977</v>
      </c>
      <c r="AY81" s="11">
        <f>'[1]功能-行军令'!P77</f>
        <v>10801.990098290646</v>
      </c>
      <c r="AZ81" s="11">
        <f>'[1]功能-行军令'!Q77</f>
        <v>8947.6011737588742</v>
      </c>
      <c r="BA81" s="11">
        <f>'[1]功能-行军令'!R77</f>
        <v>4961.4742496161989</v>
      </c>
    </row>
    <row r="82" spans="32:53" x14ac:dyDescent="0.15">
      <c r="AF82" s="7">
        <v>75</v>
      </c>
      <c r="AG82" s="11">
        <f>[1]服务器生态!AC96</f>
        <v>0.49224722625000006</v>
      </c>
      <c r="AH82" s="11">
        <f>[1]服务器生态!AD96</f>
        <v>0.4609478463195999</v>
      </c>
      <c r="AI82" s="11">
        <f>[1]服务器生态!AE96</f>
        <v>3.8318947430399999E-2</v>
      </c>
      <c r="AJ82" s="11">
        <f>[1]服务器生态!AF96</f>
        <v>6.6283800000000014E-3</v>
      </c>
      <c r="AK82" s="11">
        <f>[1]服务器生态!AG96</f>
        <v>1.8575999999999996E-3</v>
      </c>
      <c r="AV82" s="7">
        <v>75</v>
      </c>
      <c r="AW82" s="11">
        <f>'[1]功能-行军令'!N78</f>
        <v>8280.8894552527818</v>
      </c>
      <c r="AX82" s="11">
        <f>'[1]功能-行军令'!O78</f>
        <v>10435.432876040768</v>
      </c>
      <c r="AY82" s="11">
        <f>'[1]功能-行军令'!P78</f>
        <v>11591.73307493163</v>
      </c>
      <c r="AZ82" s="11">
        <f>'[1]功能-行军令'!Q78</f>
        <v>9601.0432537560609</v>
      </c>
      <c r="BA82" s="11">
        <f>'[1]功能-行军令'!R78</f>
        <v>5330.8225868189775</v>
      </c>
    </row>
    <row r="83" spans="32:53" x14ac:dyDescent="0.15">
      <c r="AF83" s="7">
        <v>76</v>
      </c>
      <c r="AG83" s="11">
        <f>[1]服务器生态!AC97</f>
        <v>0.49140577800000007</v>
      </c>
      <c r="AH83" s="11">
        <f>[1]服务器生态!AD97</f>
        <v>0.46174566572223991</v>
      </c>
      <c r="AI83" s="11">
        <f>[1]服务器生态!AE97</f>
        <v>3.8337964277760005E-2</v>
      </c>
      <c r="AJ83" s="11">
        <f>[1]服务器生态!AF97</f>
        <v>6.6443520000000018E-3</v>
      </c>
      <c r="AK83" s="11">
        <f>[1]服务器生态!AG97</f>
        <v>1.8662399999999997E-3</v>
      </c>
      <c r="AV83" s="7">
        <v>76</v>
      </c>
      <c r="AW83" s="11">
        <f>'[1]功能-行军令'!N79</f>
        <v>8878.5391436132213</v>
      </c>
      <c r="AX83" s="11">
        <f>'[1]功能-行军令'!O79</f>
        <v>11187.287440877531</v>
      </c>
      <c r="AY83" s="11">
        <f>'[1]功能-行军令'!P79</f>
        <v>12423.064282636185</v>
      </c>
      <c r="AZ83" s="11">
        <f>'[1]功能-行军令'!Q79</f>
        <v>10303.911398432119</v>
      </c>
      <c r="BA83" s="11">
        <f>'[1]功能-行军令'!R79</f>
        <v>5733.4517601925972</v>
      </c>
    </row>
    <row r="84" spans="32:53" x14ac:dyDescent="0.15">
      <c r="AF84" s="7">
        <v>77</v>
      </c>
      <c r="AG84" s="11">
        <f>[1]服务器生态!AC98</f>
        <v>0.49056432975000008</v>
      </c>
      <c r="AH84" s="11">
        <f>[1]服务器生态!AD98</f>
        <v>0.46254348512487992</v>
      </c>
      <c r="AI84" s="11">
        <f>[1]服务器生态!AE98</f>
        <v>3.8356981125120003E-2</v>
      </c>
      <c r="AJ84" s="11">
        <f>[1]服务器生态!AF98</f>
        <v>6.6603240000000022E-3</v>
      </c>
      <c r="AK84" s="11">
        <f>[1]服务器生态!AG98</f>
        <v>1.8748799999999998E-3</v>
      </c>
      <c r="AV84" s="7">
        <v>77</v>
      </c>
      <c r="AW84" s="11">
        <f>'[1]功能-行军令'!N80</f>
        <v>9519.0842194910274</v>
      </c>
      <c r="AX84" s="11">
        <f>'[1]功能-行军令'!O80</f>
        <v>12001.33028535274</v>
      </c>
      <c r="AY84" s="11">
        <f>'[1]功能-行军令'!P80</f>
        <v>13334.39525564707</v>
      </c>
      <c r="AZ84" s="11">
        <f>'[1]功能-行军令'!Q80</f>
        <v>11064.341993234622</v>
      </c>
      <c r="BA84" s="11">
        <f>'[1]功能-行军令'!R80</f>
        <v>6132.1733605347736</v>
      </c>
    </row>
    <row r="85" spans="32:53" x14ac:dyDescent="0.15">
      <c r="AF85" s="7">
        <v>78</v>
      </c>
      <c r="AG85" s="11">
        <f>[1]服务器生态!AC99</f>
        <v>0.48972288150000004</v>
      </c>
      <c r="AH85" s="11">
        <f>[1]服务器生态!AD99</f>
        <v>0.46334130452751993</v>
      </c>
      <c r="AI85" s="11">
        <f>[1]服务器生态!AE99</f>
        <v>3.8375997972480001E-2</v>
      </c>
      <c r="AJ85" s="11">
        <f>[1]服务器生态!AF99</f>
        <v>6.6762960000000017E-3</v>
      </c>
      <c r="AK85" s="11">
        <f>[1]服务器生态!AG99</f>
        <v>1.8835199999999996E-3</v>
      </c>
      <c r="AV85" s="7">
        <v>78</v>
      </c>
      <c r="AW85" s="11">
        <f>'[1]功能-行军令'!N81</f>
        <v>10205.603433375156</v>
      </c>
      <c r="AX85" s="11">
        <f>'[1]功能-行军令'!O81</f>
        <v>12866.869831288672</v>
      </c>
      <c r="AY85" s="11">
        <f>'[1]功能-行军令'!P81</f>
        <v>14308.189455308708</v>
      </c>
      <c r="AZ85" s="11">
        <f>'[1]功能-行军令'!Q81</f>
        <v>11862.30566202825</v>
      </c>
      <c r="BA85" s="11">
        <f>'[1]功能-行军令'!R81</f>
        <v>6556.1462038834607</v>
      </c>
    </row>
    <row r="86" spans="32:53" x14ac:dyDescent="0.15">
      <c r="AF86" s="7">
        <v>79</v>
      </c>
      <c r="AG86" s="11">
        <f>[1]服务器生态!AC100</f>
        <v>0.48888143325000005</v>
      </c>
      <c r="AH86" s="11">
        <f>[1]服务器生态!AD100</f>
        <v>0.46413912393015994</v>
      </c>
      <c r="AI86" s="11">
        <f>[1]服务器生态!AE100</f>
        <v>3.839501481984E-2</v>
      </c>
      <c r="AJ86" s="11">
        <f>[1]服务器生态!AF100</f>
        <v>6.6922680000000021E-3</v>
      </c>
      <c r="AK86" s="11">
        <f>[1]服务器生态!AG100</f>
        <v>1.8921599999999997E-3</v>
      </c>
      <c r="AV86" s="7">
        <v>79</v>
      </c>
      <c r="AW86" s="11">
        <f>'[1]功能-行军令'!N82</f>
        <v>10941.396508337442</v>
      </c>
      <c r="AX86" s="11">
        <f>'[1]功能-行军令'!O82</f>
        <v>13807.281252895182</v>
      </c>
      <c r="AY86" s="11">
        <f>'[1]功能-行军令'!P82</f>
        <v>15354.918003354933</v>
      </c>
      <c r="AZ86" s="11">
        <f>'[1]功能-行军令'!Q82</f>
        <v>12680.793125428094</v>
      </c>
      <c r="BA86" s="11">
        <f>'[1]功能-行军令'!R82</f>
        <v>7016.5748669292998</v>
      </c>
    </row>
    <row r="87" spans="32:53" x14ac:dyDescent="0.15">
      <c r="AF87" s="7">
        <v>80</v>
      </c>
      <c r="AG87" s="11">
        <f>[1]服务器生态!AC101</f>
        <v>0.48803998500000006</v>
      </c>
      <c r="AH87" s="11">
        <f>[1]服务器生态!AD101</f>
        <v>0.46493694333279995</v>
      </c>
      <c r="AI87" s="11">
        <f>[1]服务器生态!AE101</f>
        <v>3.8414031667200005E-2</v>
      </c>
      <c r="AJ87" s="11">
        <f>[1]服务器生态!AF101</f>
        <v>6.7082400000000016E-3</v>
      </c>
      <c r="AK87" s="11">
        <f>[1]服务器生态!AG101</f>
        <v>1.9007999999999998E-3</v>
      </c>
      <c r="AV87" s="7">
        <v>80</v>
      </c>
      <c r="AW87" s="11">
        <f>'[1]功能-行军令'!N83</f>
        <v>11730</v>
      </c>
      <c r="AX87" s="11">
        <f>'[1]功能-行军令'!O83</f>
        <v>14812.695</v>
      </c>
      <c r="AY87" s="11">
        <f>'[1]功能-行军令'!P83</f>
        <v>16410.576000000001</v>
      </c>
      <c r="AZ87" s="11">
        <f>'[1]功能-行军令'!Q83</f>
        <v>13552.740000000002</v>
      </c>
      <c r="BA87" s="11">
        <f>'[1]功能-行军令'!R83</f>
        <v>7496.0309999999999</v>
      </c>
    </row>
    <row r="88" spans="32:53" x14ac:dyDescent="0.15">
      <c r="AF88" s="7">
        <v>81</v>
      </c>
      <c r="AG88" s="11">
        <f>[1]服务器生态!AC102</f>
        <v>0.48719853675000002</v>
      </c>
      <c r="AH88" s="11">
        <f>[1]服务器生态!AD102</f>
        <v>0.46573476273543996</v>
      </c>
      <c r="AI88" s="11">
        <f>[1]服务器生态!AE102</f>
        <v>3.8433048514560003E-2</v>
      </c>
      <c r="AJ88" s="11">
        <f>[1]服务器生态!AF102</f>
        <v>6.724212000000002E-3</v>
      </c>
      <c r="AK88" s="11">
        <f>[1]服务器生态!AG102</f>
        <v>1.9094399999999997E-3</v>
      </c>
      <c r="AV88" s="7">
        <v>81</v>
      </c>
      <c r="AW88" s="11">
        <f>'[1]功能-行军令'!N84</f>
        <v>12575.204294827385</v>
      </c>
      <c r="AX88" s="11">
        <f>'[1]功能-行军令'!O84</f>
        <v>15836.064118078692</v>
      </c>
      <c r="AY88" s="11">
        <f>'[1]功能-行军令'!P84</f>
        <v>17533.333974271412</v>
      </c>
      <c r="AZ88" s="11">
        <f>'[1]功能-行军令'!Q84</f>
        <v>14498.308417714825</v>
      </c>
      <c r="BA88" s="11">
        <f>'[1]功能-行军令'!R84</f>
        <v>8019.2624536127059</v>
      </c>
    </row>
    <row r="89" spans="32:53" x14ac:dyDescent="0.15">
      <c r="AF89" s="7">
        <v>82</v>
      </c>
      <c r="AG89" s="11">
        <f>[1]服务器生态!AC103</f>
        <v>0.48635708850000003</v>
      </c>
      <c r="AH89" s="11">
        <f>[1]服务器生态!AD103</f>
        <v>0.46653258213807997</v>
      </c>
      <c r="AI89" s="11">
        <f>[1]服务器生态!AE103</f>
        <v>3.8452065361920001E-2</v>
      </c>
      <c r="AJ89" s="11">
        <f>[1]服务器生态!AF103</f>
        <v>6.7401840000000015E-3</v>
      </c>
      <c r="AK89" s="11">
        <f>[1]服务器生态!AG103</f>
        <v>1.9180799999999997E-3</v>
      </c>
      <c r="AV89" s="7">
        <v>82</v>
      </c>
      <c r="AW89" s="11">
        <f>'[1]功能-行军令'!N85</f>
        <v>13481.07182844507</v>
      </c>
      <c r="AX89" s="11">
        <f>'[1]功能-行军令'!O85</f>
        <v>16961.1226009245</v>
      </c>
      <c r="AY89" s="11">
        <f>'[1]功能-行军令'!P85</f>
        <v>18780.363937495276</v>
      </c>
      <c r="AZ89" s="11">
        <f>'[1]功能-行军令'!Q85</f>
        <v>15533.652934359494</v>
      </c>
      <c r="BA89" s="11">
        <f>'[1]功能-行军令'!R85</f>
        <v>8572.7894157755472</v>
      </c>
    </row>
    <row r="90" spans="32:53" x14ac:dyDescent="0.15">
      <c r="AF90" s="7">
        <v>83</v>
      </c>
      <c r="AG90" s="11">
        <f>[1]服务器生态!AC104</f>
        <v>0.48551564025000005</v>
      </c>
      <c r="AH90" s="11">
        <f>[1]服务器生态!AD104</f>
        <v>0.46733040154071992</v>
      </c>
      <c r="AI90" s="11">
        <f>[1]服务器生态!AE104</f>
        <v>3.847108220928E-2</v>
      </c>
      <c r="AJ90" s="11">
        <f>[1]服务器生态!AF104</f>
        <v>6.7561560000000019E-3</v>
      </c>
      <c r="AK90" s="11">
        <f>[1]服务器生态!AG104</f>
        <v>1.9267199999999998E-3</v>
      </c>
      <c r="AV90" s="7">
        <v>83</v>
      </c>
      <c r="AW90" s="11">
        <f>'[1]功能-行军令'!N86</f>
        <v>14451.956611549746</v>
      </c>
      <c r="AX90" s="11">
        <f>'[1]功能-行军令'!O86</f>
        <v>18193.159753419211</v>
      </c>
      <c r="AY90" s="11">
        <f>'[1]功能-行军令'!P86</f>
        <v>20161.484826615306</v>
      </c>
      <c r="AZ90" s="11">
        <f>'[1]功能-行军令'!Q86</f>
        <v>16642.653312781815</v>
      </c>
      <c r="BA90" s="11">
        <f>'[1]功能-行军令'!R86</f>
        <v>9186.9517314772656</v>
      </c>
    </row>
    <row r="91" spans="32:53" x14ac:dyDescent="0.15">
      <c r="AF91" s="7">
        <v>84</v>
      </c>
      <c r="AG91" s="11">
        <f>[1]服务器生态!AC105</f>
        <v>0.484674192</v>
      </c>
      <c r="AH91" s="11">
        <f>[1]服务器生态!AD105</f>
        <v>0.46812822094335993</v>
      </c>
      <c r="AI91" s="11">
        <f>[1]服务器生态!AE105</f>
        <v>3.8490099056640005E-2</v>
      </c>
      <c r="AJ91" s="11">
        <f>[1]服务器生态!AF105</f>
        <v>6.7721280000000023E-3</v>
      </c>
      <c r="AK91" s="11">
        <f>[1]服务器生态!AG105</f>
        <v>1.9353599999999997E-3</v>
      </c>
      <c r="AV91" s="7">
        <v>84</v>
      </c>
      <c r="AW91" s="11">
        <f>'[1]功能-行军令'!N87</f>
        <v>15492.5251572616</v>
      </c>
      <c r="AX91" s="11">
        <f>'[1]功能-行军令'!O87</f>
        <v>19514.384688086713</v>
      </c>
      <c r="AY91" s="11">
        <f>'[1]功能-行军令'!P87</f>
        <v>21591.696555857881</v>
      </c>
      <c r="AZ91" s="11">
        <f>'[1]功能-行军令'!Q87</f>
        <v>17816.673366070961</v>
      </c>
      <c r="BA91" s="11">
        <f>'[1]功能-行军令'!R87</f>
        <v>9851.8988239177452</v>
      </c>
    </row>
    <row r="92" spans="32:53" x14ac:dyDescent="0.15">
      <c r="AF92" s="7">
        <v>85</v>
      </c>
      <c r="AG92" s="11">
        <f>[1]服务器生态!AC106</f>
        <v>0.48383274375000002</v>
      </c>
      <c r="AH92" s="11">
        <f>[1]服务器生态!AD106</f>
        <v>0.46892604034599994</v>
      </c>
      <c r="AI92" s="11">
        <f>[1]服务器生态!AE106</f>
        <v>3.8509115904000003E-2</v>
      </c>
      <c r="AJ92" s="11">
        <f>[1]服务器生态!AF106</f>
        <v>6.7881000000000018E-3</v>
      </c>
      <c r="AK92" s="11">
        <f>[1]服务器生态!AG106</f>
        <v>1.9439999999999998E-3</v>
      </c>
      <c r="AV92" s="7">
        <v>85</v>
      </c>
      <c r="AW92" s="11">
        <f>'[1]功能-行军令'!N88</f>
        <v>16607.778910505567</v>
      </c>
      <c r="AX92" s="11">
        <f>'[1]功能-行军令'!O88</f>
        <v>20885.292888242257</v>
      </c>
      <c r="AY92" s="11">
        <f>'[1]功能-行军令'!P88</f>
        <v>23106.583317522378</v>
      </c>
      <c r="AZ92" s="11">
        <f>'[1]功能-行军令'!Q88</f>
        <v>19114.109371304035</v>
      </c>
      <c r="BA92" s="11">
        <f>'[1]功能-行军令'!R88</f>
        <v>10561.103232393669</v>
      </c>
    </row>
    <row r="93" spans="32:53" x14ac:dyDescent="0.15">
      <c r="AF93" s="7">
        <v>86</v>
      </c>
      <c r="AG93" s="11">
        <f>[1]服务器生态!AC107</f>
        <v>0.48299129549999997</v>
      </c>
      <c r="AH93" s="11">
        <f>[1]服务器生态!AD107</f>
        <v>0.46972385974863995</v>
      </c>
      <c r="AI93" s="11">
        <f>[1]服务器生态!AE107</f>
        <v>3.8528132751360002E-2</v>
      </c>
      <c r="AJ93" s="11">
        <f>[1]服务器生态!AF107</f>
        <v>6.8040720000000022E-3</v>
      </c>
      <c r="AK93" s="11">
        <f>[1]服务器生态!AG107</f>
        <v>1.9526399999999998E-3</v>
      </c>
      <c r="AV93" s="7">
        <v>86</v>
      </c>
      <c r="AW93" s="11">
        <f>'[1]功能-行军令'!N89</f>
        <v>17803.078287226446</v>
      </c>
      <c r="AX93" s="11">
        <f>'[1]功能-行军令'!O89</f>
        <v>22378.082383602617</v>
      </c>
      <c r="AY93" s="11">
        <f>'[1]功能-行军令'!P89</f>
        <v>24773.138246052011</v>
      </c>
      <c r="AZ93" s="11">
        <f>'[1]功能-行军令'!Q89</f>
        <v>20537.631112144427</v>
      </c>
      <c r="BA93" s="11">
        <f>'[1]功能-行军令'!R89</f>
        <v>11221.551160847546</v>
      </c>
    </row>
    <row r="94" spans="32:53" x14ac:dyDescent="0.15">
      <c r="AF94" s="7">
        <v>87</v>
      </c>
      <c r="AG94" s="11">
        <f>[1]服务器生态!AC108</f>
        <v>0.48214984724999999</v>
      </c>
      <c r="AH94" s="11">
        <f>[1]服务器生态!AD108</f>
        <v>0.47052167915127996</v>
      </c>
      <c r="AI94" s="11">
        <f>[1]服务器生态!AE108</f>
        <v>3.854714959872E-2</v>
      </c>
      <c r="AJ94" s="11">
        <f>[1]服务器生态!AF108</f>
        <v>6.8200440000000017E-3</v>
      </c>
      <c r="AK94" s="11">
        <f>[1]服务器生态!AG108</f>
        <v>1.9612799999999997E-3</v>
      </c>
      <c r="AV94" s="7">
        <v>87</v>
      </c>
      <c r="AW94" s="11">
        <f>'[1]功能-行军令'!N90</f>
        <v>19084.16843898204</v>
      </c>
      <c r="AX94" s="11">
        <f>'[1]功能-行军令'!O90</f>
        <v>24005.062758296252</v>
      </c>
      <c r="AY94" s="11">
        <f>'[1]功能-行军令'!P90</f>
        <v>26608.641181245723</v>
      </c>
      <c r="AZ94" s="11">
        <f>'[1]功能-行军令'!Q90</f>
        <v>21895.847272561801</v>
      </c>
      <c r="BA94" s="11">
        <f>'[1]功能-行军令'!R90</f>
        <v>11922.21192241363</v>
      </c>
    </row>
    <row r="95" spans="32:53" x14ac:dyDescent="0.15">
      <c r="AF95" s="7">
        <v>88</v>
      </c>
      <c r="AG95" s="11">
        <f>[1]服务器生态!AC109</f>
        <v>0.481308399</v>
      </c>
      <c r="AH95" s="11">
        <f>[1]服务器生态!AD109</f>
        <v>0.47131949855391997</v>
      </c>
      <c r="AI95" s="11">
        <f>[1]服务器生态!AE109</f>
        <v>3.8566166446080005E-2</v>
      </c>
      <c r="AJ95" s="11">
        <f>[1]服务器生态!AF109</f>
        <v>6.836016000000002E-3</v>
      </c>
      <c r="AK95" s="11">
        <f>[1]服务器生态!AG109</f>
        <v>1.9699199999999996E-3</v>
      </c>
      <c r="AV95" s="7">
        <v>88</v>
      </c>
      <c r="AW95" s="11">
        <f>'[1]功能-行军令'!N91</f>
        <v>20457.206866750312</v>
      </c>
      <c r="AX95" s="11">
        <f>'[1]功能-行军令'!O91</f>
        <v>25779.816315968015</v>
      </c>
      <c r="AY95" s="11">
        <f>'[1]功能-行军令'!P91</f>
        <v>28474.475182207443</v>
      </c>
      <c r="AZ95" s="11">
        <f>'[1]功能-行军令'!Q91</f>
        <v>23278.789359941271</v>
      </c>
      <c r="BA95" s="11">
        <f>'[1]功能-行军令'!R91</f>
        <v>12688.360198157678</v>
      </c>
    </row>
    <row r="96" spans="32:53" x14ac:dyDescent="0.15">
      <c r="AF96" s="7">
        <v>89</v>
      </c>
      <c r="AG96" s="11">
        <f>[1]服务器生态!AC110</f>
        <v>0.48046695074999995</v>
      </c>
      <c r="AH96" s="11">
        <f>[1]服务器生态!AD110</f>
        <v>0.47211731795655998</v>
      </c>
      <c r="AI96" s="11">
        <f>[1]服务器生态!AE110</f>
        <v>3.8585183293440004E-2</v>
      </c>
      <c r="AJ96" s="11">
        <f>[1]服务器生态!AF110</f>
        <v>6.8519880000000016E-3</v>
      </c>
      <c r="AK96" s="11">
        <f>[1]服务器生态!AG110</f>
        <v>1.9785599999999999E-3</v>
      </c>
      <c r="AV96" s="7">
        <v>89</v>
      </c>
      <c r="AW96" s="11">
        <f>'[1]功能-行军令'!N92</f>
        <v>21928.793016674885</v>
      </c>
      <c r="AX96" s="11">
        <f>'[1]功能-行军令'!O92</f>
        <v>27589.567920062011</v>
      </c>
      <c r="AY96" s="11">
        <f>'[1]功能-行军令'!P92</f>
        <v>30266.835190952177</v>
      </c>
      <c r="AZ96" s="11">
        <f>'[1]功能-行军令'!Q92</f>
        <v>24752.029774993443</v>
      </c>
      <c r="BA96" s="11">
        <f>'[1]功能-行军令'!R92</f>
        <v>13453.791228621709</v>
      </c>
    </row>
    <row r="97" spans="32:53" x14ac:dyDescent="0.15">
      <c r="AF97" s="7">
        <v>90</v>
      </c>
      <c r="AG97" s="11">
        <f>[1]服务器生态!AC111</f>
        <v>0.47962550249999997</v>
      </c>
      <c r="AH97" s="11">
        <f>[1]服务器生态!AD111</f>
        <v>0.47291513735919999</v>
      </c>
      <c r="AI97" s="11">
        <f>[1]服务器生态!AE111</f>
        <v>3.8604200140800002E-2</v>
      </c>
      <c r="AJ97" s="11">
        <f>[1]服务器生态!AF111</f>
        <v>6.8679600000000019E-3</v>
      </c>
      <c r="AK97" s="11">
        <f>[1]服务器生态!AG111</f>
        <v>1.9871999999999997E-3</v>
      </c>
      <c r="AV97" s="7">
        <v>90</v>
      </c>
      <c r="AW97" s="11">
        <f>'[1]功能-行军令'!N93</f>
        <v>23506</v>
      </c>
      <c r="AX97" s="11">
        <f>'[1]功能-行军令'!O93</f>
        <v>29354.803800000002</v>
      </c>
      <c r="AY97" s="11">
        <f>'[1]功能-行军令'!P93</f>
        <v>32225.192999999999</v>
      </c>
      <c r="AZ97" s="11">
        <f>'[1]功能-行军令'!Q93</f>
        <v>26253.340400000001</v>
      </c>
      <c r="BA97" s="11">
        <f>'[1]功能-行军令'!R93</f>
        <v>14263.543000000001</v>
      </c>
    </row>
    <row r="98" spans="32:53" x14ac:dyDescent="0.15">
      <c r="AF98" s="7">
        <v>91</v>
      </c>
      <c r="AG98" s="11">
        <f>[1]服务器生态!AC112</f>
        <v>0.47962550249999997</v>
      </c>
      <c r="AH98" s="11">
        <f>[1]服务器生态!AD112</f>
        <v>0.47291513735919999</v>
      </c>
      <c r="AI98" s="11">
        <f>[1]服务器生态!AE112</f>
        <v>3.8604200140800002E-2</v>
      </c>
      <c r="AJ98" s="11">
        <f>[1]服务器生态!AF112</f>
        <v>6.8679600000000019E-3</v>
      </c>
      <c r="AK98" s="11">
        <f>[1]服务器生态!AG112</f>
        <v>1.9871999999999997E-3</v>
      </c>
      <c r="AV98" s="7">
        <v>91</v>
      </c>
      <c r="AW98" s="11">
        <f>'[1]功能-行军令'!N94</f>
        <v>25196.408589654777</v>
      </c>
      <c r="AX98" s="11">
        <f>'[1]功能-行军令'!O94</f>
        <v>31465.822794773703</v>
      </c>
      <c r="AY98" s="11">
        <f>'[1]功能-行军令'!P94</f>
        <v>34437.958287128611</v>
      </c>
      <c r="AZ98" s="11">
        <f>'[1]功能-行军令'!Q94</f>
        <v>28079.261155920252</v>
      </c>
      <c r="BA98" s="11">
        <f>'[1]功能-行军令'!R94</f>
        <v>15232.872236484771</v>
      </c>
    </row>
    <row r="99" spans="32:53" x14ac:dyDescent="0.15">
      <c r="AF99" s="7">
        <v>92</v>
      </c>
      <c r="AG99" s="11">
        <f>[1]服务器生态!AC113</f>
        <v>0.47962550249999997</v>
      </c>
      <c r="AH99" s="11">
        <f>[1]服务器生态!AD113</f>
        <v>0.47291513735919999</v>
      </c>
      <c r="AI99" s="11">
        <f>[1]服务器生态!AE113</f>
        <v>3.8604200140800002E-2</v>
      </c>
      <c r="AJ99" s="11">
        <f>[1]服务器生态!AF113</f>
        <v>6.8679600000000019E-3</v>
      </c>
      <c r="AK99" s="11">
        <f>[1]服务器生态!AG113</f>
        <v>1.9871999999999997E-3</v>
      </c>
      <c r="AV99" s="7">
        <v>92</v>
      </c>
      <c r="AW99" s="11">
        <f>'[1]功能-行军令'!N95</f>
        <v>27008.143656890144</v>
      </c>
      <c r="AX99" s="11">
        <f>'[1]功能-行军令'!O95</f>
        <v>33653.614830379513</v>
      </c>
      <c r="AY99" s="11">
        <f>'[1]功能-行军令'!P95</f>
        <v>36866.116091655043</v>
      </c>
      <c r="AZ99" s="11">
        <f>'[1]功能-行军令'!Q95</f>
        <v>30031.764052634771</v>
      </c>
      <c r="BA99" s="11">
        <f>'[1]功能-行军令'!R95</f>
        <v>16237.472106589683</v>
      </c>
    </row>
    <row r="100" spans="32:53" x14ac:dyDescent="0.15">
      <c r="AF100" s="7">
        <v>93</v>
      </c>
      <c r="AG100" s="11">
        <f>[1]服务器生态!AC114</f>
        <v>0.47962550249999997</v>
      </c>
      <c r="AH100" s="11">
        <f>[1]服务器生态!AD114</f>
        <v>0.47291513735919999</v>
      </c>
      <c r="AI100" s="11">
        <f>[1]服务器生态!AE114</f>
        <v>3.8604200140800002E-2</v>
      </c>
      <c r="AJ100" s="11">
        <f>[1]服务器生态!AF114</f>
        <v>6.8679600000000019E-3</v>
      </c>
      <c r="AK100" s="11">
        <f>[1]服务器生态!AG114</f>
        <v>1.9871999999999997E-3</v>
      </c>
      <c r="AV100" s="7">
        <v>93</v>
      </c>
      <c r="AW100" s="11">
        <f>'[1]功能-行军令'!N96</f>
        <v>28949.913223099466</v>
      </c>
      <c r="AX100" s="11">
        <f>'[1]功能-行军令'!O96</f>
        <v>36068.948623035481</v>
      </c>
      <c r="AY100" s="11">
        <f>'[1]功能-行军令'!P96</f>
        <v>39465.088117074862</v>
      </c>
      <c r="AZ100" s="11">
        <f>'[1]功能-行军令'!Q96</f>
        <v>32087.20273216796</v>
      </c>
      <c r="BA100" s="11">
        <f>'[1]功能-行军令'!R96</f>
        <v>17340.054001727131</v>
      </c>
    </row>
    <row r="101" spans="32:53" x14ac:dyDescent="0.15">
      <c r="AF101" s="7">
        <v>94</v>
      </c>
      <c r="AG101" s="11">
        <f>[1]服务器生态!AC115</f>
        <v>0.47962550249999997</v>
      </c>
      <c r="AH101" s="11">
        <f>[1]服务器生态!AD115</f>
        <v>0.47291513735919999</v>
      </c>
      <c r="AI101" s="11">
        <f>[1]服务器生态!AE115</f>
        <v>3.8604200140800002E-2</v>
      </c>
      <c r="AJ101" s="11">
        <f>[1]服务器生态!AF115</f>
        <v>6.8679600000000019E-3</v>
      </c>
      <c r="AK101" s="11">
        <f>[1]服务器生态!AG115</f>
        <v>1.9871999999999997E-3</v>
      </c>
      <c r="AV101" s="7">
        <v>94</v>
      </c>
      <c r="AW101" s="11">
        <f>'[1]功能-行军令'!N97</f>
        <v>31031.050314523203</v>
      </c>
      <c r="AX101" s="11">
        <f>'[1]功能-行军令'!O97</f>
        <v>38612.138282776315</v>
      </c>
      <c r="AY101" s="11">
        <f>'[1]功能-行军令'!P97</f>
        <v>42228.469902908837</v>
      </c>
      <c r="AZ101" s="11">
        <f>'[1]功能-行军令'!Q97</f>
        <v>34268.803120818542</v>
      </c>
      <c r="BA101" s="11">
        <f>'[1]功能-行军令'!R97</f>
        <v>18503.208173304902</v>
      </c>
    </row>
    <row r="102" spans="32:53" x14ac:dyDescent="0.15">
      <c r="AF102" s="7">
        <v>95</v>
      </c>
      <c r="AG102" s="11">
        <f>[1]服务器生态!AC116</f>
        <v>0.47962550249999997</v>
      </c>
      <c r="AH102" s="11">
        <f>[1]服务器生态!AD116</f>
        <v>0.47291513735919999</v>
      </c>
      <c r="AI102" s="11">
        <f>[1]服务器生态!AE116</f>
        <v>3.8604200140800002E-2</v>
      </c>
      <c r="AJ102" s="11">
        <f>[1]服务器生态!AF116</f>
        <v>6.8679600000000019E-3</v>
      </c>
      <c r="AK102" s="11">
        <f>[1]服务器生态!AG116</f>
        <v>1.9871999999999997E-3</v>
      </c>
      <c r="AV102" s="7">
        <v>95</v>
      </c>
      <c r="AW102" s="11">
        <f>'[1]功能-行军令'!N98</f>
        <v>33261.557821011134</v>
      </c>
      <c r="AX102" s="11">
        <f>'[1]功能-行军令'!O98</f>
        <v>41416.641029113518</v>
      </c>
      <c r="AY102" s="11">
        <f>'[1]功能-行军令'!P98</f>
        <v>45132.246268658033</v>
      </c>
      <c r="AZ102" s="11">
        <f>'[1]功能-行军令'!Q98</f>
        <v>36605.428998038653</v>
      </c>
      <c r="BA102" s="11">
        <f>'[1]功能-行军令'!R98</f>
        <v>19863.00694562952</v>
      </c>
    </row>
    <row r="103" spans="32:53" x14ac:dyDescent="0.15">
      <c r="AF103" s="7">
        <v>96</v>
      </c>
      <c r="AG103" s="11">
        <f>[1]服务器生态!AC117</f>
        <v>0.47962550249999997</v>
      </c>
      <c r="AH103" s="11">
        <f>[1]服务器生态!AD117</f>
        <v>0.47291513735919999</v>
      </c>
      <c r="AI103" s="11">
        <f>[1]服务器生态!AE117</f>
        <v>3.8604200140800002E-2</v>
      </c>
      <c r="AJ103" s="11">
        <f>[1]服务器生态!AF117</f>
        <v>6.8679600000000019E-3</v>
      </c>
      <c r="AK103" s="11">
        <f>[1]服务器生态!AG117</f>
        <v>1.9871999999999997E-3</v>
      </c>
      <c r="AV103" s="7">
        <v>96</v>
      </c>
      <c r="AW103" s="11">
        <f>'[1]功能-行军令'!N99</f>
        <v>35652.156574452893</v>
      </c>
      <c r="AX103" s="11">
        <f>'[1]功能-行军令'!O99</f>
        <v>44289.511542119748</v>
      </c>
      <c r="AY103" s="11">
        <f>'[1]功能-行军令'!P99</f>
        <v>48227.912273273716</v>
      </c>
      <c r="AZ103" s="11">
        <f>'[1]功能-行军令'!Q99</f>
        <v>39212.411931853043</v>
      </c>
      <c r="BA103" s="11">
        <f>'[1]功能-行军令'!R99</f>
        <v>21306.581320463309</v>
      </c>
    </row>
    <row r="104" spans="32:53" x14ac:dyDescent="0.15">
      <c r="AF104" s="7">
        <v>97</v>
      </c>
      <c r="AG104" s="11">
        <f>[1]服务器生态!AC118</f>
        <v>0.47962550249999997</v>
      </c>
      <c r="AH104" s="11">
        <f>[1]服务器生态!AD118</f>
        <v>0.47291513735919999</v>
      </c>
      <c r="AI104" s="11">
        <f>[1]服务器生态!AE118</f>
        <v>3.8604200140800002E-2</v>
      </c>
      <c r="AJ104" s="11">
        <f>[1]服务器生态!AF118</f>
        <v>6.8679600000000019E-3</v>
      </c>
      <c r="AK104" s="11">
        <f>[1]服务器生态!AG118</f>
        <v>1.9871999999999997E-3</v>
      </c>
      <c r="AV104" s="7">
        <v>97</v>
      </c>
      <c r="AW104" s="11">
        <f>'[1]功能-行军令'!N100</f>
        <v>38214.336877964088</v>
      </c>
      <c r="AX104" s="11">
        <f>'[1]功能-行军令'!O100</f>
        <v>47416.764571404769</v>
      </c>
      <c r="AY104" s="11">
        <f>'[1]功能-行军令'!P100</f>
        <v>51807.259580101301</v>
      </c>
      <c r="AZ104" s="11">
        <f>'[1]功能-行军令'!Q100</f>
        <v>42210.144246427553</v>
      </c>
      <c r="BA104" s="11">
        <f>'[1]功能-行军令'!R100</f>
        <v>23000.378620392712</v>
      </c>
    </row>
    <row r="105" spans="32:53" x14ac:dyDescent="0.15">
      <c r="AF105" s="7">
        <v>98</v>
      </c>
      <c r="AG105" s="11">
        <f>[1]服务器生态!AC119</f>
        <v>0.47962550249999997</v>
      </c>
      <c r="AH105" s="11">
        <f>[1]服务器生态!AD119</f>
        <v>0.47291513735919999</v>
      </c>
      <c r="AI105" s="11">
        <f>[1]服务器生态!AE119</f>
        <v>3.8604200140800002E-2</v>
      </c>
      <c r="AJ105" s="11">
        <f>[1]服务器生态!AF119</f>
        <v>6.8679600000000019E-3</v>
      </c>
      <c r="AK105" s="11">
        <f>[1]服务器生态!AG119</f>
        <v>1.9871999999999997E-3</v>
      </c>
      <c r="AV105" s="7">
        <v>98</v>
      </c>
      <c r="AW105" s="11">
        <f>'[1]功能-行军令'!N101</f>
        <v>40960.413733500631</v>
      </c>
      <c r="AX105" s="11">
        <f>'[1]功能-行军令'!O101</f>
        <v>50943.446048509235</v>
      </c>
      <c r="AY105" s="11">
        <f>'[1]功能-行军令'!P101</f>
        <v>55781.316132324064</v>
      </c>
      <c r="AZ105" s="11">
        <f>'[1]功能-行军令'!Q101</f>
        <v>45518.506382640116</v>
      </c>
      <c r="BA105" s="11">
        <f>'[1]功能-行军令'!R101</f>
        <v>24799.927716836362</v>
      </c>
    </row>
    <row r="106" spans="32:53" x14ac:dyDescent="0.15">
      <c r="AF106" s="7">
        <v>99</v>
      </c>
      <c r="AG106" s="11">
        <f>[1]服务器生态!AC120</f>
        <v>0.47962550249999997</v>
      </c>
      <c r="AH106" s="11">
        <f>[1]服务器生态!AD120</f>
        <v>0.47291513735919999</v>
      </c>
      <c r="AI106" s="11">
        <f>[1]服务器生态!AE120</f>
        <v>3.8604200140800002E-2</v>
      </c>
      <c r="AJ106" s="11">
        <f>[1]服务器生态!AF120</f>
        <v>6.8679600000000019E-3</v>
      </c>
      <c r="AK106" s="11">
        <f>[1]服务器生态!AG120</f>
        <v>1.9871999999999997E-3</v>
      </c>
      <c r="AV106" s="7">
        <v>99</v>
      </c>
      <c r="AW106" s="11">
        <f>'[1]功能-行军令'!N102</f>
        <v>43903.586033349777</v>
      </c>
      <c r="AX106" s="11">
        <f>'[1]功能-行军令'!O102</f>
        <v>54706.25426201216</v>
      </c>
      <c r="AY106" s="11">
        <f>'[1]功能-行军令'!P102</f>
        <v>59937.080210150787</v>
      </c>
      <c r="AZ106" s="11">
        <f>'[1]功能-行军令'!Q102</f>
        <v>48966.146715886673</v>
      </c>
      <c r="BA106" s="11">
        <f>'[1]功能-行军令'!R102</f>
        <v>26532.750448941599</v>
      </c>
    </row>
    <row r="107" spans="32:53" x14ac:dyDescent="0.15">
      <c r="AF107" s="7">
        <v>100</v>
      </c>
      <c r="AG107" s="11">
        <f>[1]服务器生态!AC121</f>
        <v>0.47962550249999997</v>
      </c>
      <c r="AH107" s="11">
        <f>[1]服务器生态!AD121</f>
        <v>0.47291513735919999</v>
      </c>
      <c r="AI107" s="11">
        <f>[1]服务器生态!AE121</f>
        <v>3.8604200140800002E-2</v>
      </c>
      <c r="AJ107" s="11">
        <f>[1]服务器生态!AF121</f>
        <v>6.8679600000000019E-3</v>
      </c>
      <c r="AK107" s="11">
        <f>[1]服务器生态!AG121</f>
        <v>1.9871999999999997E-3</v>
      </c>
      <c r="AV107" s="7">
        <v>100</v>
      </c>
      <c r="AW107" s="11">
        <f>'[1]功能-行军令'!N103</f>
        <v>47058</v>
      </c>
      <c r="AX107" s="11">
        <f>'[1]功能-行军令'!O103</f>
        <v>58650.533700000007</v>
      </c>
      <c r="AY107" s="11">
        <f>'[1]功能-行军令'!P103</f>
        <v>64308.644399999997</v>
      </c>
      <c r="AZ107" s="11">
        <f>'[1]功能-行军令'!Q103</f>
        <v>52347.319199999998</v>
      </c>
      <c r="BA107" s="11">
        <f>'[1]功能-行军令'!R103</f>
        <v>28302.113400000002</v>
      </c>
    </row>
    <row r="108" spans="32:53" x14ac:dyDescent="0.15">
      <c r="AF108" s="7">
        <v>101</v>
      </c>
      <c r="AG108" s="11">
        <f>[1]服务器生态!AC122</f>
        <v>0.47962550249999997</v>
      </c>
      <c r="AH108" s="11">
        <f>[1]服务器生态!AD122</f>
        <v>0.47291513735919999</v>
      </c>
      <c r="AI108" s="11">
        <f>[1]服务器生态!AE122</f>
        <v>3.8604200140800002E-2</v>
      </c>
      <c r="AJ108" s="11">
        <f>[1]服务器生态!AF122</f>
        <v>6.8679600000000019E-3</v>
      </c>
      <c r="AK108" s="11">
        <f>[1]服务器生态!AG122</f>
        <v>1.9871999999999997E-3</v>
      </c>
      <c r="AV108" s="7">
        <v>101</v>
      </c>
      <c r="AW108" s="11">
        <f>'[1]功能-行军令'!N104</f>
        <v>50438.81717930951</v>
      </c>
      <c r="AX108" s="11">
        <f>'[1]功能-行军令'!O104</f>
        <v>62922.972679201433</v>
      </c>
      <c r="AY108" s="11">
        <f>'[1]功能-行军令'!P104</f>
        <v>68819.051108257583</v>
      </c>
      <c r="AZ108" s="11">
        <f>'[1]功能-行军令'!Q104</f>
        <v>55825.792503662335</v>
      </c>
      <c r="BA108" s="11">
        <f>'[1]功能-行军令'!R104</f>
        <v>30222.500655432003</v>
      </c>
    </row>
    <row r="109" spans="32:53" x14ac:dyDescent="0.15">
      <c r="AF109" s="7">
        <v>102</v>
      </c>
      <c r="AG109" s="11">
        <f>[1]服务器生态!AC123</f>
        <v>0.47962550249999997</v>
      </c>
      <c r="AH109" s="11">
        <f>[1]服务器生态!AD123</f>
        <v>0.47291513735919999</v>
      </c>
      <c r="AI109" s="11">
        <f>[1]服务器生态!AE123</f>
        <v>3.8604200140800002E-2</v>
      </c>
      <c r="AJ109" s="11">
        <f>[1]服务器生态!AF123</f>
        <v>6.8679600000000019E-3</v>
      </c>
      <c r="AK109" s="11">
        <f>[1]服务器生态!AG123</f>
        <v>1.9871999999999997E-3</v>
      </c>
      <c r="AV109" s="7">
        <v>102</v>
      </c>
      <c r="AW109" s="11">
        <f>'[1]功能-行军令'!N105</f>
        <v>54062.287313780289</v>
      </c>
      <c r="AX109" s="11">
        <f>'[1]功能-行军令'!O105</f>
        <v>67285.805264019393</v>
      </c>
      <c r="AY109" s="11">
        <f>'[1]功能-行军令'!P105</f>
        <v>73367.224953261932</v>
      </c>
      <c r="AZ109" s="11">
        <f>'[1]功能-行军令'!Q105</f>
        <v>59533.625843357957</v>
      </c>
      <c r="BA109" s="11">
        <f>'[1]功能-行军令'!R105</f>
        <v>32296.810441252339</v>
      </c>
    </row>
    <row r="110" spans="32:53" x14ac:dyDescent="0.15">
      <c r="AF110" s="7">
        <v>103</v>
      </c>
      <c r="AG110" s="11">
        <f>[1]服务器生态!AC124</f>
        <v>0.47962550249999997</v>
      </c>
      <c r="AH110" s="11">
        <f>[1]服务器生态!AD124</f>
        <v>0.47291513735919999</v>
      </c>
      <c r="AI110" s="11">
        <f>[1]服务器生态!AE124</f>
        <v>3.8604200140800002E-2</v>
      </c>
      <c r="AJ110" s="11">
        <f>[1]服务器生态!AF124</f>
        <v>6.8679600000000019E-3</v>
      </c>
      <c r="AK110" s="11">
        <f>[1]服务器生态!AG124</f>
        <v>1.9871999999999997E-3</v>
      </c>
      <c r="AV110" s="7">
        <v>103</v>
      </c>
      <c r="AW110" s="11">
        <f>'[1]功能-行军令'!N106</f>
        <v>57945.826446198938</v>
      </c>
      <c r="AX110" s="11">
        <f>'[1]功能-行军令'!O106</f>
        <v>71916.691171565428</v>
      </c>
      <c r="AY110" s="11">
        <f>'[1]功能-行军令'!P106</f>
        <v>78396.798136881436</v>
      </c>
      <c r="AZ110" s="11">
        <f>'[1]功能-行军令'!Q106</f>
        <v>63758.296715504403</v>
      </c>
      <c r="BA110" s="11">
        <f>'[1]功能-行军令'!R106</f>
        <v>34590.887066246381</v>
      </c>
    </row>
    <row r="111" spans="32:53" x14ac:dyDescent="0.15">
      <c r="AF111" s="7">
        <v>104</v>
      </c>
      <c r="AG111" s="11">
        <f>[1]服务器生态!AC125</f>
        <v>0.47962550249999997</v>
      </c>
      <c r="AH111" s="11">
        <f>[1]服务器生态!AD125</f>
        <v>0.47291513735919999</v>
      </c>
      <c r="AI111" s="11">
        <f>[1]服务器生态!AE125</f>
        <v>3.8604200140800002E-2</v>
      </c>
      <c r="AJ111" s="11">
        <f>[1]服务器生态!AF125</f>
        <v>6.8679600000000019E-3</v>
      </c>
      <c r="AK111" s="11">
        <f>[1]服务器生态!AG125</f>
        <v>1.9871999999999997E-3</v>
      </c>
      <c r="AV111" s="7">
        <v>104</v>
      </c>
      <c r="AW111" s="11">
        <f>'[1]功能-行军令'!N107</f>
        <v>62108.100629046407</v>
      </c>
      <c r="AX111" s="11">
        <f>'[1]功能-行军令'!O107</f>
        <v>77100.591068068024</v>
      </c>
      <c r="AY111" s="11">
        <f>'[1]功能-行军令'!P107</f>
        <v>84212.373642924023</v>
      </c>
      <c r="AZ111" s="11">
        <f>'[1]功能-行军令'!Q107</f>
        <v>68504.96495861806</v>
      </c>
      <c r="BA111" s="11">
        <f>'[1]功能-行军令'!R107</f>
        <v>37131.192943465336</v>
      </c>
    </row>
    <row r="112" spans="32:53" x14ac:dyDescent="0.15">
      <c r="AF112" s="7">
        <v>105</v>
      </c>
      <c r="AG112" s="11">
        <f>[1]服务器生态!AC126</f>
        <v>0.47962550249999997</v>
      </c>
      <c r="AH112" s="11">
        <f>[1]服务器生态!AD126</f>
        <v>0.47291513735919999</v>
      </c>
      <c r="AI112" s="11">
        <f>[1]服务器生态!AE126</f>
        <v>3.8604200140800002E-2</v>
      </c>
      <c r="AJ112" s="11">
        <f>[1]服务器生态!AF126</f>
        <v>6.8679600000000019E-3</v>
      </c>
      <c r="AK112" s="11">
        <f>[1]服务器生态!AG126</f>
        <v>1.9871999999999997E-3</v>
      </c>
      <c r="AV112" s="7">
        <v>105</v>
      </c>
      <c r="AW112" s="11">
        <f>'[1]功能-行军令'!N108</f>
        <v>66569.115642022269</v>
      </c>
      <c r="AX112" s="11">
        <f>'[1]功能-行军令'!O108</f>
        <v>82735.42537568738</v>
      </c>
      <c r="AY112" s="11">
        <f>'[1]功能-行军令'!P108</f>
        <v>90379.585867954564</v>
      </c>
      <c r="AZ112" s="11">
        <f>'[1]功能-行军令'!Q108</f>
        <v>73499.973588638299</v>
      </c>
      <c r="BA112" s="11">
        <f>'[1]功能-行军令'!R108</f>
        <v>39798.201071114236</v>
      </c>
    </row>
    <row r="113" spans="32:53" x14ac:dyDescent="0.15">
      <c r="AF113" s="7">
        <v>106</v>
      </c>
      <c r="AG113" s="11">
        <f>[1]服务器生态!AC127</f>
        <v>0.47962550249999997</v>
      </c>
      <c r="AH113" s="11">
        <f>[1]服务器生态!AD127</f>
        <v>0.47291513735919999</v>
      </c>
      <c r="AI113" s="11">
        <f>[1]服务器生态!AE127</f>
        <v>3.8604200140800002E-2</v>
      </c>
      <c r="AJ113" s="11">
        <f>[1]服务器生态!AF127</f>
        <v>6.8679600000000019E-3</v>
      </c>
      <c r="AK113" s="11">
        <f>[1]服务器生态!AG127</f>
        <v>1.9871999999999997E-3</v>
      </c>
      <c r="AV113" s="7">
        <v>106</v>
      </c>
      <c r="AW113" s="11">
        <f>'[1]功能-行军令'!N109</f>
        <v>71350.313148905741</v>
      </c>
      <c r="AX113" s="11">
        <f>'[1]功能-行军令'!O109</f>
        <v>88740.090666434582</v>
      </c>
      <c r="AY113" s="11">
        <f>'[1]功能-行军令'!P109</f>
        <v>96885.039131134996</v>
      </c>
      <c r="AZ113" s="11">
        <f>'[1]功能-行军令'!Q109</f>
        <v>78731.037716030813</v>
      </c>
      <c r="BA113" s="11">
        <f>'[1]功能-行军令'!R109</f>
        <v>42496.866948993898</v>
      </c>
    </row>
    <row r="114" spans="32:53" x14ac:dyDescent="0.15">
      <c r="AF114" s="7">
        <v>107</v>
      </c>
      <c r="AG114" s="11">
        <f>[1]服务器生态!AC128</f>
        <v>0.47962550249999997</v>
      </c>
      <c r="AH114" s="11">
        <f>[1]服务器生态!AD128</f>
        <v>0.47291513735919999</v>
      </c>
      <c r="AI114" s="11">
        <f>[1]服务器生态!AE128</f>
        <v>3.8604200140800002E-2</v>
      </c>
      <c r="AJ114" s="11">
        <f>[1]服务器生态!AF128</f>
        <v>6.8679600000000019E-3</v>
      </c>
      <c r="AK114" s="11">
        <f>[1]服务器生态!AG128</f>
        <v>1.9871999999999997E-3</v>
      </c>
      <c r="AV114" s="7">
        <v>107</v>
      </c>
      <c r="AW114" s="11">
        <f>'[1]功能-行军令'!N110</f>
        <v>76474.673755928176</v>
      </c>
      <c r="AX114" s="11">
        <f>'[1]功能-行军令'!O110</f>
        <v>95068.825682519018</v>
      </c>
      <c r="AY114" s="11">
        <f>'[1]功能-行军令'!P110</f>
        <v>103888.68305664834</v>
      </c>
      <c r="AZ114" s="11">
        <f>'[1]功能-行军令'!Q110</f>
        <v>84060.13014606238</v>
      </c>
      <c r="BA114" s="11">
        <f>'[1]功能-行军令'!R110</f>
        <v>45343.496562797547</v>
      </c>
    </row>
    <row r="115" spans="32:53" x14ac:dyDescent="0.15">
      <c r="AF115" s="7">
        <v>108</v>
      </c>
      <c r="AG115" s="11">
        <f>[1]服务器生态!AC129</f>
        <v>0.47962550249999997</v>
      </c>
      <c r="AH115" s="11">
        <f>[1]服务器生态!AD129</f>
        <v>0.47291513735919999</v>
      </c>
      <c r="AI115" s="11">
        <f>[1]服务器生态!AE129</f>
        <v>3.8604200140800002E-2</v>
      </c>
      <c r="AJ115" s="11">
        <f>[1]服务器生态!AF129</f>
        <v>6.8679600000000019E-3</v>
      </c>
      <c r="AK115" s="11">
        <f>[1]服务器生态!AG129</f>
        <v>1.9871999999999997E-3</v>
      </c>
      <c r="AV115" s="7">
        <v>108</v>
      </c>
      <c r="AW115" s="11">
        <f>'[1]功能-行军令'!N111</f>
        <v>81966.827467001276</v>
      </c>
      <c r="AX115" s="11">
        <f>'[1]功能-行军令'!O111</f>
        <v>101896.34881058118</v>
      </c>
      <c r="AY115" s="11">
        <f>'[1]功能-行军令'!P111</f>
        <v>110846.94818122237</v>
      </c>
      <c r="AZ115" s="11">
        <f>'[1]功能-行军令'!Q111</f>
        <v>89785.037297310293</v>
      </c>
      <c r="BA115" s="11">
        <f>'[1]功能-行军令'!R111</f>
        <v>48526.500125529114</v>
      </c>
    </row>
    <row r="116" spans="32:53" x14ac:dyDescent="0.15">
      <c r="AF116" s="7">
        <v>109</v>
      </c>
      <c r="AG116" s="11">
        <f>[1]服务器生态!AC130</f>
        <v>0.47962550249999997</v>
      </c>
      <c r="AH116" s="11">
        <f>[1]服务器生态!AD130</f>
        <v>0.47291513735919999</v>
      </c>
      <c r="AI116" s="11">
        <f>[1]服务器生态!AE130</f>
        <v>3.8604200140800002E-2</v>
      </c>
      <c r="AJ116" s="11">
        <f>[1]服务器生态!AF130</f>
        <v>6.8679600000000019E-3</v>
      </c>
      <c r="AK116" s="11">
        <f>[1]服务器生态!AG130</f>
        <v>1.9871999999999997E-3</v>
      </c>
      <c r="AV116" s="7">
        <v>109</v>
      </c>
      <c r="AW116" s="11">
        <f>'[1]功能-行军令'!N112</f>
        <v>87853.172066699568</v>
      </c>
      <c r="AX116" s="11">
        <f>'[1]功能-行军令'!O112</f>
        <v>108855.61876018409</v>
      </c>
      <c r="AY116" s="11">
        <f>'[1]功能-行军令'!P112</f>
        <v>118442.30968422769</v>
      </c>
      <c r="AZ116" s="11">
        <f>'[1]功能-行军令'!Q112</f>
        <v>95977.107675832609</v>
      </c>
      <c r="BA116" s="11">
        <f>'[1]功能-行军令'!R112</f>
        <v>51972.026743092792</v>
      </c>
    </row>
    <row r="117" spans="32:53" x14ac:dyDescent="0.15">
      <c r="AF117" s="7">
        <v>110</v>
      </c>
      <c r="AG117" s="11">
        <f>[1]服务器生态!AC131</f>
        <v>0.47962550249999997</v>
      </c>
      <c r="AH117" s="11">
        <f>[1]服务器生态!AD131</f>
        <v>0.47291513735919999</v>
      </c>
      <c r="AI117" s="11">
        <f>[1]服务器生态!AE131</f>
        <v>3.8604200140800002E-2</v>
      </c>
      <c r="AJ117" s="11">
        <f>[1]服务器生态!AF131</f>
        <v>6.8679600000000019E-3</v>
      </c>
      <c r="AK117" s="11">
        <f>[1]服务器生态!AG131</f>
        <v>1.9871999999999997E-3</v>
      </c>
      <c r="AV117" s="7">
        <v>110</v>
      </c>
      <c r="AW117" s="11">
        <f>'[1]功能-行军令'!N113</f>
        <v>94162</v>
      </c>
      <c r="AX117" s="11">
        <f>'[1]功能-行军令'!O113</f>
        <v>116672.65430000001</v>
      </c>
      <c r="AY117" s="11">
        <f>'[1]功能-行军令'!P113</f>
        <v>127152.68019999999</v>
      </c>
      <c r="AZ117" s="11">
        <f>'[1]功能-行军令'!Q113</f>
        <v>103143.41720000001</v>
      </c>
      <c r="BA117" s="11">
        <f>'[1]功能-行军令'!R113</f>
        <v>55830.696799999991</v>
      </c>
    </row>
    <row r="118" spans="32:53" x14ac:dyDescent="0.15">
      <c r="AF118" s="7">
        <v>111</v>
      </c>
      <c r="AG118" s="11">
        <f>[1]服务器生态!AC132</f>
        <v>0.47962550249999997</v>
      </c>
      <c r="AH118" s="11">
        <f>[1]服务器生态!AD132</f>
        <v>0.47291513735919999</v>
      </c>
      <c r="AI118" s="11">
        <f>[1]服务器生态!AE132</f>
        <v>3.8604200140800002E-2</v>
      </c>
      <c r="AJ118" s="11">
        <f>[1]服务器生态!AF132</f>
        <v>6.8679600000000019E-3</v>
      </c>
      <c r="AK118" s="11">
        <f>[1]服务器生态!AG132</f>
        <v>1.9871999999999997E-3</v>
      </c>
      <c r="AV118" s="7">
        <v>111</v>
      </c>
      <c r="AW118" s="11">
        <f>'[1]功能-行军令'!N114</f>
        <v>100923.63435861902</v>
      </c>
      <c r="AX118" s="11">
        <f>'[1]功能-行军令'!O114</f>
        <v>125227.14250820011</v>
      </c>
      <c r="AY118" s="11">
        <f>'[1]功能-行军令'!P114</f>
        <v>136542.87591185258</v>
      </c>
      <c r="AZ118" s="11">
        <f>'[1]功能-行军令'!Q114</f>
        <v>110888.96565471216</v>
      </c>
      <c r="BA118" s="11">
        <f>'[1]功能-行军令'!R114</f>
        <v>60065.79798455775</v>
      </c>
    </row>
    <row r="119" spans="32:53" x14ac:dyDescent="0.15">
      <c r="AF119" s="7">
        <v>112</v>
      </c>
      <c r="AG119" s="11">
        <f>[1]服务器生态!AC133</f>
        <v>0.47962550249999997</v>
      </c>
      <c r="AH119" s="11">
        <f>[1]服务器生态!AD133</f>
        <v>0.47291513735919999</v>
      </c>
      <c r="AI119" s="11">
        <f>[1]服务器生态!AE133</f>
        <v>3.8604200140800002E-2</v>
      </c>
      <c r="AJ119" s="11">
        <f>[1]服务器生态!AF133</f>
        <v>6.8679600000000019E-3</v>
      </c>
      <c r="AK119" s="11">
        <f>[1]服务器生态!AG133</f>
        <v>1.9871999999999997E-3</v>
      </c>
      <c r="AV119" s="7">
        <v>112</v>
      </c>
      <c r="AW119" s="11">
        <f>'[1]功能-行军令'!N115</f>
        <v>108170.57462756058</v>
      </c>
      <c r="AX119" s="11">
        <f>'[1]功能-行军令'!O115</f>
        <v>134313.75644108024</v>
      </c>
      <c r="AY119" s="11">
        <f>'[1]功能-行军令'!P115</f>
        <v>146454.49252248529</v>
      </c>
      <c r="AZ119" s="11">
        <f>'[1]功能-行军令'!Q115</f>
        <v>118996.80307381767</v>
      </c>
      <c r="BA119" s="11">
        <f>'[1]功能-行军令'!R115</f>
        <v>64185.126836071002</v>
      </c>
    </row>
    <row r="120" spans="32:53" x14ac:dyDescent="0.15">
      <c r="AF120" s="7">
        <v>113</v>
      </c>
      <c r="AG120" s="11">
        <f>[1]服务器生态!AC134</f>
        <v>0.47962550249999997</v>
      </c>
      <c r="AH120" s="11">
        <f>[1]服务器生态!AD134</f>
        <v>0.47291513735919999</v>
      </c>
      <c r="AI120" s="11">
        <f>[1]服务器生态!AE134</f>
        <v>3.8604200140800002E-2</v>
      </c>
      <c r="AJ120" s="11">
        <f>[1]服务器生态!AF134</f>
        <v>6.8679600000000019E-3</v>
      </c>
      <c r="AK120" s="11">
        <f>[1]服务器生态!AG134</f>
        <v>1.9871999999999997E-3</v>
      </c>
      <c r="AV120" s="7">
        <v>113</v>
      </c>
      <c r="AW120" s="11">
        <f>'[1]功能-行军令'!N116</f>
        <v>115937.65289239788</v>
      </c>
      <c r="AX120" s="11">
        <f>'[1]功能-行军令'!O116</f>
        <v>144025.56561258808</v>
      </c>
      <c r="AY120" s="11">
        <f>'[1]功能-行军令'!P116</f>
        <v>157131.05708019441</v>
      </c>
      <c r="AZ120" s="11">
        <f>'[1]功能-行军令'!Q116</f>
        <v>127281.6481511673</v>
      </c>
      <c r="BA120" s="11">
        <f>'[1]功能-行军令'!R116</f>
        <v>68560.235114671188</v>
      </c>
    </row>
    <row r="121" spans="32:53" x14ac:dyDescent="0.15">
      <c r="AF121" s="7">
        <v>114</v>
      </c>
      <c r="AG121" s="11">
        <f>[1]服务器生态!AC135</f>
        <v>0.47962550249999997</v>
      </c>
      <c r="AH121" s="11">
        <f>[1]服务器生态!AD135</f>
        <v>0.47291513735919999</v>
      </c>
      <c r="AI121" s="11">
        <f>[1]服务器生态!AE135</f>
        <v>3.8604200140800002E-2</v>
      </c>
      <c r="AJ121" s="11">
        <f>[1]服务器生态!AF135</f>
        <v>6.8679600000000019E-3</v>
      </c>
      <c r="AK121" s="11">
        <f>[1]服务器生态!AG135</f>
        <v>1.9871999999999997E-3</v>
      </c>
      <c r="AV121" s="7">
        <v>114</v>
      </c>
      <c r="AW121" s="11">
        <f>'[1]功能-行军令'!N117</f>
        <v>124262.20125809284</v>
      </c>
      <c r="AX121" s="11">
        <f>'[1]功能-行军令'!O117</f>
        <v>154403.07871412375</v>
      </c>
      <c r="AY121" s="11">
        <f>'[1]功能-行军令'!P117</f>
        <v>168020.05489024971</v>
      </c>
      <c r="AZ121" s="11">
        <f>'[1]功能-行军令'!Q117</f>
        <v>135892.06275496984</v>
      </c>
      <c r="BA121" s="11">
        <f>'[1]功能-行军令'!R117</f>
        <v>73232.577635356385</v>
      </c>
    </row>
    <row r="122" spans="32:53" x14ac:dyDescent="0.15">
      <c r="AF122" s="7">
        <v>115</v>
      </c>
      <c r="AG122" s="11">
        <f>[1]服务器生态!AC136</f>
        <v>0.47962550249999997</v>
      </c>
      <c r="AH122" s="11">
        <f>[1]服务器生态!AD136</f>
        <v>0.47291513735919999</v>
      </c>
      <c r="AI122" s="11">
        <f>[1]服务器生态!AE136</f>
        <v>3.8604200140800002E-2</v>
      </c>
      <c r="AJ122" s="11">
        <f>[1]服务器生态!AF136</f>
        <v>6.8679600000000019E-3</v>
      </c>
      <c r="AK122" s="11">
        <f>[1]服务器生态!AG136</f>
        <v>1.9871999999999997E-3</v>
      </c>
      <c r="AV122" s="7">
        <v>115</v>
      </c>
      <c r="AW122" s="11">
        <f>'[1]功能-行军令'!N118</f>
        <v>133184.23128404454</v>
      </c>
      <c r="AX122" s="11">
        <f>'[1]功能-行军令'!O118</f>
        <v>165023.65895812085</v>
      </c>
      <c r="AY122" s="11">
        <f>'[1]功能-行军令'!P118</f>
        <v>179267.13343207428</v>
      </c>
      <c r="AZ122" s="11">
        <f>'[1]功能-行军令'!Q118</f>
        <v>144933.39673079786</v>
      </c>
      <c r="BA122" s="11">
        <f>'[1]功能-行军令'!R118</f>
        <v>78162.640500292429</v>
      </c>
    </row>
    <row r="123" spans="32:53" x14ac:dyDescent="0.15">
      <c r="AF123" s="7">
        <v>116</v>
      </c>
      <c r="AG123" s="11">
        <f>[1]服务器生态!AC137</f>
        <v>0.47962550249999997</v>
      </c>
      <c r="AH123" s="11">
        <f>[1]服务器生态!AD137</f>
        <v>0.47291513735919999</v>
      </c>
      <c r="AI123" s="11">
        <f>[1]服务器生态!AE137</f>
        <v>3.8604200140800002E-2</v>
      </c>
      <c r="AJ123" s="11">
        <f>[1]服务器生态!AF137</f>
        <v>6.8679600000000019E-3</v>
      </c>
      <c r="AK123" s="11">
        <f>[1]服务器生态!AG137</f>
        <v>1.9871999999999997E-3</v>
      </c>
      <c r="AV123" s="7">
        <v>116</v>
      </c>
      <c r="AW123" s="11">
        <f>'[1]功能-行军令'!N119</f>
        <v>142746.62629781148</v>
      </c>
      <c r="AX123" s="11">
        <f>'[1]功能-行军令'!O119</f>
        <v>176664.15566242993</v>
      </c>
      <c r="AY123" s="11">
        <f>'[1]功能-行军令'!P119</f>
        <v>191912.2882198116</v>
      </c>
      <c r="AZ123" s="11">
        <f>'[1]功能-行军令'!Q119</f>
        <v>155435.24978192279</v>
      </c>
      <c r="BA123" s="11">
        <f>'[1]功能-行军令'!R119</f>
        <v>83774.581467904514</v>
      </c>
    </row>
    <row r="124" spans="32:53" x14ac:dyDescent="0.15">
      <c r="AF124" s="7">
        <v>117</v>
      </c>
      <c r="AG124" s="11">
        <f>[1]服务器生态!AC138</f>
        <v>0.47962550249999997</v>
      </c>
      <c r="AH124" s="11">
        <f>[1]服务器生态!AD138</f>
        <v>0.47291513735919999</v>
      </c>
      <c r="AI124" s="11">
        <f>[1]服务器生态!AE138</f>
        <v>3.8604200140800002E-2</v>
      </c>
      <c r="AJ124" s="11">
        <f>[1]服务器生态!AF138</f>
        <v>6.8679600000000019E-3</v>
      </c>
      <c r="AK124" s="11">
        <f>[1]服务器生态!AG138</f>
        <v>1.9871999999999997E-3</v>
      </c>
      <c r="AV124" s="7">
        <v>117</v>
      </c>
      <c r="AW124" s="11">
        <f>'[1]功能-行军令'!N120</f>
        <v>152995.34751185621</v>
      </c>
      <c r="AX124" s="11">
        <f>'[1]功能-行军令'!O120</f>
        <v>189392.60808634528</v>
      </c>
      <c r="AY124" s="11">
        <f>'[1]功能-行军令'!P120</f>
        <v>205902.80167436381</v>
      </c>
      <c r="AZ124" s="11">
        <f>'[1]功能-行军令'!Q120</f>
        <v>166663.48622055128</v>
      </c>
      <c r="BA124" s="11">
        <f>'[1]功能-行军令'!R120</f>
        <v>89926.341485908968</v>
      </c>
    </row>
    <row r="125" spans="32:53" x14ac:dyDescent="0.15">
      <c r="AF125" s="7">
        <v>118</v>
      </c>
      <c r="AG125" s="11">
        <f>[1]服务器生态!AC139</f>
        <v>0.47962550249999997</v>
      </c>
      <c r="AH125" s="11">
        <f>[1]服务器生态!AD139</f>
        <v>0.47291513735919999</v>
      </c>
      <c r="AI125" s="11">
        <f>[1]服务器生态!AE139</f>
        <v>3.8604200140800002E-2</v>
      </c>
      <c r="AJ125" s="11">
        <f>[1]服务器生态!AF139</f>
        <v>6.8679600000000019E-3</v>
      </c>
      <c r="AK125" s="11">
        <f>[1]服务器生态!AG139</f>
        <v>1.9871999999999997E-3</v>
      </c>
      <c r="AV125" s="7">
        <v>118</v>
      </c>
      <c r="AW125" s="11">
        <f>'[1]功能-行军令'!N121</f>
        <v>163979.6549340027</v>
      </c>
      <c r="AX125" s="11">
        <f>'[1]功能-行军令'!O121</f>
        <v>203037.82635172849</v>
      </c>
      <c r="AY125" s="11">
        <f>'[1]功能-行军令'!P121</f>
        <v>220782.92035816269</v>
      </c>
      <c r="AZ125" s="11">
        <f>'[1]功能-行军令'!Q121</f>
        <v>178959.55288973456</v>
      </c>
      <c r="BA125" s="11">
        <f>'[1]功能-行军令'!R121</f>
        <v>96419.324146172134</v>
      </c>
    </row>
    <row r="126" spans="32:53" x14ac:dyDescent="0.15">
      <c r="AF126" s="7">
        <v>119</v>
      </c>
      <c r="AG126" s="11">
        <f>[1]服务器生态!AC140</f>
        <v>0.47962550249999997</v>
      </c>
      <c r="AH126" s="11">
        <f>[1]服务器生态!AD140</f>
        <v>0.47291513735919999</v>
      </c>
      <c r="AI126" s="11">
        <f>[1]服务器生态!AE140</f>
        <v>3.8604200140800002E-2</v>
      </c>
      <c r="AJ126" s="11">
        <f>[1]服务器生态!AF140</f>
        <v>6.8679600000000019E-3</v>
      </c>
      <c r="AK126" s="11">
        <f>[1]服务器生态!AG140</f>
        <v>1.9871999999999997E-3</v>
      </c>
      <c r="AV126" s="7">
        <v>119</v>
      </c>
      <c r="AW126" s="11">
        <f>'[1]功能-行军令'!N122</f>
        <v>175752.34413339914</v>
      </c>
      <c r="AX126" s="11">
        <f>'[1]功能-行军令'!O122</f>
        <v>217768.23442036819</v>
      </c>
      <c r="AY126" s="11">
        <f>'[1]功能-行军令'!P122</f>
        <v>237016.17266548204</v>
      </c>
      <c r="AZ126" s="11">
        <f>'[1]功能-行军令'!Q122</f>
        <v>191925.76256711851</v>
      </c>
      <c r="BA126" s="11">
        <f>'[1]功能-行军令'!R122</f>
        <v>103026.78827162522</v>
      </c>
    </row>
    <row r="127" spans="32:53" x14ac:dyDescent="0.15">
      <c r="AF127" s="7">
        <v>120</v>
      </c>
      <c r="AG127" s="11">
        <f>[1]服务器生态!AC141</f>
        <v>0.47962550249999997</v>
      </c>
      <c r="AH127" s="11">
        <f>[1]服务器生态!AD141</f>
        <v>0.47291513735919999</v>
      </c>
      <c r="AI127" s="11">
        <f>[1]服务器生态!AE141</f>
        <v>3.8604200140800002E-2</v>
      </c>
      <c r="AJ127" s="11">
        <f>[1]服务器生态!AF141</f>
        <v>6.8679600000000019E-3</v>
      </c>
      <c r="AK127" s="11">
        <f>[1]服务器生态!AG141</f>
        <v>1.9871999999999997E-3</v>
      </c>
      <c r="AV127" s="7">
        <v>120</v>
      </c>
      <c r="AW127" s="11">
        <f>'[1]功能-行军令'!N123</f>
        <v>188370</v>
      </c>
      <c r="AX127" s="11">
        <f>'[1]功能-行军令'!O123</f>
        <v>233566.92449999999</v>
      </c>
      <c r="AY127" s="11">
        <f>'[1]功能-行军令'!P123</f>
        <v>254069.361</v>
      </c>
      <c r="AZ127" s="11">
        <f>'[1]功能-行军令'!Q123</f>
        <v>204818.796</v>
      </c>
      <c r="BA127" s="11">
        <f>'[1]功能-行军令'!R123</f>
        <v>110001.52799999999</v>
      </c>
    </row>
    <row r="128" spans="32:53" x14ac:dyDescent="0.15">
      <c r="AF128" s="7">
        <v>121</v>
      </c>
      <c r="AG128" s="11">
        <f>[1]服务器生态!AC142</f>
        <v>0.47962550249999997</v>
      </c>
      <c r="AH128" s="11">
        <f>[1]服务器生态!AD142</f>
        <v>0.47291513735919999</v>
      </c>
      <c r="AI128" s="11">
        <f>[1]服务器生态!AE142</f>
        <v>3.8604200140800002E-2</v>
      </c>
      <c r="AJ128" s="11">
        <f>[1]服务器生态!AF142</f>
        <v>6.8679600000000019E-3</v>
      </c>
      <c r="AK128" s="11">
        <f>[1]服务器生态!AG142</f>
        <v>1.9871999999999997E-3</v>
      </c>
      <c r="AV128" s="7">
        <v>121</v>
      </c>
      <c r="AW128" s="11">
        <f>'[1]功能-行军令'!N124</f>
        <v>201893.26871723824</v>
      </c>
      <c r="AX128" s="11">
        <f>'[1]功能-行军令'!O124</f>
        <v>250011.4570271202</v>
      </c>
      <c r="AY128" s="11">
        <f>'[1]功能-行军令'!P124</f>
        <v>271071.11944637942</v>
      </c>
      <c r="AZ128" s="11">
        <f>'[1]功能-行军令'!Q124</f>
        <v>218573.6027989744</v>
      </c>
      <c r="BA128" s="11">
        <f>'[1]功能-行军令'!R124</f>
        <v>117763.02694753431</v>
      </c>
    </row>
    <row r="129" spans="32:53" x14ac:dyDescent="0.15">
      <c r="AF129" s="7">
        <v>122</v>
      </c>
      <c r="AG129" s="11">
        <f>[1]服务器生态!AC143</f>
        <v>0.47962550249999997</v>
      </c>
      <c r="AH129" s="11">
        <f>[1]服务器生态!AD143</f>
        <v>0.47291513735919999</v>
      </c>
      <c r="AI129" s="11">
        <f>[1]服务器生态!AE143</f>
        <v>3.8604200140800002E-2</v>
      </c>
      <c r="AJ129" s="11">
        <f>[1]服务器生态!AF143</f>
        <v>6.8679600000000019E-3</v>
      </c>
      <c r="AK129" s="11">
        <f>[1]服务器生态!AG143</f>
        <v>1.9871999999999997E-3</v>
      </c>
      <c r="AV129" s="7">
        <v>122</v>
      </c>
      <c r="AW129" s="11">
        <f>'[1]功能-行军令'!N125</f>
        <v>216387.14925512118</v>
      </c>
      <c r="AX129" s="11">
        <f>'[1]功能-行军令'!O125</f>
        <v>267297.87099954294</v>
      </c>
      <c r="AY129" s="11">
        <f>'[1]功能-行军令'!P125</f>
        <v>289717.93169660447</v>
      </c>
      <c r="AZ129" s="11">
        <f>'[1]功能-行军令'!Q125</f>
        <v>233925.79810909499</v>
      </c>
      <c r="BA129" s="11">
        <f>'[1]功能-行军令'!R125</f>
        <v>126071.85722449567</v>
      </c>
    </row>
    <row r="130" spans="32:53" x14ac:dyDescent="0.15">
      <c r="AF130" s="7">
        <v>123</v>
      </c>
      <c r="AG130" s="11">
        <f>[1]服务器生态!AC144</f>
        <v>0.47962550249999997</v>
      </c>
      <c r="AH130" s="11">
        <f>[1]服务器生态!AD144</f>
        <v>0.47291513735919999</v>
      </c>
      <c r="AI130" s="11">
        <f>[1]服务器生态!AE144</f>
        <v>3.8604200140800002E-2</v>
      </c>
      <c r="AJ130" s="11">
        <f>[1]服务器生态!AF144</f>
        <v>6.8679600000000019E-3</v>
      </c>
      <c r="AK130" s="11">
        <f>[1]服务器生态!AG144</f>
        <v>1.9871999999999997E-3</v>
      </c>
      <c r="AV130" s="7">
        <v>123</v>
      </c>
      <c r="AW130" s="11">
        <f>'[1]功能-行军令'!N126</f>
        <v>231921.30578479578</v>
      </c>
      <c r="AX130" s="11">
        <f>'[1]功能-行军令'!O126</f>
        <v>286486.84309168946</v>
      </c>
      <c r="AY130" s="11">
        <f>'[1]功能-行军令'!P126</f>
        <v>311204.61252083164</v>
      </c>
      <c r="AZ130" s="11">
        <f>'[1]功能-行军令'!Q126</f>
        <v>251601.8452876425</v>
      </c>
      <c r="BA130" s="11">
        <f>'[1]功能-行军令'!R126</f>
        <v>135589.76636657064</v>
      </c>
    </row>
    <row r="131" spans="32:53" x14ac:dyDescent="0.15">
      <c r="AF131" s="7">
        <v>124</v>
      </c>
      <c r="AG131" s="11">
        <f>[1]服务器生态!AC145</f>
        <v>0.47962550249999997</v>
      </c>
      <c r="AH131" s="11">
        <f>[1]服务器生态!AD145</f>
        <v>0.47291513735919999</v>
      </c>
      <c r="AI131" s="11">
        <f>[1]服务器生态!AE145</f>
        <v>3.8604200140800002E-2</v>
      </c>
      <c r="AJ131" s="11">
        <f>[1]服务器生态!AF145</f>
        <v>6.8679600000000019E-3</v>
      </c>
      <c r="AK131" s="11">
        <f>[1]服务器生态!AG145</f>
        <v>1.9871999999999997E-3</v>
      </c>
      <c r="AV131" s="7">
        <v>124</v>
      </c>
      <c r="AW131" s="11">
        <f>'[1]功能-行军令'!N127</f>
        <v>248570.40251618548</v>
      </c>
      <c r="AX131" s="11">
        <f>'[1]功能-行军令'!O127</f>
        <v>307632.35126535187</v>
      </c>
      <c r="AY131" s="11">
        <f>'[1]功能-行军令'!P127</f>
        <v>334086.18616791681</v>
      </c>
      <c r="AZ131" s="11">
        <f>'[1]功能-行军令'!Q127</f>
        <v>270276.00236025098</v>
      </c>
      <c r="BA131" s="11">
        <f>'[1]功能-行军令'!R127</f>
        <v>145824.36700656047</v>
      </c>
    </row>
    <row r="132" spans="32:53" x14ac:dyDescent="0.15">
      <c r="AF132" s="7">
        <v>125</v>
      </c>
      <c r="AG132" s="11">
        <f>[1]服务器生态!AC146</f>
        <v>0.47962550249999997</v>
      </c>
      <c r="AH132" s="11">
        <f>[1]服务器生态!AD146</f>
        <v>0.47291513735919999</v>
      </c>
      <c r="AI132" s="11">
        <f>[1]服务器生态!AE146</f>
        <v>3.8604200140800002E-2</v>
      </c>
      <c r="AJ132" s="11">
        <f>[1]服务器生态!AF146</f>
        <v>6.8679600000000019E-3</v>
      </c>
      <c r="AK132" s="11">
        <f>[1]服务器生态!AG146</f>
        <v>1.9871999999999997E-3</v>
      </c>
      <c r="AV132" s="7">
        <v>125</v>
      </c>
      <c r="AW132" s="11">
        <f>'[1]功能-行军令'!N128</f>
        <v>266414.46256808913</v>
      </c>
      <c r="AX132" s="11">
        <f>'[1]功能-行军令'!O128</f>
        <v>329561.0609773529</v>
      </c>
      <c r="AY132" s="11">
        <f>'[1]功能-行军令'!P128</f>
        <v>358543.47953351011</v>
      </c>
      <c r="AZ132" s="11">
        <f>'[1]功能-行军令'!Q128</f>
        <v>290095.8124810165</v>
      </c>
      <c r="BA132" s="11">
        <f>'[1]功能-行军令'!R128</f>
        <v>155517.12587662143</v>
      </c>
    </row>
    <row r="133" spans="32:53" x14ac:dyDescent="0.15">
      <c r="AF133" s="7">
        <v>126</v>
      </c>
      <c r="AG133" s="11">
        <f>[1]服务器生态!AC147</f>
        <v>0.47962550249999997</v>
      </c>
      <c r="AH133" s="11">
        <f>[1]服务器生态!AD147</f>
        <v>0.47291513735919999</v>
      </c>
      <c r="AI133" s="11">
        <f>[1]服务器生态!AE147</f>
        <v>3.8604200140800002E-2</v>
      </c>
      <c r="AJ133" s="11">
        <f>[1]服务器生态!AF147</f>
        <v>6.8679600000000019E-3</v>
      </c>
      <c r="AK133" s="11">
        <f>[1]服务器生态!AG147</f>
        <v>1.9871999999999997E-3</v>
      </c>
      <c r="AV133" s="7">
        <v>126</v>
      </c>
      <c r="AW133" s="11">
        <f>'[1]功能-行军令'!N129</f>
        <v>285539.25259562297</v>
      </c>
      <c r="AX133" s="11">
        <f>'[1]功能-行军令'!O129</f>
        <v>353717.95652788441</v>
      </c>
      <c r="AY133" s="11">
        <f>'[1]功能-行军令'!P129</f>
        <v>384564.26539578498</v>
      </c>
      <c r="AZ133" s="11">
        <f>'[1]功能-行军令'!Q129</f>
        <v>309705.805165303</v>
      </c>
      <c r="BA133" s="11">
        <f>'[1]功能-行军令'!R129</f>
        <v>165849.88823261682</v>
      </c>
    </row>
    <row r="134" spans="32:53" x14ac:dyDescent="0.15">
      <c r="AF134" s="7">
        <v>127</v>
      </c>
      <c r="AG134" s="11">
        <f>[1]服务器生态!AC148</f>
        <v>0.47962550249999997</v>
      </c>
      <c r="AH134" s="11">
        <f>[1]服务器生态!AD148</f>
        <v>0.47291513735919999</v>
      </c>
      <c r="AI134" s="11">
        <f>[1]服务器生态!AE148</f>
        <v>3.8604200140800002E-2</v>
      </c>
      <c r="AJ134" s="11">
        <f>[1]服务器生态!AF148</f>
        <v>6.8679600000000019E-3</v>
      </c>
      <c r="AK134" s="11">
        <f>[1]服务器生态!AG148</f>
        <v>1.9871999999999997E-3</v>
      </c>
      <c r="AV134" s="7">
        <v>127</v>
      </c>
      <c r="AW134" s="11">
        <f>'[1]功能-行军令'!N130</f>
        <v>306036.69502371247</v>
      </c>
      <c r="AX134" s="11">
        <f>'[1]功能-行军令'!O130</f>
        <v>379109.60893225478</v>
      </c>
      <c r="AY134" s="11">
        <f>'[1]功能-行军令'!P130</f>
        <v>410293.41756084486</v>
      </c>
      <c r="AZ134" s="11">
        <f>'[1]功能-行军令'!Q130</f>
        <v>329950.8015511632</v>
      </c>
      <c r="BA134" s="11">
        <f>'[1]功能-行军令'!R130</f>
        <v>177138.69615986643</v>
      </c>
    </row>
    <row r="135" spans="32:53" x14ac:dyDescent="0.15">
      <c r="AF135" s="7">
        <v>128</v>
      </c>
      <c r="AG135" s="11">
        <f>[1]服务器生态!AC149</f>
        <v>0.47962550249999997</v>
      </c>
      <c r="AH135" s="11">
        <f>[1]服务器生态!AD149</f>
        <v>0.47291513735919999</v>
      </c>
      <c r="AI135" s="11">
        <f>[1]服务器生态!AE149</f>
        <v>3.8604200140800002E-2</v>
      </c>
      <c r="AJ135" s="11">
        <f>[1]服务器生态!AF149</f>
        <v>6.8679600000000019E-3</v>
      </c>
      <c r="AK135" s="11">
        <f>[1]服务器生态!AG149</f>
        <v>1.9871999999999997E-3</v>
      </c>
      <c r="AV135" s="7">
        <v>128</v>
      </c>
      <c r="AW135" s="11">
        <f>'[1]功能-行军令'!N131</f>
        <v>328005.30986800481</v>
      </c>
      <c r="AX135" s="11">
        <f>'[1]功能-行军令'!O131</f>
        <v>404412.72069171362</v>
      </c>
      <c r="AY135" s="11">
        <f>'[1]功能-行军令'!P131</f>
        <v>437345.16685748287</v>
      </c>
      <c r="AZ135" s="11">
        <f>'[1]功能-行军令'!Q131</f>
        <v>352167.17926991213</v>
      </c>
      <c r="BA135" s="11">
        <f>'[1]功能-行军令'!R131</f>
        <v>189413.79673349392</v>
      </c>
    </row>
    <row r="136" spans="32:53" x14ac:dyDescent="0.15">
      <c r="AF136" s="7">
        <v>129</v>
      </c>
      <c r="AG136" s="11">
        <f>[1]服务器生态!AC150</f>
        <v>0.47962550249999997</v>
      </c>
      <c r="AH136" s="11">
        <f>[1]服务器生态!AD150</f>
        <v>0.47291513735919999</v>
      </c>
      <c r="AI136" s="11">
        <f>[1]服务器生态!AE150</f>
        <v>3.8604200140800002E-2</v>
      </c>
      <c r="AJ136" s="11">
        <f>[1]服务器生态!AF150</f>
        <v>6.8679600000000019E-3</v>
      </c>
      <c r="AK136" s="11">
        <f>[1]服务器生态!AG150</f>
        <v>1.9871999999999997E-3</v>
      </c>
      <c r="AV136" s="7">
        <v>129</v>
      </c>
      <c r="AW136" s="11">
        <f>'[1]功能-行军令'!N132</f>
        <v>351550.68826679827</v>
      </c>
      <c r="AX136" s="11">
        <f>'[1]功能-行军令'!O132</f>
        <v>433442.89261729561</v>
      </c>
      <c r="AY136" s="11">
        <f>'[1]功能-行军令'!P132</f>
        <v>469504.35082720249</v>
      </c>
      <c r="AZ136" s="11">
        <f>'[1]功能-行军令'!Q132</f>
        <v>378706.45045415516</v>
      </c>
      <c r="BA136" s="11">
        <f>'[1]功能-行军令'!R132</f>
        <v>203482.88805320952</v>
      </c>
    </row>
    <row r="137" spans="32:53" x14ac:dyDescent="0.15">
      <c r="AF137" s="7">
        <v>130</v>
      </c>
      <c r="AG137" s="11">
        <f>[1]服务器生态!AC151</f>
        <v>0.47962550249999997</v>
      </c>
      <c r="AH137" s="11">
        <f>[1]服务器生态!AD151</f>
        <v>0.47291513735919999</v>
      </c>
      <c r="AI137" s="11">
        <f>[1]服务器生态!AE151</f>
        <v>3.8604200140800002E-2</v>
      </c>
      <c r="AJ137" s="11">
        <f>[1]服务器生态!AF151</f>
        <v>6.8679600000000019E-3</v>
      </c>
      <c r="AK137" s="11">
        <f>[1]服务器生态!AG151</f>
        <v>1.9871999999999997E-3</v>
      </c>
      <c r="AV137" s="7">
        <v>130</v>
      </c>
      <c r="AW137" s="11">
        <f>'[1]功能-行军令'!N133</f>
        <v>376786</v>
      </c>
      <c r="AX137" s="11">
        <f>'[1]功能-行军令'!O133</f>
        <v>465105.45750000002</v>
      </c>
      <c r="AY137" s="11">
        <f>'[1]功能-行军令'!P133</f>
        <v>504324.78460000001</v>
      </c>
      <c r="AZ137" s="11">
        <f>'[1]功能-行军令'!Q133</f>
        <v>406987.85519999999</v>
      </c>
      <c r="BA137" s="11">
        <f>'[1]功能-行军令'!R133</f>
        <v>218848.77620000002</v>
      </c>
    </row>
    <row r="138" spans="32:53" x14ac:dyDescent="0.15">
      <c r="AF138" s="7">
        <v>131</v>
      </c>
      <c r="AG138" s="11">
        <f>[1]服务器生态!AC152</f>
        <v>0.47962550249999997</v>
      </c>
      <c r="AH138" s="11">
        <f>[1]服务器生态!AD152</f>
        <v>0.47291513735919999</v>
      </c>
      <c r="AI138" s="11">
        <f>[1]服务器生态!AE152</f>
        <v>3.8604200140800002E-2</v>
      </c>
      <c r="AJ138" s="11">
        <f>[1]服务器生态!AF152</f>
        <v>6.8679600000000019E-3</v>
      </c>
      <c r="AK138" s="11">
        <f>[1]服务器生态!AG152</f>
        <v>1.9871999999999997E-3</v>
      </c>
      <c r="AV138" s="7">
        <v>131</v>
      </c>
      <c r="AW138" s="11">
        <f>'[1]功能-行军令'!N134</f>
        <v>403832.53743447649</v>
      </c>
      <c r="AX138" s="11">
        <f>'[1]功能-行军令'!O134</f>
        <v>498727.03845383495</v>
      </c>
      <c r="AY138" s="11">
        <f>'[1]功能-行军令'!P134</f>
        <v>541005.67143276311</v>
      </c>
      <c r="AZ138" s="11">
        <f>'[1]功能-行军令'!Q134</f>
        <v>437197.00609794882</v>
      </c>
      <c r="BA138" s="11">
        <f>'[1]功能-行军令'!R134</f>
        <v>234377.38155240606</v>
      </c>
    </row>
    <row r="139" spans="32:53" x14ac:dyDescent="0.15">
      <c r="AF139" s="7">
        <v>132</v>
      </c>
      <c r="AG139" s="11">
        <f>[1]服务器生态!AC153</f>
        <v>0.47962550249999997</v>
      </c>
      <c r="AH139" s="11">
        <f>[1]服务器生态!AD153</f>
        <v>0.47291513735919999</v>
      </c>
      <c r="AI139" s="11">
        <f>[1]服务器生态!AE153</f>
        <v>3.8604200140800002E-2</v>
      </c>
      <c r="AJ139" s="11">
        <f>[1]服务器生态!AF153</f>
        <v>6.8679600000000019E-3</v>
      </c>
      <c r="AK139" s="11">
        <f>[1]服务器生态!AG153</f>
        <v>1.9871999999999997E-3</v>
      </c>
      <c r="AV139" s="7">
        <v>132</v>
      </c>
      <c r="AW139" s="11">
        <f>'[1]功能-行军令'!N135</f>
        <v>432820.29851024237</v>
      </c>
      <c r="AX139" s="11">
        <f>'[1]功能-行军令'!O135</f>
        <v>534904.72956865281</v>
      </c>
      <c r="AY139" s="11">
        <f>'[1]功能-行军令'!P135</f>
        <v>581124.29196739208</v>
      </c>
      <c r="AZ139" s="11">
        <f>'[1]功能-行军令'!Q135</f>
        <v>468095.15283882717</v>
      </c>
      <c r="BA139" s="11">
        <f>'[1]功能-行军令'!R135</f>
        <v>250426.06106325664</v>
      </c>
    </row>
    <row r="140" spans="32:53" x14ac:dyDescent="0.15">
      <c r="AF140" s="7">
        <v>133</v>
      </c>
      <c r="AG140" s="11">
        <f>[1]服务器生态!AC154</f>
        <v>0.47962550249999997</v>
      </c>
      <c r="AH140" s="11">
        <f>[1]服务器生态!AD154</f>
        <v>0.47291513735919999</v>
      </c>
      <c r="AI140" s="11">
        <f>[1]服务器生态!AE154</f>
        <v>3.8604200140800002E-2</v>
      </c>
      <c r="AJ140" s="11">
        <f>[1]服务器生态!AF154</f>
        <v>6.8679600000000019E-3</v>
      </c>
      <c r="AK140" s="11">
        <f>[1]服务器生态!AG154</f>
        <v>1.9871999999999997E-3</v>
      </c>
      <c r="AV140" s="7">
        <v>133</v>
      </c>
      <c r="AW140" s="11">
        <f>'[1]功能-行军令'!N136</f>
        <v>463888.61156959157</v>
      </c>
      <c r="AX140" s="11">
        <f>'[1]功能-行军令'!O136</f>
        <v>573706.17273066507</v>
      </c>
      <c r="AY140" s="11">
        <f>'[1]功能-行军令'!P136</f>
        <v>621277.94984712673</v>
      </c>
      <c r="AZ140" s="11">
        <f>'[1]功能-行军令'!Q136</f>
        <v>499306.50706292992</v>
      </c>
      <c r="BA140" s="11">
        <f>'[1]功能-行军令'!R136</f>
        <v>267363.20973163756</v>
      </c>
    </row>
    <row r="141" spans="32:53" x14ac:dyDescent="0.15">
      <c r="AF141" s="7">
        <v>134</v>
      </c>
      <c r="AG141" s="11">
        <f>[1]服务器生态!AC155</f>
        <v>0.47962550249999997</v>
      </c>
      <c r="AH141" s="11">
        <f>[1]服务器生态!AD155</f>
        <v>0.47291513735919999</v>
      </c>
      <c r="AI141" s="11">
        <f>[1]服务器生态!AE155</f>
        <v>3.8604200140800002E-2</v>
      </c>
      <c r="AJ141" s="11">
        <f>[1]服务器生态!AF155</f>
        <v>6.8679600000000019E-3</v>
      </c>
      <c r="AK141" s="11">
        <f>[1]服务器生态!AG155</f>
        <v>1.9871999999999997E-3</v>
      </c>
      <c r="AV141" s="7">
        <v>134</v>
      </c>
      <c r="AW141" s="11">
        <f>'[1]功能-行军令'!N137</f>
        <v>497186.80503237102</v>
      </c>
      <c r="AX141" s="11">
        <f>'[1]功能-行军令'!O137</f>
        <v>613149.14226088859</v>
      </c>
      <c r="AY141" s="11">
        <f>'[1]功能-行军令'!P137</f>
        <v>662824.58912890544</v>
      </c>
      <c r="AZ141" s="11">
        <f>'[1]功能-行军令'!Q137</f>
        <v>533031.81199344399</v>
      </c>
      <c r="BA141" s="11">
        <f>'[1]功能-行军令'!R137</f>
        <v>285886.73625713534</v>
      </c>
    </row>
    <row r="142" spans="32:53" x14ac:dyDescent="0.15">
      <c r="AF142" s="7">
        <v>135</v>
      </c>
      <c r="AG142" s="11">
        <f>[1]服务器生态!AC156</f>
        <v>0.47962550249999997</v>
      </c>
      <c r="AH142" s="11">
        <f>[1]服务器生态!AD156</f>
        <v>0.47291513735919999</v>
      </c>
      <c r="AI142" s="11">
        <f>[1]服务器生态!AE156</f>
        <v>3.8604200140800002E-2</v>
      </c>
      <c r="AJ142" s="11">
        <f>[1]服务器生态!AF156</f>
        <v>6.8679600000000019E-3</v>
      </c>
      <c r="AK142" s="11">
        <f>[1]服务器生态!AG156</f>
        <v>1.9871999999999997E-3</v>
      </c>
      <c r="AV142" s="7">
        <v>135</v>
      </c>
      <c r="AW142" s="11">
        <f>'[1]功能-行军令'!N138</f>
        <v>532874.92513617827</v>
      </c>
      <c r="AX142" s="11">
        <f>'[1]功能-行军令'!O138</f>
        <v>656384.90696899174</v>
      </c>
      <c r="AY142" s="11">
        <f>'[1]功能-行军令'!P138</f>
        <v>709453.45739380363</v>
      </c>
      <c r="AZ142" s="11">
        <f>'[1]功能-行军令'!Q138</f>
        <v>571531.52568355715</v>
      </c>
      <c r="BA142" s="11">
        <f>'[1]功能-行军令'!R138</f>
        <v>306884.98623342562</v>
      </c>
    </row>
    <row r="143" spans="32:53" x14ac:dyDescent="0.15">
      <c r="AF143" s="7">
        <v>136</v>
      </c>
      <c r="AG143" s="11">
        <f>[1]服务器生态!AC157</f>
        <v>0.47962550249999997</v>
      </c>
      <c r="AH143" s="11">
        <f>[1]服务器生态!AD157</f>
        <v>0.47291513735919999</v>
      </c>
      <c r="AI143" s="11">
        <f>[1]服务器生态!AE157</f>
        <v>3.8604200140800002E-2</v>
      </c>
      <c r="AJ143" s="11">
        <f>[1]服务器生态!AF157</f>
        <v>6.8679600000000019E-3</v>
      </c>
      <c r="AK143" s="11">
        <f>[1]服务器生态!AG157</f>
        <v>1.9871999999999997E-3</v>
      </c>
      <c r="AV143" s="7">
        <v>136</v>
      </c>
      <c r="AW143" s="11">
        <f>'[1]功能-行军令'!N139</f>
        <v>571124.50519124593</v>
      </c>
      <c r="AX143" s="11">
        <f>'[1]功能-行军令'!O139</f>
        <v>703999.10447401193</v>
      </c>
      <c r="AY143" s="11">
        <f>'[1]功能-行军令'!P139</f>
        <v>762976.40066008712</v>
      </c>
      <c r="AZ143" s="11">
        <f>'[1]功能-行军令'!Q139</f>
        <v>614601.97893643519</v>
      </c>
      <c r="BA143" s="11">
        <f>'[1]功能-行军令'!R139</f>
        <v>330064.0257251226</v>
      </c>
    </row>
    <row r="144" spans="32:53" x14ac:dyDescent="0.15">
      <c r="AF144" s="7">
        <v>137</v>
      </c>
      <c r="AG144" s="11">
        <f>[1]服务器生态!AC158</f>
        <v>0.47962550249999997</v>
      </c>
      <c r="AH144" s="11">
        <f>[1]服务器生态!AD158</f>
        <v>0.47291513735919999</v>
      </c>
      <c r="AI144" s="11">
        <f>[1]服务器生态!AE158</f>
        <v>3.8604200140800002E-2</v>
      </c>
      <c r="AJ144" s="11">
        <f>[1]服务器生态!AF158</f>
        <v>6.8679600000000019E-3</v>
      </c>
      <c r="AK144" s="11">
        <f>[1]服务器生态!AG158</f>
        <v>1.9871999999999997E-3</v>
      </c>
      <c r="AV144" s="7">
        <v>137</v>
      </c>
      <c r="AW144" s="11">
        <f>'[1]功能-行军令'!N140</f>
        <v>612119.39004742505</v>
      </c>
      <c r="AX144" s="11">
        <f>'[1]功能-行军令'!O140</f>
        <v>755423.19272915821</v>
      </c>
      <c r="AY144" s="11">
        <f>'[1]功能-行军令'!P140</f>
        <v>818589.92169907386</v>
      </c>
      <c r="AZ144" s="11">
        <f>'[1]功能-行军令'!Q140</f>
        <v>659951.19760232652</v>
      </c>
      <c r="BA144" s="11">
        <f>'[1]功能-行军令'!R140</f>
        <v>354166.95630413538</v>
      </c>
    </row>
    <row r="145" spans="32:53" x14ac:dyDescent="0.15">
      <c r="AF145" s="7">
        <v>138</v>
      </c>
      <c r="AG145" s="11">
        <f>[1]服务器生态!AC159</f>
        <v>0.47962550249999997</v>
      </c>
      <c r="AH145" s="11">
        <f>[1]服务器生态!AD159</f>
        <v>0.47291513735919999</v>
      </c>
      <c r="AI145" s="11">
        <f>[1]服务器生态!AE159</f>
        <v>3.8604200140800002E-2</v>
      </c>
      <c r="AJ145" s="11">
        <f>[1]服务器生态!AF159</f>
        <v>6.8679600000000019E-3</v>
      </c>
      <c r="AK145" s="11">
        <f>[1]服务器生态!AG159</f>
        <v>1.9871999999999997E-3</v>
      </c>
      <c r="AV145" s="7">
        <v>138</v>
      </c>
      <c r="AW145" s="11">
        <f>'[1]功能-行军令'!N141</f>
        <v>656056.61973600974</v>
      </c>
      <c r="AX145" s="11">
        <f>'[1]功能-行军令'!O141</f>
        <v>809646.60546642425</v>
      </c>
      <c r="AY145" s="11">
        <f>'[1]功能-行军令'!P141</f>
        <v>877996.29556257313</v>
      </c>
      <c r="AZ145" s="11">
        <f>'[1]功能-行军令'!Q141</f>
        <v>707762.43863146473</v>
      </c>
      <c r="BA145" s="11">
        <f>'[1]功能-行军令'!R141</f>
        <v>378119.65899489215</v>
      </c>
    </row>
    <row r="146" spans="32:53" x14ac:dyDescent="0.15">
      <c r="AF146" s="7">
        <v>139</v>
      </c>
      <c r="AG146" s="11">
        <f>[1]服务器生态!AC160</f>
        <v>0.47962550249999997</v>
      </c>
      <c r="AH146" s="11">
        <f>[1]服务器生态!AD160</f>
        <v>0.47291513735919999</v>
      </c>
      <c r="AI146" s="11">
        <f>[1]服务器生态!AE160</f>
        <v>3.8604200140800002E-2</v>
      </c>
      <c r="AJ146" s="11">
        <f>[1]服务器生态!AF160</f>
        <v>6.8679600000000019E-3</v>
      </c>
      <c r="AK146" s="11">
        <f>[1]服务器生态!AG160</f>
        <v>1.9871999999999997E-3</v>
      </c>
      <c r="AV146" s="7">
        <v>139</v>
      </c>
      <c r="AW146" s="11">
        <f>'[1]功能-行军令'!N142</f>
        <v>703147.37653359666</v>
      </c>
      <c r="AX146" s="11">
        <f>'[1]功能-行军令'!O142</f>
        <v>868171.48006227182</v>
      </c>
      <c r="AY146" s="11">
        <f>'[1]功能-行军令'!P142</f>
        <v>941156.64916520589</v>
      </c>
      <c r="AZ146" s="11">
        <f>'[1]功能-行军令'!Q142</f>
        <v>755573.12777918961</v>
      </c>
      <c r="BA146" s="11">
        <f>'[1]功能-行军令'!R142</f>
        <v>403843.52422455128</v>
      </c>
    </row>
    <row r="147" spans="32:53" x14ac:dyDescent="0.15">
      <c r="AF147" s="7">
        <v>140</v>
      </c>
      <c r="AG147" s="11">
        <f>[1]服务器生态!AC161</f>
        <v>0.47962550249999997</v>
      </c>
      <c r="AH147" s="11">
        <f>[1]服务器生态!AD161</f>
        <v>0.47291513735919999</v>
      </c>
      <c r="AI147" s="11">
        <f>[1]服务器生态!AE161</f>
        <v>3.8604200140800002E-2</v>
      </c>
      <c r="AJ147" s="11">
        <f>[1]服务器生态!AF161</f>
        <v>6.8679600000000019E-3</v>
      </c>
      <c r="AK147" s="11">
        <f>[1]服务器生态!AG161</f>
        <v>1.9871999999999997E-3</v>
      </c>
      <c r="AV147" s="7">
        <v>140</v>
      </c>
      <c r="AW147" s="11">
        <f>'[1]功能-行军令'!N143</f>
        <v>753618</v>
      </c>
      <c r="AX147" s="11">
        <f>'[1]功能-行军令'!O143</f>
        <v>930048.16530000011</v>
      </c>
      <c r="AY147" s="11">
        <f>'[1]功能-行军令'!P143</f>
        <v>1004387.6661</v>
      </c>
      <c r="AZ147" s="11">
        <f>'[1]功能-行军令'!Q143</f>
        <v>806263.13219999999</v>
      </c>
      <c r="BA147" s="11">
        <f>'[1]功能-行军令'!R143</f>
        <v>431818.19910000003</v>
      </c>
    </row>
    <row r="148" spans="32:53" x14ac:dyDescent="0.15">
      <c r="AF148" s="7">
        <v>141</v>
      </c>
      <c r="AG148" s="11">
        <f>[1]服务器生态!AC162</f>
        <v>0.47962550249999997</v>
      </c>
      <c r="AH148" s="11">
        <f>[1]服务器生态!AD162</f>
        <v>0.47291513735919999</v>
      </c>
      <c r="AI148" s="11">
        <f>[1]服务器生态!AE162</f>
        <v>3.8604200140800002E-2</v>
      </c>
      <c r="AJ148" s="11">
        <f>[1]服务器生态!AF162</f>
        <v>6.8679600000000019E-3</v>
      </c>
      <c r="AK148" s="11">
        <f>[1]服务器生态!AG162</f>
        <v>1.9871999999999997E-3</v>
      </c>
      <c r="AV148" s="7">
        <v>141</v>
      </c>
      <c r="AW148" s="11">
        <f>'[1]功能-行军令'!N144</f>
        <v>807711.07486895169</v>
      </c>
      <c r="AX148" s="11">
        <f>'[1]功能-行军令'!O144</f>
        <v>994216.82973711565</v>
      </c>
      <c r="AY148" s="11">
        <f>'[1]功能-行军令'!P144</f>
        <v>1072805.3614282238</v>
      </c>
      <c r="AZ148" s="11">
        <f>'[1]功能-行军令'!Q144</f>
        <v>863230.67590434593</v>
      </c>
      <c r="BA148" s="11">
        <f>'[1]功能-行军令'!R144</f>
        <v>462451.46412893618</v>
      </c>
    </row>
    <row r="149" spans="32:53" x14ac:dyDescent="0.15">
      <c r="AF149" s="7">
        <v>142</v>
      </c>
      <c r="AG149" s="11">
        <f>[1]服务器生态!AC163</f>
        <v>0.47962550249999997</v>
      </c>
      <c r="AH149" s="11">
        <f>[1]服务器生态!AD163</f>
        <v>0.47291513735919999</v>
      </c>
      <c r="AI149" s="11">
        <f>[1]服务器生态!AE163</f>
        <v>3.8604200140800002E-2</v>
      </c>
      <c r="AJ149" s="11">
        <f>[1]服务器生态!AF163</f>
        <v>6.8679600000000019E-3</v>
      </c>
      <c r="AK149" s="11">
        <f>[1]服务器生态!AG163</f>
        <v>1.9871999999999997E-3</v>
      </c>
      <c r="AV149" s="7">
        <v>142</v>
      </c>
      <c r="AW149" s="11">
        <f>'[1]功能-行军令'!N145</f>
        <v>865686.59702048497</v>
      </c>
      <c r="AX149" s="11">
        <f>'[1]功能-行军令'!O145</f>
        <v>1065579.2780546695</v>
      </c>
      <c r="AY149" s="11">
        <f>'[1]功能-行军令'!P145</f>
        <v>1152720.0436817054</v>
      </c>
      <c r="AZ149" s="11">
        <f>'[1]功能-行军令'!Q145</f>
        <v>927323.48272834357</v>
      </c>
      <c r="BA149" s="11">
        <f>'[1]功能-行军令'!R145</f>
        <v>496808.12839313212</v>
      </c>
    </row>
    <row r="150" spans="32:53" x14ac:dyDescent="0.15">
      <c r="AF150" s="7">
        <v>143</v>
      </c>
      <c r="AG150" s="11">
        <f>[1]服务器生态!AC164</f>
        <v>0.47962550249999997</v>
      </c>
      <c r="AH150" s="11">
        <f>[1]服务器生态!AD164</f>
        <v>0.47291513735919999</v>
      </c>
      <c r="AI150" s="11">
        <f>[1]服务器生态!AE164</f>
        <v>3.8604200140800002E-2</v>
      </c>
      <c r="AJ150" s="11">
        <f>[1]服务器生态!AF164</f>
        <v>6.8679600000000019E-3</v>
      </c>
      <c r="AK150" s="11">
        <f>[1]服务器生态!AG164</f>
        <v>1.9871999999999997E-3</v>
      </c>
      <c r="AV150" s="7">
        <v>143</v>
      </c>
      <c r="AW150" s="11">
        <f>'[1]功能-行军令'!N146</f>
        <v>927823.22313918336</v>
      </c>
      <c r="AX150" s="11">
        <f>'[1]功能-行军令'!O146</f>
        <v>1143415.0510776134</v>
      </c>
      <c r="AY150" s="11">
        <f>'[1]功能-行军令'!P146</f>
        <v>1237111.0775656232</v>
      </c>
      <c r="AZ150" s="11">
        <f>'[1]功能-行军令'!Q146</f>
        <v>995961.75384372217</v>
      </c>
      <c r="BA150" s="11">
        <f>'[1]功能-行军令'!R146</f>
        <v>534129.6764981664</v>
      </c>
    </row>
    <row r="151" spans="32:53" x14ac:dyDescent="0.15">
      <c r="AF151" s="7">
        <v>144</v>
      </c>
      <c r="AG151" s="11">
        <f>[1]服务器生态!AC165</f>
        <v>0.47962550249999997</v>
      </c>
      <c r="AH151" s="11">
        <f>[1]服务器生态!AD165</f>
        <v>0.47291513735919999</v>
      </c>
      <c r="AI151" s="11">
        <f>[1]服务器生态!AE165</f>
        <v>3.8604200140800002E-2</v>
      </c>
      <c r="AJ151" s="11">
        <f>[1]服务器生态!AF165</f>
        <v>6.8679600000000019E-3</v>
      </c>
      <c r="AK151" s="11">
        <f>[1]服务器生态!AG165</f>
        <v>1.9871999999999997E-3</v>
      </c>
      <c r="AV151" s="7">
        <v>144</v>
      </c>
      <c r="AW151" s="11">
        <f>'[1]功能-行军令'!N147</f>
        <v>994419.61006474204</v>
      </c>
      <c r="AX151" s="11">
        <f>'[1]功能-行军令'!O147</f>
        <v>1225485.977153851</v>
      </c>
      <c r="AY151" s="11">
        <f>'[1]功能-行军令'!P147</f>
        <v>1327284.2802798264</v>
      </c>
      <c r="AZ151" s="11">
        <f>'[1]功能-行军令'!Q147</f>
        <v>1069230.2296862649</v>
      </c>
      <c r="BA151" s="11">
        <f>'[1]功能-行军令'!R147</f>
        <v>571354.59587150253</v>
      </c>
    </row>
    <row r="152" spans="32:53" x14ac:dyDescent="0.15">
      <c r="AF152" s="7">
        <v>145</v>
      </c>
      <c r="AG152" s="11">
        <f>[1]服务器生态!AC166</f>
        <v>0.47962550249999997</v>
      </c>
      <c r="AH152" s="11">
        <f>[1]服务器生态!AD166</f>
        <v>0.47291513735919999</v>
      </c>
      <c r="AI152" s="11">
        <f>[1]服务器生态!AE166</f>
        <v>3.8604200140800002E-2</v>
      </c>
      <c r="AJ152" s="11">
        <f>[1]服务器生态!AF166</f>
        <v>6.8679600000000019E-3</v>
      </c>
      <c r="AK152" s="11">
        <f>[1]服务器生态!AG166</f>
        <v>1.9871999999999997E-3</v>
      </c>
      <c r="AV152" s="7">
        <v>145</v>
      </c>
      <c r="AW152" s="11">
        <f>'[1]功能-行军令'!N148</f>
        <v>1065795.8502723568</v>
      </c>
      <c r="AX152" s="11">
        <f>'[1]功能-行军令'!O148</f>
        <v>1315310.2435586185</v>
      </c>
      <c r="AY152" s="11">
        <f>'[1]功能-行军令'!P148</f>
        <v>1424239.2133514546</v>
      </c>
      <c r="AZ152" s="11">
        <f>'[1]功能-行军令'!Q148</f>
        <v>1143828.3251447973</v>
      </c>
      <c r="BA152" s="11">
        <f>'[1]功能-行军令'!R148</f>
        <v>610455.42577099777</v>
      </c>
    </row>
    <row r="153" spans="32:53" x14ac:dyDescent="0.15">
      <c r="AF153" s="7">
        <v>146</v>
      </c>
      <c r="AG153" s="11">
        <f>[1]服务器生态!AC167</f>
        <v>0.47962550249999997</v>
      </c>
      <c r="AH153" s="11">
        <f>[1]服务器生态!AD167</f>
        <v>0.47291513735919999</v>
      </c>
      <c r="AI153" s="11">
        <f>[1]服务器生态!AE167</f>
        <v>3.8604200140800002E-2</v>
      </c>
      <c r="AJ153" s="11">
        <f>[1]服务器生态!AF167</f>
        <v>6.8679600000000019E-3</v>
      </c>
      <c r="AK153" s="11">
        <f>[1]服务器生态!AG167</f>
        <v>1.9871999999999997E-3</v>
      </c>
      <c r="AV153" s="7">
        <v>146</v>
      </c>
      <c r="AW153" s="11">
        <f>'[1]功能-行军令'!N149</f>
        <v>1142295.0103824921</v>
      </c>
      <c r="AX153" s="11">
        <f>'[1]功能-行军令'!O149</f>
        <v>1409385.933060122</v>
      </c>
      <c r="AY153" s="11">
        <f>'[1]功能-行军令'!P149</f>
        <v>1521494.7385790958</v>
      </c>
      <c r="AZ153" s="11">
        <f>'[1]功能-行军令'!Q149</f>
        <v>1220301.3433415035</v>
      </c>
      <c r="BA153" s="11">
        <f>'[1]功能-行军令'!R149</f>
        <v>651458.29417120293</v>
      </c>
    </row>
    <row r="154" spans="32:53" x14ac:dyDescent="0.15">
      <c r="AF154" s="7">
        <v>147</v>
      </c>
      <c r="AG154" s="11">
        <f>[1]服务器生态!AC168</f>
        <v>0.47962550249999997</v>
      </c>
      <c r="AH154" s="11">
        <f>[1]服务器生态!AD168</f>
        <v>0.47291513735919999</v>
      </c>
      <c r="AI154" s="11">
        <f>[1]服务器生态!AE168</f>
        <v>3.8604200140800002E-2</v>
      </c>
      <c r="AJ154" s="11">
        <f>[1]服务器生态!AF168</f>
        <v>6.8679600000000019E-3</v>
      </c>
      <c r="AK154" s="11">
        <f>[1]服务器生态!AG168</f>
        <v>1.9871999999999997E-3</v>
      </c>
      <c r="AV154" s="7">
        <v>147</v>
      </c>
      <c r="AW154" s="11">
        <f>'[1]功能-行军令'!N150</f>
        <v>1224284.7800948501</v>
      </c>
      <c r="AX154" s="11">
        <f>'[1]功能-行军令'!O150</f>
        <v>1505553.5623670323</v>
      </c>
      <c r="AY154" s="11">
        <f>'[1]功能-行军令'!P150</f>
        <v>1623194.0222908854</v>
      </c>
      <c r="AZ154" s="11">
        <f>'[1]功能-行军令'!Q150</f>
        <v>1301036.7898521877</v>
      </c>
      <c r="BA154" s="11">
        <f>'[1]功能-行军令'!R150</f>
        <v>695750.39457329374</v>
      </c>
    </row>
    <row r="155" spans="32:53" x14ac:dyDescent="0.15">
      <c r="AF155" s="7">
        <v>148</v>
      </c>
      <c r="AG155" s="11">
        <f>[1]服务器生态!AC169</f>
        <v>0.47962550249999997</v>
      </c>
      <c r="AH155" s="11">
        <f>[1]服务器生态!AD169</f>
        <v>0.47291513735919999</v>
      </c>
      <c r="AI155" s="11">
        <f>[1]服务器生态!AE169</f>
        <v>3.8604200140800002E-2</v>
      </c>
      <c r="AJ155" s="11">
        <f>[1]服务器生态!AF169</f>
        <v>6.8679600000000019E-3</v>
      </c>
      <c r="AK155" s="11">
        <f>[1]服务器生态!AG169</f>
        <v>1.9871999999999997E-3</v>
      </c>
      <c r="AV155" s="7">
        <v>148</v>
      </c>
      <c r="AW155" s="11">
        <f>'[1]功能-行军令'!N151</f>
        <v>1312159.2394720195</v>
      </c>
      <c r="AX155" s="11">
        <f>'[1]功能-行军令'!O151</f>
        <v>1613616.414660373</v>
      </c>
      <c r="AY155" s="11">
        <f>'[1]功能-行军令'!P151</f>
        <v>1740738.9722844393</v>
      </c>
      <c r="AZ155" s="11">
        <f>'[1]功能-行军令'!Q151</f>
        <v>1397358.3093949549</v>
      </c>
      <c r="BA155" s="11">
        <f>'[1]功能-行军令'!R151</f>
        <v>745982.49528044381</v>
      </c>
    </row>
    <row r="156" spans="32:53" x14ac:dyDescent="0.15">
      <c r="AF156" s="7">
        <v>149</v>
      </c>
      <c r="AG156" s="11">
        <f>[1]服务器生态!AC170</f>
        <v>0.47962550249999997</v>
      </c>
      <c r="AH156" s="11">
        <f>[1]服务器生态!AD170</f>
        <v>0.47291513735919999</v>
      </c>
      <c r="AI156" s="11">
        <f>[1]服务器生态!AE170</f>
        <v>3.8604200140800002E-2</v>
      </c>
      <c r="AJ156" s="11">
        <f>[1]服务器生态!AF170</f>
        <v>6.8679600000000019E-3</v>
      </c>
      <c r="AK156" s="11">
        <f>[1]服务器生态!AG170</f>
        <v>1.9871999999999997E-3</v>
      </c>
      <c r="AV156" s="7">
        <v>149</v>
      </c>
      <c r="AW156" s="11">
        <f>'[1]功能-行军令'!N152</f>
        <v>1406340.7530671936</v>
      </c>
      <c r="AX156" s="11">
        <f>'[1]功能-行军令'!O152</f>
        <v>1729844.985210248</v>
      </c>
      <c r="AY156" s="11">
        <f>'[1]功能-行军令'!P152</f>
        <v>1867351.4809726463</v>
      </c>
      <c r="AZ156" s="11">
        <f>'[1]功能-行军令'!Q152</f>
        <v>1498599.763730908</v>
      </c>
      <c r="BA156" s="11">
        <f>'[1]功能-行军令'!R152</f>
        <v>800155.91503261973</v>
      </c>
    </row>
    <row r="157" spans="32:53" x14ac:dyDescent="0.15">
      <c r="AF157" s="7">
        <v>150</v>
      </c>
      <c r="AG157" s="11">
        <f>[1]服务器生态!AC171</f>
        <v>0.47962550249999997</v>
      </c>
      <c r="AH157" s="11">
        <f>[1]服务器生态!AD171</f>
        <v>0.47291513735919999</v>
      </c>
      <c r="AI157" s="11">
        <f>[1]服务器生态!AE171</f>
        <v>3.8604200140800002E-2</v>
      </c>
      <c r="AJ157" s="11">
        <f>[1]服务器生态!AF171</f>
        <v>6.8679600000000019E-3</v>
      </c>
      <c r="AK157" s="11">
        <f>[1]服务器生态!AG171</f>
        <v>1.9871999999999997E-3</v>
      </c>
      <c r="AV157" s="7">
        <v>150</v>
      </c>
      <c r="AW157" s="11">
        <f>'[1]功能-行军令'!N153</f>
        <v>1507282</v>
      </c>
      <c r="AX157" s="11">
        <f>'[1]功能-行军令'!O153</f>
        <v>1854006.0105000001</v>
      </c>
      <c r="AY157" s="11">
        <f>'[1]功能-行军令'!P153</f>
        <v>2001680.3260999999</v>
      </c>
      <c r="AZ157" s="11">
        <f>'[1]功能-行军令'!Q153</f>
        <v>1607175.4762000002</v>
      </c>
      <c r="BA157" s="11">
        <f>'[1]功能-行军令'!R153</f>
        <v>860625.25500000012</v>
      </c>
    </row>
    <row r="158" spans="32:53" x14ac:dyDescent="0.15">
      <c r="AF158" s="7">
        <v>151</v>
      </c>
      <c r="AG158" s="11">
        <f>[1]服务器生态!AC172</f>
        <v>0.47962550249999997</v>
      </c>
      <c r="AH158" s="11">
        <f>[1]服务器生态!AD172</f>
        <v>0.47291513735919999</v>
      </c>
      <c r="AI158" s="11">
        <f>[1]服务器生态!AE172</f>
        <v>3.8604200140800002E-2</v>
      </c>
      <c r="AJ158" s="11">
        <f>[1]服务器生态!AF172</f>
        <v>6.8679600000000019E-3</v>
      </c>
      <c r="AK158" s="11">
        <f>[1]服务器生态!AG172</f>
        <v>1.9871999999999997E-3</v>
      </c>
      <c r="AV158" s="7">
        <v>151</v>
      </c>
      <c r="AW158" s="11">
        <f>'[1]功能-行军令'!N154</f>
        <v>1615468.1497379036</v>
      </c>
      <c r="AX158" s="11">
        <f>'[1]功能-行军令'!O154</f>
        <v>1988019.6882784385</v>
      </c>
      <c r="AY158" s="11">
        <f>'[1]功能-行军令'!P154</f>
        <v>2146950.1472271094</v>
      </c>
      <c r="AZ158" s="11">
        <f>'[1]功能-行军令'!Q154</f>
        <v>1730851.2063892924</v>
      </c>
      <c r="BA158" s="11">
        <f>'[1]功能-行军令'!R154</f>
        <v>936866.17022952298</v>
      </c>
    </row>
    <row r="159" spans="32:53" x14ac:dyDescent="0.15">
      <c r="AF159" s="7">
        <v>152</v>
      </c>
      <c r="AG159" s="11">
        <f>[1]服务器生态!AC173</f>
        <v>0.47962550249999997</v>
      </c>
      <c r="AH159" s="11">
        <f>[1]服务器生态!AD173</f>
        <v>0.47291513735919999</v>
      </c>
      <c r="AI159" s="11">
        <f>[1]服务器生态!AE173</f>
        <v>3.8604200140800002E-2</v>
      </c>
      <c r="AJ159" s="11">
        <f>[1]服务器生态!AF173</f>
        <v>6.8679600000000019E-3</v>
      </c>
      <c r="AK159" s="11">
        <f>[1]服务器生态!AG173</f>
        <v>1.9871999999999997E-3</v>
      </c>
      <c r="AV159" s="7">
        <v>152</v>
      </c>
      <c r="AW159" s="11">
        <f>'[1]功能-行军令'!N155</f>
        <v>1731419.1940409699</v>
      </c>
      <c r="AX159" s="11">
        <f>'[1]功能-行军令'!O155</f>
        <v>2130206.4379310715</v>
      </c>
      <c r="AY159" s="11">
        <f>'[1]功能-行军令'!P155</f>
        <v>2313721.8166803354</v>
      </c>
      <c r="AZ159" s="11">
        <f>'[1]功能-行军令'!Q155</f>
        <v>1880283.6051807969</v>
      </c>
      <c r="BA159" s="11">
        <f>'[1]功能-行军令'!R155</f>
        <v>1453827.5297789667</v>
      </c>
    </row>
    <row r="160" spans="32:53" x14ac:dyDescent="0.15">
      <c r="AF160" s="7">
        <v>153</v>
      </c>
      <c r="AG160" s="11">
        <f>[1]服务器生态!AC174</f>
        <v>0.47962550249999997</v>
      </c>
      <c r="AH160" s="11">
        <f>[1]服务器生态!AD174</f>
        <v>0.47291513735919999</v>
      </c>
      <c r="AI160" s="11">
        <f>[1]服务器生态!AE174</f>
        <v>3.8604200140800002E-2</v>
      </c>
      <c r="AJ160" s="11">
        <f>[1]服务器生态!AF174</f>
        <v>6.8679600000000019E-3</v>
      </c>
      <c r="AK160" s="11">
        <f>[1]服务器生态!AG174</f>
        <v>1.9871999999999997E-3</v>
      </c>
      <c r="AV160" s="7">
        <v>153</v>
      </c>
      <c r="AW160" s="11">
        <f>'[1]功能-行军令'!N156</f>
        <v>1855692.4462783667</v>
      </c>
      <c r="AX160" s="11">
        <f>'[1]功能-行军令'!O156</f>
        <v>2300130.7871620352</v>
      </c>
      <c r="AY160" s="11">
        <f>'[1]功能-行军令'!P156</f>
        <v>2507322.8829030287</v>
      </c>
      <c r="AZ160" s="11">
        <f>'[1]功能-行军令'!Q156</f>
        <v>2493082.4604348489</v>
      </c>
      <c r="BA160" s="11">
        <f>'[1]功能-行军令'!R156</f>
        <v>2493082.4604348489</v>
      </c>
    </row>
    <row r="161" spans="32:53" x14ac:dyDescent="0.15">
      <c r="AF161" s="7">
        <v>154</v>
      </c>
      <c r="AG161" s="11">
        <f>[1]服务器生态!AC175</f>
        <v>0.47962550249999997</v>
      </c>
      <c r="AH161" s="11">
        <f>[1]服务器生态!AD175</f>
        <v>0.47291513735919999</v>
      </c>
      <c r="AI161" s="11">
        <f>[1]服务器生态!AE175</f>
        <v>3.8604200140800002E-2</v>
      </c>
      <c r="AJ161" s="11">
        <f>[1]服务器生态!AF175</f>
        <v>6.8679600000000019E-3</v>
      </c>
      <c r="AK161" s="11">
        <f>[1]服务器生态!AG175</f>
        <v>1.9871999999999997E-3</v>
      </c>
      <c r="AV161" s="7">
        <v>154</v>
      </c>
      <c r="AW161" s="11">
        <f>'[1]功能-行军令'!N157</f>
        <v>1988885.2201294843</v>
      </c>
      <c r="AX161" s="11">
        <f>'[1]功能-行军令'!O157</f>
        <v>2476810.6485895114</v>
      </c>
      <c r="AY161" s="11">
        <f>'[1]功能-行军令'!P157</f>
        <v>3088609.0369554288</v>
      </c>
      <c r="AZ161" s="11">
        <f>'[1]功能-行军令'!Q157</f>
        <v>3518165.0078681773</v>
      </c>
      <c r="BA161" s="11">
        <f>'[1]功能-行军令'!R157</f>
        <v>3518165.0078681773</v>
      </c>
    </row>
    <row r="162" spans="32:53" x14ac:dyDescent="0.15">
      <c r="AF162" s="7">
        <v>155</v>
      </c>
      <c r="AG162" s="11">
        <f>[1]服务器生态!AC176</f>
        <v>0.47962550249999997</v>
      </c>
      <c r="AH162" s="11">
        <f>[1]服务器生态!AD176</f>
        <v>0.47291513735919999</v>
      </c>
      <c r="AI162" s="11">
        <f>[1]服务器生态!AE176</f>
        <v>3.8604200140800002E-2</v>
      </c>
      <c r="AJ162" s="11">
        <f>[1]服务器生态!AF176</f>
        <v>6.8679600000000019E-3</v>
      </c>
      <c r="AK162" s="11">
        <f>[1]服务器生态!AG176</f>
        <v>1.9871999999999997E-3</v>
      </c>
      <c r="AV162" s="7">
        <v>155</v>
      </c>
      <c r="AW162" s="11">
        <f>'[1]功能-行军令'!N158</f>
        <v>2131637.700544714</v>
      </c>
      <c r="AX162" s="11">
        <f>'[1]功能-行军令'!O158</f>
        <v>2953263.5502346703</v>
      </c>
      <c r="AY162" s="11">
        <f>'[1]功能-行军令'!P158</f>
        <v>4040667.5492225429</v>
      </c>
      <c r="AZ162" s="11">
        <f>'[1]功能-行军令'!Q158</f>
        <v>4573502.8304387024</v>
      </c>
      <c r="BA162" s="11">
        <f>'[1]功能-行军令'!R158</f>
        <v>4587821.8749923613</v>
      </c>
    </row>
    <row r="163" spans="32:53" x14ac:dyDescent="0.15">
      <c r="AF163" s="7">
        <v>156</v>
      </c>
      <c r="AG163" s="11">
        <f>[1]服务器生态!AC177</f>
        <v>0.47962550249999997</v>
      </c>
      <c r="AH163" s="11">
        <f>[1]服务器生态!AD177</f>
        <v>0.47291513735919999</v>
      </c>
      <c r="AI163" s="11">
        <f>[1]服务器生态!AE177</f>
        <v>3.8604200140800002E-2</v>
      </c>
      <c r="AJ163" s="11">
        <f>[1]服务器生态!AF177</f>
        <v>6.8679600000000019E-3</v>
      </c>
      <c r="AK163" s="11">
        <f>[1]服务器生态!AG177</f>
        <v>1.9871999999999997E-3</v>
      </c>
      <c r="AV163" s="7">
        <v>156</v>
      </c>
      <c r="AW163" s="11">
        <f>'[1]功能-行军令'!N159</f>
        <v>2284636.0207649847</v>
      </c>
      <c r="AX163" s="11">
        <f>'[1]功能-行军令'!O159</f>
        <v>3327622.0302446513</v>
      </c>
      <c r="AY163" s="11">
        <f>'[1]功能-行军令'!P159</f>
        <v>4564802.1014893418</v>
      </c>
      <c r="AZ163" s="11">
        <f>'[1]功能-行军令'!Q159</f>
        <v>5166754.0269604633</v>
      </c>
      <c r="BA163" s="11">
        <f>'[1]功能-行军令'!R159</f>
        <v>5182100.82109995</v>
      </c>
    </row>
    <row r="164" spans="32:53" x14ac:dyDescent="0.15">
      <c r="AF164" s="7">
        <v>157</v>
      </c>
      <c r="AG164" s="11">
        <f>[1]服务器生态!AC178</f>
        <v>0.47962550249999997</v>
      </c>
      <c r="AH164" s="11">
        <f>[1]服务器生态!AD178</f>
        <v>0.47291513735919999</v>
      </c>
      <c r="AI164" s="11">
        <f>[1]服务器生态!AE178</f>
        <v>3.8604200140800002E-2</v>
      </c>
      <c r="AJ164" s="11">
        <f>[1]服务器生态!AF178</f>
        <v>6.8679600000000019E-3</v>
      </c>
      <c r="AK164" s="11">
        <f>[1]服务器生态!AG178</f>
        <v>1.9871999999999997E-3</v>
      </c>
      <c r="AV164" s="7">
        <v>157</v>
      </c>
      <c r="AW164" s="11">
        <f>'[1]功能-行军令'!N160</f>
        <v>2448615.5601897002</v>
      </c>
      <c r="AX164" s="11">
        <f>'[1]功能-行军令'!O160</f>
        <v>3566461.794189346</v>
      </c>
      <c r="AY164" s="11">
        <f>'[1]功能-行军令'!P160</f>
        <v>4892440.3508051168</v>
      </c>
      <c r="AZ164" s="11">
        <f>'[1]功能-行军令'!Q160</f>
        <v>5537597.3201420549</v>
      </c>
      <c r="BA164" s="11">
        <f>'[1]功能-行军令'!R160</f>
        <v>5537597.3201420549</v>
      </c>
    </row>
    <row r="165" spans="32:53" x14ac:dyDescent="0.15">
      <c r="AF165" s="7">
        <v>158</v>
      </c>
      <c r="AG165" s="11">
        <f>[1]服务器生态!AC179</f>
        <v>0.47962550249999997</v>
      </c>
      <c r="AH165" s="11">
        <f>[1]服务器生态!AD179</f>
        <v>0.47291513735919999</v>
      </c>
      <c r="AI165" s="11">
        <f>[1]服务器生态!AE179</f>
        <v>3.8604200140800002E-2</v>
      </c>
      <c r="AJ165" s="11">
        <f>[1]服务器生态!AF179</f>
        <v>6.8679600000000019E-3</v>
      </c>
      <c r="AK165" s="11">
        <f>[1]服务器生态!AG179</f>
        <v>1.9871999999999997E-3</v>
      </c>
      <c r="AV165" s="7">
        <v>158</v>
      </c>
      <c r="AW165" s="11">
        <f>'[1]功能-行军令'!N161</f>
        <v>2624364.4789440394</v>
      </c>
      <c r="AX165" s="11">
        <f>'[1]功能-行军令'!O161</f>
        <v>3822443.9149837093</v>
      </c>
      <c r="AY165" s="11">
        <f>'[1]功能-行军令'!P161</f>
        <v>5243594.3317336226</v>
      </c>
      <c r="AZ165" s="11">
        <f>'[1]功能-行军令'!Q161</f>
        <v>5935057.3205336612</v>
      </c>
      <c r="BA165" s="11">
        <f>'[1]功能-行军令'!R161</f>
        <v>5935057.3205336612</v>
      </c>
    </row>
    <row r="166" spans="32:53" x14ac:dyDescent="0.15">
      <c r="AF166" s="7">
        <v>159</v>
      </c>
      <c r="AG166" s="11">
        <f>[1]服务器生态!AC180</f>
        <v>0.47962550249999997</v>
      </c>
      <c r="AH166" s="11">
        <f>[1]服务器生态!AD180</f>
        <v>0.47291513735919999</v>
      </c>
      <c r="AI166" s="11">
        <f>[1]服务器生态!AE180</f>
        <v>3.8604200140800002E-2</v>
      </c>
      <c r="AJ166" s="11">
        <f>[1]服务器生态!AF180</f>
        <v>6.8679600000000019E-3</v>
      </c>
      <c r="AK166" s="11">
        <f>[1]服务器生态!AG180</f>
        <v>1.9871999999999997E-3</v>
      </c>
      <c r="AV166" s="7">
        <v>159</v>
      </c>
      <c r="AW166" s="11">
        <f>'[1]功能-行军令'!N162</f>
        <v>2812727.5061343871</v>
      </c>
      <c r="AX166" s="11">
        <f>'[1]功能-行军令'!O162</f>
        <v>4096798.758934868</v>
      </c>
      <c r="AY166" s="11">
        <f>'[1]功能-行军令'!P162</f>
        <v>5619951.8497567717</v>
      </c>
      <c r="AZ166" s="11">
        <f>'[1]功能-行军令'!Q162</f>
        <v>6361044.4013730492</v>
      </c>
      <c r="BA166" s="11">
        <f>'[1]功能-行军令'!R162</f>
        <v>6361044.4013730492</v>
      </c>
    </row>
    <row r="167" spans="32:53" x14ac:dyDescent="0.15">
      <c r="AF167" s="7">
        <v>160</v>
      </c>
      <c r="AG167" s="11">
        <f>[1]服务器生态!AC181</f>
        <v>0.47962550249999997</v>
      </c>
      <c r="AH167" s="11">
        <f>[1]服务器生态!AD181</f>
        <v>0.47291513735919999</v>
      </c>
      <c r="AI167" s="11">
        <f>[1]服务器生态!AE181</f>
        <v>3.8604200140800002E-2</v>
      </c>
      <c r="AJ167" s="11">
        <f>[1]服务器生态!AF181</f>
        <v>6.8679600000000019E-3</v>
      </c>
      <c r="AK167" s="11">
        <f>[1]服务器生态!AG181</f>
        <v>1.9871999999999997E-3</v>
      </c>
      <c r="AV167" s="7">
        <v>160</v>
      </c>
      <c r="AW167" s="11">
        <f>'[1]功能-行军令'!N163</f>
        <v>3014610</v>
      </c>
      <c r="AX167" s="11">
        <f>'[1]功能-行军令'!O163</f>
        <v>4390845</v>
      </c>
      <c r="AY167" s="11">
        <f>'[1]功能-行军令'!P163</f>
        <v>6023321.8500000006</v>
      </c>
      <c r="AZ167" s="11">
        <f>'[1]功能-行军令'!Q163</f>
        <v>6817606.0500000007</v>
      </c>
      <c r="BA167" s="11">
        <f>'[1]功能-行军令'!R163</f>
        <v>6817606.0500000007</v>
      </c>
    </row>
    <row r="168" spans="32:53" x14ac:dyDescent="0.15">
      <c r="AF168" s="7">
        <v>161</v>
      </c>
      <c r="AG168" s="11">
        <f>[1]服务器生态!AC182</f>
        <v>0.47962550249999997</v>
      </c>
      <c r="AH168" s="11">
        <f>[1]服务器生态!AD182</f>
        <v>0.47291513735919999</v>
      </c>
      <c r="AI168" s="11">
        <f>[1]服务器生态!AE182</f>
        <v>3.8604200140800002E-2</v>
      </c>
      <c r="AJ168" s="11">
        <f>[1]服务器生态!AF182</f>
        <v>6.8679600000000019E-3</v>
      </c>
      <c r="AK168" s="11">
        <f>[1]服务器生态!AG182</f>
        <v>1.9871999999999997E-3</v>
      </c>
    </row>
    <row r="169" spans="32:53" x14ac:dyDescent="0.15">
      <c r="AF169" s="7">
        <v>162</v>
      </c>
      <c r="AG169" s="11">
        <f>[1]服务器生态!AC183</f>
        <v>0.47962550249999997</v>
      </c>
      <c r="AH169" s="11">
        <f>[1]服务器生态!AD183</f>
        <v>0.47291513735919999</v>
      </c>
      <c r="AI169" s="11">
        <f>[1]服务器生态!AE183</f>
        <v>3.8604200140800002E-2</v>
      </c>
      <c r="AJ169" s="11">
        <f>[1]服务器生态!AF183</f>
        <v>6.8679600000000019E-3</v>
      </c>
      <c r="AK169" s="11">
        <f>[1]服务器生态!AG183</f>
        <v>1.9871999999999997E-3</v>
      </c>
    </row>
    <row r="170" spans="32:53" x14ac:dyDescent="0.15">
      <c r="AF170" s="7">
        <v>163</v>
      </c>
      <c r="AG170" s="11">
        <f>[1]服务器生态!AC184</f>
        <v>0.47962550249999997</v>
      </c>
      <c r="AH170" s="11">
        <f>[1]服务器生态!AD184</f>
        <v>0.47291513735919999</v>
      </c>
      <c r="AI170" s="11">
        <f>[1]服务器生态!AE184</f>
        <v>3.8604200140800002E-2</v>
      </c>
      <c r="AJ170" s="11">
        <f>[1]服务器生态!AF184</f>
        <v>6.8679600000000019E-3</v>
      </c>
      <c r="AK170" s="11">
        <f>[1]服务器生态!AG184</f>
        <v>1.9871999999999997E-3</v>
      </c>
    </row>
    <row r="171" spans="32:53" x14ac:dyDescent="0.15">
      <c r="AF171" s="7">
        <v>164</v>
      </c>
      <c r="AG171" s="11">
        <f>[1]服务器生态!AC185</f>
        <v>0.47962550249999997</v>
      </c>
      <c r="AH171" s="11">
        <f>[1]服务器生态!AD185</f>
        <v>0.47291513735919999</v>
      </c>
      <c r="AI171" s="11">
        <f>[1]服务器生态!AE185</f>
        <v>3.8604200140800002E-2</v>
      </c>
      <c r="AJ171" s="11">
        <f>[1]服务器生态!AF185</f>
        <v>6.8679600000000019E-3</v>
      </c>
      <c r="AK171" s="11">
        <f>[1]服务器生态!AG185</f>
        <v>1.9871999999999997E-3</v>
      </c>
    </row>
    <row r="172" spans="32:53" x14ac:dyDescent="0.15">
      <c r="AF172" s="7">
        <v>165</v>
      </c>
      <c r="AG172" s="11">
        <f>[1]服务器生态!AC186</f>
        <v>0.47962550249999997</v>
      </c>
      <c r="AH172" s="11">
        <f>[1]服务器生态!AD186</f>
        <v>0.47291513735919999</v>
      </c>
      <c r="AI172" s="11">
        <f>[1]服务器生态!AE186</f>
        <v>3.8604200140800002E-2</v>
      </c>
      <c r="AJ172" s="11">
        <f>[1]服务器生态!AF186</f>
        <v>6.8679600000000019E-3</v>
      </c>
      <c r="AK172" s="11">
        <f>[1]服务器生态!AG186</f>
        <v>1.9871999999999997E-3</v>
      </c>
    </row>
    <row r="173" spans="32:53" x14ac:dyDescent="0.15">
      <c r="AF173" s="7">
        <v>166</v>
      </c>
      <c r="AG173" s="11">
        <f>[1]服务器生态!AC187</f>
        <v>0.47962550249999997</v>
      </c>
      <c r="AH173" s="11">
        <f>[1]服务器生态!AD187</f>
        <v>0.47291513735919999</v>
      </c>
      <c r="AI173" s="11">
        <f>[1]服务器生态!AE187</f>
        <v>3.8604200140800002E-2</v>
      </c>
      <c r="AJ173" s="11">
        <f>[1]服务器生态!AF187</f>
        <v>6.8679600000000019E-3</v>
      </c>
      <c r="AK173" s="11">
        <f>[1]服务器生态!AG187</f>
        <v>1.9871999999999997E-3</v>
      </c>
    </row>
    <row r="174" spans="32:53" x14ac:dyDescent="0.15">
      <c r="AF174" s="7">
        <v>167</v>
      </c>
      <c r="AG174" s="11">
        <f>[1]服务器生态!AC188</f>
        <v>0.47962550249999997</v>
      </c>
      <c r="AH174" s="11">
        <f>[1]服务器生态!AD188</f>
        <v>0.47291513735919999</v>
      </c>
      <c r="AI174" s="11">
        <f>[1]服务器生态!AE188</f>
        <v>3.8604200140800002E-2</v>
      </c>
      <c r="AJ174" s="11">
        <f>[1]服务器生态!AF188</f>
        <v>6.8679600000000019E-3</v>
      </c>
      <c r="AK174" s="11">
        <f>[1]服务器生态!AG188</f>
        <v>1.9871999999999997E-3</v>
      </c>
    </row>
    <row r="175" spans="32:53" x14ac:dyDescent="0.15">
      <c r="AF175" s="7">
        <v>168</v>
      </c>
      <c r="AG175" s="11">
        <f>[1]服务器生态!AC189</f>
        <v>0.47962550249999997</v>
      </c>
      <c r="AH175" s="11">
        <f>[1]服务器生态!AD189</f>
        <v>0.47291513735919999</v>
      </c>
      <c r="AI175" s="11">
        <f>[1]服务器生态!AE189</f>
        <v>3.8604200140800002E-2</v>
      </c>
      <c r="AJ175" s="11">
        <f>[1]服务器生态!AF189</f>
        <v>6.8679600000000019E-3</v>
      </c>
      <c r="AK175" s="11">
        <f>[1]服务器生态!AG189</f>
        <v>1.9871999999999997E-3</v>
      </c>
    </row>
    <row r="176" spans="32:53" x14ac:dyDescent="0.15">
      <c r="AF176" s="7">
        <v>169</v>
      </c>
      <c r="AG176" s="11">
        <f>[1]服务器生态!AC190</f>
        <v>0.47962550249999997</v>
      </c>
      <c r="AH176" s="11">
        <f>[1]服务器生态!AD190</f>
        <v>0.47291513735919999</v>
      </c>
      <c r="AI176" s="11">
        <f>[1]服务器生态!AE190</f>
        <v>3.8604200140800002E-2</v>
      </c>
      <c r="AJ176" s="11">
        <f>[1]服务器生态!AF190</f>
        <v>6.8679600000000019E-3</v>
      </c>
      <c r="AK176" s="11">
        <f>[1]服务器生态!AG190</f>
        <v>1.9871999999999997E-3</v>
      </c>
    </row>
    <row r="177" spans="32:37" x14ac:dyDescent="0.15">
      <c r="AF177" s="7">
        <v>170</v>
      </c>
      <c r="AG177" s="11">
        <f>[1]服务器生态!AC191</f>
        <v>0.47962550249999997</v>
      </c>
      <c r="AH177" s="11">
        <f>[1]服务器生态!AD191</f>
        <v>0.47291513735919999</v>
      </c>
      <c r="AI177" s="11">
        <f>[1]服务器生态!AE191</f>
        <v>3.8604200140800002E-2</v>
      </c>
      <c r="AJ177" s="11">
        <f>[1]服务器生态!AF191</f>
        <v>6.8679600000000019E-3</v>
      </c>
      <c r="AK177" s="11">
        <f>[1]服务器生态!AG191</f>
        <v>1.9871999999999997E-3</v>
      </c>
    </row>
    <row r="178" spans="32:37" x14ac:dyDescent="0.15">
      <c r="AF178" s="7">
        <v>171</v>
      </c>
      <c r="AG178" s="11">
        <f>[1]服务器生态!AC192</f>
        <v>0.47962550249999997</v>
      </c>
      <c r="AH178" s="11">
        <f>[1]服务器生态!AD192</f>
        <v>0.47291513735919999</v>
      </c>
      <c r="AI178" s="11">
        <f>[1]服务器生态!AE192</f>
        <v>3.8604200140800002E-2</v>
      </c>
      <c r="AJ178" s="11">
        <f>[1]服务器生态!AF192</f>
        <v>6.8679600000000019E-3</v>
      </c>
      <c r="AK178" s="11">
        <f>[1]服务器生态!AG192</f>
        <v>1.9871999999999997E-3</v>
      </c>
    </row>
    <row r="179" spans="32:37" x14ac:dyDescent="0.15">
      <c r="AF179" s="7">
        <v>172</v>
      </c>
      <c r="AG179" s="11">
        <f>[1]服务器生态!AC193</f>
        <v>0.47962550249999997</v>
      </c>
      <c r="AH179" s="11">
        <f>[1]服务器生态!AD193</f>
        <v>0.47291513735919999</v>
      </c>
      <c r="AI179" s="11">
        <f>[1]服务器生态!AE193</f>
        <v>3.8604200140800002E-2</v>
      </c>
      <c r="AJ179" s="11">
        <f>[1]服务器生态!AF193</f>
        <v>6.8679600000000019E-3</v>
      </c>
      <c r="AK179" s="11">
        <f>[1]服务器生态!AG193</f>
        <v>1.9871999999999997E-3</v>
      </c>
    </row>
    <row r="180" spans="32:37" x14ac:dyDescent="0.15">
      <c r="AF180" s="7">
        <v>173</v>
      </c>
      <c r="AG180" s="11">
        <f>[1]服务器生态!AC194</f>
        <v>0.47962550249999997</v>
      </c>
      <c r="AH180" s="11">
        <f>[1]服务器生态!AD194</f>
        <v>0.47291513735919999</v>
      </c>
      <c r="AI180" s="11">
        <f>[1]服务器生态!AE194</f>
        <v>3.8604200140800002E-2</v>
      </c>
      <c r="AJ180" s="11">
        <f>[1]服务器生态!AF194</f>
        <v>6.8679600000000019E-3</v>
      </c>
      <c r="AK180" s="11">
        <f>[1]服务器生态!AG194</f>
        <v>1.9871999999999997E-3</v>
      </c>
    </row>
    <row r="181" spans="32:37" x14ac:dyDescent="0.15">
      <c r="AF181" s="7">
        <v>174</v>
      </c>
      <c r="AG181" s="11">
        <f>[1]服务器生态!AC195</f>
        <v>0.47962550249999997</v>
      </c>
      <c r="AH181" s="11">
        <f>[1]服务器生态!AD195</f>
        <v>0.47291513735919999</v>
      </c>
      <c r="AI181" s="11">
        <f>[1]服务器生态!AE195</f>
        <v>3.8604200140800002E-2</v>
      </c>
      <c r="AJ181" s="11">
        <f>[1]服务器生态!AF195</f>
        <v>6.8679600000000019E-3</v>
      </c>
      <c r="AK181" s="11">
        <f>[1]服务器生态!AG195</f>
        <v>1.9871999999999997E-3</v>
      </c>
    </row>
    <row r="182" spans="32:37" x14ac:dyDescent="0.15">
      <c r="AF182" s="7">
        <v>175</v>
      </c>
      <c r="AG182" s="11">
        <f>[1]服务器生态!AC196</f>
        <v>0.47962550249999997</v>
      </c>
      <c r="AH182" s="11">
        <f>[1]服务器生态!AD196</f>
        <v>0.47291513735919999</v>
      </c>
      <c r="AI182" s="11">
        <f>[1]服务器生态!AE196</f>
        <v>3.8604200140800002E-2</v>
      </c>
      <c r="AJ182" s="11">
        <f>[1]服务器生态!AF196</f>
        <v>6.8679600000000019E-3</v>
      </c>
      <c r="AK182" s="11">
        <f>[1]服务器生态!AG196</f>
        <v>1.9871999999999997E-3</v>
      </c>
    </row>
    <row r="183" spans="32:37" x14ac:dyDescent="0.15">
      <c r="AF183" s="7">
        <v>176</v>
      </c>
      <c r="AG183" s="11">
        <f>[1]服务器生态!AC197</f>
        <v>0.47962550249999997</v>
      </c>
      <c r="AH183" s="11">
        <f>[1]服务器生态!AD197</f>
        <v>0.47291513735919999</v>
      </c>
      <c r="AI183" s="11">
        <f>[1]服务器生态!AE197</f>
        <v>3.8604200140800002E-2</v>
      </c>
      <c r="AJ183" s="11">
        <f>[1]服务器生态!AF197</f>
        <v>6.8679600000000019E-3</v>
      </c>
      <c r="AK183" s="11">
        <f>[1]服务器生态!AG197</f>
        <v>1.9871999999999997E-3</v>
      </c>
    </row>
    <row r="184" spans="32:37" x14ac:dyDescent="0.15">
      <c r="AF184" s="7">
        <v>177</v>
      </c>
      <c r="AG184" s="11">
        <f>[1]服务器生态!AC198</f>
        <v>0.47962550249999997</v>
      </c>
      <c r="AH184" s="11">
        <f>[1]服务器生态!AD198</f>
        <v>0.47291513735919999</v>
      </c>
      <c r="AI184" s="11">
        <f>[1]服务器生态!AE198</f>
        <v>3.8604200140800002E-2</v>
      </c>
      <c r="AJ184" s="11">
        <f>[1]服务器生态!AF198</f>
        <v>6.8679600000000019E-3</v>
      </c>
      <c r="AK184" s="11">
        <f>[1]服务器生态!AG198</f>
        <v>1.9871999999999997E-3</v>
      </c>
    </row>
    <row r="185" spans="32:37" x14ac:dyDescent="0.15">
      <c r="AF185" s="7">
        <v>178</v>
      </c>
      <c r="AG185" s="11">
        <f>[1]服务器生态!AC199</f>
        <v>0.47962550249999997</v>
      </c>
      <c r="AH185" s="11">
        <f>[1]服务器生态!AD199</f>
        <v>0.47291513735919999</v>
      </c>
      <c r="AI185" s="11">
        <f>[1]服务器生态!AE199</f>
        <v>3.8604200140800002E-2</v>
      </c>
      <c r="AJ185" s="11">
        <f>[1]服务器生态!AF199</f>
        <v>6.8679600000000019E-3</v>
      </c>
      <c r="AK185" s="11">
        <f>[1]服务器生态!AG199</f>
        <v>1.9871999999999997E-3</v>
      </c>
    </row>
    <row r="186" spans="32:37" x14ac:dyDescent="0.15">
      <c r="AF186" s="7">
        <v>179</v>
      </c>
      <c r="AG186" s="11">
        <f>[1]服务器生态!AC200</f>
        <v>0.47962550249999997</v>
      </c>
      <c r="AH186" s="11">
        <f>[1]服务器生态!AD200</f>
        <v>0.47291513735919999</v>
      </c>
      <c r="AI186" s="11">
        <f>[1]服务器生态!AE200</f>
        <v>3.8604200140800002E-2</v>
      </c>
      <c r="AJ186" s="11">
        <f>[1]服务器生态!AF200</f>
        <v>6.8679600000000019E-3</v>
      </c>
      <c r="AK186" s="11">
        <f>[1]服务器生态!AG200</f>
        <v>1.9871999999999997E-3</v>
      </c>
    </row>
    <row r="187" spans="32:37" x14ac:dyDescent="0.15">
      <c r="AF187" s="7">
        <v>180</v>
      </c>
      <c r="AG187" s="11">
        <f>[1]服务器生态!AC201</f>
        <v>0.47962550249999997</v>
      </c>
      <c r="AH187" s="11">
        <f>[1]服务器生态!AD201</f>
        <v>0.47291513735919999</v>
      </c>
      <c r="AI187" s="11">
        <f>[1]服务器生态!AE201</f>
        <v>3.8604200140800002E-2</v>
      </c>
      <c r="AJ187" s="11">
        <f>[1]服务器生态!AF201</f>
        <v>6.8679600000000019E-3</v>
      </c>
      <c r="AK187" s="11">
        <f>[1]服务器生态!AG201</f>
        <v>1.9871999999999997E-3</v>
      </c>
    </row>
    <row r="188" spans="32:37" x14ac:dyDescent="0.15">
      <c r="AF188" s="7">
        <v>181</v>
      </c>
      <c r="AG188" s="11">
        <f>[1]服务器生态!AC202</f>
        <v>0.47962550249999997</v>
      </c>
      <c r="AH188" s="11">
        <f>[1]服务器生态!AD202</f>
        <v>0.47291513735919999</v>
      </c>
      <c r="AI188" s="11">
        <f>[1]服务器生态!AE202</f>
        <v>3.8604200140800002E-2</v>
      </c>
      <c r="AJ188" s="11">
        <f>[1]服务器生态!AF202</f>
        <v>6.8679600000000019E-3</v>
      </c>
      <c r="AK188" s="11">
        <f>[1]服务器生态!AG202</f>
        <v>1.9871999999999997E-3</v>
      </c>
    </row>
    <row r="189" spans="32:37" x14ac:dyDescent="0.15">
      <c r="AF189" s="7">
        <v>182</v>
      </c>
      <c r="AG189" s="11">
        <f>[1]服务器生态!AC203</f>
        <v>0.47962550249999997</v>
      </c>
      <c r="AH189" s="11">
        <f>[1]服务器生态!AD203</f>
        <v>0.47291513735919999</v>
      </c>
      <c r="AI189" s="11">
        <f>[1]服务器生态!AE203</f>
        <v>3.8604200140800002E-2</v>
      </c>
      <c r="AJ189" s="11">
        <f>[1]服务器生态!AF203</f>
        <v>6.8679600000000019E-3</v>
      </c>
      <c r="AK189" s="11">
        <f>[1]服务器生态!AG203</f>
        <v>1.9871999999999997E-3</v>
      </c>
    </row>
    <row r="190" spans="32:37" x14ac:dyDescent="0.15">
      <c r="AF190" s="7">
        <v>183</v>
      </c>
      <c r="AG190" s="11">
        <f>[1]服务器生态!AC204</f>
        <v>0.47962550249999997</v>
      </c>
      <c r="AH190" s="11">
        <f>[1]服务器生态!AD204</f>
        <v>0.47291513735919999</v>
      </c>
      <c r="AI190" s="11">
        <f>[1]服务器生态!AE204</f>
        <v>3.8604200140800002E-2</v>
      </c>
      <c r="AJ190" s="11">
        <f>[1]服务器生态!AF204</f>
        <v>6.8679600000000019E-3</v>
      </c>
      <c r="AK190" s="11">
        <f>[1]服务器生态!AG204</f>
        <v>1.9871999999999997E-3</v>
      </c>
    </row>
    <row r="191" spans="32:37" x14ac:dyDescent="0.15">
      <c r="AF191" s="7">
        <v>184</v>
      </c>
      <c r="AG191" s="11">
        <f>[1]服务器生态!AC205</f>
        <v>0.47962550249999997</v>
      </c>
      <c r="AH191" s="11">
        <f>[1]服务器生态!AD205</f>
        <v>0.47291513735919999</v>
      </c>
      <c r="AI191" s="11">
        <f>[1]服务器生态!AE205</f>
        <v>3.8604200140800002E-2</v>
      </c>
      <c r="AJ191" s="11">
        <f>[1]服务器生态!AF205</f>
        <v>6.8679600000000019E-3</v>
      </c>
      <c r="AK191" s="11">
        <f>[1]服务器生态!AG205</f>
        <v>1.9871999999999997E-3</v>
      </c>
    </row>
    <row r="192" spans="32:37" x14ac:dyDescent="0.15">
      <c r="AF192" s="7">
        <v>185</v>
      </c>
      <c r="AG192" s="11">
        <f>[1]服务器生态!AC206</f>
        <v>0.47962550249999997</v>
      </c>
      <c r="AH192" s="11">
        <f>[1]服务器生态!AD206</f>
        <v>0.47291513735919999</v>
      </c>
      <c r="AI192" s="11">
        <f>[1]服务器生态!AE206</f>
        <v>3.8604200140800002E-2</v>
      </c>
      <c r="AJ192" s="11">
        <f>[1]服务器生态!AF206</f>
        <v>6.8679600000000019E-3</v>
      </c>
      <c r="AK192" s="11">
        <f>[1]服务器生态!AG206</f>
        <v>1.9871999999999997E-3</v>
      </c>
    </row>
    <row r="193" spans="32:37" x14ac:dyDescent="0.15">
      <c r="AF193" s="7">
        <v>186</v>
      </c>
      <c r="AG193" s="11">
        <f>[1]服务器生态!AC207</f>
        <v>0.47962550249999997</v>
      </c>
      <c r="AH193" s="11">
        <f>[1]服务器生态!AD207</f>
        <v>0.47291513735919999</v>
      </c>
      <c r="AI193" s="11">
        <f>[1]服务器生态!AE207</f>
        <v>3.8604200140800002E-2</v>
      </c>
      <c r="AJ193" s="11">
        <f>[1]服务器生态!AF207</f>
        <v>6.8679600000000019E-3</v>
      </c>
      <c r="AK193" s="11">
        <f>[1]服务器生态!AG207</f>
        <v>1.9871999999999997E-3</v>
      </c>
    </row>
    <row r="194" spans="32:37" x14ac:dyDescent="0.15">
      <c r="AF194" s="7">
        <v>187</v>
      </c>
      <c r="AG194" s="11">
        <f>[1]服务器生态!AC208</f>
        <v>0.47962550249999997</v>
      </c>
      <c r="AH194" s="11">
        <f>[1]服务器生态!AD208</f>
        <v>0.47291513735919999</v>
      </c>
      <c r="AI194" s="11">
        <f>[1]服务器生态!AE208</f>
        <v>3.8604200140800002E-2</v>
      </c>
      <c r="AJ194" s="11">
        <f>[1]服务器生态!AF208</f>
        <v>6.8679600000000019E-3</v>
      </c>
      <c r="AK194" s="11">
        <f>[1]服务器生态!AG208</f>
        <v>1.9871999999999997E-3</v>
      </c>
    </row>
    <row r="195" spans="32:37" x14ac:dyDescent="0.15">
      <c r="AF195" s="7">
        <v>188</v>
      </c>
      <c r="AG195" s="11">
        <f>[1]服务器生态!AC209</f>
        <v>0.47962550249999997</v>
      </c>
      <c r="AH195" s="11">
        <f>[1]服务器生态!AD209</f>
        <v>0.47291513735919999</v>
      </c>
      <c r="AI195" s="11">
        <f>[1]服务器生态!AE209</f>
        <v>3.8604200140800002E-2</v>
      </c>
      <c r="AJ195" s="11">
        <f>[1]服务器生态!AF209</f>
        <v>6.8679600000000019E-3</v>
      </c>
      <c r="AK195" s="11">
        <f>[1]服务器生态!AG209</f>
        <v>1.9871999999999997E-3</v>
      </c>
    </row>
    <row r="196" spans="32:37" x14ac:dyDescent="0.15">
      <c r="AF196" s="7">
        <v>189</v>
      </c>
      <c r="AG196" s="11">
        <f>[1]服务器生态!AC210</f>
        <v>0.47962550249999997</v>
      </c>
      <c r="AH196" s="11">
        <f>[1]服务器生态!AD210</f>
        <v>0.47291513735919999</v>
      </c>
      <c r="AI196" s="11">
        <f>[1]服务器生态!AE210</f>
        <v>3.8604200140800002E-2</v>
      </c>
      <c r="AJ196" s="11">
        <f>[1]服务器生态!AF210</f>
        <v>6.8679600000000019E-3</v>
      </c>
      <c r="AK196" s="11">
        <f>[1]服务器生态!AG210</f>
        <v>1.9871999999999997E-3</v>
      </c>
    </row>
    <row r="197" spans="32:37" x14ac:dyDescent="0.15">
      <c r="AF197" s="7">
        <v>190</v>
      </c>
      <c r="AG197" s="11">
        <f>[1]服务器生态!AC211</f>
        <v>0.47962550249999997</v>
      </c>
      <c r="AH197" s="11">
        <f>[1]服务器生态!AD211</f>
        <v>0.47291513735919999</v>
      </c>
      <c r="AI197" s="11">
        <f>[1]服务器生态!AE211</f>
        <v>3.8604200140800002E-2</v>
      </c>
      <c r="AJ197" s="11">
        <f>[1]服务器生态!AF211</f>
        <v>6.8679600000000019E-3</v>
      </c>
      <c r="AK197" s="11">
        <f>[1]服务器生态!AG211</f>
        <v>1.9871999999999997E-3</v>
      </c>
    </row>
    <row r="198" spans="32:37" x14ac:dyDescent="0.15">
      <c r="AF198" s="7">
        <v>191</v>
      </c>
      <c r="AG198" s="11">
        <f>[1]服务器生态!AC212</f>
        <v>0.47962550249999997</v>
      </c>
      <c r="AH198" s="11">
        <f>[1]服务器生态!AD212</f>
        <v>0.47291513735919999</v>
      </c>
      <c r="AI198" s="11">
        <f>[1]服务器生态!AE212</f>
        <v>3.8604200140800002E-2</v>
      </c>
      <c r="AJ198" s="11">
        <f>[1]服务器生态!AF212</f>
        <v>6.8679600000000019E-3</v>
      </c>
      <c r="AK198" s="11">
        <f>[1]服务器生态!AG212</f>
        <v>1.9871999999999997E-3</v>
      </c>
    </row>
    <row r="199" spans="32:37" x14ac:dyDescent="0.15">
      <c r="AF199" s="7">
        <v>192</v>
      </c>
      <c r="AG199" s="11">
        <f>[1]服务器生态!AC213</f>
        <v>0.47962550249999997</v>
      </c>
      <c r="AH199" s="11">
        <f>[1]服务器生态!AD213</f>
        <v>0.47291513735919999</v>
      </c>
      <c r="AI199" s="11">
        <f>[1]服务器生态!AE213</f>
        <v>3.8604200140800002E-2</v>
      </c>
      <c r="AJ199" s="11">
        <f>[1]服务器生态!AF213</f>
        <v>6.8679600000000019E-3</v>
      </c>
      <c r="AK199" s="11">
        <f>[1]服务器生态!AG213</f>
        <v>1.9871999999999997E-3</v>
      </c>
    </row>
    <row r="200" spans="32:37" x14ac:dyDescent="0.15">
      <c r="AF200" s="7">
        <v>193</v>
      </c>
      <c r="AG200" s="11">
        <f>[1]服务器生态!AC214</f>
        <v>0.47962550249999997</v>
      </c>
      <c r="AH200" s="11">
        <f>[1]服务器生态!AD214</f>
        <v>0.47291513735919999</v>
      </c>
      <c r="AI200" s="11">
        <f>[1]服务器生态!AE214</f>
        <v>3.8604200140800002E-2</v>
      </c>
      <c r="AJ200" s="11">
        <f>[1]服务器生态!AF214</f>
        <v>6.8679600000000019E-3</v>
      </c>
      <c r="AK200" s="11">
        <f>[1]服务器生态!AG214</f>
        <v>1.9871999999999997E-3</v>
      </c>
    </row>
    <row r="201" spans="32:37" x14ac:dyDescent="0.15">
      <c r="AF201" s="7">
        <v>194</v>
      </c>
      <c r="AG201" s="11">
        <f>[1]服务器生态!AC215</f>
        <v>0.47962550249999997</v>
      </c>
      <c r="AH201" s="11">
        <f>[1]服务器生态!AD215</f>
        <v>0.47291513735919999</v>
      </c>
      <c r="AI201" s="11">
        <f>[1]服务器生态!AE215</f>
        <v>3.8604200140800002E-2</v>
      </c>
      <c r="AJ201" s="11">
        <f>[1]服务器生态!AF215</f>
        <v>6.8679600000000019E-3</v>
      </c>
      <c r="AK201" s="11">
        <f>[1]服务器生态!AG215</f>
        <v>1.9871999999999997E-3</v>
      </c>
    </row>
    <row r="202" spans="32:37" x14ac:dyDescent="0.15">
      <c r="AF202" s="7">
        <v>195</v>
      </c>
      <c r="AG202" s="11">
        <f>[1]服务器生态!AC216</f>
        <v>0.47962550249999997</v>
      </c>
      <c r="AH202" s="11">
        <f>[1]服务器生态!AD216</f>
        <v>0.47291513735919999</v>
      </c>
      <c r="AI202" s="11">
        <f>[1]服务器生态!AE216</f>
        <v>3.8604200140800002E-2</v>
      </c>
      <c r="AJ202" s="11">
        <f>[1]服务器生态!AF216</f>
        <v>6.8679600000000019E-3</v>
      </c>
      <c r="AK202" s="11">
        <f>[1]服务器生态!AG216</f>
        <v>1.9871999999999997E-3</v>
      </c>
    </row>
    <row r="203" spans="32:37" x14ac:dyDescent="0.15">
      <c r="AF203" s="7">
        <v>196</v>
      </c>
      <c r="AG203" s="11">
        <f>[1]服务器生态!AC217</f>
        <v>0.47962550249999997</v>
      </c>
      <c r="AH203" s="11">
        <f>[1]服务器生态!AD217</f>
        <v>0.47291513735919999</v>
      </c>
      <c r="AI203" s="11">
        <f>[1]服务器生态!AE217</f>
        <v>3.8604200140800002E-2</v>
      </c>
      <c r="AJ203" s="11">
        <f>[1]服务器生态!AF217</f>
        <v>6.8679600000000019E-3</v>
      </c>
      <c r="AK203" s="11">
        <f>[1]服务器生态!AG217</f>
        <v>1.9871999999999997E-3</v>
      </c>
    </row>
    <row r="204" spans="32:37" x14ac:dyDescent="0.15">
      <c r="AF204" s="7">
        <v>197</v>
      </c>
      <c r="AG204" s="11">
        <f>[1]服务器生态!AC218</f>
        <v>0.47962550249999997</v>
      </c>
      <c r="AH204" s="11">
        <f>[1]服务器生态!AD218</f>
        <v>0.47291513735919999</v>
      </c>
      <c r="AI204" s="11">
        <f>[1]服务器生态!AE218</f>
        <v>3.8604200140800002E-2</v>
      </c>
      <c r="AJ204" s="11">
        <f>[1]服务器生态!AF218</f>
        <v>6.8679600000000019E-3</v>
      </c>
      <c r="AK204" s="11">
        <f>[1]服务器生态!AG218</f>
        <v>1.9871999999999997E-3</v>
      </c>
    </row>
    <row r="205" spans="32:37" x14ac:dyDescent="0.15">
      <c r="AF205" s="7">
        <v>198</v>
      </c>
      <c r="AG205" s="11">
        <f>[1]服务器生态!AC219</f>
        <v>0.47962550249999997</v>
      </c>
      <c r="AH205" s="11">
        <f>[1]服务器生态!AD219</f>
        <v>0.47291513735919999</v>
      </c>
      <c r="AI205" s="11">
        <f>[1]服务器生态!AE219</f>
        <v>3.8604200140800002E-2</v>
      </c>
      <c r="AJ205" s="11">
        <f>[1]服务器生态!AF219</f>
        <v>6.8679600000000019E-3</v>
      </c>
      <c r="AK205" s="11">
        <f>[1]服务器生态!AG219</f>
        <v>1.9871999999999997E-3</v>
      </c>
    </row>
    <row r="206" spans="32:37" x14ac:dyDescent="0.15">
      <c r="AF206" s="7">
        <v>199</v>
      </c>
      <c r="AG206" s="11">
        <f>[1]服务器生态!AC220</f>
        <v>0.47962550249999997</v>
      </c>
      <c r="AH206" s="11">
        <f>[1]服务器生态!AD220</f>
        <v>0.47291513735919999</v>
      </c>
      <c r="AI206" s="11">
        <f>[1]服务器生态!AE220</f>
        <v>3.8604200140800002E-2</v>
      </c>
      <c r="AJ206" s="11">
        <f>[1]服务器生态!AF220</f>
        <v>6.8679600000000019E-3</v>
      </c>
      <c r="AK206" s="11">
        <f>[1]服务器生态!AG220</f>
        <v>1.9871999999999997E-3</v>
      </c>
    </row>
    <row r="207" spans="32:37" x14ac:dyDescent="0.15">
      <c r="AF207" s="7">
        <v>200</v>
      </c>
      <c r="AG207" s="11">
        <f>[1]服务器生态!AC221</f>
        <v>0.47962550249999997</v>
      </c>
      <c r="AH207" s="11">
        <f>[1]服务器生态!AD221</f>
        <v>0.47291513735919999</v>
      </c>
      <c r="AI207" s="11">
        <f>[1]服务器生态!AE221</f>
        <v>3.8604200140800002E-2</v>
      </c>
      <c r="AJ207" s="11">
        <f>[1]服务器生态!AF221</f>
        <v>6.8679600000000019E-3</v>
      </c>
      <c r="AK207" s="11">
        <f>[1]服务器生态!AG221</f>
        <v>1.9871999999999997E-3</v>
      </c>
    </row>
    <row r="208" spans="32:37" x14ac:dyDescent="0.15">
      <c r="AF208" s="7">
        <v>201</v>
      </c>
      <c r="AG208" s="11">
        <f>[1]服务器生态!AC222</f>
        <v>0.47962550249999997</v>
      </c>
      <c r="AH208" s="11">
        <f>[1]服务器生态!AD222</f>
        <v>0.47291513735919999</v>
      </c>
      <c r="AI208" s="11">
        <f>[1]服务器生态!AE222</f>
        <v>3.8604200140800002E-2</v>
      </c>
      <c r="AJ208" s="11">
        <f>[1]服务器生态!AF222</f>
        <v>6.8679600000000019E-3</v>
      </c>
      <c r="AK208" s="11">
        <f>[1]服务器生态!AG222</f>
        <v>1.9871999999999997E-3</v>
      </c>
    </row>
    <row r="209" spans="32:37" x14ac:dyDescent="0.15">
      <c r="AF209" s="7">
        <v>202</v>
      </c>
      <c r="AG209" s="11">
        <f>[1]服务器生态!AC223</f>
        <v>0.47962550249999997</v>
      </c>
      <c r="AH209" s="11">
        <f>[1]服务器生态!AD223</f>
        <v>0.47291513735919999</v>
      </c>
      <c r="AI209" s="11">
        <f>[1]服务器生态!AE223</f>
        <v>3.8604200140800002E-2</v>
      </c>
      <c r="AJ209" s="11">
        <f>[1]服务器生态!AF223</f>
        <v>6.8679600000000019E-3</v>
      </c>
      <c r="AK209" s="11">
        <f>[1]服务器生态!AG223</f>
        <v>1.9871999999999997E-3</v>
      </c>
    </row>
    <row r="210" spans="32:37" x14ac:dyDescent="0.15">
      <c r="AF210" s="7">
        <v>203</v>
      </c>
      <c r="AG210" s="11">
        <f>[1]服务器生态!AC224</f>
        <v>0.47962550249999997</v>
      </c>
      <c r="AH210" s="11">
        <f>[1]服务器生态!AD224</f>
        <v>0.47291513735919999</v>
      </c>
      <c r="AI210" s="11">
        <f>[1]服务器生态!AE224</f>
        <v>3.8604200140800002E-2</v>
      </c>
      <c r="AJ210" s="11">
        <f>[1]服务器生态!AF224</f>
        <v>6.8679600000000019E-3</v>
      </c>
      <c r="AK210" s="11">
        <f>[1]服务器生态!AG224</f>
        <v>1.9871999999999997E-3</v>
      </c>
    </row>
    <row r="211" spans="32:37" x14ac:dyDescent="0.15">
      <c r="AF211" s="7">
        <v>204</v>
      </c>
      <c r="AG211" s="11">
        <f>[1]服务器生态!AC225</f>
        <v>0.47962550249999997</v>
      </c>
      <c r="AH211" s="11">
        <f>[1]服务器生态!AD225</f>
        <v>0.47291513735919999</v>
      </c>
      <c r="AI211" s="11">
        <f>[1]服务器生态!AE225</f>
        <v>3.8604200140800002E-2</v>
      </c>
      <c r="AJ211" s="11">
        <f>[1]服务器生态!AF225</f>
        <v>6.8679600000000019E-3</v>
      </c>
      <c r="AK211" s="11">
        <f>[1]服务器生态!AG225</f>
        <v>1.9871999999999997E-3</v>
      </c>
    </row>
    <row r="212" spans="32:37" x14ac:dyDescent="0.15">
      <c r="AF212" s="7">
        <v>205</v>
      </c>
      <c r="AG212" s="11">
        <f>[1]服务器生态!AC226</f>
        <v>0.47962550249999997</v>
      </c>
      <c r="AH212" s="11">
        <f>[1]服务器生态!AD226</f>
        <v>0.47291513735919999</v>
      </c>
      <c r="AI212" s="11">
        <f>[1]服务器生态!AE226</f>
        <v>3.8604200140800002E-2</v>
      </c>
      <c r="AJ212" s="11">
        <f>[1]服务器生态!AF226</f>
        <v>6.8679600000000019E-3</v>
      </c>
      <c r="AK212" s="11">
        <f>[1]服务器生态!AG226</f>
        <v>1.9871999999999997E-3</v>
      </c>
    </row>
    <row r="213" spans="32:37" x14ac:dyDescent="0.15">
      <c r="AF213" s="7">
        <v>206</v>
      </c>
      <c r="AG213" s="11">
        <f>[1]服务器生态!AC227</f>
        <v>0.47962550249999997</v>
      </c>
      <c r="AH213" s="11">
        <f>[1]服务器生态!AD227</f>
        <v>0.47291513735919999</v>
      </c>
      <c r="AI213" s="11">
        <f>[1]服务器生态!AE227</f>
        <v>3.8604200140800002E-2</v>
      </c>
      <c r="AJ213" s="11">
        <f>[1]服务器生态!AF227</f>
        <v>6.8679600000000019E-3</v>
      </c>
      <c r="AK213" s="11">
        <f>[1]服务器生态!AG227</f>
        <v>1.9871999999999997E-3</v>
      </c>
    </row>
    <row r="214" spans="32:37" x14ac:dyDescent="0.15">
      <c r="AF214" s="7">
        <v>207</v>
      </c>
      <c r="AG214" s="11">
        <f>[1]服务器生态!AC228</f>
        <v>0.47962550249999997</v>
      </c>
      <c r="AH214" s="11">
        <f>[1]服务器生态!AD228</f>
        <v>0.47291513735919999</v>
      </c>
      <c r="AI214" s="11">
        <f>[1]服务器生态!AE228</f>
        <v>3.8604200140800002E-2</v>
      </c>
      <c r="AJ214" s="11">
        <f>[1]服务器生态!AF228</f>
        <v>6.8679600000000019E-3</v>
      </c>
      <c r="AK214" s="11">
        <f>[1]服务器生态!AG228</f>
        <v>1.9871999999999997E-3</v>
      </c>
    </row>
    <row r="215" spans="32:37" x14ac:dyDescent="0.15">
      <c r="AF215" s="7">
        <v>208</v>
      </c>
      <c r="AG215" s="11">
        <f>[1]服务器生态!AC229</f>
        <v>0.47962550249999997</v>
      </c>
      <c r="AH215" s="11">
        <f>[1]服务器生态!AD229</f>
        <v>0.47291513735919999</v>
      </c>
      <c r="AI215" s="11">
        <f>[1]服务器生态!AE229</f>
        <v>3.8604200140800002E-2</v>
      </c>
      <c r="AJ215" s="11">
        <f>[1]服务器生态!AF229</f>
        <v>6.8679600000000019E-3</v>
      </c>
      <c r="AK215" s="11">
        <f>[1]服务器生态!AG229</f>
        <v>1.9871999999999997E-3</v>
      </c>
    </row>
    <row r="216" spans="32:37" x14ac:dyDescent="0.15">
      <c r="AF216" s="7">
        <v>209</v>
      </c>
      <c r="AG216" s="11">
        <f>[1]服务器生态!AC230</f>
        <v>0.47962550249999997</v>
      </c>
      <c r="AH216" s="11">
        <f>[1]服务器生态!AD230</f>
        <v>0.47291513735919999</v>
      </c>
      <c r="AI216" s="11">
        <f>[1]服务器生态!AE230</f>
        <v>3.8604200140800002E-2</v>
      </c>
      <c r="AJ216" s="11">
        <f>[1]服务器生态!AF230</f>
        <v>6.8679600000000019E-3</v>
      </c>
      <c r="AK216" s="11">
        <f>[1]服务器生态!AG230</f>
        <v>1.9871999999999997E-3</v>
      </c>
    </row>
    <row r="217" spans="32:37" x14ac:dyDescent="0.15">
      <c r="AF217" s="7">
        <v>210</v>
      </c>
      <c r="AG217" s="11">
        <f>[1]服务器生态!AC231</f>
        <v>0.47962550249999997</v>
      </c>
      <c r="AH217" s="11">
        <f>[1]服务器生态!AD231</f>
        <v>0.47291513735919999</v>
      </c>
      <c r="AI217" s="11">
        <f>[1]服务器生态!AE231</f>
        <v>3.8604200140800002E-2</v>
      </c>
      <c r="AJ217" s="11">
        <f>[1]服务器生态!AF231</f>
        <v>6.8679600000000019E-3</v>
      </c>
      <c r="AK217" s="11">
        <f>[1]服务器生态!AG231</f>
        <v>1.9871999999999997E-3</v>
      </c>
    </row>
    <row r="218" spans="32:37" x14ac:dyDescent="0.15">
      <c r="AF218" s="7">
        <v>211</v>
      </c>
      <c r="AG218" s="11">
        <f>[1]服务器生态!AC232</f>
        <v>0.47962550249999997</v>
      </c>
      <c r="AH218" s="11">
        <f>[1]服务器生态!AD232</f>
        <v>0.47291513735919999</v>
      </c>
      <c r="AI218" s="11">
        <f>[1]服务器生态!AE232</f>
        <v>3.8604200140800002E-2</v>
      </c>
      <c r="AJ218" s="11">
        <f>[1]服务器生态!AF232</f>
        <v>6.8679600000000019E-3</v>
      </c>
      <c r="AK218" s="11">
        <f>[1]服务器生态!AG232</f>
        <v>1.9871999999999997E-3</v>
      </c>
    </row>
    <row r="219" spans="32:37" x14ac:dyDescent="0.15">
      <c r="AF219" s="7">
        <v>212</v>
      </c>
      <c r="AG219" s="11">
        <f>[1]服务器生态!AC233</f>
        <v>0.47962550249999997</v>
      </c>
      <c r="AH219" s="11">
        <f>[1]服务器生态!AD233</f>
        <v>0.47291513735919999</v>
      </c>
      <c r="AI219" s="11">
        <f>[1]服务器生态!AE233</f>
        <v>3.8604200140800002E-2</v>
      </c>
      <c r="AJ219" s="11">
        <f>[1]服务器生态!AF233</f>
        <v>6.8679600000000019E-3</v>
      </c>
      <c r="AK219" s="11">
        <f>[1]服务器生态!AG233</f>
        <v>1.9871999999999997E-3</v>
      </c>
    </row>
    <row r="220" spans="32:37" x14ac:dyDescent="0.15">
      <c r="AF220" s="7">
        <v>213</v>
      </c>
      <c r="AG220" s="11">
        <f>[1]服务器生态!AC234</f>
        <v>0.47962550249999997</v>
      </c>
      <c r="AH220" s="11">
        <f>[1]服务器生态!AD234</f>
        <v>0.47291513735919999</v>
      </c>
      <c r="AI220" s="11">
        <f>[1]服务器生态!AE234</f>
        <v>3.8604200140800002E-2</v>
      </c>
      <c r="AJ220" s="11">
        <f>[1]服务器生态!AF234</f>
        <v>6.8679600000000019E-3</v>
      </c>
      <c r="AK220" s="11">
        <f>[1]服务器生态!AG234</f>
        <v>1.9871999999999997E-3</v>
      </c>
    </row>
    <row r="221" spans="32:37" x14ac:dyDescent="0.15">
      <c r="AF221" s="7">
        <v>214</v>
      </c>
      <c r="AG221" s="11">
        <f>[1]服务器生态!AC235</f>
        <v>0.47962550249999997</v>
      </c>
      <c r="AH221" s="11">
        <f>[1]服务器生态!AD235</f>
        <v>0.47291513735919999</v>
      </c>
      <c r="AI221" s="11">
        <f>[1]服务器生态!AE235</f>
        <v>3.8604200140800002E-2</v>
      </c>
      <c r="AJ221" s="11">
        <f>[1]服务器生态!AF235</f>
        <v>6.8679600000000019E-3</v>
      </c>
      <c r="AK221" s="11">
        <f>[1]服务器生态!AG235</f>
        <v>1.9871999999999997E-3</v>
      </c>
    </row>
    <row r="222" spans="32:37" x14ac:dyDescent="0.15">
      <c r="AF222" s="7">
        <v>215</v>
      </c>
      <c r="AG222" s="11">
        <f>[1]服务器生态!AC236</f>
        <v>0.47962550249999997</v>
      </c>
      <c r="AH222" s="11">
        <f>[1]服务器生态!AD236</f>
        <v>0.47291513735919999</v>
      </c>
      <c r="AI222" s="11">
        <f>[1]服务器生态!AE236</f>
        <v>3.8604200140800002E-2</v>
      </c>
      <c r="AJ222" s="11">
        <f>[1]服务器生态!AF236</f>
        <v>6.8679600000000019E-3</v>
      </c>
      <c r="AK222" s="11">
        <f>[1]服务器生态!AG236</f>
        <v>1.9871999999999997E-3</v>
      </c>
    </row>
    <row r="223" spans="32:37" x14ac:dyDescent="0.15">
      <c r="AF223" s="7">
        <v>216</v>
      </c>
      <c r="AG223" s="11">
        <f>[1]服务器生态!AC237</f>
        <v>0.47962550249999997</v>
      </c>
      <c r="AH223" s="11">
        <f>[1]服务器生态!AD237</f>
        <v>0.47291513735919999</v>
      </c>
      <c r="AI223" s="11">
        <f>[1]服务器生态!AE237</f>
        <v>3.8604200140800002E-2</v>
      </c>
      <c r="AJ223" s="11">
        <f>[1]服务器生态!AF237</f>
        <v>6.8679600000000019E-3</v>
      </c>
      <c r="AK223" s="11">
        <f>[1]服务器生态!AG237</f>
        <v>1.9871999999999997E-3</v>
      </c>
    </row>
    <row r="224" spans="32:37" x14ac:dyDescent="0.15">
      <c r="AF224" s="7">
        <v>217</v>
      </c>
      <c r="AG224" s="11">
        <f>[1]服务器生态!AC238</f>
        <v>0.47962550249999997</v>
      </c>
      <c r="AH224" s="11">
        <f>[1]服务器生态!AD238</f>
        <v>0.47291513735919999</v>
      </c>
      <c r="AI224" s="11">
        <f>[1]服务器生态!AE238</f>
        <v>3.8604200140800002E-2</v>
      </c>
      <c r="AJ224" s="11">
        <f>[1]服务器生态!AF238</f>
        <v>6.8679600000000019E-3</v>
      </c>
      <c r="AK224" s="11">
        <f>[1]服务器生态!AG238</f>
        <v>1.9871999999999997E-3</v>
      </c>
    </row>
    <row r="225" spans="32:37" x14ac:dyDescent="0.15">
      <c r="AF225" s="7">
        <v>218</v>
      </c>
      <c r="AG225" s="11">
        <f>[1]服务器生态!AC239</f>
        <v>0.47962550249999997</v>
      </c>
      <c r="AH225" s="11">
        <f>[1]服务器生态!AD239</f>
        <v>0.47291513735919999</v>
      </c>
      <c r="AI225" s="11">
        <f>[1]服务器生态!AE239</f>
        <v>3.8604200140800002E-2</v>
      </c>
      <c r="AJ225" s="11">
        <f>[1]服务器生态!AF239</f>
        <v>6.8679600000000019E-3</v>
      </c>
      <c r="AK225" s="11">
        <f>[1]服务器生态!AG239</f>
        <v>1.9871999999999997E-3</v>
      </c>
    </row>
    <row r="226" spans="32:37" x14ac:dyDescent="0.15">
      <c r="AF226" s="7">
        <v>219</v>
      </c>
      <c r="AG226" s="11">
        <f>[1]服务器生态!AC240</f>
        <v>0.47962550249999997</v>
      </c>
      <c r="AH226" s="11">
        <f>[1]服务器生态!AD240</f>
        <v>0.47291513735919999</v>
      </c>
      <c r="AI226" s="11">
        <f>[1]服务器生态!AE240</f>
        <v>3.8604200140800002E-2</v>
      </c>
      <c r="AJ226" s="11">
        <f>[1]服务器生态!AF240</f>
        <v>6.8679600000000019E-3</v>
      </c>
      <c r="AK226" s="11">
        <f>[1]服务器生态!AG240</f>
        <v>1.9871999999999997E-3</v>
      </c>
    </row>
    <row r="227" spans="32:37" x14ac:dyDescent="0.15">
      <c r="AF227" s="7">
        <v>220</v>
      </c>
      <c r="AG227" s="11">
        <f>[1]服务器生态!AC241</f>
        <v>0.47962550249999997</v>
      </c>
      <c r="AH227" s="11">
        <f>[1]服务器生态!AD241</f>
        <v>0.47291513735919999</v>
      </c>
      <c r="AI227" s="11">
        <f>[1]服务器生态!AE241</f>
        <v>3.8604200140800002E-2</v>
      </c>
      <c r="AJ227" s="11">
        <f>[1]服务器生态!AF241</f>
        <v>6.8679600000000019E-3</v>
      </c>
      <c r="AK227" s="11">
        <f>[1]服务器生态!AG241</f>
        <v>1.9871999999999997E-3</v>
      </c>
    </row>
    <row r="228" spans="32:37" x14ac:dyDescent="0.15">
      <c r="AF228" s="7">
        <v>221</v>
      </c>
      <c r="AG228" s="11">
        <f>[1]服务器生态!AC242</f>
        <v>0.47962550249999997</v>
      </c>
      <c r="AH228" s="11">
        <f>[1]服务器生态!AD242</f>
        <v>0.47291513735919999</v>
      </c>
      <c r="AI228" s="11">
        <f>[1]服务器生态!AE242</f>
        <v>3.8604200140800002E-2</v>
      </c>
      <c r="AJ228" s="11">
        <f>[1]服务器生态!AF242</f>
        <v>6.8679600000000019E-3</v>
      </c>
      <c r="AK228" s="11">
        <f>[1]服务器生态!AG242</f>
        <v>1.9871999999999997E-3</v>
      </c>
    </row>
    <row r="229" spans="32:37" x14ac:dyDescent="0.15">
      <c r="AF229" s="7">
        <v>222</v>
      </c>
      <c r="AG229" s="11">
        <f>[1]服务器生态!AC243</f>
        <v>0.47962550249999997</v>
      </c>
      <c r="AH229" s="11">
        <f>[1]服务器生态!AD243</f>
        <v>0.47291513735919999</v>
      </c>
      <c r="AI229" s="11">
        <f>[1]服务器生态!AE243</f>
        <v>3.8604200140800002E-2</v>
      </c>
      <c r="AJ229" s="11">
        <f>[1]服务器生态!AF243</f>
        <v>6.8679600000000019E-3</v>
      </c>
      <c r="AK229" s="11">
        <f>[1]服务器生态!AG243</f>
        <v>1.9871999999999997E-3</v>
      </c>
    </row>
    <row r="230" spans="32:37" x14ac:dyDescent="0.15">
      <c r="AF230" s="7">
        <v>223</v>
      </c>
      <c r="AG230" s="11">
        <f>[1]服务器生态!AC244</f>
        <v>0.47962550249999997</v>
      </c>
      <c r="AH230" s="11">
        <f>[1]服务器生态!AD244</f>
        <v>0.47291513735919999</v>
      </c>
      <c r="AI230" s="11">
        <f>[1]服务器生态!AE244</f>
        <v>3.8604200140800002E-2</v>
      </c>
      <c r="AJ230" s="11">
        <f>[1]服务器生态!AF244</f>
        <v>6.8679600000000019E-3</v>
      </c>
      <c r="AK230" s="11">
        <f>[1]服务器生态!AG244</f>
        <v>1.9871999999999997E-3</v>
      </c>
    </row>
    <row r="231" spans="32:37" x14ac:dyDescent="0.15">
      <c r="AF231" s="7">
        <v>224</v>
      </c>
      <c r="AG231" s="11">
        <f>[1]服务器生态!AC245</f>
        <v>0.47962550249999997</v>
      </c>
      <c r="AH231" s="11">
        <f>[1]服务器生态!AD245</f>
        <v>0.47291513735919999</v>
      </c>
      <c r="AI231" s="11">
        <f>[1]服务器生态!AE245</f>
        <v>3.8604200140800002E-2</v>
      </c>
      <c r="AJ231" s="11">
        <f>[1]服务器生态!AF245</f>
        <v>6.8679600000000019E-3</v>
      </c>
      <c r="AK231" s="11">
        <f>[1]服务器生态!AG245</f>
        <v>1.9871999999999997E-3</v>
      </c>
    </row>
    <row r="232" spans="32:37" x14ac:dyDescent="0.15">
      <c r="AF232" s="7">
        <v>225</v>
      </c>
      <c r="AG232" s="11">
        <f>[1]服务器生态!AC246</f>
        <v>0.47962550249999997</v>
      </c>
      <c r="AH232" s="11">
        <f>[1]服务器生态!AD246</f>
        <v>0.47291513735919999</v>
      </c>
      <c r="AI232" s="11">
        <f>[1]服务器生态!AE246</f>
        <v>3.8604200140800002E-2</v>
      </c>
      <c r="AJ232" s="11">
        <f>[1]服务器生态!AF246</f>
        <v>6.8679600000000019E-3</v>
      </c>
      <c r="AK232" s="11">
        <f>[1]服务器生态!AG246</f>
        <v>1.9871999999999997E-3</v>
      </c>
    </row>
    <row r="233" spans="32:37" x14ac:dyDescent="0.15">
      <c r="AF233" s="7">
        <v>226</v>
      </c>
      <c r="AG233" s="11">
        <f>[1]服务器生态!AC247</f>
        <v>0.47962550249999997</v>
      </c>
      <c r="AH233" s="11">
        <f>[1]服务器生态!AD247</f>
        <v>0.47291513735919999</v>
      </c>
      <c r="AI233" s="11">
        <f>[1]服务器生态!AE247</f>
        <v>3.8604200140800002E-2</v>
      </c>
      <c r="AJ233" s="11">
        <f>[1]服务器生态!AF247</f>
        <v>6.8679600000000019E-3</v>
      </c>
      <c r="AK233" s="11">
        <f>[1]服务器生态!AG247</f>
        <v>1.9871999999999997E-3</v>
      </c>
    </row>
    <row r="234" spans="32:37" x14ac:dyDescent="0.15">
      <c r="AF234" s="7">
        <v>227</v>
      </c>
      <c r="AG234" s="11">
        <f>[1]服务器生态!AC248</f>
        <v>0.47962550249999997</v>
      </c>
      <c r="AH234" s="11">
        <f>[1]服务器生态!AD248</f>
        <v>0.47291513735919999</v>
      </c>
      <c r="AI234" s="11">
        <f>[1]服务器生态!AE248</f>
        <v>3.8604200140800002E-2</v>
      </c>
      <c r="AJ234" s="11">
        <f>[1]服务器生态!AF248</f>
        <v>6.8679600000000019E-3</v>
      </c>
      <c r="AK234" s="11">
        <f>[1]服务器生态!AG248</f>
        <v>1.9871999999999997E-3</v>
      </c>
    </row>
    <row r="235" spans="32:37" x14ac:dyDescent="0.15">
      <c r="AF235" s="7">
        <v>228</v>
      </c>
      <c r="AG235" s="11">
        <f>[1]服务器生态!AC249</f>
        <v>0.47962550249999997</v>
      </c>
      <c r="AH235" s="11">
        <f>[1]服务器生态!AD249</f>
        <v>0.47291513735919999</v>
      </c>
      <c r="AI235" s="11">
        <f>[1]服务器生态!AE249</f>
        <v>3.8604200140800002E-2</v>
      </c>
      <c r="AJ235" s="11">
        <f>[1]服务器生态!AF249</f>
        <v>6.8679600000000019E-3</v>
      </c>
      <c r="AK235" s="11">
        <f>[1]服务器生态!AG249</f>
        <v>1.9871999999999997E-3</v>
      </c>
    </row>
    <row r="236" spans="32:37" x14ac:dyDescent="0.15">
      <c r="AF236" s="7">
        <v>229</v>
      </c>
      <c r="AG236" s="11">
        <f>[1]服务器生态!AC250</f>
        <v>0.47962550249999997</v>
      </c>
      <c r="AH236" s="11">
        <f>[1]服务器生态!AD250</f>
        <v>0.47291513735919999</v>
      </c>
      <c r="AI236" s="11">
        <f>[1]服务器生态!AE250</f>
        <v>3.8604200140800002E-2</v>
      </c>
      <c r="AJ236" s="11">
        <f>[1]服务器生态!AF250</f>
        <v>6.8679600000000019E-3</v>
      </c>
      <c r="AK236" s="11">
        <f>[1]服务器生态!AG250</f>
        <v>1.9871999999999997E-3</v>
      </c>
    </row>
    <row r="237" spans="32:37" x14ac:dyDescent="0.15">
      <c r="AF237" s="7">
        <v>230</v>
      </c>
      <c r="AG237" s="11">
        <f>[1]服务器生态!AC251</f>
        <v>0.47962550249999997</v>
      </c>
      <c r="AH237" s="11">
        <f>[1]服务器生态!AD251</f>
        <v>0.47291513735919999</v>
      </c>
      <c r="AI237" s="11">
        <f>[1]服务器生态!AE251</f>
        <v>3.8604200140800002E-2</v>
      </c>
      <c r="AJ237" s="11">
        <f>[1]服务器生态!AF251</f>
        <v>6.8679600000000019E-3</v>
      </c>
      <c r="AK237" s="11">
        <f>[1]服务器生态!AG251</f>
        <v>1.9871999999999997E-3</v>
      </c>
    </row>
    <row r="238" spans="32:37" x14ac:dyDescent="0.15">
      <c r="AF238" s="7">
        <v>231</v>
      </c>
      <c r="AG238" s="11">
        <f>[1]服务器生态!AC252</f>
        <v>0.47962550249999997</v>
      </c>
      <c r="AH238" s="11">
        <f>[1]服务器生态!AD252</f>
        <v>0.47291513735919999</v>
      </c>
      <c r="AI238" s="11">
        <f>[1]服务器生态!AE252</f>
        <v>3.8604200140800002E-2</v>
      </c>
      <c r="AJ238" s="11">
        <f>[1]服务器生态!AF252</f>
        <v>6.8679600000000019E-3</v>
      </c>
      <c r="AK238" s="11">
        <f>[1]服务器生态!AG252</f>
        <v>1.9871999999999997E-3</v>
      </c>
    </row>
    <row r="239" spans="32:37" x14ac:dyDescent="0.15">
      <c r="AF239" s="7">
        <v>232</v>
      </c>
      <c r="AG239" s="11">
        <f>[1]服务器生态!AC253</f>
        <v>0.47962550249999997</v>
      </c>
      <c r="AH239" s="11">
        <f>[1]服务器生态!AD253</f>
        <v>0.47291513735919999</v>
      </c>
      <c r="AI239" s="11">
        <f>[1]服务器生态!AE253</f>
        <v>3.8604200140800002E-2</v>
      </c>
      <c r="AJ239" s="11">
        <f>[1]服务器生态!AF253</f>
        <v>6.8679600000000019E-3</v>
      </c>
      <c r="AK239" s="11">
        <f>[1]服务器生态!AG253</f>
        <v>1.9871999999999997E-3</v>
      </c>
    </row>
    <row r="240" spans="32:37" x14ac:dyDescent="0.15">
      <c r="AF240" s="7">
        <v>233</v>
      </c>
      <c r="AG240" s="11">
        <f>[1]服务器生态!AC254</f>
        <v>0.47962550249999997</v>
      </c>
      <c r="AH240" s="11">
        <f>[1]服务器生态!AD254</f>
        <v>0.47291513735919999</v>
      </c>
      <c r="AI240" s="11">
        <f>[1]服务器生态!AE254</f>
        <v>3.8604200140800002E-2</v>
      </c>
      <c r="AJ240" s="11">
        <f>[1]服务器生态!AF254</f>
        <v>6.8679600000000019E-3</v>
      </c>
      <c r="AK240" s="11">
        <f>[1]服务器生态!AG254</f>
        <v>1.9871999999999997E-3</v>
      </c>
    </row>
    <row r="241" spans="32:37" x14ac:dyDescent="0.15">
      <c r="AF241" s="7">
        <v>234</v>
      </c>
      <c r="AG241" s="11">
        <f>[1]服务器生态!AC255</f>
        <v>0.47962550249999997</v>
      </c>
      <c r="AH241" s="11">
        <f>[1]服务器生态!AD255</f>
        <v>0.47291513735919999</v>
      </c>
      <c r="AI241" s="11">
        <f>[1]服务器生态!AE255</f>
        <v>3.8604200140800002E-2</v>
      </c>
      <c r="AJ241" s="11">
        <f>[1]服务器生态!AF255</f>
        <v>6.8679600000000019E-3</v>
      </c>
      <c r="AK241" s="11">
        <f>[1]服务器生态!AG255</f>
        <v>1.9871999999999997E-3</v>
      </c>
    </row>
    <row r="242" spans="32:37" x14ac:dyDescent="0.15">
      <c r="AF242" s="7">
        <v>235</v>
      </c>
      <c r="AG242" s="11">
        <f>[1]服务器生态!AC256</f>
        <v>0.47962550249999997</v>
      </c>
      <c r="AH242" s="11">
        <f>[1]服务器生态!AD256</f>
        <v>0.47291513735919999</v>
      </c>
      <c r="AI242" s="11">
        <f>[1]服务器生态!AE256</f>
        <v>3.8604200140800002E-2</v>
      </c>
      <c r="AJ242" s="11">
        <f>[1]服务器生态!AF256</f>
        <v>6.8679600000000019E-3</v>
      </c>
      <c r="AK242" s="11">
        <f>[1]服务器生态!AG256</f>
        <v>1.9871999999999997E-3</v>
      </c>
    </row>
    <row r="243" spans="32:37" x14ac:dyDescent="0.15">
      <c r="AF243" s="7">
        <v>236</v>
      </c>
      <c r="AG243" s="11">
        <f>[1]服务器生态!AC257</f>
        <v>0.47962550249999997</v>
      </c>
      <c r="AH243" s="11">
        <f>[1]服务器生态!AD257</f>
        <v>0.47291513735919999</v>
      </c>
      <c r="AI243" s="11">
        <f>[1]服务器生态!AE257</f>
        <v>3.8604200140800002E-2</v>
      </c>
      <c r="AJ243" s="11">
        <f>[1]服务器生态!AF257</f>
        <v>6.8679600000000019E-3</v>
      </c>
      <c r="AK243" s="11">
        <f>[1]服务器生态!AG257</f>
        <v>1.9871999999999997E-3</v>
      </c>
    </row>
    <row r="244" spans="32:37" x14ac:dyDescent="0.15">
      <c r="AF244" s="7">
        <v>237</v>
      </c>
      <c r="AG244" s="11">
        <f>[1]服务器生态!AC258</f>
        <v>0.47962550249999997</v>
      </c>
      <c r="AH244" s="11">
        <f>[1]服务器生态!AD258</f>
        <v>0.47291513735919999</v>
      </c>
      <c r="AI244" s="11">
        <f>[1]服务器生态!AE258</f>
        <v>3.8604200140800002E-2</v>
      </c>
      <c r="AJ244" s="11">
        <f>[1]服务器生态!AF258</f>
        <v>6.8679600000000019E-3</v>
      </c>
      <c r="AK244" s="11">
        <f>[1]服务器生态!AG258</f>
        <v>1.9871999999999997E-3</v>
      </c>
    </row>
    <row r="245" spans="32:37" x14ac:dyDescent="0.15">
      <c r="AF245" s="7">
        <v>238</v>
      </c>
      <c r="AG245" s="11">
        <f>[1]服务器生态!AC259</f>
        <v>0.47962550249999997</v>
      </c>
      <c r="AH245" s="11">
        <f>[1]服务器生态!AD259</f>
        <v>0.47291513735919999</v>
      </c>
      <c r="AI245" s="11">
        <f>[1]服务器生态!AE259</f>
        <v>3.8604200140800002E-2</v>
      </c>
      <c r="AJ245" s="11">
        <f>[1]服务器生态!AF259</f>
        <v>6.8679600000000019E-3</v>
      </c>
      <c r="AK245" s="11">
        <f>[1]服务器生态!AG259</f>
        <v>1.9871999999999997E-3</v>
      </c>
    </row>
    <row r="246" spans="32:37" x14ac:dyDescent="0.15">
      <c r="AF246" s="7">
        <v>239</v>
      </c>
      <c r="AG246" s="11">
        <f>[1]服务器生态!AC260</f>
        <v>0.47962550249999997</v>
      </c>
      <c r="AH246" s="11">
        <f>[1]服务器生态!AD260</f>
        <v>0.47291513735919999</v>
      </c>
      <c r="AI246" s="11">
        <f>[1]服务器生态!AE260</f>
        <v>3.8604200140800002E-2</v>
      </c>
      <c r="AJ246" s="11">
        <f>[1]服务器生态!AF260</f>
        <v>6.8679600000000019E-3</v>
      </c>
      <c r="AK246" s="11">
        <f>[1]服务器生态!AG260</f>
        <v>1.9871999999999997E-3</v>
      </c>
    </row>
    <row r="247" spans="32:37" x14ac:dyDescent="0.15">
      <c r="AF247" s="7">
        <v>240</v>
      </c>
      <c r="AG247" s="11">
        <f>[1]服务器生态!AC261</f>
        <v>0.47962550249999997</v>
      </c>
      <c r="AH247" s="11">
        <f>[1]服务器生态!AD261</f>
        <v>0.47291513735919999</v>
      </c>
      <c r="AI247" s="11">
        <f>[1]服务器生态!AE261</f>
        <v>3.8604200140800002E-2</v>
      </c>
      <c r="AJ247" s="11">
        <f>[1]服务器生态!AF261</f>
        <v>6.8679600000000019E-3</v>
      </c>
      <c r="AK247" s="11">
        <f>[1]服务器生态!AG261</f>
        <v>1.9871999999999997E-3</v>
      </c>
    </row>
    <row r="248" spans="32:37" x14ac:dyDescent="0.15">
      <c r="AF248" s="7">
        <v>241</v>
      </c>
      <c r="AG248" s="11">
        <f>[1]服务器生态!AC262</f>
        <v>0.47962550249999997</v>
      </c>
      <c r="AH248" s="11">
        <f>[1]服务器生态!AD262</f>
        <v>0.47291513735919999</v>
      </c>
      <c r="AI248" s="11">
        <f>[1]服务器生态!AE262</f>
        <v>3.8604200140800002E-2</v>
      </c>
      <c r="AJ248" s="11">
        <f>[1]服务器生态!AF262</f>
        <v>6.8679600000000019E-3</v>
      </c>
      <c r="AK248" s="11">
        <f>[1]服务器生态!AG262</f>
        <v>1.9871999999999997E-3</v>
      </c>
    </row>
    <row r="249" spans="32:37" x14ac:dyDescent="0.15">
      <c r="AF249" s="7">
        <v>242</v>
      </c>
      <c r="AG249" s="11">
        <f>[1]服务器生态!AC263</f>
        <v>0.47962550249999997</v>
      </c>
      <c r="AH249" s="11">
        <f>[1]服务器生态!AD263</f>
        <v>0.47291513735919999</v>
      </c>
      <c r="AI249" s="11">
        <f>[1]服务器生态!AE263</f>
        <v>3.8604200140800002E-2</v>
      </c>
      <c r="AJ249" s="11">
        <f>[1]服务器生态!AF263</f>
        <v>6.8679600000000019E-3</v>
      </c>
      <c r="AK249" s="11">
        <f>[1]服务器生态!AG263</f>
        <v>1.9871999999999997E-3</v>
      </c>
    </row>
    <row r="250" spans="32:37" x14ac:dyDescent="0.15">
      <c r="AF250" s="7">
        <v>243</v>
      </c>
      <c r="AG250" s="11">
        <f>[1]服务器生态!AC264</f>
        <v>0.47962550249999997</v>
      </c>
      <c r="AH250" s="11">
        <f>[1]服务器生态!AD264</f>
        <v>0.47291513735919999</v>
      </c>
      <c r="AI250" s="11">
        <f>[1]服务器生态!AE264</f>
        <v>3.8604200140800002E-2</v>
      </c>
      <c r="AJ250" s="11">
        <f>[1]服务器生态!AF264</f>
        <v>6.8679600000000019E-3</v>
      </c>
      <c r="AK250" s="11">
        <f>[1]服务器生态!AG264</f>
        <v>1.9871999999999997E-3</v>
      </c>
    </row>
    <row r="251" spans="32:37" x14ac:dyDescent="0.15">
      <c r="AF251" s="7">
        <v>244</v>
      </c>
      <c r="AG251" s="11">
        <f>[1]服务器生态!AC265</f>
        <v>0.47962550249999997</v>
      </c>
      <c r="AH251" s="11">
        <f>[1]服务器生态!AD265</f>
        <v>0.47291513735919999</v>
      </c>
      <c r="AI251" s="11">
        <f>[1]服务器生态!AE265</f>
        <v>3.8604200140800002E-2</v>
      </c>
      <c r="AJ251" s="11">
        <f>[1]服务器生态!AF265</f>
        <v>6.8679600000000019E-3</v>
      </c>
      <c r="AK251" s="11">
        <f>[1]服务器生态!AG265</f>
        <v>1.9871999999999997E-3</v>
      </c>
    </row>
    <row r="252" spans="32:37" x14ac:dyDescent="0.15">
      <c r="AF252" s="7">
        <v>245</v>
      </c>
      <c r="AG252" s="11">
        <f>[1]服务器生态!AC266</f>
        <v>0.47962550249999997</v>
      </c>
      <c r="AH252" s="11">
        <f>[1]服务器生态!AD266</f>
        <v>0.47291513735919999</v>
      </c>
      <c r="AI252" s="11">
        <f>[1]服务器生态!AE266</f>
        <v>3.8604200140800002E-2</v>
      </c>
      <c r="AJ252" s="11">
        <f>[1]服务器生态!AF266</f>
        <v>6.8679600000000019E-3</v>
      </c>
      <c r="AK252" s="11">
        <f>[1]服务器生态!AG266</f>
        <v>1.9871999999999997E-3</v>
      </c>
    </row>
    <row r="253" spans="32:37" x14ac:dyDescent="0.15">
      <c r="AF253" s="7">
        <v>246</v>
      </c>
      <c r="AG253" s="11">
        <f>[1]服务器生态!AC267</f>
        <v>0.47962550249999997</v>
      </c>
      <c r="AH253" s="11">
        <f>[1]服务器生态!AD267</f>
        <v>0.47291513735919999</v>
      </c>
      <c r="AI253" s="11">
        <f>[1]服务器生态!AE267</f>
        <v>3.8604200140800002E-2</v>
      </c>
      <c r="AJ253" s="11">
        <f>[1]服务器生态!AF267</f>
        <v>6.8679600000000019E-3</v>
      </c>
      <c r="AK253" s="11">
        <f>[1]服务器生态!AG267</f>
        <v>1.9871999999999997E-3</v>
      </c>
    </row>
    <row r="254" spans="32:37" x14ac:dyDescent="0.15">
      <c r="AF254" s="7">
        <v>247</v>
      </c>
      <c r="AG254" s="11">
        <f>[1]服务器生态!AC268</f>
        <v>0.47962550249999997</v>
      </c>
      <c r="AH254" s="11">
        <f>[1]服务器生态!AD268</f>
        <v>0.47291513735919999</v>
      </c>
      <c r="AI254" s="11">
        <f>[1]服务器生态!AE268</f>
        <v>3.8604200140800002E-2</v>
      </c>
      <c r="AJ254" s="11">
        <f>[1]服务器生态!AF268</f>
        <v>6.8679600000000019E-3</v>
      </c>
      <c r="AK254" s="11">
        <f>[1]服务器生态!AG268</f>
        <v>1.9871999999999997E-3</v>
      </c>
    </row>
    <row r="255" spans="32:37" x14ac:dyDescent="0.15">
      <c r="AF255" s="7">
        <v>248</v>
      </c>
      <c r="AG255" s="11">
        <f>[1]服务器生态!AC269</f>
        <v>0.47962550249999997</v>
      </c>
      <c r="AH255" s="11">
        <f>[1]服务器生态!AD269</f>
        <v>0.47291513735919999</v>
      </c>
      <c r="AI255" s="11">
        <f>[1]服务器生态!AE269</f>
        <v>3.8604200140800002E-2</v>
      </c>
      <c r="AJ255" s="11">
        <f>[1]服务器生态!AF269</f>
        <v>6.8679600000000019E-3</v>
      </c>
      <c r="AK255" s="11">
        <f>[1]服务器生态!AG269</f>
        <v>1.9871999999999997E-3</v>
      </c>
    </row>
    <row r="256" spans="32:37" x14ac:dyDescent="0.15">
      <c r="AF256" s="7">
        <v>249</v>
      </c>
      <c r="AG256" s="11">
        <f>[1]服务器生态!AC270</f>
        <v>0.47962550249999997</v>
      </c>
      <c r="AH256" s="11">
        <f>[1]服务器生态!AD270</f>
        <v>0.47291513735919999</v>
      </c>
      <c r="AI256" s="11">
        <f>[1]服务器生态!AE270</f>
        <v>3.8604200140800002E-2</v>
      </c>
      <c r="AJ256" s="11">
        <f>[1]服务器生态!AF270</f>
        <v>6.8679600000000019E-3</v>
      </c>
      <c r="AK256" s="11">
        <f>[1]服务器生态!AG270</f>
        <v>1.9871999999999997E-3</v>
      </c>
    </row>
    <row r="257" spans="32:37" x14ac:dyDescent="0.15">
      <c r="AF257" s="7">
        <v>250</v>
      </c>
      <c r="AG257" s="11">
        <f>[1]服务器生态!AC271</f>
        <v>0.47962550249999997</v>
      </c>
      <c r="AH257" s="11">
        <f>[1]服务器生态!AD271</f>
        <v>0.47291513735919999</v>
      </c>
      <c r="AI257" s="11">
        <f>[1]服务器生态!AE271</f>
        <v>3.8604200140800002E-2</v>
      </c>
      <c r="AJ257" s="11">
        <f>[1]服务器生态!AF271</f>
        <v>6.8679600000000019E-3</v>
      </c>
      <c r="AK257" s="11">
        <f>[1]服务器生态!AG271</f>
        <v>1.9871999999999997E-3</v>
      </c>
    </row>
    <row r="258" spans="32:37" x14ac:dyDescent="0.15">
      <c r="AF258" s="7">
        <v>251</v>
      </c>
      <c r="AG258" s="11">
        <f>[1]服务器生态!AC272</f>
        <v>0.47962550249999997</v>
      </c>
      <c r="AH258" s="11">
        <f>[1]服务器生态!AD272</f>
        <v>0.47291513735919999</v>
      </c>
      <c r="AI258" s="11">
        <f>[1]服务器生态!AE272</f>
        <v>3.8604200140800002E-2</v>
      </c>
      <c r="AJ258" s="11">
        <f>[1]服务器生态!AF272</f>
        <v>6.8679600000000019E-3</v>
      </c>
      <c r="AK258" s="11">
        <f>[1]服务器生态!AG272</f>
        <v>1.9871999999999997E-3</v>
      </c>
    </row>
    <row r="259" spans="32:37" x14ac:dyDescent="0.15">
      <c r="AF259" s="7">
        <v>252</v>
      </c>
      <c r="AG259" s="11">
        <f>[1]服务器生态!AC273</f>
        <v>0.47962550249999997</v>
      </c>
      <c r="AH259" s="11">
        <f>[1]服务器生态!AD273</f>
        <v>0.47291513735919999</v>
      </c>
      <c r="AI259" s="11">
        <f>[1]服务器生态!AE273</f>
        <v>3.8604200140800002E-2</v>
      </c>
      <c r="AJ259" s="11">
        <f>[1]服务器生态!AF273</f>
        <v>6.8679600000000019E-3</v>
      </c>
      <c r="AK259" s="11">
        <f>[1]服务器生态!AG273</f>
        <v>1.9871999999999997E-3</v>
      </c>
    </row>
    <row r="260" spans="32:37" x14ac:dyDescent="0.15">
      <c r="AF260" s="7">
        <v>253</v>
      </c>
      <c r="AG260" s="11">
        <f>[1]服务器生态!AC274</f>
        <v>0.47962550249999997</v>
      </c>
      <c r="AH260" s="11">
        <f>[1]服务器生态!AD274</f>
        <v>0.47291513735919999</v>
      </c>
      <c r="AI260" s="11">
        <f>[1]服务器生态!AE274</f>
        <v>3.8604200140800002E-2</v>
      </c>
      <c r="AJ260" s="11">
        <f>[1]服务器生态!AF274</f>
        <v>6.8679600000000019E-3</v>
      </c>
      <c r="AK260" s="11">
        <f>[1]服务器生态!AG274</f>
        <v>1.9871999999999997E-3</v>
      </c>
    </row>
    <row r="261" spans="32:37" x14ac:dyDescent="0.15">
      <c r="AF261" s="7">
        <v>254</v>
      </c>
      <c r="AG261" s="11">
        <f>[1]服务器生态!AC275</f>
        <v>0.47962550249999997</v>
      </c>
      <c r="AH261" s="11">
        <f>[1]服务器生态!AD275</f>
        <v>0.47291513735919999</v>
      </c>
      <c r="AI261" s="11">
        <f>[1]服务器生态!AE275</f>
        <v>3.8604200140800002E-2</v>
      </c>
      <c r="AJ261" s="11">
        <f>[1]服务器生态!AF275</f>
        <v>6.8679600000000019E-3</v>
      </c>
      <c r="AK261" s="11">
        <f>[1]服务器生态!AG275</f>
        <v>1.9871999999999997E-3</v>
      </c>
    </row>
    <row r="262" spans="32:37" x14ac:dyDescent="0.15">
      <c r="AF262" s="7">
        <v>255</v>
      </c>
      <c r="AG262" s="11">
        <f>[1]服务器生态!AC276</f>
        <v>0.47962550249999997</v>
      </c>
      <c r="AH262" s="11">
        <f>[1]服务器生态!AD276</f>
        <v>0.47291513735919999</v>
      </c>
      <c r="AI262" s="11">
        <f>[1]服务器生态!AE276</f>
        <v>3.8604200140800002E-2</v>
      </c>
      <c r="AJ262" s="11">
        <f>[1]服务器生态!AF276</f>
        <v>6.8679600000000019E-3</v>
      </c>
      <c r="AK262" s="11">
        <f>[1]服务器生态!AG276</f>
        <v>1.9871999999999997E-3</v>
      </c>
    </row>
    <row r="263" spans="32:37" x14ac:dyDescent="0.15">
      <c r="AF263" s="7">
        <v>256</v>
      </c>
      <c r="AG263" s="11">
        <f>[1]服务器生态!AC277</f>
        <v>0.47962550249999997</v>
      </c>
      <c r="AH263" s="11">
        <f>[1]服务器生态!AD277</f>
        <v>0.47291513735919999</v>
      </c>
      <c r="AI263" s="11">
        <f>[1]服务器生态!AE277</f>
        <v>3.8604200140800002E-2</v>
      </c>
      <c r="AJ263" s="11">
        <f>[1]服务器生态!AF277</f>
        <v>6.8679600000000019E-3</v>
      </c>
      <c r="AK263" s="11">
        <f>[1]服务器生态!AG277</f>
        <v>1.9871999999999997E-3</v>
      </c>
    </row>
    <row r="264" spans="32:37" x14ac:dyDescent="0.15">
      <c r="AF264" s="7">
        <v>257</v>
      </c>
      <c r="AG264" s="11">
        <f>[1]服务器生态!AC278</f>
        <v>0.47962550249999997</v>
      </c>
      <c r="AH264" s="11">
        <f>[1]服务器生态!AD278</f>
        <v>0.47291513735919999</v>
      </c>
      <c r="AI264" s="11">
        <f>[1]服务器生态!AE278</f>
        <v>3.8604200140800002E-2</v>
      </c>
      <c r="AJ264" s="11">
        <f>[1]服务器生态!AF278</f>
        <v>6.8679600000000019E-3</v>
      </c>
      <c r="AK264" s="11">
        <f>[1]服务器生态!AG278</f>
        <v>1.9871999999999997E-3</v>
      </c>
    </row>
    <row r="265" spans="32:37" x14ac:dyDescent="0.15">
      <c r="AF265" s="7">
        <v>258</v>
      </c>
      <c r="AG265" s="11">
        <f>[1]服务器生态!AC279</f>
        <v>0.47962550249999997</v>
      </c>
      <c r="AH265" s="11">
        <f>[1]服务器生态!AD279</f>
        <v>0.47291513735919999</v>
      </c>
      <c r="AI265" s="11">
        <f>[1]服务器生态!AE279</f>
        <v>3.8604200140800002E-2</v>
      </c>
      <c r="AJ265" s="11">
        <f>[1]服务器生态!AF279</f>
        <v>6.8679600000000019E-3</v>
      </c>
      <c r="AK265" s="11">
        <f>[1]服务器生态!AG279</f>
        <v>1.9871999999999997E-3</v>
      </c>
    </row>
    <row r="266" spans="32:37" x14ac:dyDescent="0.15">
      <c r="AF266" s="7">
        <v>259</v>
      </c>
      <c r="AG266" s="11">
        <f>[1]服务器生态!AC280</f>
        <v>0.47962550249999997</v>
      </c>
      <c r="AH266" s="11">
        <f>[1]服务器生态!AD280</f>
        <v>0.47291513735919999</v>
      </c>
      <c r="AI266" s="11">
        <f>[1]服务器生态!AE280</f>
        <v>3.8604200140800002E-2</v>
      </c>
      <c r="AJ266" s="11">
        <f>[1]服务器生态!AF280</f>
        <v>6.8679600000000019E-3</v>
      </c>
      <c r="AK266" s="11">
        <f>[1]服务器生态!AG280</f>
        <v>1.9871999999999997E-3</v>
      </c>
    </row>
    <row r="267" spans="32:37" x14ac:dyDescent="0.15">
      <c r="AF267" s="7">
        <v>260</v>
      </c>
      <c r="AG267" s="11">
        <f>[1]服务器生态!AC281</f>
        <v>0.47962550249999997</v>
      </c>
      <c r="AH267" s="11">
        <f>[1]服务器生态!AD281</f>
        <v>0.47291513735919999</v>
      </c>
      <c r="AI267" s="11">
        <f>[1]服务器生态!AE281</f>
        <v>3.8604200140800002E-2</v>
      </c>
      <c r="AJ267" s="11">
        <f>[1]服务器生态!AF281</f>
        <v>6.8679600000000019E-3</v>
      </c>
      <c r="AK267" s="11">
        <f>[1]服务器生态!AG281</f>
        <v>1.9871999999999997E-3</v>
      </c>
    </row>
    <row r="268" spans="32:37" x14ac:dyDescent="0.15">
      <c r="AF268" s="7">
        <v>261</v>
      </c>
      <c r="AG268" s="11">
        <f>[1]服务器生态!AC282</f>
        <v>0.47962550249999997</v>
      </c>
      <c r="AH268" s="11">
        <f>[1]服务器生态!AD282</f>
        <v>0.47291513735919999</v>
      </c>
      <c r="AI268" s="11">
        <f>[1]服务器生态!AE282</f>
        <v>3.8604200140800002E-2</v>
      </c>
      <c r="AJ268" s="11">
        <f>[1]服务器生态!AF282</f>
        <v>6.8679600000000019E-3</v>
      </c>
      <c r="AK268" s="11">
        <f>[1]服务器生态!AG282</f>
        <v>1.9871999999999997E-3</v>
      </c>
    </row>
    <row r="269" spans="32:37" x14ac:dyDescent="0.15">
      <c r="AF269" s="7">
        <v>262</v>
      </c>
      <c r="AG269" s="11">
        <f>[1]服务器生态!AC283</f>
        <v>0.47962550249999997</v>
      </c>
      <c r="AH269" s="11">
        <f>[1]服务器生态!AD283</f>
        <v>0.47291513735919999</v>
      </c>
      <c r="AI269" s="11">
        <f>[1]服务器生态!AE283</f>
        <v>3.8604200140800002E-2</v>
      </c>
      <c r="AJ269" s="11">
        <f>[1]服务器生态!AF283</f>
        <v>6.8679600000000019E-3</v>
      </c>
      <c r="AK269" s="11">
        <f>[1]服务器生态!AG283</f>
        <v>1.9871999999999997E-3</v>
      </c>
    </row>
    <row r="270" spans="32:37" x14ac:dyDescent="0.15">
      <c r="AF270" s="7">
        <v>263</v>
      </c>
      <c r="AG270" s="11">
        <f>[1]服务器生态!AC284</f>
        <v>0.47962550249999997</v>
      </c>
      <c r="AH270" s="11">
        <f>[1]服务器生态!AD284</f>
        <v>0.47291513735919999</v>
      </c>
      <c r="AI270" s="11">
        <f>[1]服务器生态!AE284</f>
        <v>3.8604200140800002E-2</v>
      </c>
      <c r="AJ270" s="11">
        <f>[1]服务器生态!AF284</f>
        <v>6.8679600000000019E-3</v>
      </c>
      <c r="AK270" s="11">
        <f>[1]服务器生态!AG284</f>
        <v>1.9871999999999997E-3</v>
      </c>
    </row>
    <row r="271" spans="32:37" x14ac:dyDescent="0.15">
      <c r="AF271" s="7">
        <v>264</v>
      </c>
      <c r="AG271" s="11">
        <f>[1]服务器生态!AC285</f>
        <v>0.47962550249999997</v>
      </c>
      <c r="AH271" s="11">
        <f>[1]服务器生态!AD285</f>
        <v>0.47291513735919999</v>
      </c>
      <c r="AI271" s="11">
        <f>[1]服务器生态!AE285</f>
        <v>3.8604200140800002E-2</v>
      </c>
      <c r="AJ271" s="11">
        <f>[1]服务器生态!AF285</f>
        <v>6.8679600000000019E-3</v>
      </c>
      <c r="AK271" s="11">
        <f>[1]服务器生态!AG285</f>
        <v>1.9871999999999997E-3</v>
      </c>
    </row>
    <row r="272" spans="32:37" x14ac:dyDescent="0.15">
      <c r="AF272" s="7">
        <v>265</v>
      </c>
      <c r="AG272" s="11">
        <f>[1]服务器生态!AC286</f>
        <v>0.47962550249999997</v>
      </c>
      <c r="AH272" s="11">
        <f>[1]服务器生态!AD286</f>
        <v>0.47291513735919999</v>
      </c>
      <c r="AI272" s="11">
        <f>[1]服务器生态!AE286</f>
        <v>3.8604200140800002E-2</v>
      </c>
      <c r="AJ272" s="11">
        <f>[1]服务器生态!AF286</f>
        <v>6.8679600000000019E-3</v>
      </c>
      <c r="AK272" s="11">
        <f>[1]服务器生态!AG286</f>
        <v>1.9871999999999997E-3</v>
      </c>
    </row>
    <row r="273" spans="32:37" x14ac:dyDescent="0.15">
      <c r="AF273" s="7">
        <v>266</v>
      </c>
      <c r="AG273" s="11">
        <f>[1]服务器生态!AC287</f>
        <v>0.47962550249999997</v>
      </c>
      <c r="AH273" s="11">
        <f>[1]服务器生态!AD287</f>
        <v>0.47291513735919999</v>
      </c>
      <c r="AI273" s="11">
        <f>[1]服务器生态!AE287</f>
        <v>3.8604200140800002E-2</v>
      </c>
      <c r="AJ273" s="11">
        <f>[1]服务器生态!AF287</f>
        <v>6.8679600000000019E-3</v>
      </c>
      <c r="AK273" s="11">
        <f>[1]服务器生态!AG287</f>
        <v>1.9871999999999997E-3</v>
      </c>
    </row>
    <row r="274" spans="32:37" x14ac:dyDescent="0.15">
      <c r="AF274" s="7">
        <v>267</v>
      </c>
      <c r="AG274" s="11">
        <f>[1]服务器生态!AC288</f>
        <v>0.47962550249999997</v>
      </c>
      <c r="AH274" s="11">
        <f>[1]服务器生态!AD288</f>
        <v>0.47291513735919999</v>
      </c>
      <c r="AI274" s="11">
        <f>[1]服务器生态!AE288</f>
        <v>3.8604200140800002E-2</v>
      </c>
      <c r="AJ274" s="11">
        <f>[1]服务器生态!AF288</f>
        <v>6.8679600000000019E-3</v>
      </c>
      <c r="AK274" s="11">
        <f>[1]服务器生态!AG288</f>
        <v>1.9871999999999997E-3</v>
      </c>
    </row>
    <row r="275" spans="32:37" x14ac:dyDescent="0.15">
      <c r="AF275" s="7">
        <v>268</v>
      </c>
      <c r="AG275" s="11">
        <f>[1]服务器生态!AC289</f>
        <v>0.47962550249999997</v>
      </c>
      <c r="AH275" s="11">
        <f>[1]服务器生态!AD289</f>
        <v>0.47291513735919999</v>
      </c>
      <c r="AI275" s="11">
        <f>[1]服务器生态!AE289</f>
        <v>3.8604200140800002E-2</v>
      </c>
      <c r="AJ275" s="11">
        <f>[1]服务器生态!AF289</f>
        <v>6.8679600000000019E-3</v>
      </c>
      <c r="AK275" s="11">
        <f>[1]服务器生态!AG289</f>
        <v>1.9871999999999997E-3</v>
      </c>
    </row>
    <row r="276" spans="32:37" x14ac:dyDescent="0.15">
      <c r="AF276" s="7">
        <v>269</v>
      </c>
      <c r="AG276" s="11">
        <f>[1]服务器生态!AC290</f>
        <v>0.47962550249999997</v>
      </c>
      <c r="AH276" s="11">
        <f>[1]服务器生态!AD290</f>
        <v>0.47291513735919999</v>
      </c>
      <c r="AI276" s="11">
        <f>[1]服务器生态!AE290</f>
        <v>3.8604200140800002E-2</v>
      </c>
      <c r="AJ276" s="11">
        <f>[1]服务器生态!AF290</f>
        <v>6.8679600000000019E-3</v>
      </c>
      <c r="AK276" s="11">
        <f>[1]服务器生态!AG290</f>
        <v>1.9871999999999997E-3</v>
      </c>
    </row>
    <row r="277" spans="32:37" x14ac:dyDescent="0.15">
      <c r="AF277" s="7">
        <v>270</v>
      </c>
      <c r="AG277" s="11">
        <f>[1]服务器生态!AC291</f>
        <v>0.47962550249999997</v>
      </c>
      <c r="AH277" s="11">
        <f>[1]服务器生态!AD291</f>
        <v>0.47291513735919999</v>
      </c>
      <c r="AI277" s="11">
        <f>[1]服务器生态!AE291</f>
        <v>3.8604200140800002E-2</v>
      </c>
      <c r="AJ277" s="11">
        <f>[1]服务器生态!AF291</f>
        <v>6.8679600000000019E-3</v>
      </c>
      <c r="AK277" s="11">
        <f>[1]服务器生态!AG291</f>
        <v>1.9871999999999997E-3</v>
      </c>
    </row>
    <row r="278" spans="32:37" x14ac:dyDescent="0.15">
      <c r="AF278" s="7">
        <v>271</v>
      </c>
      <c r="AG278" s="11">
        <f>[1]服务器生态!AC292</f>
        <v>0.47962550249999997</v>
      </c>
      <c r="AH278" s="11">
        <f>[1]服务器生态!AD292</f>
        <v>0.47291513735919999</v>
      </c>
      <c r="AI278" s="11">
        <f>[1]服务器生态!AE292</f>
        <v>3.8604200140800002E-2</v>
      </c>
      <c r="AJ278" s="11">
        <f>[1]服务器生态!AF292</f>
        <v>6.8679600000000019E-3</v>
      </c>
      <c r="AK278" s="11">
        <f>[1]服务器生态!AG292</f>
        <v>1.9871999999999997E-3</v>
      </c>
    </row>
    <row r="279" spans="32:37" x14ac:dyDescent="0.15">
      <c r="AF279" s="7">
        <v>272</v>
      </c>
      <c r="AG279" s="11">
        <f>[1]服务器生态!AC293</f>
        <v>0.47962550249999997</v>
      </c>
      <c r="AH279" s="11">
        <f>[1]服务器生态!AD293</f>
        <v>0.47291513735919999</v>
      </c>
      <c r="AI279" s="11">
        <f>[1]服务器生态!AE293</f>
        <v>3.8604200140800002E-2</v>
      </c>
      <c r="AJ279" s="11">
        <f>[1]服务器生态!AF293</f>
        <v>6.8679600000000019E-3</v>
      </c>
      <c r="AK279" s="11">
        <f>[1]服务器生态!AG293</f>
        <v>1.9871999999999997E-3</v>
      </c>
    </row>
    <row r="280" spans="32:37" x14ac:dyDescent="0.15">
      <c r="AF280" s="7">
        <v>273</v>
      </c>
      <c r="AG280" s="11">
        <f>[1]服务器生态!AC294</f>
        <v>0.47962550249999997</v>
      </c>
      <c r="AH280" s="11">
        <f>[1]服务器生态!AD294</f>
        <v>0.47291513735919999</v>
      </c>
      <c r="AI280" s="11">
        <f>[1]服务器生态!AE294</f>
        <v>3.8604200140800002E-2</v>
      </c>
      <c r="AJ280" s="11">
        <f>[1]服务器生态!AF294</f>
        <v>6.8679600000000019E-3</v>
      </c>
      <c r="AK280" s="11">
        <f>[1]服务器生态!AG294</f>
        <v>1.9871999999999997E-3</v>
      </c>
    </row>
    <row r="281" spans="32:37" x14ac:dyDescent="0.15">
      <c r="AF281" s="7">
        <v>274</v>
      </c>
      <c r="AG281" s="11">
        <f>[1]服务器生态!AC295</f>
        <v>0.47962550249999997</v>
      </c>
      <c r="AH281" s="11">
        <f>[1]服务器生态!AD295</f>
        <v>0.47291513735919999</v>
      </c>
      <c r="AI281" s="11">
        <f>[1]服务器生态!AE295</f>
        <v>3.8604200140800002E-2</v>
      </c>
      <c r="AJ281" s="11">
        <f>[1]服务器生态!AF295</f>
        <v>6.8679600000000019E-3</v>
      </c>
      <c r="AK281" s="11">
        <f>[1]服务器生态!AG295</f>
        <v>1.9871999999999997E-3</v>
      </c>
    </row>
    <row r="282" spans="32:37" x14ac:dyDescent="0.15">
      <c r="AF282" s="7">
        <v>275</v>
      </c>
      <c r="AG282" s="11">
        <f>[1]服务器生态!AC296</f>
        <v>0.47962550249999997</v>
      </c>
      <c r="AH282" s="11">
        <f>[1]服务器生态!AD296</f>
        <v>0.47291513735919999</v>
      </c>
      <c r="AI282" s="11">
        <f>[1]服务器生态!AE296</f>
        <v>3.8604200140800002E-2</v>
      </c>
      <c r="AJ282" s="11">
        <f>[1]服务器生态!AF296</f>
        <v>6.8679600000000019E-3</v>
      </c>
      <c r="AK282" s="11">
        <f>[1]服务器生态!AG296</f>
        <v>1.9871999999999997E-3</v>
      </c>
    </row>
    <row r="283" spans="32:37" x14ac:dyDescent="0.15">
      <c r="AF283" s="7">
        <v>276</v>
      </c>
      <c r="AG283" s="11">
        <f>[1]服务器生态!AC297</f>
        <v>0.47962550249999997</v>
      </c>
      <c r="AH283" s="11">
        <f>[1]服务器生态!AD297</f>
        <v>0.47291513735919999</v>
      </c>
      <c r="AI283" s="11">
        <f>[1]服务器生态!AE297</f>
        <v>3.8604200140800002E-2</v>
      </c>
      <c r="AJ283" s="11">
        <f>[1]服务器生态!AF297</f>
        <v>6.8679600000000019E-3</v>
      </c>
      <c r="AK283" s="11">
        <f>[1]服务器生态!AG297</f>
        <v>1.9871999999999997E-3</v>
      </c>
    </row>
    <row r="284" spans="32:37" x14ac:dyDescent="0.15">
      <c r="AF284" s="7">
        <v>277</v>
      </c>
      <c r="AG284" s="11">
        <f>[1]服务器生态!AC298</f>
        <v>0.47962550249999997</v>
      </c>
      <c r="AH284" s="11">
        <f>[1]服务器生态!AD298</f>
        <v>0.47291513735919999</v>
      </c>
      <c r="AI284" s="11">
        <f>[1]服务器生态!AE298</f>
        <v>3.8604200140800002E-2</v>
      </c>
      <c r="AJ284" s="11">
        <f>[1]服务器生态!AF298</f>
        <v>6.8679600000000019E-3</v>
      </c>
      <c r="AK284" s="11">
        <f>[1]服务器生态!AG298</f>
        <v>1.9871999999999997E-3</v>
      </c>
    </row>
    <row r="285" spans="32:37" x14ac:dyDescent="0.15">
      <c r="AF285" s="7">
        <v>278</v>
      </c>
      <c r="AG285" s="11">
        <f>[1]服务器生态!AC299</f>
        <v>0.47962550249999997</v>
      </c>
      <c r="AH285" s="11">
        <f>[1]服务器生态!AD299</f>
        <v>0.47291513735919999</v>
      </c>
      <c r="AI285" s="11">
        <f>[1]服务器生态!AE299</f>
        <v>3.8604200140800002E-2</v>
      </c>
      <c r="AJ285" s="11">
        <f>[1]服务器生态!AF299</f>
        <v>6.8679600000000019E-3</v>
      </c>
      <c r="AK285" s="11">
        <f>[1]服务器生态!AG299</f>
        <v>1.9871999999999997E-3</v>
      </c>
    </row>
    <row r="286" spans="32:37" x14ac:dyDescent="0.15">
      <c r="AF286" s="7">
        <v>279</v>
      </c>
      <c r="AG286" s="11">
        <f>[1]服务器生态!AC300</f>
        <v>0.47962550249999997</v>
      </c>
      <c r="AH286" s="11">
        <f>[1]服务器生态!AD300</f>
        <v>0.47291513735919999</v>
      </c>
      <c r="AI286" s="11">
        <f>[1]服务器生态!AE300</f>
        <v>3.8604200140800002E-2</v>
      </c>
      <c r="AJ286" s="11">
        <f>[1]服务器生态!AF300</f>
        <v>6.8679600000000019E-3</v>
      </c>
      <c r="AK286" s="11">
        <f>[1]服务器生态!AG300</f>
        <v>1.9871999999999997E-3</v>
      </c>
    </row>
    <row r="287" spans="32:37" x14ac:dyDescent="0.15">
      <c r="AF287" s="7">
        <v>280</v>
      </c>
      <c r="AG287" s="11">
        <f>[1]服务器生态!AC301</f>
        <v>0.47962550249999997</v>
      </c>
      <c r="AH287" s="11">
        <f>[1]服务器生态!AD301</f>
        <v>0.47291513735919999</v>
      </c>
      <c r="AI287" s="11">
        <f>[1]服务器生态!AE301</f>
        <v>3.8604200140800002E-2</v>
      </c>
      <c r="AJ287" s="11">
        <f>[1]服务器生态!AF301</f>
        <v>6.8679600000000019E-3</v>
      </c>
      <c r="AK287" s="11">
        <f>[1]服务器生态!AG301</f>
        <v>1.9871999999999997E-3</v>
      </c>
    </row>
    <row r="288" spans="32:37" x14ac:dyDescent="0.15">
      <c r="AF288" s="7">
        <v>281</v>
      </c>
      <c r="AG288" s="11">
        <f>[1]服务器生态!AC302</f>
        <v>0.47962550249999997</v>
      </c>
      <c r="AH288" s="11">
        <f>[1]服务器生态!AD302</f>
        <v>0.47291513735919999</v>
      </c>
      <c r="AI288" s="11">
        <f>[1]服务器生态!AE302</f>
        <v>3.8604200140800002E-2</v>
      </c>
      <c r="AJ288" s="11">
        <f>[1]服务器生态!AF302</f>
        <v>6.8679600000000019E-3</v>
      </c>
      <c r="AK288" s="11">
        <f>[1]服务器生态!AG302</f>
        <v>1.9871999999999997E-3</v>
      </c>
    </row>
    <row r="289" spans="32:37" x14ac:dyDescent="0.15">
      <c r="AF289" s="7">
        <v>282</v>
      </c>
      <c r="AG289" s="11">
        <f>[1]服务器生态!AC303</f>
        <v>0.47962550249999997</v>
      </c>
      <c r="AH289" s="11">
        <f>[1]服务器生态!AD303</f>
        <v>0.47291513735919999</v>
      </c>
      <c r="AI289" s="11">
        <f>[1]服务器生态!AE303</f>
        <v>3.8604200140800002E-2</v>
      </c>
      <c r="AJ289" s="11">
        <f>[1]服务器生态!AF303</f>
        <v>6.8679600000000019E-3</v>
      </c>
      <c r="AK289" s="11">
        <f>[1]服务器生态!AG303</f>
        <v>1.9871999999999997E-3</v>
      </c>
    </row>
    <row r="290" spans="32:37" x14ac:dyDescent="0.15">
      <c r="AF290" s="7">
        <v>283</v>
      </c>
      <c r="AG290" s="11">
        <f>[1]服务器生态!AC304</f>
        <v>0.47962550249999997</v>
      </c>
      <c r="AH290" s="11">
        <f>[1]服务器生态!AD304</f>
        <v>0.47291513735919999</v>
      </c>
      <c r="AI290" s="11">
        <f>[1]服务器生态!AE304</f>
        <v>3.8604200140800002E-2</v>
      </c>
      <c r="AJ290" s="11">
        <f>[1]服务器生态!AF304</f>
        <v>6.8679600000000019E-3</v>
      </c>
      <c r="AK290" s="11">
        <f>[1]服务器生态!AG304</f>
        <v>1.9871999999999997E-3</v>
      </c>
    </row>
    <row r="291" spans="32:37" x14ac:dyDescent="0.15">
      <c r="AF291" s="7">
        <v>284</v>
      </c>
      <c r="AG291" s="11">
        <f>[1]服务器生态!AC305</f>
        <v>0.47962550249999997</v>
      </c>
      <c r="AH291" s="11">
        <f>[1]服务器生态!AD305</f>
        <v>0.47291513735919999</v>
      </c>
      <c r="AI291" s="11">
        <f>[1]服务器生态!AE305</f>
        <v>3.8604200140800002E-2</v>
      </c>
      <c r="AJ291" s="11">
        <f>[1]服务器生态!AF305</f>
        <v>6.8679600000000019E-3</v>
      </c>
      <c r="AK291" s="11">
        <f>[1]服务器生态!AG305</f>
        <v>1.9871999999999997E-3</v>
      </c>
    </row>
    <row r="292" spans="32:37" x14ac:dyDescent="0.15">
      <c r="AF292" s="7">
        <v>285</v>
      </c>
      <c r="AG292" s="11">
        <f>[1]服务器生态!AC306</f>
        <v>0.47962550249999997</v>
      </c>
      <c r="AH292" s="11">
        <f>[1]服务器生态!AD306</f>
        <v>0.47291513735919999</v>
      </c>
      <c r="AI292" s="11">
        <f>[1]服务器生态!AE306</f>
        <v>3.8604200140800002E-2</v>
      </c>
      <c r="AJ292" s="11">
        <f>[1]服务器生态!AF306</f>
        <v>6.8679600000000019E-3</v>
      </c>
      <c r="AK292" s="11">
        <f>[1]服务器生态!AG306</f>
        <v>1.9871999999999997E-3</v>
      </c>
    </row>
    <row r="293" spans="32:37" x14ac:dyDescent="0.15">
      <c r="AF293" s="7">
        <v>286</v>
      </c>
      <c r="AG293" s="11">
        <f>[1]服务器生态!AC307</f>
        <v>0.47962550249999997</v>
      </c>
      <c r="AH293" s="11">
        <f>[1]服务器生态!AD307</f>
        <v>0.47291513735919999</v>
      </c>
      <c r="AI293" s="11">
        <f>[1]服务器生态!AE307</f>
        <v>3.8604200140800002E-2</v>
      </c>
      <c r="AJ293" s="11">
        <f>[1]服务器生态!AF307</f>
        <v>6.8679600000000019E-3</v>
      </c>
      <c r="AK293" s="11">
        <f>[1]服务器生态!AG307</f>
        <v>1.9871999999999997E-3</v>
      </c>
    </row>
    <row r="294" spans="32:37" x14ac:dyDescent="0.15">
      <c r="AF294" s="7">
        <v>287</v>
      </c>
      <c r="AG294" s="11">
        <f>[1]服务器生态!AC308</f>
        <v>0.47962550249999997</v>
      </c>
      <c r="AH294" s="11">
        <f>[1]服务器生态!AD308</f>
        <v>0.47291513735919999</v>
      </c>
      <c r="AI294" s="11">
        <f>[1]服务器生态!AE308</f>
        <v>3.8604200140800002E-2</v>
      </c>
      <c r="AJ294" s="11">
        <f>[1]服务器生态!AF308</f>
        <v>6.8679600000000019E-3</v>
      </c>
      <c r="AK294" s="11">
        <f>[1]服务器生态!AG308</f>
        <v>1.9871999999999997E-3</v>
      </c>
    </row>
    <row r="295" spans="32:37" x14ac:dyDescent="0.15">
      <c r="AF295" s="7">
        <v>288</v>
      </c>
      <c r="AG295" s="11">
        <f>[1]服务器生态!AC309</f>
        <v>0.47962550249999997</v>
      </c>
      <c r="AH295" s="11">
        <f>[1]服务器生态!AD309</f>
        <v>0.47291513735919999</v>
      </c>
      <c r="AI295" s="11">
        <f>[1]服务器生态!AE309</f>
        <v>3.8604200140800002E-2</v>
      </c>
      <c r="AJ295" s="11">
        <f>[1]服务器生态!AF309</f>
        <v>6.8679600000000019E-3</v>
      </c>
      <c r="AK295" s="11">
        <f>[1]服务器生态!AG309</f>
        <v>1.9871999999999997E-3</v>
      </c>
    </row>
    <row r="296" spans="32:37" x14ac:dyDescent="0.15">
      <c r="AF296" s="7">
        <v>289</v>
      </c>
      <c r="AG296" s="11">
        <f>[1]服务器生态!AC310</f>
        <v>0.47962550249999997</v>
      </c>
      <c r="AH296" s="11">
        <f>[1]服务器生态!AD310</f>
        <v>0.47291513735919999</v>
      </c>
      <c r="AI296" s="11">
        <f>[1]服务器生态!AE310</f>
        <v>3.8604200140800002E-2</v>
      </c>
      <c r="AJ296" s="11">
        <f>[1]服务器生态!AF310</f>
        <v>6.8679600000000019E-3</v>
      </c>
      <c r="AK296" s="11">
        <f>[1]服务器生态!AG310</f>
        <v>1.9871999999999997E-3</v>
      </c>
    </row>
    <row r="297" spans="32:37" x14ac:dyDescent="0.15">
      <c r="AF297" s="7">
        <v>290</v>
      </c>
      <c r="AG297" s="11">
        <f>[1]服务器生态!AC311</f>
        <v>0.47962550249999997</v>
      </c>
      <c r="AH297" s="11">
        <f>[1]服务器生态!AD311</f>
        <v>0.47291513735919999</v>
      </c>
      <c r="AI297" s="11">
        <f>[1]服务器生态!AE311</f>
        <v>3.8604200140800002E-2</v>
      </c>
      <c r="AJ297" s="11">
        <f>[1]服务器生态!AF311</f>
        <v>6.8679600000000019E-3</v>
      </c>
      <c r="AK297" s="11">
        <f>[1]服务器生态!AG311</f>
        <v>1.9871999999999997E-3</v>
      </c>
    </row>
    <row r="298" spans="32:37" x14ac:dyDescent="0.15">
      <c r="AF298" s="7">
        <v>291</v>
      </c>
      <c r="AG298" s="11">
        <f>[1]服务器生态!AC312</f>
        <v>0.47962550249999997</v>
      </c>
      <c r="AH298" s="11">
        <f>[1]服务器生态!AD312</f>
        <v>0.47291513735919999</v>
      </c>
      <c r="AI298" s="11">
        <f>[1]服务器生态!AE312</f>
        <v>3.8604200140800002E-2</v>
      </c>
      <c r="AJ298" s="11">
        <f>[1]服务器生态!AF312</f>
        <v>6.8679600000000019E-3</v>
      </c>
      <c r="AK298" s="11">
        <f>[1]服务器生态!AG312</f>
        <v>1.9871999999999997E-3</v>
      </c>
    </row>
    <row r="299" spans="32:37" x14ac:dyDescent="0.15">
      <c r="AF299" s="7">
        <v>292</v>
      </c>
      <c r="AG299" s="11">
        <f>[1]服务器生态!AC313</f>
        <v>0.47962550249999997</v>
      </c>
      <c r="AH299" s="11">
        <f>[1]服务器生态!AD313</f>
        <v>0.47291513735919999</v>
      </c>
      <c r="AI299" s="11">
        <f>[1]服务器生态!AE313</f>
        <v>3.8604200140800002E-2</v>
      </c>
      <c r="AJ299" s="11">
        <f>[1]服务器生态!AF313</f>
        <v>6.8679600000000019E-3</v>
      </c>
      <c r="AK299" s="11">
        <f>[1]服务器生态!AG313</f>
        <v>1.9871999999999997E-3</v>
      </c>
    </row>
    <row r="300" spans="32:37" x14ac:dyDescent="0.15">
      <c r="AF300" s="7">
        <v>293</v>
      </c>
      <c r="AG300" s="11">
        <f>[1]服务器生态!AC314</f>
        <v>0.47962550249999997</v>
      </c>
      <c r="AH300" s="11">
        <f>[1]服务器生态!AD314</f>
        <v>0.47291513735919999</v>
      </c>
      <c r="AI300" s="11">
        <f>[1]服务器生态!AE314</f>
        <v>3.8604200140800002E-2</v>
      </c>
      <c r="AJ300" s="11">
        <f>[1]服务器生态!AF314</f>
        <v>6.8679600000000019E-3</v>
      </c>
      <c r="AK300" s="11">
        <f>[1]服务器生态!AG314</f>
        <v>1.9871999999999997E-3</v>
      </c>
    </row>
    <row r="301" spans="32:37" x14ac:dyDescent="0.15">
      <c r="AF301" s="7">
        <v>294</v>
      </c>
      <c r="AG301" s="11">
        <f>[1]服务器生态!AC315</f>
        <v>0.47962550249999997</v>
      </c>
      <c r="AH301" s="11">
        <f>[1]服务器生态!AD315</f>
        <v>0.47291513735919999</v>
      </c>
      <c r="AI301" s="11">
        <f>[1]服务器生态!AE315</f>
        <v>3.8604200140800002E-2</v>
      </c>
      <c r="AJ301" s="11">
        <f>[1]服务器生态!AF315</f>
        <v>6.8679600000000019E-3</v>
      </c>
      <c r="AK301" s="11">
        <f>[1]服务器生态!AG315</f>
        <v>1.9871999999999997E-3</v>
      </c>
    </row>
    <row r="302" spans="32:37" x14ac:dyDescent="0.15">
      <c r="AF302" s="7">
        <v>295</v>
      </c>
      <c r="AG302" s="11">
        <f>[1]服务器生态!AC316</f>
        <v>0.47962550249999997</v>
      </c>
      <c r="AH302" s="11">
        <f>[1]服务器生态!AD316</f>
        <v>0.47291513735919999</v>
      </c>
      <c r="AI302" s="11">
        <f>[1]服务器生态!AE316</f>
        <v>3.8604200140800002E-2</v>
      </c>
      <c r="AJ302" s="11">
        <f>[1]服务器生态!AF316</f>
        <v>6.8679600000000019E-3</v>
      </c>
      <c r="AK302" s="11">
        <f>[1]服务器生态!AG316</f>
        <v>1.9871999999999997E-3</v>
      </c>
    </row>
    <row r="303" spans="32:37" x14ac:dyDescent="0.15">
      <c r="AF303" s="7">
        <v>296</v>
      </c>
      <c r="AG303" s="11">
        <f>[1]服务器生态!AC317</f>
        <v>0.47962550249999997</v>
      </c>
      <c r="AH303" s="11">
        <f>[1]服务器生态!AD317</f>
        <v>0.47291513735919999</v>
      </c>
      <c r="AI303" s="11">
        <f>[1]服务器生态!AE317</f>
        <v>3.8604200140800002E-2</v>
      </c>
      <c r="AJ303" s="11">
        <f>[1]服务器生态!AF317</f>
        <v>6.8679600000000019E-3</v>
      </c>
      <c r="AK303" s="11">
        <f>[1]服务器生态!AG317</f>
        <v>1.9871999999999997E-3</v>
      </c>
    </row>
    <row r="304" spans="32:37" x14ac:dyDescent="0.15">
      <c r="AF304" s="7">
        <v>297</v>
      </c>
      <c r="AG304" s="11">
        <f>[1]服务器生态!AC318</f>
        <v>0.47962550249999997</v>
      </c>
      <c r="AH304" s="11">
        <f>[1]服务器生态!AD318</f>
        <v>0.47291513735919999</v>
      </c>
      <c r="AI304" s="11">
        <f>[1]服务器生态!AE318</f>
        <v>3.8604200140800002E-2</v>
      </c>
      <c r="AJ304" s="11">
        <f>[1]服务器生态!AF318</f>
        <v>6.8679600000000019E-3</v>
      </c>
      <c r="AK304" s="11">
        <f>[1]服务器生态!AG318</f>
        <v>1.9871999999999997E-3</v>
      </c>
    </row>
    <row r="305" spans="32:37" x14ac:dyDescent="0.15">
      <c r="AF305" s="7">
        <v>298</v>
      </c>
      <c r="AG305" s="11">
        <f>[1]服务器生态!AC319</f>
        <v>0.47962550249999997</v>
      </c>
      <c r="AH305" s="11">
        <f>[1]服务器生态!AD319</f>
        <v>0.47291513735919999</v>
      </c>
      <c r="AI305" s="11">
        <f>[1]服务器生态!AE319</f>
        <v>3.8604200140800002E-2</v>
      </c>
      <c r="AJ305" s="11">
        <f>[1]服务器生态!AF319</f>
        <v>6.8679600000000019E-3</v>
      </c>
      <c r="AK305" s="11">
        <f>[1]服务器生态!AG319</f>
        <v>1.9871999999999997E-3</v>
      </c>
    </row>
    <row r="306" spans="32:37" x14ac:dyDescent="0.15">
      <c r="AF306" s="7">
        <v>299</v>
      </c>
      <c r="AG306" s="11">
        <f>[1]服务器生态!AC320</f>
        <v>0.47962550249999997</v>
      </c>
      <c r="AH306" s="11">
        <f>[1]服务器生态!AD320</f>
        <v>0.47291513735919999</v>
      </c>
      <c r="AI306" s="11">
        <f>[1]服务器生态!AE320</f>
        <v>3.8604200140800002E-2</v>
      </c>
      <c r="AJ306" s="11">
        <f>[1]服务器生态!AF320</f>
        <v>6.8679600000000019E-3</v>
      </c>
      <c r="AK306" s="11">
        <f>[1]服务器生态!AG320</f>
        <v>1.9871999999999997E-3</v>
      </c>
    </row>
    <row r="307" spans="32:37" x14ac:dyDescent="0.15">
      <c r="AF307" s="7">
        <v>300</v>
      </c>
      <c r="AG307" s="11">
        <f>[1]服务器生态!AC321</f>
        <v>0.47962550249999997</v>
      </c>
      <c r="AH307" s="11">
        <f>[1]服务器生态!AD321</f>
        <v>0.47291513735919999</v>
      </c>
      <c r="AI307" s="11">
        <f>[1]服务器生态!AE321</f>
        <v>3.8604200140800002E-2</v>
      </c>
      <c r="AJ307" s="11">
        <f>[1]服务器生态!AF321</f>
        <v>6.8679600000000019E-3</v>
      </c>
      <c r="AK307" s="11">
        <f>[1]服务器生态!AG321</f>
        <v>1.9871999999999997E-3</v>
      </c>
    </row>
    <row r="308" spans="32:37" x14ac:dyDescent="0.15">
      <c r="AF308" s="7">
        <v>301</v>
      </c>
      <c r="AG308" s="11">
        <f>[1]服务器生态!AC322</f>
        <v>0.47962550249999997</v>
      </c>
      <c r="AH308" s="11">
        <f>[1]服务器生态!AD322</f>
        <v>0.47291513735919999</v>
      </c>
      <c r="AI308" s="11">
        <f>[1]服务器生态!AE322</f>
        <v>3.8604200140800002E-2</v>
      </c>
      <c r="AJ308" s="11">
        <f>[1]服务器生态!AF322</f>
        <v>6.8679600000000019E-3</v>
      </c>
      <c r="AK308" s="11">
        <f>[1]服务器生态!AG322</f>
        <v>1.9871999999999997E-3</v>
      </c>
    </row>
    <row r="309" spans="32:37" x14ac:dyDescent="0.15">
      <c r="AF309" s="7">
        <v>302</v>
      </c>
      <c r="AG309" s="11">
        <f>[1]服务器生态!AC323</f>
        <v>0.47962550249999997</v>
      </c>
      <c r="AH309" s="11">
        <f>[1]服务器生态!AD323</f>
        <v>0.47291513735919999</v>
      </c>
      <c r="AI309" s="11">
        <f>[1]服务器生态!AE323</f>
        <v>3.8604200140800002E-2</v>
      </c>
      <c r="AJ309" s="11">
        <f>[1]服务器生态!AF323</f>
        <v>6.8679600000000019E-3</v>
      </c>
      <c r="AK309" s="11">
        <f>[1]服务器生态!AG323</f>
        <v>1.9871999999999997E-3</v>
      </c>
    </row>
    <row r="310" spans="32:37" x14ac:dyDescent="0.15">
      <c r="AF310" s="7">
        <v>303</v>
      </c>
      <c r="AG310" s="11">
        <f>[1]服务器生态!AC324</f>
        <v>0.47962550249999997</v>
      </c>
      <c r="AH310" s="11">
        <f>[1]服务器生态!AD324</f>
        <v>0.47291513735919999</v>
      </c>
      <c r="AI310" s="11">
        <f>[1]服务器生态!AE324</f>
        <v>3.8604200140800002E-2</v>
      </c>
      <c r="AJ310" s="11">
        <f>[1]服务器生态!AF324</f>
        <v>6.8679600000000019E-3</v>
      </c>
      <c r="AK310" s="11">
        <f>[1]服务器生态!AG324</f>
        <v>1.9871999999999997E-3</v>
      </c>
    </row>
    <row r="311" spans="32:37" x14ac:dyDescent="0.15">
      <c r="AF311" s="7">
        <v>304</v>
      </c>
      <c r="AG311" s="11">
        <f>[1]服务器生态!AC325</f>
        <v>0.47962550249999997</v>
      </c>
      <c r="AH311" s="11">
        <f>[1]服务器生态!AD325</f>
        <v>0.47291513735919999</v>
      </c>
      <c r="AI311" s="11">
        <f>[1]服务器生态!AE325</f>
        <v>3.8604200140800002E-2</v>
      </c>
      <c r="AJ311" s="11">
        <f>[1]服务器生态!AF325</f>
        <v>6.8679600000000019E-3</v>
      </c>
      <c r="AK311" s="11">
        <f>[1]服务器生态!AG325</f>
        <v>1.9871999999999997E-3</v>
      </c>
    </row>
    <row r="312" spans="32:37" x14ac:dyDescent="0.15">
      <c r="AF312" s="7">
        <v>305</v>
      </c>
      <c r="AG312" s="11">
        <f>[1]服务器生态!AC326</f>
        <v>0.47962550249999997</v>
      </c>
      <c r="AH312" s="11">
        <f>[1]服务器生态!AD326</f>
        <v>0.47291513735919999</v>
      </c>
      <c r="AI312" s="11">
        <f>[1]服务器生态!AE326</f>
        <v>3.8604200140800002E-2</v>
      </c>
      <c r="AJ312" s="11">
        <f>[1]服务器生态!AF326</f>
        <v>6.8679600000000019E-3</v>
      </c>
      <c r="AK312" s="11">
        <f>[1]服务器生态!AG326</f>
        <v>1.9871999999999997E-3</v>
      </c>
    </row>
    <row r="313" spans="32:37" x14ac:dyDescent="0.15">
      <c r="AF313" s="7">
        <v>306</v>
      </c>
      <c r="AG313" s="11">
        <f>[1]服务器生态!AC327</f>
        <v>0.47962550249999997</v>
      </c>
      <c r="AH313" s="11">
        <f>[1]服务器生态!AD327</f>
        <v>0.47291513735919999</v>
      </c>
      <c r="AI313" s="11">
        <f>[1]服务器生态!AE327</f>
        <v>3.8604200140800002E-2</v>
      </c>
      <c r="AJ313" s="11">
        <f>[1]服务器生态!AF327</f>
        <v>6.8679600000000019E-3</v>
      </c>
      <c r="AK313" s="11">
        <f>[1]服务器生态!AG327</f>
        <v>1.9871999999999997E-3</v>
      </c>
    </row>
    <row r="314" spans="32:37" x14ac:dyDescent="0.15">
      <c r="AF314" s="7">
        <v>307</v>
      </c>
      <c r="AG314" s="11">
        <f>[1]服务器生态!AC328</f>
        <v>0.47962550249999997</v>
      </c>
      <c r="AH314" s="11">
        <f>[1]服务器生态!AD328</f>
        <v>0.47291513735919999</v>
      </c>
      <c r="AI314" s="11">
        <f>[1]服务器生态!AE328</f>
        <v>3.8604200140800002E-2</v>
      </c>
      <c r="AJ314" s="11">
        <f>[1]服务器生态!AF328</f>
        <v>6.8679600000000019E-3</v>
      </c>
      <c r="AK314" s="11">
        <f>[1]服务器生态!AG328</f>
        <v>1.9871999999999997E-3</v>
      </c>
    </row>
    <row r="315" spans="32:37" x14ac:dyDescent="0.15">
      <c r="AF315" s="7">
        <v>308</v>
      </c>
      <c r="AG315" s="11">
        <f>[1]服务器生态!AC329</f>
        <v>0.47962550249999997</v>
      </c>
      <c r="AH315" s="11">
        <f>[1]服务器生态!AD329</f>
        <v>0.47291513735919999</v>
      </c>
      <c r="AI315" s="11">
        <f>[1]服务器生态!AE329</f>
        <v>3.8604200140800002E-2</v>
      </c>
      <c r="AJ315" s="11">
        <f>[1]服务器生态!AF329</f>
        <v>6.8679600000000019E-3</v>
      </c>
      <c r="AK315" s="11">
        <f>[1]服务器生态!AG329</f>
        <v>1.9871999999999997E-3</v>
      </c>
    </row>
    <row r="316" spans="32:37" x14ac:dyDescent="0.15">
      <c r="AF316" s="7">
        <v>309</v>
      </c>
      <c r="AG316" s="11">
        <f>[1]服务器生态!AC330</f>
        <v>0.47962550249999997</v>
      </c>
      <c r="AH316" s="11">
        <f>[1]服务器生态!AD330</f>
        <v>0.47291513735919999</v>
      </c>
      <c r="AI316" s="11">
        <f>[1]服务器生态!AE330</f>
        <v>3.8604200140800002E-2</v>
      </c>
      <c r="AJ316" s="11">
        <f>[1]服务器生态!AF330</f>
        <v>6.8679600000000019E-3</v>
      </c>
      <c r="AK316" s="11">
        <f>[1]服务器生态!AG330</f>
        <v>1.9871999999999997E-3</v>
      </c>
    </row>
    <row r="317" spans="32:37" x14ac:dyDescent="0.15">
      <c r="AF317" s="7">
        <v>310</v>
      </c>
      <c r="AG317" s="11">
        <f>[1]服务器生态!AC331</f>
        <v>0.47962550249999997</v>
      </c>
      <c r="AH317" s="11">
        <f>[1]服务器生态!AD331</f>
        <v>0.47291513735919999</v>
      </c>
      <c r="AI317" s="11">
        <f>[1]服务器生态!AE331</f>
        <v>3.8604200140800002E-2</v>
      </c>
      <c r="AJ317" s="11">
        <f>[1]服务器生态!AF331</f>
        <v>6.8679600000000019E-3</v>
      </c>
      <c r="AK317" s="11">
        <f>[1]服务器生态!AG331</f>
        <v>1.9871999999999997E-3</v>
      </c>
    </row>
    <row r="318" spans="32:37" x14ac:dyDescent="0.15">
      <c r="AF318" s="7">
        <v>311</v>
      </c>
      <c r="AG318" s="11">
        <f>[1]服务器生态!AC332</f>
        <v>0.47962550249999997</v>
      </c>
      <c r="AH318" s="11">
        <f>[1]服务器生态!AD332</f>
        <v>0.47291513735919999</v>
      </c>
      <c r="AI318" s="11">
        <f>[1]服务器生态!AE332</f>
        <v>3.8604200140800002E-2</v>
      </c>
      <c r="AJ318" s="11">
        <f>[1]服务器生态!AF332</f>
        <v>6.8679600000000019E-3</v>
      </c>
      <c r="AK318" s="11">
        <f>[1]服务器生态!AG332</f>
        <v>1.9871999999999997E-3</v>
      </c>
    </row>
    <row r="319" spans="32:37" x14ac:dyDescent="0.15">
      <c r="AF319" s="7">
        <v>312</v>
      </c>
      <c r="AG319" s="11">
        <f>[1]服务器生态!AC333</f>
        <v>0.47962550249999997</v>
      </c>
      <c r="AH319" s="11">
        <f>[1]服务器生态!AD333</f>
        <v>0.47291513735919999</v>
      </c>
      <c r="AI319" s="11">
        <f>[1]服务器生态!AE333</f>
        <v>3.8604200140800002E-2</v>
      </c>
      <c r="AJ319" s="11">
        <f>[1]服务器生态!AF333</f>
        <v>6.8679600000000019E-3</v>
      </c>
      <c r="AK319" s="11">
        <f>[1]服务器生态!AG333</f>
        <v>1.9871999999999997E-3</v>
      </c>
    </row>
    <row r="320" spans="32:37" x14ac:dyDescent="0.15">
      <c r="AF320" s="7">
        <v>313</v>
      </c>
      <c r="AG320" s="11">
        <f>[1]服务器生态!AC334</f>
        <v>0.47962550249999997</v>
      </c>
      <c r="AH320" s="11">
        <f>[1]服务器生态!AD334</f>
        <v>0.47291513735919999</v>
      </c>
      <c r="AI320" s="11">
        <f>[1]服务器生态!AE334</f>
        <v>3.8604200140800002E-2</v>
      </c>
      <c r="AJ320" s="11">
        <f>[1]服务器生态!AF334</f>
        <v>6.8679600000000019E-3</v>
      </c>
      <c r="AK320" s="11">
        <f>[1]服务器生态!AG334</f>
        <v>1.9871999999999997E-3</v>
      </c>
    </row>
    <row r="321" spans="32:37" x14ac:dyDescent="0.15">
      <c r="AF321" s="7">
        <v>314</v>
      </c>
      <c r="AG321" s="11">
        <f>[1]服务器生态!AC335</f>
        <v>0.47962550249999997</v>
      </c>
      <c r="AH321" s="11">
        <f>[1]服务器生态!AD335</f>
        <v>0.47291513735919999</v>
      </c>
      <c r="AI321" s="11">
        <f>[1]服务器生态!AE335</f>
        <v>3.8604200140800002E-2</v>
      </c>
      <c r="AJ321" s="11">
        <f>[1]服务器生态!AF335</f>
        <v>6.8679600000000019E-3</v>
      </c>
      <c r="AK321" s="11">
        <f>[1]服务器生态!AG335</f>
        <v>1.9871999999999997E-3</v>
      </c>
    </row>
    <row r="322" spans="32:37" x14ac:dyDescent="0.15">
      <c r="AF322" s="7">
        <v>315</v>
      </c>
      <c r="AG322" s="11">
        <f>[1]服务器生态!AC336</f>
        <v>0.47962550249999997</v>
      </c>
      <c r="AH322" s="11">
        <f>[1]服务器生态!AD336</f>
        <v>0.47291513735919999</v>
      </c>
      <c r="AI322" s="11">
        <f>[1]服务器生态!AE336</f>
        <v>3.8604200140800002E-2</v>
      </c>
      <c r="AJ322" s="11">
        <f>[1]服务器生态!AF336</f>
        <v>6.8679600000000019E-3</v>
      </c>
      <c r="AK322" s="11">
        <f>[1]服务器生态!AG336</f>
        <v>1.9871999999999997E-3</v>
      </c>
    </row>
    <row r="323" spans="32:37" x14ac:dyDescent="0.15">
      <c r="AF323" s="7">
        <v>316</v>
      </c>
      <c r="AG323" s="11">
        <f>[1]服务器生态!AC337</f>
        <v>0.47962550249999997</v>
      </c>
      <c r="AH323" s="11">
        <f>[1]服务器生态!AD337</f>
        <v>0.47291513735919999</v>
      </c>
      <c r="AI323" s="11">
        <f>[1]服务器生态!AE337</f>
        <v>3.8604200140800002E-2</v>
      </c>
      <c r="AJ323" s="11">
        <f>[1]服务器生态!AF337</f>
        <v>6.8679600000000019E-3</v>
      </c>
      <c r="AK323" s="11">
        <f>[1]服务器生态!AG337</f>
        <v>1.9871999999999997E-3</v>
      </c>
    </row>
    <row r="324" spans="32:37" x14ac:dyDescent="0.15">
      <c r="AF324" s="7">
        <v>317</v>
      </c>
      <c r="AG324" s="11">
        <f>[1]服务器生态!AC338</f>
        <v>0.47962550249999997</v>
      </c>
      <c r="AH324" s="11">
        <f>[1]服务器生态!AD338</f>
        <v>0.47291513735919999</v>
      </c>
      <c r="AI324" s="11">
        <f>[1]服务器生态!AE338</f>
        <v>3.8604200140800002E-2</v>
      </c>
      <c r="AJ324" s="11">
        <f>[1]服务器生态!AF338</f>
        <v>6.8679600000000019E-3</v>
      </c>
      <c r="AK324" s="11">
        <f>[1]服务器生态!AG338</f>
        <v>1.9871999999999997E-3</v>
      </c>
    </row>
    <row r="325" spans="32:37" x14ac:dyDescent="0.15">
      <c r="AF325" s="7">
        <v>318</v>
      </c>
      <c r="AG325" s="11">
        <f>[1]服务器生态!AC339</f>
        <v>0.47962550249999997</v>
      </c>
      <c r="AH325" s="11">
        <f>[1]服务器生态!AD339</f>
        <v>0.47291513735919999</v>
      </c>
      <c r="AI325" s="11">
        <f>[1]服务器生态!AE339</f>
        <v>3.8604200140800002E-2</v>
      </c>
      <c r="AJ325" s="11">
        <f>[1]服务器生态!AF339</f>
        <v>6.8679600000000019E-3</v>
      </c>
      <c r="AK325" s="11">
        <f>[1]服务器生态!AG339</f>
        <v>1.9871999999999997E-3</v>
      </c>
    </row>
    <row r="326" spans="32:37" x14ac:dyDescent="0.15">
      <c r="AF326" s="7">
        <v>319</v>
      </c>
      <c r="AG326" s="11">
        <f>[1]服务器生态!AC340</f>
        <v>0.47962550249999997</v>
      </c>
      <c r="AH326" s="11">
        <f>[1]服务器生态!AD340</f>
        <v>0.47291513735919999</v>
      </c>
      <c r="AI326" s="11">
        <f>[1]服务器生态!AE340</f>
        <v>3.8604200140800002E-2</v>
      </c>
      <c r="AJ326" s="11">
        <f>[1]服务器生态!AF340</f>
        <v>6.8679600000000019E-3</v>
      </c>
      <c r="AK326" s="11">
        <f>[1]服务器生态!AG340</f>
        <v>1.9871999999999997E-3</v>
      </c>
    </row>
    <row r="327" spans="32:37" x14ac:dyDescent="0.15">
      <c r="AF327" s="7">
        <v>320</v>
      </c>
      <c r="AG327" s="11">
        <f>[1]服务器生态!AC341</f>
        <v>0.47962550249999997</v>
      </c>
      <c r="AH327" s="11">
        <f>[1]服务器生态!AD341</f>
        <v>0.47291513735919999</v>
      </c>
      <c r="AI327" s="11">
        <f>[1]服务器生态!AE341</f>
        <v>3.8604200140800002E-2</v>
      </c>
      <c r="AJ327" s="11">
        <f>[1]服务器生态!AF341</f>
        <v>6.8679600000000019E-3</v>
      </c>
      <c r="AK327" s="11">
        <f>[1]服务器生态!AG341</f>
        <v>1.9871999999999997E-3</v>
      </c>
    </row>
    <row r="328" spans="32:37" x14ac:dyDescent="0.15">
      <c r="AF328" s="7">
        <v>321</v>
      </c>
      <c r="AG328" s="11">
        <f>[1]服务器生态!AC342</f>
        <v>0.47962550249999997</v>
      </c>
      <c r="AH328" s="11">
        <f>[1]服务器生态!AD342</f>
        <v>0.47291513735919999</v>
      </c>
      <c r="AI328" s="11">
        <f>[1]服务器生态!AE342</f>
        <v>3.8604200140800002E-2</v>
      </c>
      <c r="AJ328" s="11">
        <f>[1]服务器生态!AF342</f>
        <v>6.8679600000000019E-3</v>
      </c>
      <c r="AK328" s="11">
        <f>[1]服务器生态!AG342</f>
        <v>1.9871999999999997E-3</v>
      </c>
    </row>
    <row r="329" spans="32:37" x14ac:dyDescent="0.15">
      <c r="AF329" s="7">
        <v>322</v>
      </c>
      <c r="AG329" s="11">
        <f>[1]服务器生态!AC343</f>
        <v>0.47962550249999997</v>
      </c>
      <c r="AH329" s="11">
        <f>[1]服务器生态!AD343</f>
        <v>0.47291513735919999</v>
      </c>
      <c r="AI329" s="11">
        <f>[1]服务器生态!AE343</f>
        <v>3.8604200140800002E-2</v>
      </c>
      <c r="AJ329" s="11">
        <f>[1]服务器生态!AF343</f>
        <v>6.8679600000000019E-3</v>
      </c>
      <c r="AK329" s="11">
        <f>[1]服务器生态!AG343</f>
        <v>1.9871999999999997E-3</v>
      </c>
    </row>
    <row r="330" spans="32:37" x14ac:dyDescent="0.15">
      <c r="AF330" s="7">
        <v>323</v>
      </c>
      <c r="AG330" s="11">
        <f>[1]服务器生态!AC344</f>
        <v>0.47962550249999997</v>
      </c>
      <c r="AH330" s="11">
        <f>[1]服务器生态!AD344</f>
        <v>0.47291513735919999</v>
      </c>
      <c r="AI330" s="11">
        <f>[1]服务器生态!AE344</f>
        <v>3.8604200140800002E-2</v>
      </c>
      <c r="AJ330" s="11">
        <f>[1]服务器生态!AF344</f>
        <v>6.8679600000000019E-3</v>
      </c>
      <c r="AK330" s="11">
        <f>[1]服务器生态!AG344</f>
        <v>1.9871999999999997E-3</v>
      </c>
    </row>
    <row r="331" spans="32:37" x14ac:dyDescent="0.15">
      <c r="AF331" s="7">
        <v>324</v>
      </c>
      <c r="AG331" s="11">
        <f>[1]服务器生态!AC345</f>
        <v>0.47962550249999997</v>
      </c>
      <c r="AH331" s="11">
        <f>[1]服务器生态!AD345</f>
        <v>0.47291513735919999</v>
      </c>
      <c r="AI331" s="11">
        <f>[1]服务器生态!AE345</f>
        <v>3.8604200140800002E-2</v>
      </c>
      <c r="AJ331" s="11">
        <f>[1]服务器生态!AF345</f>
        <v>6.8679600000000019E-3</v>
      </c>
      <c r="AK331" s="11">
        <f>[1]服务器生态!AG345</f>
        <v>1.9871999999999997E-3</v>
      </c>
    </row>
    <row r="332" spans="32:37" x14ac:dyDescent="0.15">
      <c r="AF332" s="7">
        <v>325</v>
      </c>
      <c r="AG332" s="11">
        <f>[1]服务器生态!AC346</f>
        <v>0.47962550249999997</v>
      </c>
      <c r="AH332" s="11">
        <f>[1]服务器生态!AD346</f>
        <v>0.47291513735919999</v>
      </c>
      <c r="AI332" s="11">
        <f>[1]服务器生态!AE346</f>
        <v>3.8604200140800002E-2</v>
      </c>
      <c r="AJ332" s="11">
        <f>[1]服务器生态!AF346</f>
        <v>6.8679600000000019E-3</v>
      </c>
      <c r="AK332" s="11">
        <f>[1]服务器生态!AG346</f>
        <v>1.9871999999999997E-3</v>
      </c>
    </row>
    <row r="333" spans="32:37" x14ac:dyDescent="0.15">
      <c r="AF333" s="7">
        <v>326</v>
      </c>
      <c r="AG333" s="11">
        <f>[1]服务器生态!AC347</f>
        <v>0.47962550249999997</v>
      </c>
      <c r="AH333" s="11">
        <f>[1]服务器生态!AD347</f>
        <v>0.47291513735919999</v>
      </c>
      <c r="AI333" s="11">
        <f>[1]服务器生态!AE347</f>
        <v>3.8604200140800002E-2</v>
      </c>
      <c r="AJ333" s="11">
        <f>[1]服务器生态!AF347</f>
        <v>6.8679600000000019E-3</v>
      </c>
      <c r="AK333" s="11">
        <f>[1]服务器生态!AG347</f>
        <v>1.9871999999999997E-3</v>
      </c>
    </row>
    <row r="334" spans="32:37" x14ac:dyDescent="0.15">
      <c r="AF334" s="7">
        <v>327</v>
      </c>
      <c r="AG334" s="11">
        <f>[1]服务器生态!AC348</f>
        <v>0.47962550249999997</v>
      </c>
      <c r="AH334" s="11">
        <f>[1]服务器生态!AD348</f>
        <v>0.47291513735919999</v>
      </c>
      <c r="AI334" s="11">
        <f>[1]服务器生态!AE348</f>
        <v>3.8604200140800002E-2</v>
      </c>
      <c r="AJ334" s="11">
        <f>[1]服务器生态!AF348</f>
        <v>6.8679600000000019E-3</v>
      </c>
      <c r="AK334" s="11">
        <f>[1]服务器生态!AG348</f>
        <v>1.9871999999999997E-3</v>
      </c>
    </row>
    <row r="335" spans="32:37" x14ac:dyDescent="0.15">
      <c r="AF335" s="7">
        <v>328</v>
      </c>
      <c r="AG335" s="11">
        <f>[1]服务器生态!AC349</f>
        <v>0.47962550249999997</v>
      </c>
      <c r="AH335" s="11">
        <f>[1]服务器生态!AD349</f>
        <v>0.47291513735919999</v>
      </c>
      <c r="AI335" s="11">
        <f>[1]服务器生态!AE349</f>
        <v>3.8604200140800002E-2</v>
      </c>
      <c r="AJ335" s="11">
        <f>[1]服务器生态!AF349</f>
        <v>6.8679600000000019E-3</v>
      </c>
      <c r="AK335" s="11">
        <f>[1]服务器生态!AG349</f>
        <v>1.9871999999999997E-3</v>
      </c>
    </row>
    <row r="336" spans="32:37" x14ac:dyDescent="0.15">
      <c r="AF336" s="7">
        <v>329</v>
      </c>
      <c r="AG336" s="11">
        <f>[1]服务器生态!AC350</f>
        <v>0.47962550249999997</v>
      </c>
      <c r="AH336" s="11">
        <f>[1]服务器生态!AD350</f>
        <v>0.47291513735919999</v>
      </c>
      <c r="AI336" s="11">
        <f>[1]服务器生态!AE350</f>
        <v>3.8604200140800002E-2</v>
      </c>
      <c r="AJ336" s="11">
        <f>[1]服务器生态!AF350</f>
        <v>6.8679600000000019E-3</v>
      </c>
      <c r="AK336" s="11">
        <f>[1]服务器生态!AG350</f>
        <v>1.9871999999999997E-3</v>
      </c>
    </row>
    <row r="337" spans="32:37" x14ac:dyDescent="0.15">
      <c r="AF337" s="7">
        <v>330</v>
      </c>
      <c r="AG337" s="11">
        <f>[1]服务器生态!AC351</f>
        <v>0.47962550249999997</v>
      </c>
      <c r="AH337" s="11">
        <f>[1]服务器生态!AD351</f>
        <v>0.47291513735919999</v>
      </c>
      <c r="AI337" s="11">
        <f>[1]服务器生态!AE351</f>
        <v>3.8604200140800002E-2</v>
      </c>
      <c r="AJ337" s="11">
        <f>[1]服务器生态!AF351</f>
        <v>6.8679600000000019E-3</v>
      </c>
      <c r="AK337" s="11">
        <f>[1]服务器生态!AG351</f>
        <v>1.9871999999999997E-3</v>
      </c>
    </row>
    <row r="338" spans="32:37" x14ac:dyDescent="0.15">
      <c r="AF338" s="7">
        <v>331</v>
      </c>
      <c r="AG338" s="11">
        <f>[1]服务器生态!AC352</f>
        <v>0.47962550249999997</v>
      </c>
      <c r="AH338" s="11">
        <f>[1]服务器生态!AD352</f>
        <v>0.47291513735919999</v>
      </c>
      <c r="AI338" s="11">
        <f>[1]服务器生态!AE352</f>
        <v>3.8604200140800002E-2</v>
      </c>
      <c r="AJ338" s="11">
        <f>[1]服务器生态!AF352</f>
        <v>6.8679600000000019E-3</v>
      </c>
      <c r="AK338" s="11">
        <f>[1]服务器生态!AG352</f>
        <v>1.9871999999999997E-3</v>
      </c>
    </row>
    <row r="339" spans="32:37" x14ac:dyDescent="0.15">
      <c r="AF339" s="7">
        <v>332</v>
      </c>
      <c r="AG339" s="11">
        <f>[1]服务器生态!AC353</f>
        <v>0.47962550249999997</v>
      </c>
      <c r="AH339" s="11">
        <f>[1]服务器生态!AD353</f>
        <v>0.47291513735919999</v>
      </c>
      <c r="AI339" s="11">
        <f>[1]服务器生态!AE353</f>
        <v>3.8604200140800002E-2</v>
      </c>
      <c r="AJ339" s="11">
        <f>[1]服务器生态!AF353</f>
        <v>6.8679600000000019E-3</v>
      </c>
      <c r="AK339" s="11">
        <f>[1]服务器生态!AG353</f>
        <v>1.9871999999999997E-3</v>
      </c>
    </row>
    <row r="340" spans="32:37" x14ac:dyDescent="0.15">
      <c r="AF340" s="7">
        <v>333</v>
      </c>
      <c r="AG340" s="11">
        <f>[1]服务器生态!AC354</f>
        <v>0.47962550249999997</v>
      </c>
      <c r="AH340" s="11">
        <f>[1]服务器生态!AD354</f>
        <v>0.47291513735919999</v>
      </c>
      <c r="AI340" s="11">
        <f>[1]服务器生态!AE354</f>
        <v>3.8604200140800002E-2</v>
      </c>
      <c r="AJ340" s="11">
        <f>[1]服务器生态!AF354</f>
        <v>6.8679600000000019E-3</v>
      </c>
      <c r="AK340" s="11">
        <f>[1]服务器生态!AG354</f>
        <v>1.9871999999999997E-3</v>
      </c>
    </row>
    <row r="341" spans="32:37" x14ac:dyDescent="0.15">
      <c r="AF341" s="7">
        <v>334</v>
      </c>
      <c r="AG341" s="11">
        <f>[1]服务器生态!AC355</f>
        <v>0.47962550249999997</v>
      </c>
      <c r="AH341" s="11">
        <f>[1]服务器生态!AD355</f>
        <v>0.47291513735919999</v>
      </c>
      <c r="AI341" s="11">
        <f>[1]服务器生态!AE355</f>
        <v>3.8604200140800002E-2</v>
      </c>
      <c r="AJ341" s="11">
        <f>[1]服务器生态!AF355</f>
        <v>6.8679600000000019E-3</v>
      </c>
      <c r="AK341" s="11">
        <f>[1]服务器生态!AG355</f>
        <v>1.9871999999999997E-3</v>
      </c>
    </row>
    <row r="342" spans="32:37" x14ac:dyDescent="0.15">
      <c r="AF342" s="7">
        <v>335</v>
      </c>
      <c r="AG342" s="11">
        <f>[1]服务器生态!AC356</f>
        <v>0.47962550249999997</v>
      </c>
      <c r="AH342" s="11">
        <f>[1]服务器生态!AD356</f>
        <v>0.47291513735919999</v>
      </c>
      <c r="AI342" s="11">
        <f>[1]服务器生态!AE356</f>
        <v>3.8604200140800002E-2</v>
      </c>
      <c r="AJ342" s="11">
        <f>[1]服务器生态!AF356</f>
        <v>6.8679600000000019E-3</v>
      </c>
      <c r="AK342" s="11">
        <f>[1]服务器生态!AG356</f>
        <v>1.9871999999999997E-3</v>
      </c>
    </row>
    <row r="343" spans="32:37" x14ac:dyDescent="0.15">
      <c r="AF343" s="7">
        <v>336</v>
      </c>
      <c r="AG343" s="11">
        <f>[1]服务器生态!AC357</f>
        <v>0.47962550249999997</v>
      </c>
      <c r="AH343" s="11">
        <f>[1]服务器生态!AD357</f>
        <v>0.47291513735919999</v>
      </c>
      <c r="AI343" s="11">
        <f>[1]服务器生态!AE357</f>
        <v>3.8604200140800002E-2</v>
      </c>
      <c r="AJ343" s="11">
        <f>[1]服务器生态!AF357</f>
        <v>6.8679600000000019E-3</v>
      </c>
      <c r="AK343" s="11">
        <f>[1]服务器生态!AG357</f>
        <v>1.9871999999999997E-3</v>
      </c>
    </row>
    <row r="344" spans="32:37" x14ac:dyDescent="0.15">
      <c r="AF344" s="7">
        <v>337</v>
      </c>
      <c r="AG344" s="11">
        <f>[1]服务器生态!AC358</f>
        <v>0.47962550249999997</v>
      </c>
      <c r="AH344" s="11">
        <f>[1]服务器生态!AD358</f>
        <v>0.47291513735919999</v>
      </c>
      <c r="AI344" s="11">
        <f>[1]服务器生态!AE358</f>
        <v>3.8604200140800002E-2</v>
      </c>
      <c r="AJ344" s="11">
        <f>[1]服务器生态!AF358</f>
        <v>6.8679600000000019E-3</v>
      </c>
      <c r="AK344" s="11">
        <f>[1]服务器生态!AG358</f>
        <v>1.9871999999999997E-3</v>
      </c>
    </row>
    <row r="345" spans="32:37" x14ac:dyDescent="0.15">
      <c r="AF345" s="7">
        <v>338</v>
      </c>
      <c r="AG345" s="11">
        <f>[1]服务器生态!AC359</f>
        <v>0.47962550249999997</v>
      </c>
      <c r="AH345" s="11">
        <f>[1]服务器生态!AD359</f>
        <v>0.47291513735919999</v>
      </c>
      <c r="AI345" s="11">
        <f>[1]服务器生态!AE359</f>
        <v>3.8604200140800002E-2</v>
      </c>
      <c r="AJ345" s="11">
        <f>[1]服务器生态!AF359</f>
        <v>6.8679600000000019E-3</v>
      </c>
      <c r="AK345" s="11">
        <f>[1]服务器生态!AG359</f>
        <v>1.9871999999999997E-3</v>
      </c>
    </row>
    <row r="346" spans="32:37" x14ac:dyDescent="0.15">
      <c r="AF346" s="7">
        <v>339</v>
      </c>
      <c r="AG346" s="11">
        <f>[1]服务器生态!AC360</f>
        <v>0.47962550249999997</v>
      </c>
      <c r="AH346" s="11">
        <f>[1]服务器生态!AD360</f>
        <v>0.47291513735919999</v>
      </c>
      <c r="AI346" s="11">
        <f>[1]服务器生态!AE360</f>
        <v>3.8604200140800002E-2</v>
      </c>
      <c r="AJ346" s="11">
        <f>[1]服务器生态!AF360</f>
        <v>6.8679600000000019E-3</v>
      </c>
      <c r="AK346" s="11">
        <f>[1]服务器生态!AG360</f>
        <v>1.9871999999999997E-3</v>
      </c>
    </row>
    <row r="347" spans="32:37" x14ac:dyDescent="0.15">
      <c r="AF347" s="7">
        <v>340</v>
      </c>
      <c r="AG347" s="11">
        <f>[1]服务器生态!AC361</f>
        <v>0.47962550249999997</v>
      </c>
      <c r="AH347" s="11">
        <f>[1]服务器生态!AD361</f>
        <v>0.47291513735919999</v>
      </c>
      <c r="AI347" s="11">
        <f>[1]服务器生态!AE361</f>
        <v>3.8604200140800002E-2</v>
      </c>
      <c r="AJ347" s="11">
        <f>[1]服务器生态!AF361</f>
        <v>6.8679600000000019E-3</v>
      </c>
      <c r="AK347" s="11">
        <f>[1]服务器生态!AG361</f>
        <v>1.9871999999999997E-3</v>
      </c>
    </row>
    <row r="348" spans="32:37" x14ac:dyDescent="0.15">
      <c r="AF348" s="7">
        <v>341</v>
      </c>
      <c r="AG348" s="11">
        <f>[1]服务器生态!AC362</f>
        <v>0.47962550249999997</v>
      </c>
      <c r="AH348" s="11">
        <f>[1]服务器生态!AD362</f>
        <v>0.47291513735919999</v>
      </c>
      <c r="AI348" s="11">
        <f>[1]服务器生态!AE362</f>
        <v>3.8604200140800002E-2</v>
      </c>
      <c r="AJ348" s="11">
        <f>[1]服务器生态!AF362</f>
        <v>6.8679600000000019E-3</v>
      </c>
      <c r="AK348" s="11">
        <f>[1]服务器生态!AG362</f>
        <v>1.9871999999999997E-3</v>
      </c>
    </row>
    <row r="349" spans="32:37" x14ac:dyDescent="0.15">
      <c r="AF349" s="7">
        <v>342</v>
      </c>
      <c r="AG349" s="11">
        <f>[1]服务器生态!AC363</f>
        <v>0.47962550249999997</v>
      </c>
      <c r="AH349" s="11">
        <f>[1]服务器生态!AD363</f>
        <v>0.47291513735919999</v>
      </c>
      <c r="AI349" s="11">
        <f>[1]服务器生态!AE363</f>
        <v>3.8604200140800002E-2</v>
      </c>
      <c r="AJ349" s="11">
        <f>[1]服务器生态!AF363</f>
        <v>6.8679600000000019E-3</v>
      </c>
      <c r="AK349" s="11">
        <f>[1]服务器生态!AG363</f>
        <v>1.9871999999999997E-3</v>
      </c>
    </row>
    <row r="350" spans="32:37" x14ac:dyDescent="0.15">
      <c r="AF350" s="7">
        <v>343</v>
      </c>
      <c r="AG350" s="11">
        <f>[1]服务器生态!AC364</f>
        <v>0.47962550249999997</v>
      </c>
      <c r="AH350" s="11">
        <f>[1]服务器生态!AD364</f>
        <v>0.47291513735919999</v>
      </c>
      <c r="AI350" s="11">
        <f>[1]服务器生态!AE364</f>
        <v>3.8604200140800002E-2</v>
      </c>
      <c r="AJ350" s="11">
        <f>[1]服务器生态!AF364</f>
        <v>6.8679600000000019E-3</v>
      </c>
      <c r="AK350" s="11">
        <f>[1]服务器生态!AG364</f>
        <v>1.9871999999999997E-3</v>
      </c>
    </row>
    <row r="351" spans="32:37" x14ac:dyDescent="0.15">
      <c r="AF351" s="7">
        <v>344</v>
      </c>
      <c r="AG351" s="11">
        <f>[1]服务器生态!AC365</f>
        <v>0.47962550249999997</v>
      </c>
      <c r="AH351" s="11">
        <f>[1]服务器生态!AD365</f>
        <v>0.47291513735919999</v>
      </c>
      <c r="AI351" s="11">
        <f>[1]服务器生态!AE365</f>
        <v>3.8604200140800002E-2</v>
      </c>
      <c r="AJ351" s="11">
        <f>[1]服务器生态!AF365</f>
        <v>6.8679600000000019E-3</v>
      </c>
      <c r="AK351" s="11">
        <f>[1]服务器生态!AG365</f>
        <v>1.9871999999999997E-3</v>
      </c>
    </row>
    <row r="352" spans="32:37" x14ac:dyDescent="0.15">
      <c r="AF352" s="7">
        <v>345</v>
      </c>
      <c r="AG352" s="11">
        <f>[1]服务器生态!AC366</f>
        <v>0.47962550249999997</v>
      </c>
      <c r="AH352" s="11">
        <f>[1]服务器生态!AD366</f>
        <v>0.47291513735919999</v>
      </c>
      <c r="AI352" s="11">
        <f>[1]服务器生态!AE366</f>
        <v>3.8604200140800002E-2</v>
      </c>
      <c r="AJ352" s="11">
        <f>[1]服务器生态!AF366</f>
        <v>6.8679600000000019E-3</v>
      </c>
      <c r="AK352" s="11">
        <f>[1]服务器生态!AG366</f>
        <v>1.9871999999999997E-3</v>
      </c>
    </row>
    <row r="353" spans="32:37" x14ac:dyDescent="0.15">
      <c r="AF353" s="7">
        <v>346</v>
      </c>
      <c r="AG353" s="11">
        <f>[1]服务器生态!AC367</f>
        <v>0.47962550249999997</v>
      </c>
      <c r="AH353" s="11">
        <f>[1]服务器生态!AD367</f>
        <v>0.47291513735919999</v>
      </c>
      <c r="AI353" s="11">
        <f>[1]服务器生态!AE367</f>
        <v>3.8604200140800002E-2</v>
      </c>
      <c r="AJ353" s="11">
        <f>[1]服务器生态!AF367</f>
        <v>6.8679600000000019E-3</v>
      </c>
      <c r="AK353" s="11">
        <f>[1]服务器生态!AG367</f>
        <v>1.9871999999999997E-3</v>
      </c>
    </row>
    <row r="354" spans="32:37" x14ac:dyDescent="0.15">
      <c r="AF354" s="7">
        <v>347</v>
      </c>
      <c r="AG354" s="11">
        <f>[1]服务器生态!AC368</f>
        <v>0.47962550249999997</v>
      </c>
      <c r="AH354" s="11">
        <f>[1]服务器生态!AD368</f>
        <v>0.47291513735919999</v>
      </c>
      <c r="AI354" s="11">
        <f>[1]服务器生态!AE368</f>
        <v>3.8604200140800002E-2</v>
      </c>
      <c r="AJ354" s="11">
        <f>[1]服务器生态!AF368</f>
        <v>6.8679600000000019E-3</v>
      </c>
      <c r="AK354" s="11">
        <f>[1]服务器生态!AG368</f>
        <v>1.9871999999999997E-3</v>
      </c>
    </row>
    <row r="355" spans="32:37" x14ac:dyDescent="0.15">
      <c r="AF355" s="7">
        <v>348</v>
      </c>
      <c r="AG355" s="11">
        <f>[1]服务器生态!AC369</f>
        <v>0.47962550249999997</v>
      </c>
      <c r="AH355" s="11">
        <f>[1]服务器生态!AD369</f>
        <v>0.47291513735919999</v>
      </c>
      <c r="AI355" s="11">
        <f>[1]服务器生态!AE369</f>
        <v>3.8604200140800002E-2</v>
      </c>
      <c r="AJ355" s="11">
        <f>[1]服务器生态!AF369</f>
        <v>6.8679600000000019E-3</v>
      </c>
      <c r="AK355" s="11">
        <f>[1]服务器生态!AG369</f>
        <v>1.9871999999999997E-3</v>
      </c>
    </row>
    <row r="356" spans="32:37" x14ac:dyDescent="0.15">
      <c r="AF356" s="7">
        <v>349</v>
      </c>
      <c r="AG356" s="11">
        <f>[1]服务器生态!AC370</f>
        <v>0.47962550249999997</v>
      </c>
      <c r="AH356" s="11">
        <f>[1]服务器生态!AD370</f>
        <v>0.47291513735919999</v>
      </c>
      <c r="AI356" s="11">
        <f>[1]服务器生态!AE370</f>
        <v>3.8604200140800002E-2</v>
      </c>
      <c r="AJ356" s="11">
        <f>[1]服务器生态!AF370</f>
        <v>6.8679600000000019E-3</v>
      </c>
      <c r="AK356" s="11">
        <f>[1]服务器生态!AG370</f>
        <v>1.9871999999999997E-3</v>
      </c>
    </row>
    <row r="357" spans="32:37" x14ac:dyDescent="0.15">
      <c r="AF357" s="7">
        <v>350</v>
      </c>
      <c r="AG357" s="11">
        <f>[1]服务器生态!AC371</f>
        <v>0.47962550249999997</v>
      </c>
      <c r="AH357" s="11">
        <f>[1]服务器生态!AD371</f>
        <v>0.47291513735919999</v>
      </c>
      <c r="AI357" s="11">
        <f>[1]服务器生态!AE371</f>
        <v>3.8604200140800002E-2</v>
      </c>
      <c r="AJ357" s="11">
        <f>[1]服务器生态!AF371</f>
        <v>6.8679600000000019E-3</v>
      </c>
      <c r="AK357" s="11">
        <f>[1]服务器生态!AG371</f>
        <v>1.9871999999999997E-3</v>
      </c>
    </row>
    <row r="358" spans="32:37" x14ac:dyDescent="0.15">
      <c r="AF358" s="7">
        <v>351</v>
      </c>
      <c r="AG358" s="11">
        <f>[1]服务器生态!AC372</f>
        <v>0.47962550249999997</v>
      </c>
      <c r="AH358" s="11">
        <f>[1]服务器生态!AD372</f>
        <v>0.47291513735919999</v>
      </c>
      <c r="AI358" s="11">
        <f>[1]服务器生态!AE372</f>
        <v>3.8604200140800002E-2</v>
      </c>
      <c r="AJ358" s="11">
        <f>[1]服务器生态!AF372</f>
        <v>6.8679600000000019E-3</v>
      </c>
      <c r="AK358" s="11">
        <f>[1]服务器生态!AG372</f>
        <v>1.9871999999999997E-3</v>
      </c>
    </row>
    <row r="359" spans="32:37" x14ac:dyDescent="0.15">
      <c r="AF359" s="7">
        <v>352</v>
      </c>
      <c r="AG359" s="11">
        <f>[1]服务器生态!AC373</f>
        <v>0.47962550249999997</v>
      </c>
      <c r="AH359" s="11">
        <f>[1]服务器生态!AD373</f>
        <v>0.47291513735919999</v>
      </c>
      <c r="AI359" s="11">
        <f>[1]服务器生态!AE373</f>
        <v>3.8604200140800002E-2</v>
      </c>
      <c r="AJ359" s="11">
        <f>[1]服务器生态!AF373</f>
        <v>6.8679600000000019E-3</v>
      </c>
      <c r="AK359" s="11">
        <f>[1]服务器生态!AG373</f>
        <v>1.9871999999999997E-3</v>
      </c>
    </row>
    <row r="360" spans="32:37" x14ac:dyDescent="0.15">
      <c r="AF360" s="7">
        <v>353</v>
      </c>
      <c r="AG360" s="11">
        <f>[1]服务器生态!AC374</f>
        <v>0.47962550249999997</v>
      </c>
      <c r="AH360" s="11">
        <f>[1]服务器生态!AD374</f>
        <v>0.47291513735919999</v>
      </c>
      <c r="AI360" s="11">
        <f>[1]服务器生态!AE374</f>
        <v>3.8604200140800002E-2</v>
      </c>
      <c r="AJ360" s="11">
        <f>[1]服务器生态!AF374</f>
        <v>6.8679600000000019E-3</v>
      </c>
      <c r="AK360" s="11">
        <f>[1]服务器生态!AG374</f>
        <v>1.9871999999999997E-3</v>
      </c>
    </row>
    <row r="361" spans="32:37" x14ac:dyDescent="0.15">
      <c r="AF361" s="7">
        <v>354</v>
      </c>
      <c r="AG361" s="11">
        <f>[1]服务器生态!AC375</f>
        <v>0.47962550249999997</v>
      </c>
      <c r="AH361" s="11">
        <f>[1]服务器生态!AD375</f>
        <v>0.47291513735919999</v>
      </c>
      <c r="AI361" s="11">
        <f>[1]服务器生态!AE375</f>
        <v>3.8604200140800002E-2</v>
      </c>
      <c r="AJ361" s="11">
        <f>[1]服务器生态!AF375</f>
        <v>6.8679600000000019E-3</v>
      </c>
      <c r="AK361" s="11">
        <f>[1]服务器生态!AG375</f>
        <v>1.9871999999999997E-3</v>
      </c>
    </row>
    <row r="362" spans="32:37" x14ac:dyDescent="0.15">
      <c r="AF362" s="7">
        <v>355</v>
      </c>
      <c r="AG362" s="11">
        <f>[1]服务器生态!AC376</f>
        <v>0.47962550249999997</v>
      </c>
      <c r="AH362" s="11">
        <f>[1]服务器生态!AD376</f>
        <v>0.47291513735919999</v>
      </c>
      <c r="AI362" s="11">
        <f>[1]服务器生态!AE376</f>
        <v>3.8604200140800002E-2</v>
      </c>
      <c r="AJ362" s="11">
        <f>[1]服务器生态!AF376</f>
        <v>6.8679600000000019E-3</v>
      </c>
      <c r="AK362" s="11">
        <f>[1]服务器生态!AG376</f>
        <v>1.9871999999999997E-3</v>
      </c>
    </row>
    <row r="363" spans="32:37" x14ac:dyDescent="0.15">
      <c r="AF363" s="7">
        <v>356</v>
      </c>
      <c r="AG363" s="11">
        <f>[1]服务器生态!AC377</f>
        <v>0.47962550249999997</v>
      </c>
      <c r="AH363" s="11">
        <f>[1]服务器生态!AD377</f>
        <v>0.47291513735919999</v>
      </c>
      <c r="AI363" s="11">
        <f>[1]服务器生态!AE377</f>
        <v>3.8604200140800002E-2</v>
      </c>
      <c r="AJ363" s="11">
        <f>[1]服务器生态!AF377</f>
        <v>6.8679600000000019E-3</v>
      </c>
      <c r="AK363" s="11">
        <f>[1]服务器生态!AG377</f>
        <v>1.9871999999999997E-3</v>
      </c>
    </row>
    <row r="364" spans="32:37" x14ac:dyDescent="0.15">
      <c r="AF364" s="7">
        <v>357</v>
      </c>
      <c r="AG364" s="11">
        <f>[1]服务器生态!AC378</f>
        <v>0.47962550249999997</v>
      </c>
      <c r="AH364" s="11">
        <f>[1]服务器生态!AD378</f>
        <v>0.47291513735919999</v>
      </c>
      <c r="AI364" s="11">
        <f>[1]服务器生态!AE378</f>
        <v>3.8604200140800002E-2</v>
      </c>
      <c r="AJ364" s="11">
        <f>[1]服务器生态!AF378</f>
        <v>6.8679600000000019E-3</v>
      </c>
      <c r="AK364" s="11">
        <f>[1]服务器生态!AG378</f>
        <v>1.9871999999999997E-3</v>
      </c>
    </row>
    <row r="365" spans="32:37" x14ac:dyDescent="0.15">
      <c r="AF365" s="7">
        <v>358</v>
      </c>
      <c r="AG365" s="11">
        <f>[1]服务器生态!AC379</f>
        <v>0.47962550249999997</v>
      </c>
      <c r="AH365" s="11">
        <f>[1]服务器生态!AD379</f>
        <v>0.47291513735919999</v>
      </c>
      <c r="AI365" s="11">
        <f>[1]服务器生态!AE379</f>
        <v>3.8604200140800002E-2</v>
      </c>
      <c r="AJ365" s="11">
        <f>[1]服务器生态!AF379</f>
        <v>6.8679600000000019E-3</v>
      </c>
      <c r="AK365" s="11">
        <f>[1]服务器生态!AG379</f>
        <v>1.9871999999999997E-3</v>
      </c>
    </row>
    <row r="366" spans="32:37" x14ac:dyDescent="0.15">
      <c r="AF366" s="7">
        <v>359</v>
      </c>
      <c r="AG366" s="11">
        <f>[1]服务器生态!AC380</f>
        <v>0.47962550249999997</v>
      </c>
      <c r="AH366" s="11">
        <f>[1]服务器生态!AD380</f>
        <v>0.47291513735919999</v>
      </c>
      <c r="AI366" s="11">
        <f>[1]服务器生态!AE380</f>
        <v>3.8604200140800002E-2</v>
      </c>
      <c r="AJ366" s="11">
        <f>[1]服务器生态!AF380</f>
        <v>6.8679600000000019E-3</v>
      </c>
      <c r="AK366" s="11">
        <f>[1]服务器生态!AG380</f>
        <v>1.9871999999999997E-3</v>
      </c>
    </row>
    <row r="367" spans="32:37" x14ac:dyDescent="0.15">
      <c r="AF367" s="7">
        <v>360</v>
      </c>
      <c r="AG367" s="11">
        <f>[1]服务器生态!AC381</f>
        <v>0.47962550249999997</v>
      </c>
      <c r="AH367" s="11">
        <f>[1]服务器生态!AD381</f>
        <v>0.47291513735919999</v>
      </c>
      <c r="AI367" s="11">
        <f>[1]服务器生态!AE381</f>
        <v>3.8604200140800002E-2</v>
      </c>
      <c r="AJ367" s="11">
        <f>[1]服务器生态!AF381</f>
        <v>6.8679600000000019E-3</v>
      </c>
      <c r="AK367" s="11">
        <f>[1]服务器生态!AG381</f>
        <v>1.9871999999999997E-3</v>
      </c>
    </row>
    <row r="368" spans="32:37" x14ac:dyDescent="0.15">
      <c r="AF368" s="7">
        <v>361</v>
      </c>
      <c r="AG368" s="11">
        <f>[1]服务器生态!AC382</f>
        <v>0.47962550249999997</v>
      </c>
      <c r="AH368" s="11">
        <f>[1]服务器生态!AD382</f>
        <v>0.47291513735919999</v>
      </c>
      <c r="AI368" s="11">
        <f>[1]服务器生态!AE382</f>
        <v>3.8604200140800002E-2</v>
      </c>
      <c r="AJ368" s="11">
        <f>[1]服务器生态!AF382</f>
        <v>6.8679600000000019E-3</v>
      </c>
      <c r="AK368" s="11">
        <f>[1]服务器生态!AG382</f>
        <v>1.9871999999999997E-3</v>
      </c>
    </row>
    <row r="369" spans="32:37" x14ac:dyDescent="0.15">
      <c r="AF369" s="7">
        <v>362</v>
      </c>
      <c r="AG369" s="11">
        <f>[1]服务器生态!AC383</f>
        <v>0.47962550249999997</v>
      </c>
      <c r="AH369" s="11">
        <f>[1]服务器生态!AD383</f>
        <v>0.47291513735919999</v>
      </c>
      <c r="AI369" s="11">
        <f>[1]服务器生态!AE383</f>
        <v>3.8604200140800002E-2</v>
      </c>
      <c r="AJ369" s="11">
        <f>[1]服务器生态!AF383</f>
        <v>6.8679600000000019E-3</v>
      </c>
      <c r="AK369" s="11">
        <f>[1]服务器生态!AG383</f>
        <v>1.9871999999999997E-3</v>
      </c>
    </row>
    <row r="370" spans="32:37" x14ac:dyDescent="0.15">
      <c r="AF370" s="7">
        <v>363</v>
      </c>
      <c r="AG370" s="11">
        <f>[1]服务器生态!AC384</f>
        <v>0.47962550249999997</v>
      </c>
      <c r="AH370" s="11">
        <f>[1]服务器生态!AD384</f>
        <v>0.47291513735919999</v>
      </c>
      <c r="AI370" s="11">
        <f>[1]服务器生态!AE384</f>
        <v>3.8604200140800002E-2</v>
      </c>
      <c r="AJ370" s="11">
        <f>[1]服务器生态!AF384</f>
        <v>6.8679600000000019E-3</v>
      </c>
      <c r="AK370" s="11">
        <f>[1]服务器生态!AG384</f>
        <v>1.9871999999999997E-3</v>
      </c>
    </row>
    <row r="371" spans="32:37" x14ac:dyDescent="0.15">
      <c r="AF371" s="7">
        <v>364</v>
      </c>
      <c r="AG371" s="11">
        <f>[1]服务器生态!AC385</f>
        <v>0.47962550249999997</v>
      </c>
      <c r="AH371" s="11">
        <f>[1]服务器生态!AD385</f>
        <v>0.47291513735919999</v>
      </c>
      <c r="AI371" s="11">
        <f>[1]服务器生态!AE385</f>
        <v>3.8604200140800002E-2</v>
      </c>
      <c r="AJ371" s="11">
        <f>[1]服务器生态!AF385</f>
        <v>6.8679600000000019E-3</v>
      </c>
      <c r="AK371" s="11">
        <f>[1]服务器生态!AG385</f>
        <v>1.9871999999999997E-3</v>
      </c>
    </row>
    <row r="372" spans="32:37" x14ac:dyDescent="0.15">
      <c r="AF372" s="7">
        <v>365</v>
      </c>
      <c r="AG372" s="11">
        <f>[1]服务器生态!AC386</f>
        <v>0.47962550249999997</v>
      </c>
      <c r="AH372" s="11">
        <f>[1]服务器生态!AD386</f>
        <v>0.47291513735919999</v>
      </c>
      <c r="AI372" s="11">
        <f>[1]服务器生态!AE386</f>
        <v>3.8604200140800002E-2</v>
      </c>
      <c r="AJ372" s="11">
        <f>[1]服务器生态!AF386</f>
        <v>6.8679600000000019E-3</v>
      </c>
      <c r="AK372" s="11">
        <f>[1]服务器生态!AG386</f>
        <v>1.9871999999999997E-3</v>
      </c>
    </row>
    <row r="373" spans="32:37" x14ac:dyDescent="0.15">
      <c r="AF373" s="7">
        <v>366</v>
      </c>
      <c r="AG373" s="11">
        <f>[1]服务器生态!AC387</f>
        <v>0.47962550249999997</v>
      </c>
      <c r="AH373" s="11">
        <f>[1]服务器生态!AD387</f>
        <v>0.47291513735919999</v>
      </c>
      <c r="AI373" s="11">
        <f>[1]服务器生态!AE387</f>
        <v>3.8604200140800002E-2</v>
      </c>
      <c r="AJ373" s="11">
        <f>[1]服务器生态!AF387</f>
        <v>6.8679600000000019E-3</v>
      </c>
      <c r="AK373" s="11">
        <f>[1]服务器生态!AG387</f>
        <v>1.9871999999999997E-3</v>
      </c>
    </row>
    <row r="374" spans="32:37" x14ac:dyDescent="0.15">
      <c r="AF374" s="7">
        <v>367</v>
      </c>
      <c r="AG374" s="11">
        <f>[1]服务器生态!AC388</f>
        <v>0.47962550249999997</v>
      </c>
      <c r="AH374" s="11">
        <f>[1]服务器生态!AD388</f>
        <v>0.47291513735919999</v>
      </c>
      <c r="AI374" s="11">
        <f>[1]服务器生态!AE388</f>
        <v>3.8604200140800002E-2</v>
      </c>
      <c r="AJ374" s="11">
        <f>[1]服务器生态!AF388</f>
        <v>6.8679600000000019E-3</v>
      </c>
      <c r="AK374" s="11">
        <f>[1]服务器生态!AG388</f>
        <v>1.9871999999999997E-3</v>
      </c>
    </row>
    <row r="375" spans="32:37" x14ac:dyDescent="0.15">
      <c r="AF375" s="7">
        <v>368</v>
      </c>
      <c r="AG375" s="11">
        <f>[1]服务器生态!AC389</f>
        <v>0.47962550249999997</v>
      </c>
      <c r="AH375" s="11">
        <f>[1]服务器生态!AD389</f>
        <v>0.47291513735919999</v>
      </c>
      <c r="AI375" s="11">
        <f>[1]服务器生态!AE389</f>
        <v>3.8604200140800002E-2</v>
      </c>
      <c r="AJ375" s="11">
        <f>[1]服务器生态!AF389</f>
        <v>6.8679600000000019E-3</v>
      </c>
      <c r="AK375" s="11">
        <f>[1]服务器生态!AG389</f>
        <v>1.9871999999999997E-3</v>
      </c>
    </row>
    <row r="376" spans="32:37" x14ac:dyDescent="0.15">
      <c r="AF376" s="7">
        <v>369</v>
      </c>
      <c r="AG376" s="11">
        <f>[1]服务器生态!AC390</f>
        <v>0.47962550249999997</v>
      </c>
      <c r="AH376" s="11">
        <f>[1]服务器生态!AD390</f>
        <v>0.47291513735919999</v>
      </c>
      <c r="AI376" s="11">
        <f>[1]服务器生态!AE390</f>
        <v>3.8604200140800002E-2</v>
      </c>
      <c r="AJ376" s="11">
        <f>[1]服务器生态!AF390</f>
        <v>6.8679600000000019E-3</v>
      </c>
      <c r="AK376" s="11">
        <f>[1]服务器生态!AG390</f>
        <v>1.9871999999999997E-3</v>
      </c>
    </row>
    <row r="377" spans="32:37" x14ac:dyDescent="0.15">
      <c r="AF377" s="7">
        <v>370</v>
      </c>
      <c r="AG377" s="11">
        <f>[1]服务器生态!AC391</f>
        <v>0.47962550249999997</v>
      </c>
      <c r="AH377" s="11">
        <f>[1]服务器生态!AD391</f>
        <v>0.47291513735919999</v>
      </c>
      <c r="AI377" s="11">
        <f>[1]服务器生态!AE391</f>
        <v>3.8604200140800002E-2</v>
      </c>
      <c r="AJ377" s="11">
        <f>[1]服务器生态!AF391</f>
        <v>6.8679600000000019E-3</v>
      </c>
      <c r="AK377" s="11">
        <f>[1]服务器生态!AG391</f>
        <v>1.9871999999999997E-3</v>
      </c>
    </row>
    <row r="378" spans="32:37" x14ac:dyDescent="0.15">
      <c r="AF378" s="7">
        <v>371</v>
      </c>
      <c r="AG378" s="11">
        <f>[1]服务器生态!AC392</f>
        <v>0.47962550249999997</v>
      </c>
      <c r="AH378" s="11">
        <f>[1]服务器生态!AD392</f>
        <v>0.47291513735919999</v>
      </c>
      <c r="AI378" s="11">
        <f>[1]服务器生态!AE392</f>
        <v>3.8604200140800002E-2</v>
      </c>
      <c r="AJ378" s="11">
        <f>[1]服务器生态!AF392</f>
        <v>6.8679600000000019E-3</v>
      </c>
      <c r="AK378" s="11">
        <f>[1]服务器生态!AG392</f>
        <v>1.9871999999999997E-3</v>
      </c>
    </row>
    <row r="379" spans="32:37" x14ac:dyDescent="0.15">
      <c r="AF379" s="7">
        <v>372</v>
      </c>
      <c r="AG379" s="11">
        <f>[1]服务器生态!AC393</f>
        <v>0.47962550249999997</v>
      </c>
      <c r="AH379" s="11">
        <f>[1]服务器生态!AD393</f>
        <v>0.47291513735919999</v>
      </c>
      <c r="AI379" s="11">
        <f>[1]服务器生态!AE393</f>
        <v>3.8604200140800002E-2</v>
      </c>
      <c r="AJ379" s="11">
        <f>[1]服务器生态!AF393</f>
        <v>6.8679600000000019E-3</v>
      </c>
      <c r="AK379" s="11">
        <f>[1]服务器生态!AG393</f>
        <v>1.9871999999999997E-3</v>
      </c>
    </row>
    <row r="380" spans="32:37" x14ac:dyDescent="0.15">
      <c r="AF380" s="7">
        <v>373</v>
      </c>
      <c r="AG380" s="11">
        <f>[1]服务器生态!AC394</f>
        <v>0.47962550249999997</v>
      </c>
      <c r="AH380" s="11">
        <f>[1]服务器生态!AD394</f>
        <v>0.47291513735919999</v>
      </c>
      <c r="AI380" s="11">
        <f>[1]服务器生态!AE394</f>
        <v>3.8604200140800002E-2</v>
      </c>
      <c r="AJ380" s="11">
        <f>[1]服务器生态!AF394</f>
        <v>6.8679600000000019E-3</v>
      </c>
      <c r="AK380" s="11">
        <f>[1]服务器生态!AG394</f>
        <v>1.9871999999999997E-3</v>
      </c>
    </row>
    <row r="381" spans="32:37" x14ac:dyDescent="0.15">
      <c r="AF381" s="7">
        <v>374</v>
      </c>
      <c r="AG381" s="11">
        <f>[1]服务器生态!AC395</f>
        <v>0.47962550249999997</v>
      </c>
      <c r="AH381" s="11">
        <f>[1]服务器生态!AD395</f>
        <v>0.47291513735919999</v>
      </c>
      <c r="AI381" s="11">
        <f>[1]服务器生态!AE395</f>
        <v>3.8604200140800002E-2</v>
      </c>
      <c r="AJ381" s="11">
        <f>[1]服务器生态!AF395</f>
        <v>6.8679600000000019E-3</v>
      </c>
      <c r="AK381" s="11">
        <f>[1]服务器生态!AG395</f>
        <v>1.9871999999999997E-3</v>
      </c>
    </row>
    <row r="382" spans="32:37" x14ac:dyDescent="0.15">
      <c r="AF382" s="7">
        <v>375</v>
      </c>
      <c r="AG382" s="11">
        <f>[1]服务器生态!AC396</f>
        <v>0.47962550249999997</v>
      </c>
      <c r="AH382" s="11">
        <f>[1]服务器生态!AD396</f>
        <v>0.47291513735919999</v>
      </c>
      <c r="AI382" s="11">
        <f>[1]服务器生态!AE396</f>
        <v>3.8604200140800002E-2</v>
      </c>
      <c r="AJ382" s="11">
        <f>[1]服务器生态!AF396</f>
        <v>6.8679600000000019E-3</v>
      </c>
      <c r="AK382" s="11">
        <f>[1]服务器生态!AG396</f>
        <v>1.9871999999999997E-3</v>
      </c>
    </row>
    <row r="383" spans="32:37" x14ac:dyDescent="0.15">
      <c r="AF383" s="7">
        <v>376</v>
      </c>
      <c r="AG383" s="11">
        <f>[1]服务器生态!AC397</f>
        <v>0.47962550249999997</v>
      </c>
      <c r="AH383" s="11">
        <f>[1]服务器生态!AD397</f>
        <v>0.47291513735919999</v>
      </c>
      <c r="AI383" s="11">
        <f>[1]服务器生态!AE397</f>
        <v>3.8604200140800002E-2</v>
      </c>
      <c r="AJ383" s="11">
        <f>[1]服务器生态!AF397</f>
        <v>6.8679600000000019E-3</v>
      </c>
      <c r="AK383" s="11">
        <f>[1]服务器生态!AG397</f>
        <v>1.9871999999999997E-3</v>
      </c>
    </row>
    <row r="384" spans="32:37" x14ac:dyDescent="0.15">
      <c r="AF384" s="7">
        <v>377</v>
      </c>
      <c r="AG384" s="11">
        <f>[1]服务器生态!AC398</f>
        <v>0.47962550249999997</v>
      </c>
      <c r="AH384" s="11">
        <f>[1]服务器生态!AD398</f>
        <v>0.47291513735919999</v>
      </c>
      <c r="AI384" s="11">
        <f>[1]服务器生态!AE398</f>
        <v>3.8604200140800002E-2</v>
      </c>
      <c r="AJ384" s="11">
        <f>[1]服务器生态!AF398</f>
        <v>6.8679600000000019E-3</v>
      </c>
      <c r="AK384" s="11">
        <f>[1]服务器生态!AG398</f>
        <v>1.9871999999999997E-3</v>
      </c>
    </row>
    <row r="385" spans="32:37" x14ac:dyDescent="0.15">
      <c r="AF385" s="7">
        <v>378</v>
      </c>
      <c r="AG385" s="11">
        <f>[1]服务器生态!AC399</f>
        <v>0.47962550249999997</v>
      </c>
      <c r="AH385" s="11">
        <f>[1]服务器生态!AD399</f>
        <v>0.47291513735919999</v>
      </c>
      <c r="AI385" s="11">
        <f>[1]服务器生态!AE399</f>
        <v>3.8604200140800002E-2</v>
      </c>
      <c r="AJ385" s="11">
        <f>[1]服务器生态!AF399</f>
        <v>6.8679600000000019E-3</v>
      </c>
      <c r="AK385" s="11">
        <f>[1]服务器生态!AG399</f>
        <v>1.9871999999999997E-3</v>
      </c>
    </row>
    <row r="386" spans="32:37" x14ac:dyDescent="0.15">
      <c r="AF386" s="7">
        <v>379</v>
      </c>
      <c r="AG386" s="11">
        <f>[1]服务器生态!AC400</f>
        <v>0.47962550249999997</v>
      </c>
      <c r="AH386" s="11">
        <f>[1]服务器生态!AD400</f>
        <v>0.47291513735919999</v>
      </c>
      <c r="AI386" s="11">
        <f>[1]服务器生态!AE400</f>
        <v>3.8604200140800002E-2</v>
      </c>
      <c r="AJ386" s="11">
        <f>[1]服务器生态!AF400</f>
        <v>6.8679600000000019E-3</v>
      </c>
      <c r="AK386" s="11">
        <f>[1]服务器生态!AG400</f>
        <v>1.9871999999999997E-3</v>
      </c>
    </row>
    <row r="387" spans="32:37" x14ac:dyDescent="0.15">
      <c r="AF387" s="7">
        <v>380</v>
      </c>
      <c r="AG387" s="11">
        <f>[1]服务器生态!AC401</f>
        <v>0.47962550249999997</v>
      </c>
      <c r="AH387" s="11">
        <f>[1]服务器生态!AD401</f>
        <v>0.47291513735919999</v>
      </c>
      <c r="AI387" s="11">
        <f>[1]服务器生态!AE401</f>
        <v>3.8604200140800002E-2</v>
      </c>
      <c r="AJ387" s="11">
        <f>[1]服务器生态!AF401</f>
        <v>6.8679600000000019E-3</v>
      </c>
      <c r="AK387" s="11">
        <f>[1]服务器生态!AG401</f>
        <v>1.9871999999999997E-3</v>
      </c>
    </row>
    <row r="388" spans="32:37" x14ac:dyDescent="0.15">
      <c r="AF388" s="7">
        <v>381</v>
      </c>
      <c r="AG388" s="11">
        <f>[1]服务器生态!AC402</f>
        <v>0.47962550249999997</v>
      </c>
      <c r="AH388" s="11">
        <f>[1]服务器生态!AD402</f>
        <v>0.47291513735919999</v>
      </c>
      <c r="AI388" s="11">
        <f>[1]服务器生态!AE402</f>
        <v>3.8604200140800002E-2</v>
      </c>
      <c r="AJ388" s="11">
        <f>[1]服务器生态!AF402</f>
        <v>6.8679600000000019E-3</v>
      </c>
      <c r="AK388" s="11">
        <f>[1]服务器生态!AG402</f>
        <v>1.9871999999999997E-3</v>
      </c>
    </row>
    <row r="389" spans="32:37" x14ac:dyDescent="0.15">
      <c r="AF389" s="7">
        <v>382</v>
      </c>
      <c r="AG389" s="11">
        <f>[1]服务器生态!AC403</f>
        <v>0.47962550249999997</v>
      </c>
      <c r="AH389" s="11">
        <f>[1]服务器生态!AD403</f>
        <v>0.47291513735919999</v>
      </c>
      <c r="AI389" s="11">
        <f>[1]服务器生态!AE403</f>
        <v>3.8604200140800002E-2</v>
      </c>
      <c r="AJ389" s="11">
        <f>[1]服务器生态!AF403</f>
        <v>6.8679600000000019E-3</v>
      </c>
      <c r="AK389" s="11">
        <f>[1]服务器生态!AG403</f>
        <v>1.9871999999999997E-3</v>
      </c>
    </row>
    <row r="390" spans="32:37" x14ac:dyDescent="0.15">
      <c r="AF390" s="7">
        <v>383</v>
      </c>
      <c r="AG390" s="11">
        <f>[1]服务器生态!AC404</f>
        <v>0.47962550249999997</v>
      </c>
      <c r="AH390" s="11">
        <f>[1]服务器生态!AD404</f>
        <v>0.47291513735919999</v>
      </c>
      <c r="AI390" s="11">
        <f>[1]服务器生态!AE404</f>
        <v>3.8604200140800002E-2</v>
      </c>
      <c r="AJ390" s="11">
        <f>[1]服务器生态!AF404</f>
        <v>6.8679600000000019E-3</v>
      </c>
      <c r="AK390" s="11">
        <f>[1]服务器生态!AG404</f>
        <v>1.9871999999999997E-3</v>
      </c>
    </row>
    <row r="391" spans="32:37" x14ac:dyDescent="0.15">
      <c r="AF391" s="7">
        <v>384</v>
      </c>
      <c r="AG391" s="11">
        <f>[1]服务器生态!AC405</f>
        <v>0.47962550249999997</v>
      </c>
      <c r="AH391" s="11">
        <f>[1]服务器生态!AD405</f>
        <v>0.47291513735919999</v>
      </c>
      <c r="AI391" s="11">
        <f>[1]服务器生态!AE405</f>
        <v>3.8604200140800002E-2</v>
      </c>
      <c r="AJ391" s="11">
        <f>[1]服务器生态!AF405</f>
        <v>6.8679600000000019E-3</v>
      </c>
      <c r="AK391" s="11">
        <f>[1]服务器生态!AG405</f>
        <v>1.9871999999999997E-3</v>
      </c>
    </row>
    <row r="392" spans="32:37" x14ac:dyDescent="0.15">
      <c r="AF392" s="7">
        <v>385</v>
      </c>
      <c r="AG392" s="11">
        <f>[1]服务器生态!AC406</f>
        <v>0.47962550249999997</v>
      </c>
      <c r="AH392" s="11">
        <f>[1]服务器生态!AD406</f>
        <v>0.47291513735919999</v>
      </c>
      <c r="AI392" s="11">
        <f>[1]服务器生态!AE406</f>
        <v>3.8604200140800002E-2</v>
      </c>
      <c r="AJ392" s="11">
        <f>[1]服务器生态!AF406</f>
        <v>6.8679600000000019E-3</v>
      </c>
      <c r="AK392" s="11">
        <f>[1]服务器生态!AG406</f>
        <v>1.9871999999999997E-3</v>
      </c>
    </row>
    <row r="393" spans="32:37" x14ac:dyDescent="0.15">
      <c r="AF393" s="7">
        <v>386</v>
      </c>
      <c r="AG393" s="11">
        <f>[1]服务器生态!AC407</f>
        <v>0.47962550249999997</v>
      </c>
      <c r="AH393" s="11">
        <f>[1]服务器生态!AD407</f>
        <v>0.47291513735919999</v>
      </c>
      <c r="AI393" s="11">
        <f>[1]服务器生态!AE407</f>
        <v>3.8604200140800002E-2</v>
      </c>
      <c r="AJ393" s="11">
        <f>[1]服务器生态!AF407</f>
        <v>6.8679600000000019E-3</v>
      </c>
      <c r="AK393" s="11">
        <f>[1]服务器生态!AG407</f>
        <v>1.9871999999999997E-3</v>
      </c>
    </row>
    <row r="394" spans="32:37" x14ac:dyDescent="0.15">
      <c r="AF394" s="7">
        <v>387</v>
      </c>
      <c r="AG394" s="11">
        <f>[1]服务器生态!AC408</f>
        <v>0.47962550249999997</v>
      </c>
      <c r="AH394" s="11">
        <f>[1]服务器生态!AD408</f>
        <v>0.47291513735919999</v>
      </c>
      <c r="AI394" s="11">
        <f>[1]服务器生态!AE408</f>
        <v>3.8604200140800002E-2</v>
      </c>
      <c r="AJ394" s="11">
        <f>[1]服务器生态!AF408</f>
        <v>6.8679600000000019E-3</v>
      </c>
      <c r="AK394" s="11">
        <f>[1]服务器生态!AG408</f>
        <v>1.9871999999999997E-3</v>
      </c>
    </row>
    <row r="395" spans="32:37" x14ac:dyDescent="0.15">
      <c r="AF395" s="7">
        <v>388</v>
      </c>
      <c r="AG395" s="11">
        <f>[1]服务器生态!AC409</f>
        <v>0.47962550249999997</v>
      </c>
      <c r="AH395" s="11">
        <f>[1]服务器生态!AD409</f>
        <v>0.47291513735919999</v>
      </c>
      <c r="AI395" s="11">
        <f>[1]服务器生态!AE409</f>
        <v>3.8604200140800002E-2</v>
      </c>
      <c r="AJ395" s="11">
        <f>[1]服务器生态!AF409</f>
        <v>6.8679600000000019E-3</v>
      </c>
      <c r="AK395" s="11">
        <f>[1]服务器生态!AG409</f>
        <v>1.9871999999999997E-3</v>
      </c>
    </row>
    <row r="396" spans="32:37" x14ac:dyDescent="0.15">
      <c r="AF396" s="7">
        <v>389</v>
      </c>
      <c r="AG396" s="11">
        <f>[1]服务器生态!AC410</f>
        <v>0.47962550249999997</v>
      </c>
      <c r="AH396" s="11">
        <f>[1]服务器生态!AD410</f>
        <v>0.47291513735919999</v>
      </c>
      <c r="AI396" s="11">
        <f>[1]服务器生态!AE410</f>
        <v>3.8604200140800002E-2</v>
      </c>
      <c r="AJ396" s="11">
        <f>[1]服务器生态!AF410</f>
        <v>6.8679600000000019E-3</v>
      </c>
      <c r="AK396" s="11">
        <f>[1]服务器生态!AG410</f>
        <v>1.9871999999999997E-3</v>
      </c>
    </row>
    <row r="397" spans="32:37" x14ac:dyDescent="0.15">
      <c r="AF397" s="7">
        <v>390</v>
      </c>
      <c r="AG397" s="11">
        <f>[1]服务器生态!AC411</f>
        <v>0.47962550249999997</v>
      </c>
      <c r="AH397" s="11">
        <f>[1]服务器生态!AD411</f>
        <v>0.47291513735919999</v>
      </c>
      <c r="AI397" s="11">
        <f>[1]服务器生态!AE411</f>
        <v>3.8604200140800002E-2</v>
      </c>
      <c r="AJ397" s="11">
        <f>[1]服务器生态!AF411</f>
        <v>6.8679600000000019E-3</v>
      </c>
      <c r="AK397" s="11">
        <f>[1]服务器生态!AG411</f>
        <v>1.9871999999999997E-3</v>
      </c>
    </row>
    <row r="398" spans="32:37" x14ac:dyDescent="0.15">
      <c r="AF398" s="7">
        <v>391</v>
      </c>
      <c r="AG398" s="11">
        <f>[1]服务器生态!AC412</f>
        <v>0.47962550249999997</v>
      </c>
      <c r="AH398" s="11">
        <f>[1]服务器生态!AD412</f>
        <v>0.47291513735919999</v>
      </c>
      <c r="AI398" s="11">
        <f>[1]服务器生态!AE412</f>
        <v>3.8604200140800002E-2</v>
      </c>
      <c r="AJ398" s="11">
        <f>[1]服务器生态!AF412</f>
        <v>6.8679600000000019E-3</v>
      </c>
      <c r="AK398" s="11">
        <f>[1]服务器生态!AG412</f>
        <v>1.9871999999999997E-3</v>
      </c>
    </row>
    <row r="399" spans="32:37" x14ac:dyDescent="0.15">
      <c r="AF399" s="7">
        <v>392</v>
      </c>
      <c r="AG399" s="11">
        <f>[1]服务器生态!AC413</f>
        <v>0.47962550249999997</v>
      </c>
      <c r="AH399" s="11">
        <f>[1]服务器生态!AD413</f>
        <v>0.47291513735919999</v>
      </c>
      <c r="AI399" s="11">
        <f>[1]服务器生态!AE413</f>
        <v>3.8604200140800002E-2</v>
      </c>
      <c r="AJ399" s="11">
        <f>[1]服务器生态!AF413</f>
        <v>6.8679600000000019E-3</v>
      </c>
      <c r="AK399" s="11">
        <f>[1]服务器生态!AG413</f>
        <v>1.9871999999999997E-3</v>
      </c>
    </row>
    <row r="400" spans="32:37" x14ac:dyDescent="0.15">
      <c r="AF400" s="7">
        <v>393</v>
      </c>
      <c r="AG400" s="11">
        <f>[1]服务器生态!AC414</f>
        <v>0.47962550249999997</v>
      </c>
      <c r="AH400" s="11">
        <f>[1]服务器生态!AD414</f>
        <v>0.47291513735919999</v>
      </c>
      <c r="AI400" s="11">
        <f>[1]服务器生态!AE414</f>
        <v>3.8604200140800002E-2</v>
      </c>
      <c r="AJ400" s="11">
        <f>[1]服务器生态!AF414</f>
        <v>6.8679600000000019E-3</v>
      </c>
      <c r="AK400" s="11">
        <f>[1]服务器生态!AG414</f>
        <v>1.9871999999999997E-3</v>
      </c>
    </row>
    <row r="401" spans="32:37" x14ac:dyDescent="0.15">
      <c r="AF401" s="7">
        <v>394</v>
      </c>
      <c r="AG401" s="11">
        <f>[1]服务器生态!AC415</f>
        <v>0.47962550249999997</v>
      </c>
      <c r="AH401" s="11">
        <f>[1]服务器生态!AD415</f>
        <v>0.47291513735919999</v>
      </c>
      <c r="AI401" s="11">
        <f>[1]服务器生态!AE415</f>
        <v>3.8604200140800002E-2</v>
      </c>
      <c r="AJ401" s="11">
        <f>[1]服务器生态!AF415</f>
        <v>6.8679600000000019E-3</v>
      </c>
      <c r="AK401" s="11">
        <f>[1]服务器生态!AG415</f>
        <v>1.9871999999999997E-3</v>
      </c>
    </row>
    <row r="402" spans="32:37" x14ac:dyDescent="0.15">
      <c r="AF402" s="7">
        <v>395</v>
      </c>
      <c r="AG402" s="11">
        <f>[1]服务器生态!AC416</f>
        <v>0.47962550249999997</v>
      </c>
      <c r="AH402" s="11">
        <f>[1]服务器生态!AD416</f>
        <v>0.47291513735919999</v>
      </c>
      <c r="AI402" s="11">
        <f>[1]服务器生态!AE416</f>
        <v>3.8604200140800002E-2</v>
      </c>
      <c r="AJ402" s="11">
        <f>[1]服务器生态!AF416</f>
        <v>6.8679600000000019E-3</v>
      </c>
      <c r="AK402" s="11">
        <f>[1]服务器生态!AG416</f>
        <v>1.9871999999999997E-3</v>
      </c>
    </row>
    <row r="403" spans="32:37" x14ac:dyDescent="0.15">
      <c r="AF403" s="7">
        <v>396</v>
      </c>
      <c r="AG403" s="11">
        <f>[1]服务器生态!AC417</f>
        <v>0.47962550249999997</v>
      </c>
      <c r="AH403" s="11">
        <f>[1]服务器生态!AD417</f>
        <v>0.47291513735919999</v>
      </c>
      <c r="AI403" s="11">
        <f>[1]服务器生态!AE417</f>
        <v>3.8604200140800002E-2</v>
      </c>
      <c r="AJ403" s="11">
        <f>[1]服务器生态!AF417</f>
        <v>6.8679600000000019E-3</v>
      </c>
      <c r="AK403" s="11">
        <f>[1]服务器生态!AG417</f>
        <v>1.9871999999999997E-3</v>
      </c>
    </row>
    <row r="404" spans="32:37" x14ac:dyDescent="0.15">
      <c r="AF404" s="7">
        <v>397</v>
      </c>
      <c r="AG404" s="11">
        <f>[1]服务器生态!AC418</f>
        <v>0.47962550249999997</v>
      </c>
      <c r="AH404" s="11">
        <f>[1]服务器生态!AD418</f>
        <v>0.47291513735919999</v>
      </c>
      <c r="AI404" s="11">
        <f>[1]服务器生态!AE418</f>
        <v>3.8604200140800002E-2</v>
      </c>
      <c r="AJ404" s="11">
        <f>[1]服务器生态!AF418</f>
        <v>6.8679600000000019E-3</v>
      </c>
      <c r="AK404" s="11">
        <f>[1]服务器生态!AG418</f>
        <v>1.9871999999999997E-3</v>
      </c>
    </row>
    <row r="405" spans="32:37" x14ac:dyDescent="0.15">
      <c r="AF405" s="7">
        <v>398</v>
      </c>
      <c r="AG405" s="11">
        <f>[1]服务器生态!AC419</f>
        <v>0.47962550249999997</v>
      </c>
      <c r="AH405" s="11">
        <f>[1]服务器生态!AD419</f>
        <v>0.47291513735919999</v>
      </c>
      <c r="AI405" s="11">
        <f>[1]服务器生态!AE419</f>
        <v>3.8604200140800002E-2</v>
      </c>
      <c r="AJ405" s="11">
        <f>[1]服务器生态!AF419</f>
        <v>6.8679600000000019E-3</v>
      </c>
      <c r="AK405" s="11">
        <f>[1]服务器生态!AG419</f>
        <v>1.9871999999999997E-3</v>
      </c>
    </row>
    <row r="406" spans="32:37" x14ac:dyDescent="0.15">
      <c r="AF406" s="7">
        <v>399</v>
      </c>
      <c r="AG406" s="11">
        <f>[1]服务器生态!AC420</f>
        <v>0.47962550249999997</v>
      </c>
      <c r="AH406" s="11">
        <f>[1]服务器生态!AD420</f>
        <v>0.47291513735919999</v>
      </c>
      <c r="AI406" s="11">
        <f>[1]服务器生态!AE420</f>
        <v>3.8604200140800002E-2</v>
      </c>
      <c r="AJ406" s="11">
        <f>[1]服务器生态!AF420</f>
        <v>6.8679600000000019E-3</v>
      </c>
      <c r="AK406" s="11">
        <f>[1]服务器生态!AG420</f>
        <v>1.9871999999999997E-3</v>
      </c>
    </row>
    <row r="407" spans="32:37" x14ac:dyDescent="0.15">
      <c r="AF407" s="7">
        <v>400</v>
      </c>
      <c r="AG407" s="11">
        <f>[1]服务器生态!AC421</f>
        <v>0.47962550249999997</v>
      </c>
      <c r="AH407" s="11">
        <f>[1]服务器生态!AD421</f>
        <v>0.47291513735919999</v>
      </c>
      <c r="AI407" s="11">
        <f>[1]服务器生态!AE421</f>
        <v>3.8604200140800002E-2</v>
      </c>
      <c r="AJ407" s="11">
        <f>[1]服务器生态!AF421</f>
        <v>6.8679600000000019E-3</v>
      </c>
      <c r="AK407" s="11">
        <f>[1]服务器生态!AG421</f>
        <v>1.9871999999999997E-3</v>
      </c>
    </row>
    <row r="408" spans="32:37" x14ac:dyDescent="0.15">
      <c r="AF408" s="7">
        <v>401</v>
      </c>
      <c r="AG408" s="11">
        <f>[1]服务器生态!AC422</f>
        <v>0.47962550249999997</v>
      </c>
      <c r="AH408" s="11">
        <f>[1]服务器生态!AD422</f>
        <v>0.47291513735919999</v>
      </c>
      <c r="AI408" s="11">
        <f>[1]服务器生态!AE422</f>
        <v>3.8604200140800002E-2</v>
      </c>
      <c r="AJ408" s="11">
        <f>[1]服务器生态!AF422</f>
        <v>6.8679600000000019E-3</v>
      </c>
      <c r="AK408" s="11">
        <f>[1]服务器生态!AG422</f>
        <v>1.9871999999999997E-3</v>
      </c>
    </row>
    <row r="409" spans="32:37" x14ac:dyDescent="0.15">
      <c r="AF409" s="7">
        <v>402</v>
      </c>
      <c r="AG409" s="11">
        <f>[1]服务器生态!AC423</f>
        <v>0.47962550249999997</v>
      </c>
      <c r="AH409" s="11">
        <f>[1]服务器生态!AD423</f>
        <v>0.47291513735919999</v>
      </c>
      <c r="AI409" s="11">
        <f>[1]服务器生态!AE423</f>
        <v>3.8604200140800002E-2</v>
      </c>
      <c r="AJ409" s="11">
        <f>[1]服务器生态!AF423</f>
        <v>6.8679600000000019E-3</v>
      </c>
      <c r="AK409" s="11">
        <f>[1]服务器生态!AG423</f>
        <v>1.9871999999999997E-3</v>
      </c>
    </row>
    <row r="410" spans="32:37" x14ac:dyDescent="0.15">
      <c r="AF410" s="7">
        <v>403</v>
      </c>
      <c r="AG410" s="11">
        <f>[1]服务器生态!AC424</f>
        <v>0.47962550249999997</v>
      </c>
      <c r="AH410" s="11">
        <f>[1]服务器生态!AD424</f>
        <v>0.47291513735919999</v>
      </c>
      <c r="AI410" s="11">
        <f>[1]服务器生态!AE424</f>
        <v>3.8604200140800002E-2</v>
      </c>
      <c r="AJ410" s="11">
        <f>[1]服务器生态!AF424</f>
        <v>6.8679600000000019E-3</v>
      </c>
      <c r="AK410" s="11">
        <f>[1]服务器生态!AG424</f>
        <v>1.9871999999999997E-3</v>
      </c>
    </row>
    <row r="411" spans="32:37" x14ac:dyDescent="0.15">
      <c r="AF411" s="7">
        <v>404</v>
      </c>
      <c r="AG411" s="11">
        <f>[1]服务器生态!AC425</f>
        <v>0.47962550249999997</v>
      </c>
      <c r="AH411" s="11">
        <f>[1]服务器生态!AD425</f>
        <v>0.47291513735919999</v>
      </c>
      <c r="AI411" s="11">
        <f>[1]服务器生态!AE425</f>
        <v>3.8604200140800002E-2</v>
      </c>
      <c r="AJ411" s="11">
        <f>[1]服务器生态!AF425</f>
        <v>6.8679600000000019E-3</v>
      </c>
      <c r="AK411" s="11">
        <f>[1]服务器生态!AG425</f>
        <v>1.9871999999999997E-3</v>
      </c>
    </row>
    <row r="412" spans="32:37" x14ac:dyDescent="0.15">
      <c r="AF412" s="7">
        <v>405</v>
      </c>
      <c r="AG412" s="11">
        <f>[1]服务器生态!AC426</f>
        <v>0.47962550249999997</v>
      </c>
      <c r="AH412" s="11">
        <f>[1]服务器生态!AD426</f>
        <v>0.47291513735919999</v>
      </c>
      <c r="AI412" s="11">
        <f>[1]服务器生态!AE426</f>
        <v>3.8604200140800002E-2</v>
      </c>
      <c r="AJ412" s="11">
        <f>[1]服务器生态!AF426</f>
        <v>6.8679600000000019E-3</v>
      </c>
      <c r="AK412" s="11">
        <f>[1]服务器生态!AG426</f>
        <v>1.9871999999999997E-3</v>
      </c>
    </row>
    <row r="413" spans="32:37" x14ac:dyDescent="0.15">
      <c r="AF413" s="7">
        <v>406</v>
      </c>
      <c r="AG413" s="11">
        <f>[1]服务器生态!AC427</f>
        <v>0.47962550249999997</v>
      </c>
      <c r="AH413" s="11">
        <f>[1]服务器生态!AD427</f>
        <v>0.47291513735919999</v>
      </c>
      <c r="AI413" s="11">
        <f>[1]服务器生态!AE427</f>
        <v>3.8604200140800002E-2</v>
      </c>
      <c r="AJ413" s="11">
        <f>[1]服务器生态!AF427</f>
        <v>6.8679600000000019E-3</v>
      </c>
      <c r="AK413" s="11">
        <f>[1]服务器生态!AG427</f>
        <v>1.9871999999999997E-3</v>
      </c>
    </row>
    <row r="414" spans="32:37" x14ac:dyDescent="0.15">
      <c r="AF414" s="7">
        <v>407</v>
      </c>
      <c r="AG414" s="11">
        <f>[1]服务器生态!AC428</f>
        <v>0.47962550249999997</v>
      </c>
      <c r="AH414" s="11">
        <f>[1]服务器生态!AD428</f>
        <v>0.47291513735919999</v>
      </c>
      <c r="AI414" s="11">
        <f>[1]服务器生态!AE428</f>
        <v>3.8604200140800002E-2</v>
      </c>
      <c r="AJ414" s="11">
        <f>[1]服务器生态!AF428</f>
        <v>6.8679600000000019E-3</v>
      </c>
      <c r="AK414" s="11">
        <f>[1]服务器生态!AG428</f>
        <v>1.9871999999999997E-3</v>
      </c>
    </row>
    <row r="415" spans="32:37" x14ac:dyDescent="0.15">
      <c r="AF415" s="7">
        <v>408</v>
      </c>
      <c r="AG415" s="11">
        <f>[1]服务器生态!AC429</f>
        <v>0.47962550249999997</v>
      </c>
      <c r="AH415" s="11">
        <f>[1]服务器生态!AD429</f>
        <v>0.47291513735919999</v>
      </c>
      <c r="AI415" s="11">
        <f>[1]服务器生态!AE429</f>
        <v>3.8604200140800002E-2</v>
      </c>
      <c r="AJ415" s="11">
        <f>[1]服务器生态!AF429</f>
        <v>6.8679600000000019E-3</v>
      </c>
      <c r="AK415" s="11">
        <f>[1]服务器生态!AG429</f>
        <v>1.9871999999999997E-3</v>
      </c>
    </row>
    <row r="416" spans="32:37" x14ac:dyDescent="0.15">
      <c r="AF416" s="7">
        <v>409</v>
      </c>
      <c r="AG416" s="11">
        <f>[1]服务器生态!AC430</f>
        <v>0.47962550249999997</v>
      </c>
      <c r="AH416" s="11">
        <f>[1]服务器生态!AD430</f>
        <v>0.47291513735919999</v>
      </c>
      <c r="AI416" s="11">
        <f>[1]服务器生态!AE430</f>
        <v>3.8604200140800002E-2</v>
      </c>
      <c r="AJ416" s="11">
        <f>[1]服务器生态!AF430</f>
        <v>6.8679600000000019E-3</v>
      </c>
      <c r="AK416" s="11">
        <f>[1]服务器生态!AG430</f>
        <v>1.9871999999999997E-3</v>
      </c>
    </row>
    <row r="417" spans="32:37" x14ac:dyDescent="0.15">
      <c r="AF417" s="7">
        <v>410</v>
      </c>
      <c r="AG417" s="11">
        <f>[1]服务器生态!AC431</f>
        <v>0.47962550249999997</v>
      </c>
      <c r="AH417" s="11">
        <f>[1]服务器生态!AD431</f>
        <v>0.47291513735919999</v>
      </c>
      <c r="AI417" s="11">
        <f>[1]服务器生态!AE431</f>
        <v>3.8604200140800002E-2</v>
      </c>
      <c r="AJ417" s="11">
        <f>[1]服务器生态!AF431</f>
        <v>6.8679600000000019E-3</v>
      </c>
      <c r="AK417" s="11">
        <f>[1]服务器生态!AG431</f>
        <v>1.9871999999999997E-3</v>
      </c>
    </row>
    <row r="418" spans="32:37" x14ac:dyDescent="0.15">
      <c r="AF418" s="7">
        <v>411</v>
      </c>
      <c r="AG418" s="11">
        <f>[1]服务器生态!AC432</f>
        <v>0.47962550249999997</v>
      </c>
      <c r="AH418" s="11">
        <f>[1]服务器生态!AD432</f>
        <v>0.47291513735919999</v>
      </c>
      <c r="AI418" s="11">
        <f>[1]服务器生态!AE432</f>
        <v>3.8604200140800002E-2</v>
      </c>
      <c r="AJ418" s="11">
        <f>[1]服务器生态!AF432</f>
        <v>6.8679600000000019E-3</v>
      </c>
      <c r="AK418" s="11">
        <f>[1]服务器生态!AG432</f>
        <v>1.9871999999999997E-3</v>
      </c>
    </row>
    <row r="419" spans="32:37" x14ac:dyDescent="0.15">
      <c r="AF419" s="7">
        <v>412</v>
      </c>
      <c r="AG419" s="11">
        <f>[1]服务器生态!AC433</f>
        <v>0.47962550249999997</v>
      </c>
      <c r="AH419" s="11">
        <f>[1]服务器生态!AD433</f>
        <v>0.47291513735919999</v>
      </c>
      <c r="AI419" s="11">
        <f>[1]服务器生态!AE433</f>
        <v>3.8604200140800002E-2</v>
      </c>
      <c r="AJ419" s="11">
        <f>[1]服务器生态!AF433</f>
        <v>6.8679600000000019E-3</v>
      </c>
      <c r="AK419" s="11">
        <f>[1]服务器生态!AG433</f>
        <v>1.9871999999999997E-3</v>
      </c>
    </row>
    <row r="420" spans="32:37" x14ac:dyDescent="0.15">
      <c r="AF420" s="7">
        <v>413</v>
      </c>
      <c r="AG420" s="11">
        <f>[1]服务器生态!AC434</f>
        <v>0.47962550249999997</v>
      </c>
      <c r="AH420" s="11">
        <f>[1]服务器生态!AD434</f>
        <v>0.47291513735919999</v>
      </c>
      <c r="AI420" s="11">
        <f>[1]服务器生态!AE434</f>
        <v>3.8604200140800002E-2</v>
      </c>
      <c r="AJ420" s="11">
        <f>[1]服务器生态!AF434</f>
        <v>6.8679600000000019E-3</v>
      </c>
      <c r="AK420" s="11">
        <f>[1]服务器生态!AG434</f>
        <v>1.9871999999999997E-3</v>
      </c>
    </row>
    <row r="421" spans="32:37" x14ac:dyDescent="0.15">
      <c r="AF421" s="7">
        <v>414</v>
      </c>
      <c r="AG421" s="11">
        <f>[1]服务器生态!AC435</f>
        <v>0.47962550249999997</v>
      </c>
      <c r="AH421" s="11">
        <f>[1]服务器生态!AD435</f>
        <v>0.47291513735919999</v>
      </c>
      <c r="AI421" s="11">
        <f>[1]服务器生态!AE435</f>
        <v>3.8604200140800002E-2</v>
      </c>
      <c r="AJ421" s="11">
        <f>[1]服务器生态!AF435</f>
        <v>6.8679600000000019E-3</v>
      </c>
      <c r="AK421" s="11">
        <f>[1]服务器生态!AG435</f>
        <v>1.9871999999999997E-3</v>
      </c>
    </row>
    <row r="422" spans="32:37" x14ac:dyDescent="0.15">
      <c r="AF422" s="7">
        <v>415</v>
      </c>
      <c r="AG422" s="11">
        <f>[1]服务器生态!AC436</f>
        <v>0.47962550249999997</v>
      </c>
      <c r="AH422" s="11">
        <f>[1]服务器生态!AD436</f>
        <v>0.47291513735919999</v>
      </c>
      <c r="AI422" s="11">
        <f>[1]服务器生态!AE436</f>
        <v>3.8604200140800002E-2</v>
      </c>
      <c r="AJ422" s="11">
        <f>[1]服务器生态!AF436</f>
        <v>6.8679600000000019E-3</v>
      </c>
      <c r="AK422" s="11">
        <f>[1]服务器生态!AG436</f>
        <v>1.9871999999999997E-3</v>
      </c>
    </row>
    <row r="423" spans="32:37" x14ac:dyDescent="0.15">
      <c r="AF423" s="7">
        <v>416</v>
      </c>
      <c r="AG423" s="11">
        <f>[1]服务器生态!AC437</f>
        <v>0.47962550249999997</v>
      </c>
      <c r="AH423" s="11">
        <f>[1]服务器生态!AD437</f>
        <v>0.47291513735919999</v>
      </c>
      <c r="AI423" s="11">
        <f>[1]服务器生态!AE437</f>
        <v>3.8604200140800002E-2</v>
      </c>
      <c r="AJ423" s="11">
        <f>[1]服务器生态!AF437</f>
        <v>6.8679600000000019E-3</v>
      </c>
      <c r="AK423" s="11">
        <f>[1]服务器生态!AG437</f>
        <v>1.9871999999999997E-3</v>
      </c>
    </row>
    <row r="424" spans="32:37" x14ac:dyDescent="0.15">
      <c r="AF424" s="7">
        <v>417</v>
      </c>
      <c r="AG424" s="11">
        <f>[1]服务器生态!AC438</f>
        <v>0.47962550249999997</v>
      </c>
      <c r="AH424" s="11">
        <f>[1]服务器生态!AD438</f>
        <v>0.47291513735919999</v>
      </c>
      <c r="AI424" s="11">
        <f>[1]服务器生态!AE438</f>
        <v>3.8604200140800002E-2</v>
      </c>
      <c r="AJ424" s="11">
        <f>[1]服务器生态!AF438</f>
        <v>6.8679600000000019E-3</v>
      </c>
      <c r="AK424" s="11">
        <f>[1]服务器生态!AG438</f>
        <v>1.9871999999999997E-3</v>
      </c>
    </row>
    <row r="425" spans="32:37" x14ac:dyDescent="0.15">
      <c r="AF425" s="7">
        <v>418</v>
      </c>
      <c r="AG425" s="11">
        <f>[1]服务器生态!AC439</f>
        <v>0.47962550249999997</v>
      </c>
      <c r="AH425" s="11">
        <f>[1]服务器生态!AD439</f>
        <v>0.47291513735919999</v>
      </c>
      <c r="AI425" s="11">
        <f>[1]服务器生态!AE439</f>
        <v>3.8604200140800002E-2</v>
      </c>
      <c r="AJ425" s="11">
        <f>[1]服务器生态!AF439</f>
        <v>6.8679600000000019E-3</v>
      </c>
      <c r="AK425" s="11">
        <f>[1]服务器生态!AG439</f>
        <v>1.9871999999999997E-3</v>
      </c>
    </row>
    <row r="426" spans="32:37" x14ac:dyDescent="0.15">
      <c r="AF426" s="7">
        <v>419</v>
      </c>
      <c r="AG426" s="11">
        <f>[1]服务器生态!AC440</f>
        <v>0.47962550249999997</v>
      </c>
      <c r="AH426" s="11">
        <f>[1]服务器生态!AD440</f>
        <v>0.47291513735919999</v>
      </c>
      <c r="AI426" s="11">
        <f>[1]服务器生态!AE440</f>
        <v>3.8604200140800002E-2</v>
      </c>
      <c r="AJ426" s="11">
        <f>[1]服务器生态!AF440</f>
        <v>6.8679600000000019E-3</v>
      </c>
      <c r="AK426" s="11">
        <f>[1]服务器生态!AG440</f>
        <v>1.9871999999999997E-3</v>
      </c>
    </row>
    <row r="427" spans="32:37" x14ac:dyDescent="0.15">
      <c r="AF427" s="7">
        <v>420</v>
      </c>
      <c r="AG427" s="11">
        <f>[1]服务器生态!AC441</f>
        <v>0.47962550249999997</v>
      </c>
      <c r="AH427" s="11">
        <f>[1]服务器生态!AD441</f>
        <v>0.47291513735919999</v>
      </c>
      <c r="AI427" s="11">
        <f>[1]服务器生态!AE441</f>
        <v>3.8604200140800002E-2</v>
      </c>
      <c r="AJ427" s="11">
        <f>[1]服务器生态!AF441</f>
        <v>6.8679600000000019E-3</v>
      </c>
      <c r="AK427" s="11">
        <f>[1]服务器生态!AG441</f>
        <v>1.9871999999999997E-3</v>
      </c>
    </row>
    <row r="428" spans="32:37" x14ac:dyDescent="0.15">
      <c r="AF428" s="7">
        <v>421</v>
      </c>
      <c r="AG428" s="11">
        <f>[1]服务器生态!AC442</f>
        <v>0.47962550249999997</v>
      </c>
      <c r="AH428" s="11">
        <f>[1]服务器生态!AD442</f>
        <v>0.47291513735919999</v>
      </c>
      <c r="AI428" s="11">
        <f>[1]服务器生态!AE442</f>
        <v>3.8604200140800002E-2</v>
      </c>
      <c r="AJ428" s="11">
        <f>[1]服务器生态!AF442</f>
        <v>6.8679600000000019E-3</v>
      </c>
      <c r="AK428" s="11">
        <f>[1]服务器生态!AG442</f>
        <v>1.9871999999999997E-3</v>
      </c>
    </row>
    <row r="429" spans="32:37" x14ac:dyDescent="0.15">
      <c r="AF429" s="7">
        <v>422</v>
      </c>
      <c r="AG429" s="11">
        <f>[1]服务器生态!AC443</f>
        <v>0.47962550249999997</v>
      </c>
      <c r="AH429" s="11">
        <f>[1]服务器生态!AD443</f>
        <v>0.47291513735919999</v>
      </c>
      <c r="AI429" s="11">
        <f>[1]服务器生态!AE443</f>
        <v>3.8604200140800002E-2</v>
      </c>
      <c r="AJ429" s="11">
        <f>[1]服务器生态!AF443</f>
        <v>6.8679600000000019E-3</v>
      </c>
      <c r="AK429" s="11">
        <f>[1]服务器生态!AG443</f>
        <v>1.9871999999999997E-3</v>
      </c>
    </row>
    <row r="430" spans="32:37" x14ac:dyDescent="0.15">
      <c r="AF430" s="7">
        <v>423</v>
      </c>
      <c r="AG430" s="11">
        <f>[1]服务器生态!AC444</f>
        <v>0.47962550249999997</v>
      </c>
      <c r="AH430" s="11">
        <f>[1]服务器生态!AD444</f>
        <v>0.47291513735919999</v>
      </c>
      <c r="AI430" s="11">
        <f>[1]服务器生态!AE444</f>
        <v>3.8604200140800002E-2</v>
      </c>
      <c r="AJ430" s="11">
        <f>[1]服务器生态!AF444</f>
        <v>6.8679600000000019E-3</v>
      </c>
      <c r="AK430" s="11">
        <f>[1]服务器生态!AG444</f>
        <v>1.9871999999999997E-3</v>
      </c>
    </row>
    <row r="431" spans="32:37" x14ac:dyDescent="0.15">
      <c r="AF431" s="7">
        <v>424</v>
      </c>
      <c r="AG431" s="11">
        <f>[1]服务器生态!AC445</f>
        <v>0.47962550249999997</v>
      </c>
      <c r="AH431" s="11">
        <f>[1]服务器生态!AD445</f>
        <v>0.47291513735919999</v>
      </c>
      <c r="AI431" s="11">
        <f>[1]服务器生态!AE445</f>
        <v>3.8604200140800002E-2</v>
      </c>
      <c r="AJ431" s="11">
        <f>[1]服务器生态!AF445</f>
        <v>6.8679600000000019E-3</v>
      </c>
      <c r="AK431" s="11">
        <f>[1]服务器生态!AG445</f>
        <v>1.9871999999999997E-3</v>
      </c>
    </row>
    <row r="432" spans="32:37" x14ac:dyDescent="0.15">
      <c r="AF432" s="7">
        <v>425</v>
      </c>
      <c r="AG432" s="11">
        <f>[1]服务器生态!AC446</f>
        <v>0.47962550249999997</v>
      </c>
      <c r="AH432" s="11">
        <f>[1]服务器生态!AD446</f>
        <v>0.47291513735919999</v>
      </c>
      <c r="AI432" s="11">
        <f>[1]服务器生态!AE446</f>
        <v>3.8604200140800002E-2</v>
      </c>
      <c r="AJ432" s="11">
        <f>[1]服务器生态!AF446</f>
        <v>6.8679600000000019E-3</v>
      </c>
      <c r="AK432" s="11">
        <f>[1]服务器生态!AG446</f>
        <v>1.9871999999999997E-3</v>
      </c>
    </row>
    <row r="433" spans="32:37" x14ac:dyDescent="0.15">
      <c r="AF433" s="7">
        <v>426</v>
      </c>
      <c r="AG433" s="11">
        <f>[1]服务器生态!AC447</f>
        <v>0.47962550249999997</v>
      </c>
      <c r="AH433" s="11">
        <f>[1]服务器生态!AD447</f>
        <v>0.47291513735919999</v>
      </c>
      <c r="AI433" s="11">
        <f>[1]服务器生态!AE447</f>
        <v>3.8604200140800002E-2</v>
      </c>
      <c r="AJ433" s="11">
        <f>[1]服务器生态!AF447</f>
        <v>6.8679600000000019E-3</v>
      </c>
      <c r="AK433" s="11">
        <f>[1]服务器生态!AG447</f>
        <v>1.9871999999999997E-3</v>
      </c>
    </row>
    <row r="434" spans="32:37" x14ac:dyDescent="0.15">
      <c r="AF434" s="7">
        <v>427</v>
      </c>
      <c r="AG434" s="11">
        <f>[1]服务器生态!AC448</f>
        <v>0.47962550249999997</v>
      </c>
      <c r="AH434" s="11">
        <f>[1]服务器生态!AD448</f>
        <v>0.47291513735919999</v>
      </c>
      <c r="AI434" s="11">
        <f>[1]服务器生态!AE448</f>
        <v>3.8604200140800002E-2</v>
      </c>
      <c r="AJ434" s="11">
        <f>[1]服务器生态!AF448</f>
        <v>6.8679600000000019E-3</v>
      </c>
      <c r="AK434" s="11">
        <f>[1]服务器生态!AG448</f>
        <v>1.9871999999999997E-3</v>
      </c>
    </row>
    <row r="435" spans="32:37" x14ac:dyDescent="0.15">
      <c r="AF435" s="7">
        <v>428</v>
      </c>
      <c r="AG435" s="11">
        <f>[1]服务器生态!AC449</f>
        <v>0.47962550249999997</v>
      </c>
      <c r="AH435" s="11">
        <f>[1]服务器生态!AD449</f>
        <v>0.47291513735919999</v>
      </c>
      <c r="AI435" s="11">
        <f>[1]服务器生态!AE449</f>
        <v>3.8604200140800002E-2</v>
      </c>
      <c r="AJ435" s="11">
        <f>[1]服务器生态!AF449</f>
        <v>6.8679600000000019E-3</v>
      </c>
      <c r="AK435" s="11">
        <f>[1]服务器生态!AG449</f>
        <v>1.9871999999999997E-3</v>
      </c>
    </row>
    <row r="436" spans="32:37" x14ac:dyDescent="0.15">
      <c r="AF436" s="7">
        <v>429</v>
      </c>
      <c r="AG436" s="11">
        <f>[1]服务器生态!AC450</f>
        <v>0.47962550249999997</v>
      </c>
      <c r="AH436" s="11">
        <f>[1]服务器生态!AD450</f>
        <v>0.47291513735919999</v>
      </c>
      <c r="AI436" s="11">
        <f>[1]服务器生态!AE450</f>
        <v>3.8604200140800002E-2</v>
      </c>
      <c r="AJ436" s="11">
        <f>[1]服务器生态!AF450</f>
        <v>6.8679600000000019E-3</v>
      </c>
      <c r="AK436" s="11">
        <f>[1]服务器生态!AG450</f>
        <v>1.9871999999999997E-3</v>
      </c>
    </row>
    <row r="437" spans="32:37" x14ac:dyDescent="0.15">
      <c r="AF437" s="7">
        <v>430</v>
      </c>
      <c r="AG437" s="11">
        <f>[1]服务器生态!AC451</f>
        <v>0.47962550249999997</v>
      </c>
      <c r="AH437" s="11">
        <f>[1]服务器生态!AD451</f>
        <v>0.47291513735919999</v>
      </c>
      <c r="AI437" s="11">
        <f>[1]服务器生态!AE451</f>
        <v>3.8604200140800002E-2</v>
      </c>
      <c r="AJ437" s="11">
        <f>[1]服务器生态!AF451</f>
        <v>6.8679600000000019E-3</v>
      </c>
      <c r="AK437" s="11">
        <f>[1]服务器生态!AG451</f>
        <v>1.9871999999999997E-3</v>
      </c>
    </row>
    <row r="438" spans="32:37" x14ac:dyDescent="0.15">
      <c r="AF438" s="7">
        <v>431</v>
      </c>
      <c r="AG438" s="11">
        <f>[1]服务器生态!AC452</f>
        <v>0.47962550249999997</v>
      </c>
      <c r="AH438" s="11">
        <f>[1]服务器生态!AD452</f>
        <v>0.47291513735919999</v>
      </c>
      <c r="AI438" s="11">
        <f>[1]服务器生态!AE452</f>
        <v>3.8604200140800002E-2</v>
      </c>
      <c r="AJ438" s="11">
        <f>[1]服务器生态!AF452</f>
        <v>6.8679600000000019E-3</v>
      </c>
      <c r="AK438" s="11">
        <f>[1]服务器生态!AG452</f>
        <v>1.9871999999999997E-3</v>
      </c>
    </row>
    <row r="439" spans="32:37" x14ac:dyDescent="0.15">
      <c r="AF439" s="7">
        <v>432</v>
      </c>
      <c r="AG439" s="11">
        <f>[1]服务器生态!AC453</f>
        <v>0.47962550249999997</v>
      </c>
      <c r="AH439" s="11">
        <f>[1]服务器生态!AD453</f>
        <v>0.47291513735919999</v>
      </c>
      <c r="AI439" s="11">
        <f>[1]服务器生态!AE453</f>
        <v>3.8604200140800002E-2</v>
      </c>
      <c r="AJ439" s="11">
        <f>[1]服务器生态!AF453</f>
        <v>6.8679600000000019E-3</v>
      </c>
      <c r="AK439" s="11">
        <f>[1]服务器生态!AG453</f>
        <v>1.9871999999999997E-3</v>
      </c>
    </row>
    <row r="440" spans="32:37" x14ac:dyDescent="0.15">
      <c r="AF440" s="7">
        <v>433</v>
      </c>
      <c r="AG440" s="11">
        <f>[1]服务器生态!AC454</f>
        <v>0.47962550249999997</v>
      </c>
      <c r="AH440" s="11">
        <f>[1]服务器生态!AD454</f>
        <v>0.47291513735919999</v>
      </c>
      <c r="AI440" s="11">
        <f>[1]服务器生态!AE454</f>
        <v>3.8604200140800002E-2</v>
      </c>
      <c r="AJ440" s="11">
        <f>[1]服务器生态!AF454</f>
        <v>6.8679600000000019E-3</v>
      </c>
      <c r="AK440" s="11">
        <f>[1]服务器生态!AG454</f>
        <v>1.9871999999999997E-3</v>
      </c>
    </row>
    <row r="441" spans="32:37" x14ac:dyDescent="0.15">
      <c r="AF441" s="7">
        <v>434</v>
      </c>
      <c r="AG441" s="11">
        <f>[1]服务器生态!AC455</f>
        <v>0.47962550249999997</v>
      </c>
      <c r="AH441" s="11">
        <f>[1]服务器生态!AD455</f>
        <v>0.47291513735919999</v>
      </c>
      <c r="AI441" s="11">
        <f>[1]服务器生态!AE455</f>
        <v>3.8604200140800002E-2</v>
      </c>
      <c r="AJ441" s="11">
        <f>[1]服务器生态!AF455</f>
        <v>6.8679600000000019E-3</v>
      </c>
      <c r="AK441" s="11">
        <f>[1]服务器生态!AG455</f>
        <v>1.9871999999999997E-3</v>
      </c>
    </row>
    <row r="442" spans="32:37" x14ac:dyDescent="0.15">
      <c r="AF442" s="7">
        <v>435</v>
      </c>
      <c r="AG442" s="11">
        <f>[1]服务器生态!AC456</f>
        <v>0.47962550249999997</v>
      </c>
      <c r="AH442" s="11">
        <f>[1]服务器生态!AD456</f>
        <v>0.47291513735919999</v>
      </c>
      <c r="AI442" s="11">
        <f>[1]服务器生态!AE456</f>
        <v>3.8604200140800002E-2</v>
      </c>
      <c r="AJ442" s="11">
        <f>[1]服务器生态!AF456</f>
        <v>6.8679600000000019E-3</v>
      </c>
      <c r="AK442" s="11">
        <f>[1]服务器生态!AG456</f>
        <v>1.9871999999999997E-3</v>
      </c>
    </row>
    <row r="443" spans="32:37" x14ac:dyDescent="0.15">
      <c r="AF443" s="7">
        <v>436</v>
      </c>
      <c r="AG443" s="11">
        <f>[1]服务器生态!AC457</f>
        <v>0.47962550249999997</v>
      </c>
      <c r="AH443" s="11">
        <f>[1]服务器生态!AD457</f>
        <v>0.47291513735919999</v>
      </c>
      <c r="AI443" s="11">
        <f>[1]服务器生态!AE457</f>
        <v>3.8604200140800002E-2</v>
      </c>
      <c r="AJ443" s="11">
        <f>[1]服务器生态!AF457</f>
        <v>6.8679600000000019E-3</v>
      </c>
      <c r="AK443" s="11">
        <f>[1]服务器生态!AG457</f>
        <v>1.9871999999999997E-3</v>
      </c>
    </row>
    <row r="444" spans="32:37" x14ac:dyDescent="0.15">
      <c r="AF444" s="7">
        <v>437</v>
      </c>
      <c r="AG444" s="11">
        <f>[1]服务器生态!AC458</f>
        <v>0.47962550249999997</v>
      </c>
      <c r="AH444" s="11">
        <f>[1]服务器生态!AD458</f>
        <v>0.47291513735919999</v>
      </c>
      <c r="AI444" s="11">
        <f>[1]服务器生态!AE458</f>
        <v>3.8604200140800002E-2</v>
      </c>
      <c r="AJ444" s="11">
        <f>[1]服务器生态!AF458</f>
        <v>6.8679600000000019E-3</v>
      </c>
      <c r="AK444" s="11">
        <f>[1]服务器生态!AG458</f>
        <v>1.9871999999999997E-3</v>
      </c>
    </row>
    <row r="445" spans="32:37" x14ac:dyDescent="0.15">
      <c r="AF445" s="7">
        <v>438</v>
      </c>
      <c r="AG445" s="11">
        <f>[1]服务器生态!AC459</f>
        <v>0.47962550249999997</v>
      </c>
      <c r="AH445" s="11">
        <f>[1]服务器生态!AD459</f>
        <v>0.47291513735919999</v>
      </c>
      <c r="AI445" s="11">
        <f>[1]服务器生态!AE459</f>
        <v>3.8604200140800002E-2</v>
      </c>
      <c r="AJ445" s="11">
        <f>[1]服务器生态!AF459</f>
        <v>6.8679600000000019E-3</v>
      </c>
      <c r="AK445" s="11">
        <f>[1]服务器生态!AG459</f>
        <v>1.9871999999999997E-3</v>
      </c>
    </row>
    <row r="446" spans="32:37" x14ac:dyDescent="0.15">
      <c r="AF446" s="7">
        <v>439</v>
      </c>
      <c r="AG446" s="11">
        <f>[1]服务器生态!AC460</f>
        <v>0.47962550249999997</v>
      </c>
      <c r="AH446" s="11">
        <f>[1]服务器生态!AD460</f>
        <v>0.47291513735919999</v>
      </c>
      <c r="AI446" s="11">
        <f>[1]服务器生态!AE460</f>
        <v>3.8604200140800002E-2</v>
      </c>
      <c r="AJ446" s="11">
        <f>[1]服务器生态!AF460</f>
        <v>6.8679600000000019E-3</v>
      </c>
      <c r="AK446" s="11">
        <f>[1]服务器生态!AG460</f>
        <v>1.9871999999999997E-3</v>
      </c>
    </row>
    <row r="447" spans="32:37" x14ac:dyDescent="0.15">
      <c r="AF447" s="7">
        <v>440</v>
      </c>
      <c r="AG447" s="11">
        <f>[1]服务器生态!AC461</f>
        <v>0.47962550249999997</v>
      </c>
      <c r="AH447" s="11">
        <f>[1]服务器生态!AD461</f>
        <v>0.47291513735919999</v>
      </c>
      <c r="AI447" s="11">
        <f>[1]服务器生态!AE461</f>
        <v>3.8604200140800002E-2</v>
      </c>
      <c r="AJ447" s="11">
        <f>[1]服务器生态!AF461</f>
        <v>6.8679600000000019E-3</v>
      </c>
      <c r="AK447" s="11">
        <f>[1]服务器生态!AG461</f>
        <v>1.9871999999999997E-3</v>
      </c>
    </row>
    <row r="448" spans="32:37" x14ac:dyDescent="0.15">
      <c r="AF448" s="7">
        <v>441</v>
      </c>
      <c r="AG448" s="11">
        <f>[1]服务器生态!AC462</f>
        <v>0.47962550249999997</v>
      </c>
      <c r="AH448" s="11">
        <f>[1]服务器生态!AD462</f>
        <v>0.47291513735919999</v>
      </c>
      <c r="AI448" s="11">
        <f>[1]服务器生态!AE462</f>
        <v>3.8604200140800002E-2</v>
      </c>
      <c r="AJ448" s="11">
        <f>[1]服务器生态!AF462</f>
        <v>6.8679600000000019E-3</v>
      </c>
      <c r="AK448" s="11">
        <f>[1]服务器生态!AG462</f>
        <v>1.9871999999999997E-3</v>
      </c>
    </row>
    <row r="449" spans="32:37" x14ac:dyDescent="0.15">
      <c r="AF449" s="7">
        <v>442</v>
      </c>
      <c r="AG449" s="11">
        <f>[1]服务器生态!AC463</f>
        <v>0.47962550249999997</v>
      </c>
      <c r="AH449" s="11">
        <f>[1]服务器生态!AD463</f>
        <v>0.47291513735919999</v>
      </c>
      <c r="AI449" s="11">
        <f>[1]服务器生态!AE463</f>
        <v>3.8604200140800002E-2</v>
      </c>
      <c r="AJ449" s="11">
        <f>[1]服务器生态!AF463</f>
        <v>6.8679600000000019E-3</v>
      </c>
      <c r="AK449" s="11">
        <f>[1]服务器生态!AG463</f>
        <v>1.9871999999999997E-3</v>
      </c>
    </row>
    <row r="450" spans="32:37" x14ac:dyDescent="0.15">
      <c r="AF450" s="7">
        <v>443</v>
      </c>
      <c r="AG450" s="11">
        <f>[1]服务器生态!AC464</f>
        <v>0.47962550249999997</v>
      </c>
      <c r="AH450" s="11">
        <f>[1]服务器生态!AD464</f>
        <v>0.47291513735919999</v>
      </c>
      <c r="AI450" s="11">
        <f>[1]服务器生态!AE464</f>
        <v>3.8604200140800002E-2</v>
      </c>
      <c r="AJ450" s="11">
        <f>[1]服务器生态!AF464</f>
        <v>6.8679600000000019E-3</v>
      </c>
      <c r="AK450" s="11">
        <f>[1]服务器生态!AG464</f>
        <v>1.9871999999999997E-3</v>
      </c>
    </row>
    <row r="451" spans="32:37" x14ac:dyDescent="0.15">
      <c r="AF451" s="7">
        <v>444</v>
      </c>
      <c r="AG451" s="11">
        <f>[1]服务器生态!AC465</f>
        <v>0.47962550249999997</v>
      </c>
      <c r="AH451" s="11">
        <f>[1]服务器生态!AD465</f>
        <v>0.47291513735919999</v>
      </c>
      <c r="AI451" s="11">
        <f>[1]服务器生态!AE465</f>
        <v>3.8604200140800002E-2</v>
      </c>
      <c r="AJ451" s="11">
        <f>[1]服务器生态!AF465</f>
        <v>6.8679600000000019E-3</v>
      </c>
      <c r="AK451" s="11">
        <f>[1]服务器生态!AG465</f>
        <v>1.9871999999999997E-3</v>
      </c>
    </row>
    <row r="452" spans="32:37" x14ac:dyDescent="0.15">
      <c r="AF452" s="7">
        <v>445</v>
      </c>
      <c r="AG452" s="11">
        <f>[1]服务器生态!AC466</f>
        <v>0.47962550249999997</v>
      </c>
      <c r="AH452" s="11">
        <f>[1]服务器生态!AD466</f>
        <v>0.47291513735919999</v>
      </c>
      <c r="AI452" s="11">
        <f>[1]服务器生态!AE466</f>
        <v>3.8604200140800002E-2</v>
      </c>
      <c r="AJ452" s="11">
        <f>[1]服务器生态!AF466</f>
        <v>6.8679600000000019E-3</v>
      </c>
      <c r="AK452" s="11">
        <f>[1]服务器生态!AG466</f>
        <v>1.9871999999999997E-3</v>
      </c>
    </row>
    <row r="453" spans="32:37" x14ac:dyDescent="0.15">
      <c r="AF453" s="7">
        <v>446</v>
      </c>
      <c r="AG453" s="11">
        <f>[1]服务器生态!AC467</f>
        <v>0.47962550249999997</v>
      </c>
      <c r="AH453" s="11">
        <f>[1]服务器生态!AD467</f>
        <v>0.47291513735919999</v>
      </c>
      <c r="AI453" s="11">
        <f>[1]服务器生态!AE467</f>
        <v>3.8604200140800002E-2</v>
      </c>
      <c r="AJ453" s="11">
        <f>[1]服务器生态!AF467</f>
        <v>6.8679600000000019E-3</v>
      </c>
      <c r="AK453" s="11">
        <f>[1]服务器生态!AG467</f>
        <v>1.9871999999999997E-3</v>
      </c>
    </row>
    <row r="454" spans="32:37" x14ac:dyDescent="0.15">
      <c r="AF454" s="7">
        <v>447</v>
      </c>
      <c r="AG454" s="11">
        <f>[1]服务器生态!AC468</f>
        <v>0.47962550249999997</v>
      </c>
      <c r="AH454" s="11">
        <f>[1]服务器生态!AD468</f>
        <v>0.47291513735919999</v>
      </c>
      <c r="AI454" s="11">
        <f>[1]服务器生态!AE468</f>
        <v>3.8604200140800002E-2</v>
      </c>
      <c r="AJ454" s="11">
        <f>[1]服务器生态!AF468</f>
        <v>6.8679600000000019E-3</v>
      </c>
      <c r="AK454" s="11">
        <f>[1]服务器生态!AG468</f>
        <v>1.9871999999999997E-3</v>
      </c>
    </row>
    <row r="455" spans="32:37" x14ac:dyDescent="0.15">
      <c r="AF455" s="7">
        <v>448</v>
      </c>
      <c r="AG455" s="11">
        <f>[1]服务器生态!AC469</f>
        <v>0.47962550249999997</v>
      </c>
      <c r="AH455" s="11">
        <f>[1]服务器生态!AD469</f>
        <v>0.47291513735919999</v>
      </c>
      <c r="AI455" s="11">
        <f>[1]服务器生态!AE469</f>
        <v>3.8604200140800002E-2</v>
      </c>
      <c r="AJ455" s="11">
        <f>[1]服务器生态!AF469</f>
        <v>6.8679600000000019E-3</v>
      </c>
      <c r="AK455" s="11">
        <f>[1]服务器生态!AG469</f>
        <v>1.9871999999999997E-3</v>
      </c>
    </row>
    <row r="456" spans="32:37" x14ac:dyDescent="0.15">
      <c r="AF456" s="7">
        <v>449</v>
      </c>
      <c r="AG456" s="11">
        <f>[1]服务器生态!AC470</f>
        <v>0.47962550249999997</v>
      </c>
      <c r="AH456" s="11">
        <f>[1]服务器生态!AD470</f>
        <v>0.47291513735919999</v>
      </c>
      <c r="AI456" s="11">
        <f>[1]服务器生态!AE470</f>
        <v>3.8604200140800002E-2</v>
      </c>
      <c r="AJ456" s="11">
        <f>[1]服务器生态!AF470</f>
        <v>6.8679600000000019E-3</v>
      </c>
      <c r="AK456" s="11">
        <f>[1]服务器生态!AG470</f>
        <v>1.9871999999999997E-3</v>
      </c>
    </row>
    <row r="457" spans="32:37" x14ac:dyDescent="0.15">
      <c r="AF457" s="7">
        <v>450</v>
      </c>
      <c r="AG457" s="11">
        <f>[1]服务器生态!AC471</f>
        <v>0.47962550249999997</v>
      </c>
      <c r="AH457" s="11">
        <f>[1]服务器生态!AD471</f>
        <v>0.47291513735919999</v>
      </c>
      <c r="AI457" s="11">
        <f>[1]服务器生态!AE471</f>
        <v>3.8604200140800002E-2</v>
      </c>
      <c r="AJ457" s="11">
        <f>[1]服务器生态!AF471</f>
        <v>6.8679600000000019E-3</v>
      </c>
      <c r="AK457" s="11">
        <f>[1]服务器生态!AG471</f>
        <v>1.9871999999999997E-3</v>
      </c>
    </row>
    <row r="458" spans="32:37" x14ac:dyDescent="0.15">
      <c r="AF458" s="7">
        <v>451</v>
      </c>
      <c r="AG458" s="11">
        <f>[1]服务器生态!AC472</f>
        <v>0.47962550249999997</v>
      </c>
      <c r="AH458" s="11">
        <f>[1]服务器生态!AD472</f>
        <v>0.47291513735919999</v>
      </c>
      <c r="AI458" s="11">
        <f>[1]服务器生态!AE472</f>
        <v>3.8604200140800002E-2</v>
      </c>
      <c r="AJ458" s="11">
        <f>[1]服务器生态!AF472</f>
        <v>6.8679600000000019E-3</v>
      </c>
      <c r="AK458" s="11">
        <f>[1]服务器生态!AG472</f>
        <v>1.9871999999999997E-3</v>
      </c>
    </row>
    <row r="459" spans="32:37" x14ac:dyDescent="0.15">
      <c r="AF459" s="7">
        <v>452</v>
      </c>
      <c r="AG459" s="11">
        <f>[1]服务器生态!AC473</f>
        <v>0.47962550249999997</v>
      </c>
      <c r="AH459" s="11">
        <f>[1]服务器生态!AD473</f>
        <v>0.47291513735919999</v>
      </c>
      <c r="AI459" s="11">
        <f>[1]服务器生态!AE473</f>
        <v>3.8604200140800002E-2</v>
      </c>
      <c r="AJ459" s="11">
        <f>[1]服务器生态!AF473</f>
        <v>6.8679600000000019E-3</v>
      </c>
      <c r="AK459" s="11">
        <f>[1]服务器生态!AG473</f>
        <v>1.9871999999999997E-3</v>
      </c>
    </row>
    <row r="460" spans="32:37" x14ac:dyDescent="0.15">
      <c r="AF460" s="7">
        <v>453</v>
      </c>
      <c r="AG460" s="11">
        <f>[1]服务器生态!AC474</f>
        <v>0.47962550249999997</v>
      </c>
      <c r="AH460" s="11">
        <f>[1]服务器生态!AD474</f>
        <v>0.47291513735919999</v>
      </c>
      <c r="AI460" s="11">
        <f>[1]服务器生态!AE474</f>
        <v>3.8604200140800002E-2</v>
      </c>
      <c r="AJ460" s="11">
        <f>[1]服务器生态!AF474</f>
        <v>6.8679600000000019E-3</v>
      </c>
      <c r="AK460" s="11">
        <f>[1]服务器生态!AG474</f>
        <v>1.9871999999999997E-3</v>
      </c>
    </row>
    <row r="461" spans="32:37" x14ac:dyDescent="0.15">
      <c r="AF461" s="7">
        <v>454</v>
      </c>
      <c r="AG461" s="11">
        <f>[1]服务器生态!AC475</f>
        <v>0.47962550249999997</v>
      </c>
      <c r="AH461" s="11">
        <f>[1]服务器生态!AD475</f>
        <v>0.47291513735919999</v>
      </c>
      <c r="AI461" s="11">
        <f>[1]服务器生态!AE475</f>
        <v>3.8604200140800002E-2</v>
      </c>
      <c r="AJ461" s="11">
        <f>[1]服务器生态!AF475</f>
        <v>6.8679600000000019E-3</v>
      </c>
      <c r="AK461" s="11">
        <f>[1]服务器生态!AG475</f>
        <v>1.9871999999999997E-3</v>
      </c>
    </row>
    <row r="462" spans="32:37" x14ac:dyDescent="0.15">
      <c r="AF462" s="7">
        <v>455</v>
      </c>
      <c r="AG462" s="11">
        <f>[1]服务器生态!AC476</f>
        <v>0.47962550249999997</v>
      </c>
      <c r="AH462" s="11">
        <f>[1]服务器生态!AD476</f>
        <v>0.47291513735919999</v>
      </c>
      <c r="AI462" s="11">
        <f>[1]服务器生态!AE476</f>
        <v>3.8604200140800002E-2</v>
      </c>
      <c r="AJ462" s="11">
        <f>[1]服务器生态!AF476</f>
        <v>6.8679600000000019E-3</v>
      </c>
      <c r="AK462" s="11">
        <f>[1]服务器生态!AG476</f>
        <v>1.9871999999999997E-3</v>
      </c>
    </row>
    <row r="463" spans="32:37" x14ac:dyDescent="0.15">
      <c r="AF463" s="7">
        <v>456</v>
      </c>
      <c r="AG463" s="11">
        <f>[1]服务器生态!AC477</f>
        <v>0.47962550249999997</v>
      </c>
      <c r="AH463" s="11">
        <f>[1]服务器生态!AD477</f>
        <v>0.47291513735919999</v>
      </c>
      <c r="AI463" s="11">
        <f>[1]服务器生态!AE477</f>
        <v>3.8604200140800002E-2</v>
      </c>
      <c r="AJ463" s="11">
        <f>[1]服务器生态!AF477</f>
        <v>6.8679600000000019E-3</v>
      </c>
      <c r="AK463" s="11">
        <f>[1]服务器生态!AG477</f>
        <v>1.9871999999999997E-3</v>
      </c>
    </row>
    <row r="464" spans="32:37" x14ac:dyDescent="0.15">
      <c r="AF464" s="7">
        <v>457</v>
      </c>
      <c r="AG464" s="11">
        <f>[1]服务器生态!AC478</f>
        <v>0.47962550249999997</v>
      </c>
      <c r="AH464" s="11">
        <f>[1]服务器生态!AD478</f>
        <v>0.47291513735919999</v>
      </c>
      <c r="AI464" s="11">
        <f>[1]服务器生态!AE478</f>
        <v>3.8604200140800002E-2</v>
      </c>
      <c r="AJ464" s="11">
        <f>[1]服务器生态!AF478</f>
        <v>6.8679600000000019E-3</v>
      </c>
      <c r="AK464" s="11">
        <f>[1]服务器生态!AG478</f>
        <v>1.9871999999999997E-3</v>
      </c>
    </row>
    <row r="465" spans="32:37" x14ac:dyDescent="0.15">
      <c r="AF465" s="7">
        <v>458</v>
      </c>
      <c r="AG465" s="11">
        <f>[1]服务器生态!AC479</f>
        <v>0.47962550249999997</v>
      </c>
      <c r="AH465" s="11">
        <f>[1]服务器生态!AD479</f>
        <v>0.47291513735919999</v>
      </c>
      <c r="AI465" s="11">
        <f>[1]服务器生态!AE479</f>
        <v>3.8604200140800002E-2</v>
      </c>
      <c r="AJ465" s="11">
        <f>[1]服务器生态!AF479</f>
        <v>6.8679600000000019E-3</v>
      </c>
      <c r="AK465" s="11">
        <f>[1]服务器生态!AG479</f>
        <v>1.9871999999999997E-3</v>
      </c>
    </row>
    <row r="466" spans="32:37" x14ac:dyDescent="0.15">
      <c r="AF466" s="7">
        <v>459</v>
      </c>
      <c r="AG466" s="11">
        <f>[1]服务器生态!AC480</f>
        <v>0.47962550249999997</v>
      </c>
      <c r="AH466" s="11">
        <f>[1]服务器生态!AD480</f>
        <v>0.47291513735919999</v>
      </c>
      <c r="AI466" s="11">
        <f>[1]服务器生态!AE480</f>
        <v>3.8604200140800002E-2</v>
      </c>
      <c r="AJ466" s="11">
        <f>[1]服务器生态!AF480</f>
        <v>6.8679600000000019E-3</v>
      </c>
      <c r="AK466" s="11">
        <f>[1]服务器生态!AG480</f>
        <v>1.9871999999999997E-3</v>
      </c>
    </row>
    <row r="467" spans="32:37" x14ac:dyDescent="0.15">
      <c r="AF467" s="7">
        <v>460</v>
      </c>
      <c r="AG467" s="11">
        <f>[1]服务器生态!AC481</f>
        <v>0.47962550249999997</v>
      </c>
      <c r="AH467" s="11">
        <f>[1]服务器生态!AD481</f>
        <v>0.47291513735919999</v>
      </c>
      <c r="AI467" s="11">
        <f>[1]服务器生态!AE481</f>
        <v>3.8604200140800002E-2</v>
      </c>
      <c r="AJ467" s="11">
        <f>[1]服务器生态!AF481</f>
        <v>6.8679600000000019E-3</v>
      </c>
      <c r="AK467" s="11">
        <f>[1]服务器生态!AG481</f>
        <v>1.9871999999999997E-3</v>
      </c>
    </row>
    <row r="468" spans="32:37" x14ac:dyDescent="0.15">
      <c r="AF468" s="7">
        <v>461</v>
      </c>
      <c r="AG468" s="11">
        <f>[1]服务器生态!AC482</f>
        <v>0.47962550249999997</v>
      </c>
      <c r="AH468" s="11">
        <f>[1]服务器生态!AD482</f>
        <v>0.47291513735919999</v>
      </c>
      <c r="AI468" s="11">
        <f>[1]服务器生态!AE482</f>
        <v>3.8604200140800002E-2</v>
      </c>
      <c r="AJ468" s="11">
        <f>[1]服务器生态!AF482</f>
        <v>6.8679600000000019E-3</v>
      </c>
      <c r="AK468" s="11">
        <f>[1]服务器生态!AG482</f>
        <v>1.9871999999999997E-3</v>
      </c>
    </row>
    <row r="469" spans="32:37" x14ac:dyDescent="0.15">
      <c r="AF469" s="7">
        <v>462</v>
      </c>
      <c r="AG469" s="11">
        <f>[1]服务器生态!AC483</f>
        <v>0.47962550249999997</v>
      </c>
      <c r="AH469" s="11">
        <f>[1]服务器生态!AD483</f>
        <v>0.47291513735919999</v>
      </c>
      <c r="AI469" s="11">
        <f>[1]服务器生态!AE483</f>
        <v>3.8604200140800002E-2</v>
      </c>
      <c r="AJ469" s="11">
        <f>[1]服务器生态!AF483</f>
        <v>6.8679600000000019E-3</v>
      </c>
      <c r="AK469" s="11">
        <f>[1]服务器生态!AG483</f>
        <v>1.9871999999999997E-3</v>
      </c>
    </row>
    <row r="470" spans="32:37" x14ac:dyDescent="0.15">
      <c r="AF470" s="7">
        <v>463</v>
      </c>
      <c r="AG470" s="11">
        <f>[1]服务器生态!AC484</f>
        <v>0.47962550249999997</v>
      </c>
      <c r="AH470" s="11">
        <f>[1]服务器生态!AD484</f>
        <v>0.47291513735919999</v>
      </c>
      <c r="AI470" s="11">
        <f>[1]服务器生态!AE484</f>
        <v>3.8604200140800002E-2</v>
      </c>
      <c r="AJ470" s="11">
        <f>[1]服务器生态!AF484</f>
        <v>6.8679600000000019E-3</v>
      </c>
      <c r="AK470" s="11">
        <f>[1]服务器生态!AG484</f>
        <v>1.9871999999999997E-3</v>
      </c>
    </row>
    <row r="471" spans="32:37" x14ac:dyDescent="0.15">
      <c r="AF471" s="7">
        <v>464</v>
      </c>
      <c r="AG471" s="11">
        <f>[1]服务器生态!AC485</f>
        <v>0.47962550249999997</v>
      </c>
      <c r="AH471" s="11">
        <f>[1]服务器生态!AD485</f>
        <v>0.47291513735919999</v>
      </c>
      <c r="AI471" s="11">
        <f>[1]服务器生态!AE485</f>
        <v>3.8604200140800002E-2</v>
      </c>
      <c r="AJ471" s="11">
        <f>[1]服务器生态!AF485</f>
        <v>6.8679600000000019E-3</v>
      </c>
      <c r="AK471" s="11">
        <f>[1]服务器生态!AG485</f>
        <v>1.9871999999999997E-3</v>
      </c>
    </row>
    <row r="472" spans="32:37" x14ac:dyDescent="0.15">
      <c r="AF472" s="7">
        <v>465</v>
      </c>
      <c r="AG472" s="11">
        <f>[1]服务器生态!AC486</f>
        <v>0.47962550249999997</v>
      </c>
      <c r="AH472" s="11">
        <f>[1]服务器生态!AD486</f>
        <v>0.47291513735919999</v>
      </c>
      <c r="AI472" s="11">
        <f>[1]服务器生态!AE486</f>
        <v>3.8604200140800002E-2</v>
      </c>
      <c r="AJ472" s="11">
        <f>[1]服务器生态!AF486</f>
        <v>6.8679600000000019E-3</v>
      </c>
      <c r="AK472" s="11">
        <f>[1]服务器生态!AG486</f>
        <v>1.9871999999999997E-3</v>
      </c>
    </row>
    <row r="473" spans="32:37" x14ac:dyDescent="0.15">
      <c r="AF473" s="7">
        <v>466</v>
      </c>
      <c r="AG473" s="11">
        <f>[1]服务器生态!AC487</f>
        <v>0.47962550249999997</v>
      </c>
      <c r="AH473" s="11">
        <f>[1]服务器生态!AD487</f>
        <v>0.47291513735919999</v>
      </c>
      <c r="AI473" s="11">
        <f>[1]服务器生态!AE487</f>
        <v>3.8604200140800002E-2</v>
      </c>
      <c r="AJ473" s="11">
        <f>[1]服务器生态!AF487</f>
        <v>6.8679600000000019E-3</v>
      </c>
      <c r="AK473" s="11">
        <f>[1]服务器生态!AG487</f>
        <v>1.9871999999999997E-3</v>
      </c>
    </row>
    <row r="474" spans="32:37" x14ac:dyDescent="0.15">
      <c r="AF474" s="7">
        <v>467</v>
      </c>
      <c r="AG474" s="11">
        <f>[1]服务器生态!AC488</f>
        <v>0.47962550249999997</v>
      </c>
      <c r="AH474" s="11">
        <f>[1]服务器生态!AD488</f>
        <v>0.47291513735919999</v>
      </c>
      <c r="AI474" s="11">
        <f>[1]服务器生态!AE488</f>
        <v>3.8604200140800002E-2</v>
      </c>
      <c r="AJ474" s="11">
        <f>[1]服务器生态!AF488</f>
        <v>6.8679600000000019E-3</v>
      </c>
      <c r="AK474" s="11">
        <f>[1]服务器生态!AG488</f>
        <v>1.9871999999999997E-3</v>
      </c>
    </row>
    <row r="475" spans="32:37" x14ac:dyDescent="0.15">
      <c r="AF475" s="7">
        <v>468</v>
      </c>
      <c r="AG475" s="11">
        <f>[1]服务器生态!AC489</f>
        <v>0.47962550249999997</v>
      </c>
      <c r="AH475" s="11">
        <f>[1]服务器生态!AD489</f>
        <v>0.47291513735919999</v>
      </c>
      <c r="AI475" s="11">
        <f>[1]服务器生态!AE489</f>
        <v>3.8604200140800002E-2</v>
      </c>
      <c r="AJ475" s="11">
        <f>[1]服务器生态!AF489</f>
        <v>6.8679600000000019E-3</v>
      </c>
      <c r="AK475" s="11">
        <f>[1]服务器生态!AG489</f>
        <v>1.9871999999999997E-3</v>
      </c>
    </row>
    <row r="476" spans="32:37" x14ac:dyDescent="0.15">
      <c r="AF476" s="7">
        <v>469</v>
      </c>
      <c r="AG476" s="11">
        <f>[1]服务器生态!AC490</f>
        <v>0.47962550249999997</v>
      </c>
      <c r="AH476" s="11">
        <f>[1]服务器生态!AD490</f>
        <v>0.47291513735919999</v>
      </c>
      <c r="AI476" s="11">
        <f>[1]服务器生态!AE490</f>
        <v>3.8604200140800002E-2</v>
      </c>
      <c r="AJ476" s="11">
        <f>[1]服务器生态!AF490</f>
        <v>6.8679600000000019E-3</v>
      </c>
      <c r="AK476" s="11">
        <f>[1]服务器生态!AG490</f>
        <v>1.9871999999999997E-3</v>
      </c>
    </row>
    <row r="477" spans="32:37" x14ac:dyDescent="0.15">
      <c r="AF477" s="7">
        <v>470</v>
      </c>
      <c r="AG477" s="11">
        <f>[1]服务器生态!AC491</f>
        <v>0.47962550249999997</v>
      </c>
      <c r="AH477" s="11">
        <f>[1]服务器生态!AD491</f>
        <v>0.47291513735919999</v>
      </c>
      <c r="AI477" s="11">
        <f>[1]服务器生态!AE491</f>
        <v>3.8604200140800002E-2</v>
      </c>
      <c r="AJ477" s="11">
        <f>[1]服务器生态!AF491</f>
        <v>6.8679600000000019E-3</v>
      </c>
      <c r="AK477" s="11">
        <f>[1]服务器生态!AG491</f>
        <v>1.9871999999999997E-3</v>
      </c>
    </row>
    <row r="478" spans="32:37" x14ac:dyDescent="0.15">
      <c r="AF478" s="7">
        <v>471</v>
      </c>
      <c r="AG478" s="11">
        <f>[1]服务器生态!AC492</f>
        <v>0.47962550249999997</v>
      </c>
      <c r="AH478" s="11">
        <f>[1]服务器生态!AD492</f>
        <v>0.47291513735919999</v>
      </c>
      <c r="AI478" s="11">
        <f>[1]服务器生态!AE492</f>
        <v>3.8604200140800002E-2</v>
      </c>
      <c r="AJ478" s="11">
        <f>[1]服务器生态!AF492</f>
        <v>6.8679600000000019E-3</v>
      </c>
      <c r="AK478" s="11">
        <f>[1]服务器生态!AG492</f>
        <v>1.9871999999999997E-3</v>
      </c>
    </row>
    <row r="479" spans="32:37" x14ac:dyDescent="0.15">
      <c r="AF479" s="7">
        <v>472</v>
      </c>
      <c r="AG479" s="11">
        <f>[1]服务器生态!AC493</f>
        <v>0.47962550249999997</v>
      </c>
      <c r="AH479" s="11">
        <f>[1]服务器生态!AD493</f>
        <v>0.47291513735919999</v>
      </c>
      <c r="AI479" s="11">
        <f>[1]服务器生态!AE493</f>
        <v>3.8604200140800002E-2</v>
      </c>
      <c r="AJ479" s="11">
        <f>[1]服务器生态!AF493</f>
        <v>6.8679600000000019E-3</v>
      </c>
      <c r="AK479" s="11">
        <f>[1]服务器生态!AG493</f>
        <v>1.9871999999999997E-3</v>
      </c>
    </row>
    <row r="480" spans="32:37" x14ac:dyDescent="0.15">
      <c r="AF480" s="7">
        <v>473</v>
      </c>
      <c r="AG480" s="11">
        <f>[1]服务器生态!AC494</f>
        <v>0.47962550249999997</v>
      </c>
      <c r="AH480" s="11">
        <f>[1]服务器生态!AD494</f>
        <v>0.47291513735919999</v>
      </c>
      <c r="AI480" s="11">
        <f>[1]服务器生态!AE494</f>
        <v>3.8604200140800002E-2</v>
      </c>
      <c r="AJ480" s="11">
        <f>[1]服务器生态!AF494</f>
        <v>6.8679600000000019E-3</v>
      </c>
      <c r="AK480" s="11">
        <f>[1]服务器生态!AG494</f>
        <v>1.9871999999999997E-3</v>
      </c>
    </row>
    <row r="481" spans="32:37" x14ac:dyDescent="0.15">
      <c r="AF481" s="7">
        <v>474</v>
      </c>
      <c r="AG481" s="11">
        <f>[1]服务器生态!AC495</f>
        <v>0.47962550249999997</v>
      </c>
      <c r="AH481" s="11">
        <f>[1]服务器生态!AD495</f>
        <v>0.47291513735919999</v>
      </c>
      <c r="AI481" s="11">
        <f>[1]服务器生态!AE495</f>
        <v>3.8604200140800002E-2</v>
      </c>
      <c r="AJ481" s="11">
        <f>[1]服务器生态!AF495</f>
        <v>6.8679600000000019E-3</v>
      </c>
      <c r="AK481" s="11">
        <f>[1]服务器生态!AG495</f>
        <v>1.9871999999999997E-3</v>
      </c>
    </row>
    <row r="482" spans="32:37" x14ac:dyDescent="0.15">
      <c r="AF482" s="7">
        <v>475</v>
      </c>
      <c r="AG482" s="11">
        <f>[1]服务器生态!AC496</f>
        <v>0.47962550249999997</v>
      </c>
      <c r="AH482" s="11">
        <f>[1]服务器生态!AD496</f>
        <v>0.47291513735919999</v>
      </c>
      <c r="AI482" s="11">
        <f>[1]服务器生态!AE496</f>
        <v>3.8604200140800002E-2</v>
      </c>
      <c r="AJ482" s="11">
        <f>[1]服务器生态!AF496</f>
        <v>6.8679600000000019E-3</v>
      </c>
      <c r="AK482" s="11">
        <f>[1]服务器生态!AG496</f>
        <v>1.9871999999999997E-3</v>
      </c>
    </row>
    <row r="483" spans="32:37" x14ac:dyDescent="0.15">
      <c r="AF483" s="7">
        <v>476</v>
      </c>
      <c r="AG483" s="11">
        <f>[1]服务器生态!AC497</f>
        <v>0.47962550249999997</v>
      </c>
      <c r="AH483" s="11">
        <f>[1]服务器生态!AD497</f>
        <v>0.47291513735919999</v>
      </c>
      <c r="AI483" s="11">
        <f>[1]服务器生态!AE497</f>
        <v>3.8604200140800002E-2</v>
      </c>
      <c r="AJ483" s="11">
        <f>[1]服务器生态!AF497</f>
        <v>6.8679600000000019E-3</v>
      </c>
      <c r="AK483" s="11">
        <f>[1]服务器生态!AG497</f>
        <v>1.9871999999999997E-3</v>
      </c>
    </row>
    <row r="484" spans="32:37" x14ac:dyDescent="0.15">
      <c r="AF484" s="7">
        <v>477</v>
      </c>
      <c r="AG484" s="11">
        <f>[1]服务器生态!AC498</f>
        <v>0.47962550249999997</v>
      </c>
      <c r="AH484" s="11">
        <f>[1]服务器生态!AD498</f>
        <v>0.47291513735919999</v>
      </c>
      <c r="AI484" s="11">
        <f>[1]服务器生态!AE498</f>
        <v>3.8604200140800002E-2</v>
      </c>
      <c r="AJ484" s="11">
        <f>[1]服务器生态!AF498</f>
        <v>6.8679600000000019E-3</v>
      </c>
      <c r="AK484" s="11">
        <f>[1]服务器生态!AG498</f>
        <v>1.9871999999999997E-3</v>
      </c>
    </row>
    <row r="485" spans="32:37" x14ac:dyDescent="0.15">
      <c r="AF485" s="7">
        <v>478</v>
      </c>
      <c r="AG485" s="11">
        <f>[1]服务器生态!AC499</f>
        <v>0.47962550249999997</v>
      </c>
      <c r="AH485" s="11">
        <f>[1]服务器生态!AD499</f>
        <v>0.47291513735919999</v>
      </c>
      <c r="AI485" s="11">
        <f>[1]服务器生态!AE499</f>
        <v>3.8604200140800002E-2</v>
      </c>
      <c r="AJ485" s="11">
        <f>[1]服务器生态!AF499</f>
        <v>6.8679600000000019E-3</v>
      </c>
      <c r="AK485" s="11">
        <f>[1]服务器生态!AG499</f>
        <v>1.9871999999999997E-3</v>
      </c>
    </row>
    <row r="486" spans="32:37" x14ac:dyDescent="0.15">
      <c r="AF486" s="7">
        <v>479</v>
      </c>
      <c r="AG486" s="11">
        <f>[1]服务器生态!AC500</f>
        <v>0.47962550249999997</v>
      </c>
      <c r="AH486" s="11">
        <f>[1]服务器生态!AD500</f>
        <v>0.47291513735919999</v>
      </c>
      <c r="AI486" s="11">
        <f>[1]服务器生态!AE500</f>
        <v>3.8604200140800002E-2</v>
      </c>
      <c r="AJ486" s="11">
        <f>[1]服务器生态!AF500</f>
        <v>6.8679600000000019E-3</v>
      </c>
      <c r="AK486" s="11">
        <f>[1]服务器生态!AG500</f>
        <v>1.9871999999999997E-3</v>
      </c>
    </row>
    <row r="487" spans="32:37" x14ac:dyDescent="0.15">
      <c r="AF487" s="7">
        <v>480</v>
      </c>
      <c r="AG487" s="11">
        <f>[1]服务器生态!AC501</f>
        <v>0.47962550249999997</v>
      </c>
      <c r="AH487" s="11">
        <f>[1]服务器生态!AD501</f>
        <v>0.47291513735919999</v>
      </c>
      <c r="AI487" s="11">
        <f>[1]服务器生态!AE501</f>
        <v>3.8604200140800002E-2</v>
      </c>
      <c r="AJ487" s="11">
        <f>[1]服务器生态!AF501</f>
        <v>6.8679600000000019E-3</v>
      </c>
      <c r="AK487" s="11">
        <f>[1]服务器生态!AG501</f>
        <v>1.9871999999999997E-3</v>
      </c>
    </row>
    <row r="488" spans="32:37" x14ac:dyDescent="0.15">
      <c r="AF488" s="7">
        <v>481</v>
      </c>
      <c r="AG488" s="11">
        <f>[1]服务器生态!AC502</f>
        <v>0.47962550249999997</v>
      </c>
      <c r="AH488" s="11">
        <f>[1]服务器生态!AD502</f>
        <v>0.47291513735919999</v>
      </c>
      <c r="AI488" s="11">
        <f>[1]服务器生态!AE502</f>
        <v>3.8604200140800002E-2</v>
      </c>
      <c r="AJ488" s="11">
        <f>[1]服务器生态!AF502</f>
        <v>6.8679600000000019E-3</v>
      </c>
      <c r="AK488" s="11">
        <f>[1]服务器生态!AG502</f>
        <v>1.9871999999999997E-3</v>
      </c>
    </row>
    <row r="489" spans="32:37" x14ac:dyDescent="0.15">
      <c r="AF489" s="7">
        <v>482</v>
      </c>
      <c r="AG489" s="11">
        <f>[1]服务器生态!AC503</f>
        <v>0.47962550249999997</v>
      </c>
      <c r="AH489" s="11">
        <f>[1]服务器生态!AD503</f>
        <v>0.47291513735919999</v>
      </c>
      <c r="AI489" s="11">
        <f>[1]服务器生态!AE503</f>
        <v>3.8604200140800002E-2</v>
      </c>
      <c r="AJ489" s="11">
        <f>[1]服务器生态!AF503</f>
        <v>6.8679600000000019E-3</v>
      </c>
      <c r="AK489" s="11">
        <f>[1]服务器生态!AG503</f>
        <v>1.9871999999999997E-3</v>
      </c>
    </row>
    <row r="490" spans="32:37" x14ac:dyDescent="0.15">
      <c r="AF490" s="7">
        <v>483</v>
      </c>
      <c r="AG490" s="11">
        <f>[1]服务器生态!AC504</f>
        <v>0.47962550249999997</v>
      </c>
      <c r="AH490" s="11">
        <f>[1]服务器生态!AD504</f>
        <v>0.47291513735919999</v>
      </c>
      <c r="AI490" s="11">
        <f>[1]服务器生态!AE504</f>
        <v>3.8604200140800002E-2</v>
      </c>
      <c r="AJ490" s="11">
        <f>[1]服务器生态!AF504</f>
        <v>6.8679600000000019E-3</v>
      </c>
      <c r="AK490" s="11">
        <f>[1]服务器生态!AG504</f>
        <v>1.9871999999999997E-3</v>
      </c>
    </row>
    <row r="491" spans="32:37" x14ac:dyDescent="0.15">
      <c r="AF491" s="7">
        <v>484</v>
      </c>
      <c r="AG491" s="11">
        <f>[1]服务器生态!AC505</f>
        <v>0.47962550249999997</v>
      </c>
      <c r="AH491" s="11">
        <f>[1]服务器生态!AD505</f>
        <v>0.47291513735919999</v>
      </c>
      <c r="AI491" s="11">
        <f>[1]服务器生态!AE505</f>
        <v>3.8604200140800002E-2</v>
      </c>
      <c r="AJ491" s="11">
        <f>[1]服务器生态!AF505</f>
        <v>6.8679600000000019E-3</v>
      </c>
      <c r="AK491" s="11">
        <f>[1]服务器生态!AG505</f>
        <v>1.9871999999999997E-3</v>
      </c>
    </row>
    <row r="492" spans="32:37" x14ac:dyDescent="0.15">
      <c r="AF492" s="7">
        <v>485</v>
      </c>
      <c r="AG492" s="11">
        <f>[1]服务器生态!AC506</f>
        <v>0.47962550249999997</v>
      </c>
      <c r="AH492" s="11">
        <f>[1]服务器生态!AD506</f>
        <v>0.47291513735919999</v>
      </c>
      <c r="AI492" s="11">
        <f>[1]服务器生态!AE506</f>
        <v>3.8604200140800002E-2</v>
      </c>
      <c r="AJ492" s="11">
        <f>[1]服务器生态!AF506</f>
        <v>6.8679600000000019E-3</v>
      </c>
      <c r="AK492" s="11">
        <f>[1]服务器生态!AG506</f>
        <v>1.9871999999999997E-3</v>
      </c>
    </row>
    <row r="493" spans="32:37" x14ac:dyDescent="0.15">
      <c r="AF493" s="7">
        <v>486</v>
      </c>
      <c r="AG493" s="11">
        <f>[1]服务器生态!AC507</f>
        <v>0.47962550249999997</v>
      </c>
      <c r="AH493" s="11">
        <f>[1]服务器生态!AD507</f>
        <v>0.47291513735919999</v>
      </c>
      <c r="AI493" s="11">
        <f>[1]服务器生态!AE507</f>
        <v>3.8604200140800002E-2</v>
      </c>
      <c r="AJ493" s="11">
        <f>[1]服务器生态!AF507</f>
        <v>6.8679600000000019E-3</v>
      </c>
      <c r="AK493" s="11">
        <f>[1]服务器生态!AG507</f>
        <v>1.9871999999999997E-3</v>
      </c>
    </row>
    <row r="494" spans="32:37" x14ac:dyDescent="0.15">
      <c r="AF494" s="7">
        <v>487</v>
      </c>
      <c r="AG494" s="11">
        <f>[1]服务器生态!AC508</f>
        <v>0.47962550249999997</v>
      </c>
      <c r="AH494" s="11">
        <f>[1]服务器生态!AD508</f>
        <v>0.47291513735919999</v>
      </c>
      <c r="AI494" s="11">
        <f>[1]服务器生态!AE508</f>
        <v>3.8604200140800002E-2</v>
      </c>
      <c r="AJ494" s="11">
        <f>[1]服务器生态!AF508</f>
        <v>6.8679600000000019E-3</v>
      </c>
      <c r="AK494" s="11">
        <f>[1]服务器生态!AG508</f>
        <v>1.9871999999999997E-3</v>
      </c>
    </row>
    <row r="495" spans="32:37" x14ac:dyDescent="0.15">
      <c r="AF495" s="7">
        <v>488</v>
      </c>
      <c r="AG495" s="11">
        <f>[1]服务器生态!AC509</f>
        <v>0.47962550249999997</v>
      </c>
      <c r="AH495" s="11">
        <f>[1]服务器生态!AD509</f>
        <v>0.47291513735919999</v>
      </c>
      <c r="AI495" s="11">
        <f>[1]服务器生态!AE509</f>
        <v>3.8604200140800002E-2</v>
      </c>
      <c r="AJ495" s="11">
        <f>[1]服务器生态!AF509</f>
        <v>6.8679600000000019E-3</v>
      </c>
      <c r="AK495" s="11">
        <f>[1]服务器生态!AG509</f>
        <v>1.9871999999999997E-3</v>
      </c>
    </row>
    <row r="496" spans="32:37" x14ac:dyDescent="0.15">
      <c r="AF496" s="7">
        <v>489</v>
      </c>
      <c r="AG496" s="11">
        <f>[1]服务器生态!AC510</f>
        <v>0.47962550249999997</v>
      </c>
      <c r="AH496" s="11">
        <f>[1]服务器生态!AD510</f>
        <v>0.47291513735919999</v>
      </c>
      <c r="AI496" s="11">
        <f>[1]服务器生态!AE510</f>
        <v>3.8604200140800002E-2</v>
      </c>
      <c r="AJ496" s="11">
        <f>[1]服务器生态!AF510</f>
        <v>6.8679600000000019E-3</v>
      </c>
      <c r="AK496" s="11">
        <f>[1]服务器生态!AG510</f>
        <v>1.9871999999999997E-3</v>
      </c>
    </row>
    <row r="497" spans="32:37" x14ac:dyDescent="0.15">
      <c r="AF497" s="7">
        <v>490</v>
      </c>
      <c r="AG497" s="11">
        <f>[1]服务器生态!AC511</f>
        <v>0.47962550249999997</v>
      </c>
      <c r="AH497" s="11">
        <f>[1]服务器生态!AD511</f>
        <v>0.47291513735919999</v>
      </c>
      <c r="AI497" s="11">
        <f>[1]服务器生态!AE511</f>
        <v>3.8604200140800002E-2</v>
      </c>
      <c r="AJ497" s="11">
        <f>[1]服务器生态!AF511</f>
        <v>6.8679600000000019E-3</v>
      </c>
      <c r="AK497" s="11">
        <f>[1]服务器生态!AG511</f>
        <v>1.9871999999999997E-3</v>
      </c>
    </row>
    <row r="498" spans="32:37" x14ac:dyDescent="0.15">
      <c r="AF498" s="7">
        <v>491</v>
      </c>
      <c r="AG498" s="11">
        <f>[1]服务器生态!AC512</f>
        <v>0.47962550249999997</v>
      </c>
      <c r="AH498" s="11">
        <f>[1]服务器生态!AD512</f>
        <v>0.47291513735919999</v>
      </c>
      <c r="AI498" s="11">
        <f>[1]服务器生态!AE512</f>
        <v>3.8604200140800002E-2</v>
      </c>
      <c r="AJ498" s="11">
        <f>[1]服务器生态!AF512</f>
        <v>6.8679600000000019E-3</v>
      </c>
      <c r="AK498" s="11">
        <f>[1]服务器生态!AG512</f>
        <v>1.9871999999999997E-3</v>
      </c>
    </row>
    <row r="499" spans="32:37" x14ac:dyDescent="0.15">
      <c r="AF499" s="7">
        <v>492</v>
      </c>
      <c r="AG499" s="11">
        <f>[1]服务器生态!AC513</f>
        <v>0.47962550249999997</v>
      </c>
      <c r="AH499" s="11">
        <f>[1]服务器生态!AD513</f>
        <v>0.47291513735919999</v>
      </c>
      <c r="AI499" s="11">
        <f>[1]服务器生态!AE513</f>
        <v>3.8604200140800002E-2</v>
      </c>
      <c r="AJ499" s="11">
        <f>[1]服务器生态!AF513</f>
        <v>6.8679600000000019E-3</v>
      </c>
      <c r="AK499" s="11">
        <f>[1]服务器生态!AG513</f>
        <v>1.9871999999999997E-3</v>
      </c>
    </row>
    <row r="500" spans="32:37" x14ac:dyDescent="0.15">
      <c r="AF500" s="7">
        <v>493</v>
      </c>
      <c r="AG500" s="11">
        <f>[1]服务器生态!AC514</f>
        <v>0.47962550249999997</v>
      </c>
      <c r="AH500" s="11">
        <f>[1]服务器生态!AD514</f>
        <v>0.47291513735919999</v>
      </c>
      <c r="AI500" s="11">
        <f>[1]服务器生态!AE514</f>
        <v>3.8604200140800002E-2</v>
      </c>
      <c r="AJ500" s="11">
        <f>[1]服务器生态!AF514</f>
        <v>6.8679600000000019E-3</v>
      </c>
      <c r="AK500" s="11">
        <f>[1]服务器生态!AG514</f>
        <v>1.9871999999999997E-3</v>
      </c>
    </row>
    <row r="501" spans="32:37" x14ac:dyDescent="0.15">
      <c r="AF501" s="7">
        <v>494</v>
      </c>
      <c r="AG501" s="11">
        <f>[1]服务器生态!AC515</f>
        <v>0.47962550249999997</v>
      </c>
      <c r="AH501" s="11">
        <f>[1]服务器生态!AD515</f>
        <v>0.47291513735919999</v>
      </c>
      <c r="AI501" s="11">
        <f>[1]服务器生态!AE515</f>
        <v>3.8604200140800002E-2</v>
      </c>
      <c r="AJ501" s="11">
        <f>[1]服务器生态!AF515</f>
        <v>6.8679600000000019E-3</v>
      </c>
      <c r="AK501" s="11">
        <f>[1]服务器生态!AG515</f>
        <v>1.9871999999999997E-3</v>
      </c>
    </row>
    <row r="502" spans="32:37" x14ac:dyDescent="0.15">
      <c r="AF502" s="7">
        <v>495</v>
      </c>
      <c r="AG502" s="11">
        <f>[1]服务器生态!AC516</f>
        <v>0.47962550249999997</v>
      </c>
      <c r="AH502" s="11">
        <f>[1]服务器生态!AD516</f>
        <v>0.47291513735919999</v>
      </c>
      <c r="AI502" s="11">
        <f>[1]服务器生态!AE516</f>
        <v>3.8604200140800002E-2</v>
      </c>
      <c r="AJ502" s="11">
        <f>[1]服务器生态!AF516</f>
        <v>6.8679600000000019E-3</v>
      </c>
      <c r="AK502" s="11">
        <f>[1]服务器生态!AG516</f>
        <v>1.9871999999999997E-3</v>
      </c>
    </row>
    <row r="503" spans="32:37" x14ac:dyDescent="0.15">
      <c r="AF503" s="7">
        <v>496</v>
      </c>
      <c r="AG503" s="11">
        <f>[1]服务器生态!AC517</f>
        <v>0.47962550249999997</v>
      </c>
      <c r="AH503" s="11">
        <f>[1]服务器生态!AD517</f>
        <v>0.47291513735919999</v>
      </c>
      <c r="AI503" s="11">
        <f>[1]服务器生态!AE517</f>
        <v>3.8604200140800002E-2</v>
      </c>
      <c r="AJ503" s="11">
        <f>[1]服务器生态!AF517</f>
        <v>6.8679600000000019E-3</v>
      </c>
      <c r="AK503" s="11">
        <f>[1]服务器生态!AG517</f>
        <v>1.9871999999999997E-3</v>
      </c>
    </row>
    <row r="504" spans="32:37" x14ac:dyDescent="0.15">
      <c r="AF504" s="7">
        <v>497</v>
      </c>
      <c r="AG504" s="11">
        <f>[1]服务器生态!AC518</f>
        <v>0.47962550249999997</v>
      </c>
      <c r="AH504" s="11">
        <f>[1]服务器生态!AD518</f>
        <v>0.47291513735919999</v>
      </c>
      <c r="AI504" s="11">
        <f>[1]服务器生态!AE518</f>
        <v>3.8604200140800002E-2</v>
      </c>
      <c r="AJ504" s="11">
        <f>[1]服务器生态!AF518</f>
        <v>6.8679600000000019E-3</v>
      </c>
      <c r="AK504" s="11">
        <f>[1]服务器生态!AG518</f>
        <v>1.9871999999999997E-3</v>
      </c>
    </row>
    <row r="505" spans="32:37" x14ac:dyDescent="0.15">
      <c r="AF505" s="7">
        <v>498</v>
      </c>
      <c r="AG505" s="11">
        <f>[1]服务器生态!AC519</f>
        <v>0.47962550249999997</v>
      </c>
      <c r="AH505" s="11">
        <f>[1]服务器生态!AD519</f>
        <v>0.47291513735919999</v>
      </c>
      <c r="AI505" s="11">
        <f>[1]服务器生态!AE519</f>
        <v>3.8604200140800002E-2</v>
      </c>
      <c r="AJ505" s="11">
        <f>[1]服务器生态!AF519</f>
        <v>6.8679600000000019E-3</v>
      </c>
      <c r="AK505" s="11">
        <f>[1]服务器生态!AG519</f>
        <v>1.9871999999999997E-3</v>
      </c>
    </row>
    <row r="506" spans="32:37" x14ac:dyDescent="0.15">
      <c r="AF506" s="7">
        <v>499</v>
      </c>
      <c r="AG506" s="11">
        <f>[1]服务器生态!AC520</f>
        <v>0.47962550249999997</v>
      </c>
      <c r="AH506" s="11">
        <f>[1]服务器生态!AD520</f>
        <v>0.47291513735919999</v>
      </c>
      <c r="AI506" s="11">
        <f>[1]服务器生态!AE520</f>
        <v>3.8604200140800002E-2</v>
      </c>
      <c r="AJ506" s="11">
        <f>[1]服务器生态!AF520</f>
        <v>6.8679600000000019E-3</v>
      </c>
      <c r="AK506" s="11">
        <f>[1]服务器生态!AG520</f>
        <v>1.9871999999999997E-3</v>
      </c>
    </row>
    <row r="507" spans="32:37" x14ac:dyDescent="0.15">
      <c r="AF507" s="7">
        <v>500</v>
      </c>
      <c r="AG507" s="11">
        <f>[1]服务器生态!AC521</f>
        <v>0.47962550249999997</v>
      </c>
      <c r="AH507" s="11">
        <f>[1]服务器生态!AD521</f>
        <v>0.47291513735919999</v>
      </c>
      <c r="AI507" s="11">
        <f>[1]服务器生态!AE521</f>
        <v>3.8604200140800002E-2</v>
      </c>
      <c r="AJ507" s="11">
        <f>[1]服务器生态!AF521</f>
        <v>6.8679600000000019E-3</v>
      </c>
      <c r="AK507" s="11">
        <f>[1]服务器生态!AG521</f>
        <v>1.9871999999999997E-3</v>
      </c>
    </row>
    <row r="508" spans="32:37" x14ac:dyDescent="0.15">
      <c r="AF508" s="7">
        <v>501</v>
      </c>
      <c r="AG508" s="11">
        <f>[1]服务器生态!AC522</f>
        <v>0.47962550249999997</v>
      </c>
      <c r="AH508" s="11">
        <f>[1]服务器生态!AD522</f>
        <v>0.47291513735919999</v>
      </c>
      <c r="AI508" s="11">
        <f>[1]服务器生态!AE522</f>
        <v>3.8604200140800002E-2</v>
      </c>
      <c r="AJ508" s="11">
        <f>[1]服务器生态!AF522</f>
        <v>6.8679600000000019E-3</v>
      </c>
      <c r="AK508" s="11">
        <f>[1]服务器生态!AG522</f>
        <v>1.9871999999999997E-3</v>
      </c>
    </row>
    <row r="509" spans="32:37" x14ac:dyDescent="0.15">
      <c r="AF509" s="7">
        <v>502</v>
      </c>
      <c r="AG509" s="11">
        <f>[1]服务器生态!AC523</f>
        <v>0.47962550249999997</v>
      </c>
      <c r="AH509" s="11">
        <f>[1]服务器生态!AD523</f>
        <v>0.47291513735919999</v>
      </c>
      <c r="AI509" s="11">
        <f>[1]服务器生态!AE523</f>
        <v>3.8604200140800002E-2</v>
      </c>
      <c r="AJ509" s="11">
        <f>[1]服务器生态!AF523</f>
        <v>6.8679600000000019E-3</v>
      </c>
      <c r="AK509" s="11">
        <f>[1]服务器生态!AG523</f>
        <v>1.9871999999999997E-3</v>
      </c>
    </row>
    <row r="510" spans="32:37" x14ac:dyDescent="0.15">
      <c r="AF510" s="7">
        <v>503</v>
      </c>
      <c r="AG510" s="11">
        <f>[1]服务器生态!AC524</f>
        <v>0.47962550249999997</v>
      </c>
      <c r="AH510" s="11">
        <f>[1]服务器生态!AD524</f>
        <v>0.47291513735919999</v>
      </c>
      <c r="AI510" s="11">
        <f>[1]服务器生态!AE524</f>
        <v>3.8604200140800002E-2</v>
      </c>
      <c r="AJ510" s="11">
        <f>[1]服务器生态!AF524</f>
        <v>6.8679600000000019E-3</v>
      </c>
      <c r="AK510" s="11">
        <f>[1]服务器生态!AG524</f>
        <v>1.9871999999999997E-3</v>
      </c>
    </row>
    <row r="511" spans="32:37" x14ac:dyDescent="0.15">
      <c r="AF511" s="7">
        <v>504</v>
      </c>
      <c r="AG511" s="11">
        <f>[1]服务器生态!AC525</f>
        <v>0.47962550249999997</v>
      </c>
      <c r="AH511" s="11">
        <f>[1]服务器生态!AD525</f>
        <v>0.47291513735919999</v>
      </c>
      <c r="AI511" s="11">
        <f>[1]服务器生态!AE525</f>
        <v>3.8604200140800002E-2</v>
      </c>
      <c r="AJ511" s="11">
        <f>[1]服务器生态!AF525</f>
        <v>6.8679600000000019E-3</v>
      </c>
      <c r="AK511" s="11">
        <f>[1]服务器生态!AG525</f>
        <v>1.9871999999999997E-3</v>
      </c>
    </row>
    <row r="512" spans="32:37" x14ac:dyDescent="0.15">
      <c r="AF512" s="7">
        <v>505</v>
      </c>
      <c r="AG512" s="11">
        <f>[1]服务器生态!AC526</f>
        <v>0.47962550249999997</v>
      </c>
      <c r="AH512" s="11">
        <f>[1]服务器生态!AD526</f>
        <v>0.47291513735919999</v>
      </c>
      <c r="AI512" s="11">
        <f>[1]服务器生态!AE526</f>
        <v>3.8604200140800002E-2</v>
      </c>
      <c r="AJ512" s="11">
        <f>[1]服务器生态!AF526</f>
        <v>6.8679600000000019E-3</v>
      </c>
      <c r="AK512" s="11">
        <f>[1]服务器生态!AG526</f>
        <v>1.9871999999999997E-3</v>
      </c>
    </row>
    <row r="513" spans="32:37" x14ac:dyDescent="0.15">
      <c r="AF513" s="7">
        <v>506</v>
      </c>
      <c r="AG513" s="11">
        <f>[1]服务器生态!AC527</f>
        <v>0.47962550249999997</v>
      </c>
      <c r="AH513" s="11">
        <f>[1]服务器生态!AD527</f>
        <v>0.47291513735919999</v>
      </c>
      <c r="AI513" s="11">
        <f>[1]服务器生态!AE527</f>
        <v>3.8604200140800002E-2</v>
      </c>
      <c r="AJ513" s="11">
        <f>[1]服务器生态!AF527</f>
        <v>6.8679600000000019E-3</v>
      </c>
      <c r="AK513" s="11">
        <f>[1]服务器生态!AG527</f>
        <v>1.9871999999999997E-3</v>
      </c>
    </row>
    <row r="514" spans="32:37" x14ac:dyDescent="0.15">
      <c r="AF514" s="7">
        <v>507</v>
      </c>
      <c r="AG514" s="11">
        <f>[1]服务器生态!AC528</f>
        <v>0.47962550249999997</v>
      </c>
      <c r="AH514" s="11">
        <f>[1]服务器生态!AD528</f>
        <v>0.47291513735919999</v>
      </c>
      <c r="AI514" s="11">
        <f>[1]服务器生态!AE528</f>
        <v>3.8604200140800002E-2</v>
      </c>
      <c r="AJ514" s="11">
        <f>[1]服务器生态!AF528</f>
        <v>6.8679600000000019E-3</v>
      </c>
      <c r="AK514" s="11">
        <f>[1]服务器生态!AG528</f>
        <v>1.9871999999999997E-3</v>
      </c>
    </row>
    <row r="515" spans="32:37" x14ac:dyDescent="0.15">
      <c r="AF515" s="7">
        <v>508</v>
      </c>
      <c r="AG515" s="11">
        <f>[1]服务器生态!AC529</f>
        <v>0.47962550249999997</v>
      </c>
      <c r="AH515" s="11">
        <f>[1]服务器生态!AD529</f>
        <v>0.47291513735919999</v>
      </c>
      <c r="AI515" s="11">
        <f>[1]服务器生态!AE529</f>
        <v>3.8604200140800002E-2</v>
      </c>
      <c r="AJ515" s="11">
        <f>[1]服务器生态!AF529</f>
        <v>6.8679600000000019E-3</v>
      </c>
      <c r="AK515" s="11">
        <f>[1]服务器生态!AG529</f>
        <v>1.9871999999999997E-3</v>
      </c>
    </row>
    <row r="516" spans="32:37" x14ac:dyDescent="0.15">
      <c r="AF516" s="7">
        <v>509</v>
      </c>
      <c r="AG516" s="11">
        <f>[1]服务器生态!AC530</f>
        <v>0.47962550249999997</v>
      </c>
      <c r="AH516" s="11">
        <f>[1]服务器生态!AD530</f>
        <v>0.47291513735919999</v>
      </c>
      <c r="AI516" s="11">
        <f>[1]服务器生态!AE530</f>
        <v>3.8604200140800002E-2</v>
      </c>
      <c r="AJ516" s="11">
        <f>[1]服务器生态!AF530</f>
        <v>6.8679600000000019E-3</v>
      </c>
      <c r="AK516" s="11">
        <f>[1]服务器生态!AG530</f>
        <v>1.9871999999999997E-3</v>
      </c>
    </row>
    <row r="517" spans="32:37" x14ac:dyDescent="0.15">
      <c r="AF517" s="7">
        <v>510</v>
      </c>
      <c r="AG517" s="11">
        <f>[1]服务器生态!AC531</f>
        <v>0.47962550249999997</v>
      </c>
      <c r="AH517" s="11">
        <f>[1]服务器生态!AD531</f>
        <v>0.47291513735919999</v>
      </c>
      <c r="AI517" s="11">
        <f>[1]服务器生态!AE531</f>
        <v>3.8604200140800002E-2</v>
      </c>
      <c r="AJ517" s="11">
        <f>[1]服务器生态!AF531</f>
        <v>6.8679600000000019E-3</v>
      </c>
      <c r="AK517" s="11">
        <f>[1]服务器生态!AG531</f>
        <v>1.9871999999999997E-3</v>
      </c>
    </row>
    <row r="518" spans="32:37" x14ac:dyDescent="0.15">
      <c r="AF518" s="7">
        <v>511</v>
      </c>
      <c r="AG518" s="11">
        <f>[1]服务器生态!AC532</f>
        <v>0.47962550249999997</v>
      </c>
      <c r="AH518" s="11">
        <f>[1]服务器生态!AD532</f>
        <v>0.47291513735919999</v>
      </c>
      <c r="AI518" s="11">
        <f>[1]服务器生态!AE532</f>
        <v>3.8604200140800002E-2</v>
      </c>
      <c r="AJ518" s="11">
        <f>[1]服务器生态!AF532</f>
        <v>6.8679600000000019E-3</v>
      </c>
      <c r="AK518" s="11">
        <f>[1]服务器生态!AG532</f>
        <v>1.9871999999999997E-3</v>
      </c>
    </row>
    <row r="519" spans="32:37" x14ac:dyDescent="0.15">
      <c r="AF519" s="7">
        <v>512</v>
      </c>
      <c r="AG519" s="11">
        <f>[1]服务器生态!AC533</f>
        <v>0.47962550249999997</v>
      </c>
      <c r="AH519" s="11">
        <f>[1]服务器生态!AD533</f>
        <v>0.47291513735919999</v>
      </c>
      <c r="AI519" s="11">
        <f>[1]服务器生态!AE533</f>
        <v>3.8604200140800002E-2</v>
      </c>
      <c r="AJ519" s="11">
        <f>[1]服务器生态!AF533</f>
        <v>6.8679600000000019E-3</v>
      </c>
      <c r="AK519" s="11">
        <f>[1]服务器生态!AG533</f>
        <v>1.9871999999999997E-3</v>
      </c>
    </row>
    <row r="520" spans="32:37" x14ac:dyDescent="0.15">
      <c r="AF520" s="7">
        <v>513</v>
      </c>
      <c r="AG520" s="11">
        <f>[1]服务器生态!AC534</f>
        <v>0.47962550249999997</v>
      </c>
      <c r="AH520" s="11">
        <f>[1]服务器生态!AD534</f>
        <v>0.47291513735919999</v>
      </c>
      <c r="AI520" s="11">
        <f>[1]服务器生态!AE534</f>
        <v>3.8604200140800002E-2</v>
      </c>
      <c r="AJ520" s="11">
        <f>[1]服务器生态!AF534</f>
        <v>6.8679600000000019E-3</v>
      </c>
      <c r="AK520" s="11">
        <f>[1]服务器生态!AG534</f>
        <v>1.9871999999999997E-3</v>
      </c>
    </row>
    <row r="521" spans="32:37" x14ac:dyDescent="0.15">
      <c r="AF521" s="7">
        <v>514</v>
      </c>
      <c r="AG521" s="11">
        <f>[1]服务器生态!AC535</f>
        <v>0.47962550249999997</v>
      </c>
      <c r="AH521" s="11">
        <f>[1]服务器生态!AD535</f>
        <v>0.47291513735919999</v>
      </c>
      <c r="AI521" s="11">
        <f>[1]服务器生态!AE535</f>
        <v>3.8604200140800002E-2</v>
      </c>
      <c r="AJ521" s="11">
        <f>[1]服务器生态!AF535</f>
        <v>6.8679600000000019E-3</v>
      </c>
      <c r="AK521" s="11">
        <f>[1]服务器生态!AG535</f>
        <v>1.9871999999999997E-3</v>
      </c>
    </row>
    <row r="522" spans="32:37" x14ac:dyDescent="0.15">
      <c r="AF522" s="7">
        <v>515</v>
      </c>
      <c r="AG522" s="11">
        <f>[1]服务器生态!AC536</f>
        <v>0.47962550249999997</v>
      </c>
      <c r="AH522" s="11">
        <f>[1]服务器生态!AD536</f>
        <v>0.47291513735919999</v>
      </c>
      <c r="AI522" s="11">
        <f>[1]服务器生态!AE536</f>
        <v>3.8604200140800002E-2</v>
      </c>
      <c r="AJ522" s="11">
        <f>[1]服务器生态!AF536</f>
        <v>6.8679600000000019E-3</v>
      </c>
      <c r="AK522" s="11">
        <f>[1]服务器生态!AG536</f>
        <v>1.9871999999999997E-3</v>
      </c>
    </row>
    <row r="523" spans="32:37" x14ac:dyDescent="0.15">
      <c r="AF523" s="7">
        <v>516</v>
      </c>
      <c r="AG523" s="11">
        <f>[1]服务器生态!AC537</f>
        <v>0.47962550249999997</v>
      </c>
      <c r="AH523" s="11">
        <f>[1]服务器生态!AD537</f>
        <v>0.47291513735919999</v>
      </c>
      <c r="AI523" s="11">
        <f>[1]服务器生态!AE537</f>
        <v>3.8604200140800002E-2</v>
      </c>
      <c r="AJ523" s="11">
        <f>[1]服务器生态!AF537</f>
        <v>6.8679600000000019E-3</v>
      </c>
      <c r="AK523" s="11">
        <f>[1]服务器生态!AG537</f>
        <v>1.9871999999999997E-3</v>
      </c>
    </row>
    <row r="524" spans="32:37" x14ac:dyDescent="0.15">
      <c r="AF524" s="7">
        <v>517</v>
      </c>
      <c r="AG524" s="11">
        <f>[1]服务器生态!AC538</f>
        <v>0.47962550249999997</v>
      </c>
      <c r="AH524" s="11">
        <f>[1]服务器生态!AD538</f>
        <v>0.47291513735919999</v>
      </c>
      <c r="AI524" s="11">
        <f>[1]服务器生态!AE538</f>
        <v>3.8604200140800002E-2</v>
      </c>
      <c r="AJ524" s="11">
        <f>[1]服务器生态!AF538</f>
        <v>6.8679600000000019E-3</v>
      </c>
      <c r="AK524" s="11">
        <f>[1]服务器生态!AG538</f>
        <v>1.9871999999999997E-3</v>
      </c>
    </row>
    <row r="525" spans="32:37" x14ac:dyDescent="0.15">
      <c r="AF525" s="7">
        <v>518</v>
      </c>
      <c r="AG525" s="11">
        <f>[1]服务器生态!AC539</f>
        <v>0.47962550249999997</v>
      </c>
      <c r="AH525" s="11">
        <f>[1]服务器生态!AD539</f>
        <v>0.47291513735919999</v>
      </c>
      <c r="AI525" s="11">
        <f>[1]服务器生态!AE539</f>
        <v>3.8604200140800002E-2</v>
      </c>
      <c r="AJ525" s="11">
        <f>[1]服务器生态!AF539</f>
        <v>6.8679600000000019E-3</v>
      </c>
      <c r="AK525" s="11">
        <f>[1]服务器生态!AG539</f>
        <v>1.9871999999999997E-3</v>
      </c>
    </row>
    <row r="526" spans="32:37" x14ac:dyDescent="0.15">
      <c r="AF526" s="7">
        <v>519</v>
      </c>
      <c r="AG526" s="11">
        <f>[1]服务器生态!AC540</f>
        <v>0.47962550249999997</v>
      </c>
      <c r="AH526" s="11">
        <f>[1]服务器生态!AD540</f>
        <v>0.47291513735919999</v>
      </c>
      <c r="AI526" s="11">
        <f>[1]服务器生态!AE540</f>
        <v>3.8604200140800002E-2</v>
      </c>
      <c r="AJ526" s="11">
        <f>[1]服务器生态!AF540</f>
        <v>6.8679600000000019E-3</v>
      </c>
      <c r="AK526" s="11">
        <f>[1]服务器生态!AG540</f>
        <v>1.9871999999999997E-3</v>
      </c>
    </row>
    <row r="527" spans="32:37" x14ac:dyDescent="0.15">
      <c r="AF527" s="7">
        <v>520</v>
      </c>
      <c r="AG527" s="11">
        <f>[1]服务器生态!AC541</f>
        <v>0.47962550249999997</v>
      </c>
      <c r="AH527" s="11">
        <f>[1]服务器生态!AD541</f>
        <v>0.47291513735919999</v>
      </c>
      <c r="AI527" s="11">
        <f>[1]服务器生态!AE541</f>
        <v>3.8604200140800002E-2</v>
      </c>
      <c r="AJ527" s="11">
        <f>[1]服务器生态!AF541</f>
        <v>6.8679600000000019E-3</v>
      </c>
      <c r="AK527" s="11">
        <f>[1]服务器生态!AG541</f>
        <v>1.9871999999999997E-3</v>
      </c>
    </row>
    <row r="528" spans="32:37" x14ac:dyDescent="0.15">
      <c r="AF528" s="7">
        <v>521</v>
      </c>
      <c r="AG528" s="11">
        <f>[1]服务器生态!AC542</f>
        <v>0.47962550249999997</v>
      </c>
      <c r="AH528" s="11">
        <f>[1]服务器生态!AD542</f>
        <v>0.47291513735919999</v>
      </c>
      <c r="AI528" s="11">
        <f>[1]服务器生态!AE542</f>
        <v>3.8604200140800002E-2</v>
      </c>
      <c r="AJ528" s="11">
        <f>[1]服务器生态!AF542</f>
        <v>6.8679600000000019E-3</v>
      </c>
      <c r="AK528" s="11">
        <f>[1]服务器生态!AG542</f>
        <v>1.9871999999999997E-3</v>
      </c>
    </row>
    <row r="529" spans="32:37" x14ac:dyDescent="0.15">
      <c r="AF529" s="7">
        <v>522</v>
      </c>
      <c r="AG529" s="11">
        <f>[1]服务器生态!AC543</f>
        <v>0.47962550249999997</v>
      </c>
      <c r="AH529" s="11">
        <f>[1]服务器生态!AD543</f>
        <v>0.47291513735919999</v>
      </c>
      <c r="AI529" s="11">
        <f>[1]服务器生态!AE543</f>
        <v>3.8604200140800002E-2</v>
      </c>
      <c r="AJ529" s="11">
        <f>[1]服务器生态!AF543</f>
        <v>6.8679600000000019E-3</v>
      </c>
      <c r="AK529" s="11">
        <f>[1]服务器生态!AG543</f>
        <v>1.9871999999999997E-3</v>
      </c>
    </row>
    <row r="530" spans="32:37" x14ac:dyDescent="0.15">
      <c r="AF530" s="7">
        <v>523</v>
      </c>
      <c r="AG530" s="11">
        <f>[1]服务器生态!AC544</f>
        <v>0.47962550249999997</v>
      </c>
      <c r="AH530" s="11">
        <f>[1]服务器生态!AD544</f>
        <v>0.47291513735919999</v>
      </c>
      <c r="AI530" s="11">
        <f>[1]服务器生态!AE544</f>
        <v>3.8604200140800002E-2</v>
      </c>
      <c r="AJ530" s="11">
        <f>[1]服务器生态!AF544</f>
        <v>6.8679600000000019E-3</v>
      </c>
      <c r="AK530" s="11">
        <f>[1]服务器生态!AG544</f>
        <v>1.9871999999999997E-3</v>
      </c>
    </row>
    <row r="531" spans="32:37" x14ac:dyDescent="0.15">
      <c r="AF531" s="7">
        <v>524</v>
      </c>
      <c r="AG531" s="11">
        <f>[1]服务器生态!AC545</f>
        <v>0.47962550249999997</v>
      </c>
      <c r="AH531" s="11">
        <f>[1]服务器生态!AD545</f>
        <v>0.47291513735919999</v>
      </c>
      <c r="AI531" s="11">
        <f>[1]服务器生态!AE545</f>
        <v>3.8604200140800002E-2</v>
      </c>
      <c r="AJ531" s="11">
        <f>[1]服务器生态!AF545</f>
        <v>6.8679600000000019E-3</v>
      </c>
      <c r="AK531" s="11">
        <f>[1]服务器生态!AG545</f>
        <v>1.9871999999999997E-3</v>
      </c>
    </row>
    <row r="532" spans="32:37" x14ac:dyDescent="0.15">
      <c r="AF532" s="7">
        <v>525</v>
      </c>
      <c r="AG532" s="11">
        <f>[1]服务器生态!AC546</f>
        <v>0.47962550249999997</v>
      </c>
      <c r="AH532" s="11">
        <f>[1]服务器生态!AD546</f>
        <v>0.47291513735919999</v>
      </c>
      <c r="AI532" s="11">
        <f>[1]服务器生态!AE546</f>
        <v>3.8604200140800002E-2</v>
      </c>
      <c r="AJ532" s="11">
        <f>[1]服务器生态!AF546</f>
        <v>6.8679600000000019E-3</v>
      </c>
      <c r="AK532" s="11">
        <f>[1]服务器生态!AG546</f>
        <v>1.9871999999999997E-3</v>
      </c>
    </row>
    <row r="533" spans="32:37" x14ac:dyDescent="0.15">
      <c r="AF533" s="7">
        <v>526</v>
      </c>
      <c r="AG533" s="11">
        <f>[1]服务器生态!AC547</f>
        <v>0.47962550249999997</v>
      </c>
      <c r="AH533" s="11">
        <f>[1]服务器生态!AD547</f>
        <v>0.47291513735919999</v>
      </c>
      <c r="AI533" s="11">
        <f>[1]服务器生态!AE547</f>
        <v>3.8604200140800002E-2</v>
      </c>
      <c r="AJ533" s="11">
        <f>[1]服务器生态!AF547</f>
        <v>6.8679600000000019E-3</v>
      </c>
      <c r="AK533" s="11">
        <f>[1]服务器生态!AG547</f>
        <v>1.9871999999999997E-3</v>
      </c>
    </row>
    <row r="534" spans="32:37" x14ac:dyDescent="0.15">
      <c r="AF534" s="7">
        <v>527</v>
      </c>
      <c r="AG534" s="11">
        <f>[1]服务器生态!AC548</f>
        <v>0.47962550249999997</v>
      </c>
      <c r="AH534" s="11">
        <f>[1]服务器生态!AD548</f>
        <v>0.47291513735919999</v>
      </c>
      <c r="AI534" s="11">
        <f>[1]服务器生态!AE548</f>
        <v>3.8604200140800002E-2</v>
      </c>
      <c r="AJ534" s="11">
        <f>[1]服务器生态!AF548</f>
        <v>6.8679600000000019E-3</v>
      </c>
      <c r="AK534" s="11">
        <f>[1]服务器生态!AG548</f>
        <v>1.9871999999999997E-3</v>
      </c>
    </row>
    <row r="535" spans="32:37" x14ac:dyDescent="0.15">
      <c r="AF535" s="7">
        <v>528</v>
      </c>
      <c r="AG535" s="11">
        <f>[1]服务器生态!AC549</f>
        <v>0.47962550249999997</v>
      </c>
      <c r="AH535" s="11">
        <f>[1]服务器生态!AD549</f>
        <v>0.47291513735919999</v>
      </c>
      <c r="AI535" s="11">
        <f>[1]服务器生态!AE549</f>
        <v>3.8604200140800002E-2</v>
      </c>
      <c r="AJ535" s="11">
        <f>[1]服务器生态!AF549</f>
        <v>6.8679600000000019E-3</v>
      </c>
      <c r="AK535" s="11">
        <f>[1]服务器生态!AG549</f>
        <v>1.9871999999999997E-3</v>
      </c>
    </row>
    <row r="536" spans="32:37" x14ac:dyDescent="0.15">
      <c r="AF536" s="7">
        <v>529</v>
      </c>
      <c r="AG536" s="11">
        <f>[1]服务器生态!AC550</f>
        <v>0.47962550249999997</v>
      </c>
      <c r="AH536" s="11">
        <f>[1]服务器生态!AD550</f>
        <v>0.47291513735919999</v>
      </c>
      <c r="AI536" s="11">
        <f>[1]服务器生态!AE550</f>
        <v>3.8604200140800002E-2</v>
      </c>
      <c r="AJ536" s="11">
        <f>[1]服务器生态!AF550</f>
        <v>6.8679600000000019E-3</v>
      </c>
      <c r="AK536" s="11">
        <f>[1]服务器生态!AG550</f>
        <v>1.9871999999999997E-3</v>
      </c>
    </row>
    <row r="537" spans="32:37" x14ac:dyDescent="0.15">
      <c r="AF537" s="7">
        <v>530</v>
      </c>
      <c r="AG537" s="11">
        <f>[1]服务器生态!AC551</f>
        <v>0.47962550249999997</v>
      </c>
      <c r="AH537" s="11">
        <f>[1]服务器生态!AD551</f>
        <v>0.47291513735919999</v>
      </c>
      <c r="AI537" s="11">
        <f>[1]服务器生态!AE551</f>
        <v>3.8604200140800002E-2</v>
      </c>
      <c r="AJ537" s="11">
        <f>[1]服务器生态!AF551</f>
        <v>6.8679600000000019E-3</v>
      </c>
      <c r="AK537" s="11">
        <f>[1]服务器生态!AG551</f>
        <v>1.9871999999999997E-3</v>
      </c>
    </row>
    <row r="538" spans="32:37" x14ac:dyDescent="0.15">
      <c r="AF538" s="7">
        <v>531</v>
      </c>
      <c r="AG538" s="11">
        <f>[1]服务器生态!AC552</f>
        <v>0.47962550249999997</v>
      </c>
      <c r="AH538" s="11">
        <f>[1]服务器生态!AD552</f>
        <v>0.47291513735919999</v>
      </c>
      <c r="AI538" s="11">
        <f>[1]服务器生态!AE552</f>
        <v>3.8604200140800002E-2</v>
      </c>
      <c r="AJ538" s="11">
        <f>[1]服务器生态!AF552</f>
        <v>6.8679600000000019E-3</v>
      </c>
      <c r="AK538" s="11">
        <f>[1]服务器生态!AG552</f>
        <v>1.9871999999999997E-3</v>
      </c>
    </row>
    <row r="539" spans="32:37" x14ac:dyDescent="0.15">
      <c r="AF539" s="7">
        <v>532</v>
      </c>
      <c r="AG539" s="11">
        <f>[1]服务器生态!AC553</f>
        <v>0.47962550249999997</v>
      </c>
      <c r="AH539" s="11">
        <f>[1]服务器生态!AD553</f>
        <v>0.47291513735919999</v>
      </c>
      <c r="AI539" s="11">
        <f>[1]服务器生态!AE553</f>
        <v>3.8604200140800002E-2</v>
      </c>
      <c r="AJ539" s="11">
        <f>[1]服务器生态!AF553</f>
        <v>6.8679600000000019E-3</v>
      </c>
      <c r="AK539" s="11">
        <f>[1]服务器生态!AG553</f>
        <v>1.9871999999999997E-3</v>
      </c>
    </row>
    <row r="540" spans="32:37" x14ac:dyDescent="0.15">
      <c r="AF540" s="7">
        <v>533</v>
      </c>
      <c r="AG540" s="11">
        <f>[1]服务器生态!AC554</f>
        <v>0.47962550249999997</v>
      </c>
      <c r="AH540" s="11">
        <f>[1]服务器生态!AD554</f>
        <v>0.47291513735919999</v>
      </c>
      <c r="AI540" s="11">
        <f>[1]服务器生态!AE554</f>
        <v>3.8604200140800002E-2</v>
      </c>
      <c r="AJ540" s="11">
        <f>[1]服务器生态!AF554</f>
        <v>6.8679600000000019E-3</v>
      </c>
      <c r="AK540" s="11">
        <f>[1]服务器生态!AG554</f>
        <v>1.9871999999999997E-3</v>
      </c>
    </row>
    <row r="541" spans="32:37" x14ac:dyDescent="0.15">
      <c r="AF541" s="7">
        <v>534</v>
      </c>
      <c r="AG541" s="11">
        <f>[1]服务器生态!AC555</f>
        <v>0.47962550249999997</v>
      </c>
      <c r="AH541" s="11">
        <f>[1]服务器生态!AD555</f>
        <v>0.47291513735919999</v>
      </c>
      <c r="AI541" s="11">
        <f>[1]服务器生态!AE555</f>
        <v>3.8604200140800002E-2</v>
      </c>
      <c r="AJ541" s="11">
        <f>[1]服务器生态!AF555</f>
        <v>6.8679600000000019E-3</v>
      </c>
      <c r="AK541" s="11">
        <f>[1]服务器生态!AG555</f>
        <v>1.9871999999999997E-3</v>
      </c>
    </row>
    <row r="542" spans="32:37" x14ac:dyDescent="0.15">
      <c r="AF542" s="7">
        <v>535</v>
      </c>
      <c r="AG542" s="11">
        <f>[1]服务器生态!AC556</f>
        <v>0.47962550249999997</v>
      </c>
      <c r="AH542" s="11">
        <f>[1]服务器生态!AD556</f>
        <v>0.47291513735919999</v>
      </c>
      <c r="AI542" s="11">
        <f>[1]服务器生态!AE556</f>
        <v>3.8604200140800002E-2</v>
      </c>
      <c r="AJ542" s="11">
        <f>[1]服务器生态!AF556</f>
        <v>6.8679600000000019E-3</v>
      </c>
      <c r="AK542" s="11">
        <f>[1]服务器生态!AG556</f>
        <v>1.9871999999999997E-3</v>
      </c>
    </row>
    <row r="543" spans="32:37" x14ac:dyDescent="0.15">
      <c r="AF543" s="7">
        <v>536</v>
      </c>
      <c r="AG543" s="11">
        <f>[1]服务器生态!AC557</f>
        <v>0.47962550249999997</v>
      </c>
      <c r="AH543" s="11">
        <f>[1]服务器生态!AD557</f>
        <v>0.47291513735919999</v>
      </c>
      <c r="AI543" s="11">
        <f>[1]服务器生态!AE557</f>
        <v>3.8604200140800002E-2</v>
      </c>
      <c r="AJ543" s="11">
        <f>[1]服务器生态!AF557</f>
        <v>6.8679600000000019E-3</v>
      </c>
      <c r="AK543" s="11">
        <f>[1]服务器生态!AG557</f>
        <v>1.9871999999999997E-3</v>
      </c>
    </row>
    <row r="544" spans="32:37" x14ac:dyDescent="0.15">
      <c r="AF544" s="7">
        <v>537</v>
      </c>
      <c r="AG544" s="11">
        <f>[1]服务器生态!AC558</f>
        <v>0.47962550249999997</v>
      </c>
      <c r="AH544" s="11">
        <f>[1]服务器生态!AD558</f>
        <v>0.47291513735919999</v>
      </c>
      <c r="AI544" s="11">
        <f>[1]服务器生态!AE558</f>
        <v>3.8604200140800002E-2</v>
      </c>
      <c r="AJ544" s="11">
        <f>[1]服务器生态!AF558</f>
        <v>6.8679600000000019E-3</v>
      </c>
      <c r="AK544" s="11">
        <f>[1]服务器生态!AG558</f>
        <v>1.9871999999999997E-3</v>
      </c>
    </row>
    <row r="545" spans="32:37" x14ac:dyDescent="0.15">
      <c r="AF545" s="7">
        <v>538</v>
      </c>
      <c r="AG545" s="11">
        <f>[1]服务器生态!AC559</f>
        <v>0.47962550249999997</v>
      </c>
      <c r="AH545" s="11">
        <f>[1]服务器生态!AD559</f>
        <v>0.47291513735919999</v>
      </c>
      <c r="AI545" s="11">
        <f>[1]服务器生态!AE559</f>
        <v>3.8604200140800002E-2</v>
      </c>
      <c r="AJ545" s="11">
        <f>[1]服务器生态!AF559</f>
        <v>6.8679600000000019E-3</v>
      </c>
      <c r="AK545" s="11">
        <f>[1]服务器生态!AG559</f>
        <v>1.9871999999999997E-3</v>
      </c>
    </row>
    <row r="546" spans="32:37" x14ac:dyDescent="0.15">
      <c r="AF546" s="7">
        <v>539</v>
      </c>
      <c r="AG546" s="11">
        <f>[1]服务器生态!AC560</f>
        <v>0.47962550249999997</v>
      </c>
      <c r="AH546" s="11">
        <f>[1]服务器生态!AD560</f>
        <v>0.47291513735919999</v>
      </c>
      <c r="AI546" s="11">
        <f>[1]服务器生态!AE560</f>
        <v>3.8604200140800002E-2</v>
      </c>
      <c r="AJ546" s="11">
        <f>[1]服务器生态!AF560</f>
        <v>6.8679600000000019E-3</v>
      </c>
      <c r="AK546" s="11">
        <f>[1]服务器生态!AG560</f>
        <v>1.9871999999999997E-3</v>
      </c>
    </row>
    <row r="547" spans="32:37" x14ac:dyDescent="0.15">
      <c r="AF547" s="7">
        <v>540</v>
      </c>
      <c r="AG547" s="11">
        <f>[1]服务器生态!AC561</f>
        <v>0.47962550249999997</v>
      </c>
      <c r="AH547" s="11">
        <f>[1]服务器生态!AD561</f>
        <v>0.47291513735919999</v>
      </c>
      <c r="AI547" s="11">
        <f>[1]服务器生态!AE561</f>
        <v>3.8604200140800002E-2</v>
      </c>
      <c r="AJ547" s="11">
        <f>[1]服务器生态!AF561</f>
        <v>6.8679600000000019E-3</v>
      </c>
      <c r="AK547" s="11">
        <f>[1]服务器生态!AG561</f>
        <v>1.9871999999999997E-3</v>
      </c>
    </row>
    <row r="548" spans="32:37" x14ac:dyDescent="0.15">
      <c r="AF548" s="7">
        <v>541</v>
      </c>
      <c r="AG548" s="11">
        <f>[1]服务器生态!AC562</f>
        <v>0.47962550249999997</v>
      </c>
      <c r="AH548" s="11">
        <f>[1]服务器生态!AD562</f>
        <v>0.47291513735919999</v>
      </c>
      <c r="AI548" s="11">
        <f>[1]服务器生态!AE562</f>
        <v>3.8604200140800002E-2</v>
      </c>
      <c r="AJ548" s="11">
        <f>[1]服务器生态!AF562</f>
        <v>6.8679600000000019E-3</v>
      </c>
      <c r="AK548" s="11">
        <f>[1]服务器生态!AG562</f>
        <v>1.9871999999999997E-3</v>
      </c>
    </row>
    <row r="549" spans="32:37" x14ac:dyDescent="0.15">
      <c r="AF549" s="7">
        <v>542</v>
      </c>
      <c r="AG549" s="11">
        <f>[1]服务器生态!AC563</f>
        <v>0.47962550249999997</v>
      </c>
      <c r="AH549" s="11">
        <f>[1]服务器生态!AD563</f>
        <v>0.47291513735919999</v>
      </c>
      <c r="AI549" s="11">
        <f>[1]服务器生态!AE563</f>
        <v>3.8604200140800002E-2</v>
      </c>
      <c r="AJ549" s="11">
        <f>[1]服务器生态!AF563</f>
        <v>6.8679600000000019E-3</v>
      </c>
      <c r="AK549" s="11">
        <f>[1]服务器生态!AG563</f>
        <v>1.9871999999999997E-3</v>
      </c>
    </row>
    <row r="550" spans="32:37" x14ac:dyDescent="0.15">
      <c r="AF550" s="7">
        <v>543</v>
      </c>
      <c r="AG550" s="11">
        <f>[1]服务器生态!AC564</f>
        <v>0.47962550249999997</v>
      </c>
      <c r="AH550" s="11">
        <f>[1]服务器生态!AD564</f>
        <v>0.47291513735919999</v>
      </c>
      <c r="AI550" s="11">
        <f>[1]服务器生态!AE564</f>
        <v>3.8604200140800002E-2</v>
      </c>
      <c r="AJ550" s="11">
        <f>[1]服务器生态!AF564</f>
        <v>6.8679600000000019E-3</v>
      </c>
      <c r="AK550" s="11">
        <f>[1]服务器生态!AG564</f>
        <v>1.9871999999999997E-3</v>
      </c>
    </row>
    <row r="551" spans="32:37" x14ac:dyDescent="0.15">
      <c r="AF551" s="7">
        <v>544</v>
      </c>
      <c r="AG551" s="11">
        <f>[1]服务器生态!AC565</f>
        <v>0.47962550249999997</v>
      </c>
      <c r="AH551" s="11">
        <f>[1]服务器生态!AD565</f>
        <v>0.47291513735919999</v>
      </c>
      <c r="AI551" s="11">
        <f>[1]服务器生态!AE565</f>
        <v>3.8604200140800002E-2</v>
      </c>
      <c r="AJ551" s="11">
        <f>[1]服务器生态!AF565</f>
        <v>6.8679600000000019E-3</v>
      </c>
      <c r="AK551" s="11">
        <f>[1]服务器生态!AG565</f>
        <v>1.9871999999999997E-3</v>
      </c>
    </row>
    <row r="552" spans="32:37" x14ac:dyDescent="0.15">
      <c r="AF552" s="7">
        <v>545</v>
      </c>
      <c r="AG552" s="11">
        <f>[1]服务器生态!AC566</f>
        <v>0.47962550249999997</v>
      </c>
      <c r="AH552" s="11">
        <f>[1]服务器生态!AD566</f>
        <v>0.47291513735919999</v>
      </c>
      <c r="AI552" s="11">
        <f>[1]服务器生态!AE566</f>
        <v>3.8604200140800002E-2</v>
      </c>
      <c r="AJ552" s="11">
        <f>[1]服务器生态!AF566</f>
        <v>6.8679600000000019E-3</v>
      </c>
      <c r="AK552" s="11">
        <f>[1]服务器生态!AG566</f>
        <v>1.9871999999999997E-3</v>
      </c>
    </row>
    <row r="553" spans="32:37" x14ac:dyDescent="0.15">
      <c r="AF553" s="7">
        <v>546</v>
      </c>
      <c r="AG553" s="11">
        <f>[1]服务器生态!AC567</f>
        <v>0.47962550249999997</v>
      </c>
      <c r="AH553" s="11">
        <f>[1]服务器生态!AD567</f>
        <v>0.47291513735919999</v>
      </c>
      <c r="AI553" s="11">
        <f>[1]服务器生态!AE567</f>
        <v>3.8604200140800002E-2</v>
      </c>
      <c r="AJ553" s="11">
        <f>[1]服务器生态!AF567</f>
        <v>6.8679600000000019E-3</v>
      </c>
      <c r="AK553" s="11">
        <f>[1]服务器生态!AG567</f>
        <v>1.9871999999999997E-3</v>
      </c>
    </row>
    <row r="554" spans="32:37" x14ac:dyDescent="0.15">
      <c r="AF554" s="7">
        <v>547</v>
      </c>
      <c r="AG554" s="11">
        <f>[1]服务器生态!AC568</f>
        <v>0.47962550249999997</v>
      </c>
      <c r="AH554" s="11">
        <f>[1]服务器生态!AD568</f>
        <v>0.47291513735919999</v>
      </c>
      <c r="AI554" s="11">
        <f>[1]服务器生态!AE568</f>
        <v>3.8604200140800002E-2</v>
      </c>
      <c r="AJ554" s="11">
        <f>[1]服务器生态!AF568</f>
        <v>6.8679600000000019E-3</v>
      </c>
      <c r="AK554" s="11">
        <f>[1]服务器生态!AG568</f>
        <v>1.9871999999999997E-3</v>
      </c>
    </row>
    <row r="555" spans="32:37" x14ac:dyDescent="0.15">
      <c r="AF555" s="7">
        <v>548</v>
      </c>
      <c r="AG555" s="11">
        <f>[1]服务器生态!AC569</f>
        <v>0.47962550249999997</v>
      </c>
      <c r="AH555" s="11">
        <f>[1]服务器生态!AD569</f>
        <v>0.47291513735919999</v>
      </c>
      <c r="AI555" s="11">
        <f>[1]服务器生态!AE569</f>
        <v>3.8604200140800002E-2</v>
      </c>
      <c r="AJ555" s="11">
        <f>[1]服务器生态!AF569</f>
        <v>6.8679600000000019E-3</v>
      </c>
      <c r="AK555" s="11">
        <f>[1]服务器生态!AG569</f>
        <v>1.9871999999999997E-3</v>
      </c>
    </row>
    <row r="556" spans="32:37" x14ac:dyDescent="0.15">
      <c r="AF556" s="7">
        <v>549</v>
      </c>
      <c r="AG556" s="11">
        <f>[1]服务器生态!AC570</f>
        <v>0.47962550249999997</v>
      </c>
      <c r="AH556" s="11">
        <f>[1]服务器生态!AD570</f>
        <v>0.47291513735919999</v>
      </c>
      <c r="AI556" s="11">
        <f>[1]服务器生态!AE570</f>
        <v>3.8604200140800002E-2</v>
      </c>
      <c r="AJ556" s="11">
        <f>[1]服务器生态!AF570</f>
        <v>6.8679600000000019E-3</v>
      </c>
      <c r="AK556" s="11">
        <f>[1]服务器生态!AG570</f>
        <v>1.9871999999999997E-3</v>
      </c>
    </row>
    <row r="557" spans="32:37" x14ac:dyDescent="0.15">
      <c r="AF557" s="7">
        <v>550</v>
      </c>
      <c r="AG557" s="11">
        <f>[1]服务器生态!AC571</f>
        <v>0.47962550249999997</v>
      </c>
      <c r="AH557" s="11">
        <f>[1]服务器生态!AD571</f>
        <v>0.47291513735919999</v>
      </c>
      <c r="AI557" s="11">
        <f>[1]服务器生态!AE571</f>
        <v>3.8604200140800002E-2</v>
      </c>
      <c r="AJ557" s="11">
        <f>[1]服务器生态!AF571</f>
        <v>6.8679600000000019E-3</v>
      </c>
      <c r="AK557" s="11">
        <f>[1]服务器生态!AG571</f>
        <v>1.9871999999999997E-3</v>
      </c>
    </row>
    <row r="558" spans="32:37" x14ac:dyDescent="0.15">
      <c r="AF558" s="7">
        <v>551</v>
      </c>
      <c r="AG558" s="11">
        <f>[1]服务器生态!AC572</f>
        <v>0.47962550249999997</v>
      </c>
      <c r="AH558" s="11">
        <f>[1]服务器生态!AD572</f>
        <v>0.47291513735919999</v>
      </c>
      <c r="AI558" s="11">
        <f>[1]服务器生态!AE572</f>
        <v>3.8604200140800002E-2</v>
      </c>
      <c r="AJ558" s="11">
        <f>[1]服务器生态!AF572</f>
        <v>6.8679600000000019E-3</v>
      </c>
      <c r="AK558" s="11">
        <f>[1]服务器生态!AG572</f>
        <v>1.9871999999999997E-3</v>
      </c>
    </row>
    <row r="559" spans="32:37" x14ac:dyDescent="0.15">
      <c r="AF559" s="7">
        <v>552</v>
      </c>
      <c r="AG559" s="11">
        <f>[1]服务器生态!AC573</f>
        <v>0.47962550249999997</v>
      </c>
      <c r="AH559" s="11">
        <f>[1]服务器生态!AD573</f>
        <v>0.47291513735919999</v>
      </c>
      <c r="AI559" s="11">
        <f>[1]服务器生态!AE573</f>
        <v>3.8604200140800002E-2</v>
      </c>
      <c r="AJ559" s="11">
        <f>[1]服务器生态!AF573</f>
        <v>6.8679600000000019E-3</v>
      </c>
      <c r="AK559" s="11">
        <f>[1]服务器生态!AG573</f>
        <v>1.9871999999999997E-3</v>
      </c>
    </row>
    <row r="560" spans="32:37" x14ac:dyDescent="0.15">
      <c r="AF560" s="7">
        <v>553</v>
      </c>
      <c r="AG560" s="11">
        <f>[1]服务器生态!AC574</f>
        <v>0.47962550249999997</v>
      </c>
      <c r="AH560" s="11">
        <f>[1]服务器生态!AD574</f>
        <v>0.47291513735919999</v>
      </c>
      <c r="AI560" s="11">
        <f>[1]服务器生态!AE574</f>
        <v>3.8604200140800002E-2</v>
      </c>
      <c r="AJ560" s="11">
        <f>[1]服务器生态!AF574</f>
        <v>6.8679600000000019E-3</v>
      </c>
      <c r="AK560" s="11">
        <f>[1]服务器生态!AG574</f>
        <v>1.9871999999999997E-3</v>
      </c>
    </row>
    <row r="561" spans="32:37" x14ac:dyDescent="0.15">
      <c r="AF561" s="7">
        <v>554</v>
      </c>
      <c r="AG561" s="11">
        <f>[1]服务器生态!AC575</f>
        <v>0.47962550249999997</v>
      </c>
      <c r="AH561" s="11">
        <f>[1]服务器生态!AD575</f>
        <v>0.47291513735919999</v>
      </c>
      <c r="AI561" s="11">
        <f>[1]服务器生态!AE575</f>
        <v>3.8604200140800002E-2</v>
      </c>
      <c r="AJ561" s="11">
        <f>[1]服务器生态!AF575</f>
        <v>6.8679600000000019E-3</v>
      </c>
      <c r="AK561" s="11">
        <f>[1]服务器生态!AG575</f>
        <v>1.9871999999999997E-3</v>
      </c>
    </row>
    <row r="562" spans="32:37" x14ac:dyDescent="0.15">
      <c r="AF562" s="7">
        <v>555</v>
      </c>
      <c r="AG562" s="11">
        <f>[1]服务器生态!AC576</f>
        <v>0.47962550249999997</v>
      </c>
      <c r="AH562" s="11">
        <f>[1]服务器生态!AD576</f>
        <v>0.47291513735919999</v>
      </c>
      <c r="AI562" s="11">
        <f>[1]服务器生态!AE576</f>
        <v>3.8604200140800002E-2</v>
      </c>
      <c r="AJ562" s="11">
        <f>[1]服务器生态!AF576</f>
        <v>6.8679600000000019E-3</v>
      </c>
      <c r="AK562" s="11">
        <f>[1]服务器生态!AG576</f>
        <v>1.9871999999999997E-3</v>
      </c>
    </row>
    <row r="563" spans="32:37" x14ac:dyDescent="0.15">
      <c r="AF563" s="7">
        <v>556</v>
      </c>
      <c r="AG563" s="11">
        <f>[1]服务器生态!AC577</f>
        <v>0.47962550249999997</v>
      </c>
      <c r="AH563" s="11">
        <f>[1]服务器生态!AD577</f>
        <v>0.47291513735919999</v>
      </c>
      <c r="AI563" s="11">
        <f>[1]服务器生态!AE577</f>
        <v>3.8604200140800002E-2</v>
      </c>
      <c r="AJ563" s="11">
        <f>[1]服务器生态!AF577</f>
        <v>6.8679600000000019E-3</v>
      </c>
      <c r="AK563" s="11">
        <f>[1]服务器生态!AG577</f>
        <v>1.9871999999999997E-3</v>
      </c>
    </row>
    <row r="564" spans="32:37" x14ac:dyDescent="0.15">
      <c r="AF564" s="7">
        <v>557</v>
      </c>
      <c r="AG564" s="11">
        <f>[1]服务器生态!AC578</f>
        <v>0.47962550249999997</v>
      </c>
      <c r="AH564" s="11">
        <f>[1]服务器生态!AD578</f>
        <v>0.47291513735919999</v>
      </c>
      <c r="AI564" s="11">
        <f>[1]服务器生态!AE578</f>
        <v>3.8604200140800002E-2</v>
      </c>
      <c r="AJ564" s="11">
        <f>[1]服务器生态!AF578</f>
        <v>6.8679600000000019E-3</v>
      </c>
      <c r="AK564" s="11">
        <f>[1]服务器生态!AG578</f>
        <v>1.9871999999999997E-3</v>
      </c>
    </row>
    <row r="565" spans="32:37" x14ac:dyDescent="0.15">
      <c r="AF565" s="7">
        <v>558</v>
      </c>
      <c r="AG565" s="11">
        <f>[1]服务器生态!AC579</f>
        <v>0.47962550249999997</v>
      </c>
      <c r="AH565" s="11">
        <f>[1]服务器生态!AD579</f>
        <v>0.47291513735919999</v>
      </c>
      <c r="AI565" s="11">
        <f>[1]服务器生态!AE579</f>
        <v>3.8604200140800002E-2</v>
      </c>
      <c r="AJ565" s="11">
        <f>[1]服务器生态!AF579</f>
        <v>6.8679600000000019E-3</v>
      </c>
      <c r="AK565" s="11">
        <f>[1]服务器生态!AG579</f>
        <v>1.9871999999999997E-3</v>
      </c>
    </row>
    <row r="566" spans="32:37" x14ac:dyDescent="0.15">
      <c r="AF566" s="7">
        <v>559</v>
      </c>
      <c r="AG566" s="11">
        <f>[1]服务器生态!AC580</f>
        <v>0.47962550249999997</v>
      </c>
      <c r="AH566" s="11">
        <f>[1]服务器生态!AD580</f>
        <v>0.47291513735919999</v>
      </c>
      <c r="AI566" s="11">
        <f>[1]服务器生态!AE580</f>
        <v>3.8604200140800002E-2</v>
      </c>
      <c r="AJ566" s="11">
        <f>[1]服务器生态!AF580</f>
        <v>6.8679600000000019E-3</v>
      </c>
      <c r="AK566" s="11">
        <f>[1]服务器生态!AG580</f>
        <v>1.9871999999999997E-3</v>
      </c>
    </row>
    <row r="567" spans="32:37" x14ac:dyDescent="0.15">
      <c r="AF567" s="7">
        <v>560</v>
      </c>
      <c r="AG567" s="11">
        <f>[1]服务器生态!AC581</f>
        <v>0.47962550249999997</v>
      </c>
      <c r="AH567" s="11">
        <f>[1]服务器生态!AD581</f>
        <v>0.47291513735919999</v>
      </c>
      <c r="AI567" s="11">
        <f>[1]服务器生态!AE581</f>
        <v>3.8604200140800002E-2</v>
      </c>
      <c r="AJ567" s="11">
        <f>[1]服务器生态!AF581</f>
        <v>6.8679600000000019E-3</v>
      </c>
      <c r="AK567" s="11">
        <f>[1]服务器生态!AG581</f>
        <v>1.9871999999999997E-3</v>
      </c>
    </row>
    <row r="568" spans="32:37" x14ac:dyDescent="0.15">
      <c r="AF568" s="7">
        <v>561</v>
      </c>
      <c r="AG568" s="11">
        <f>[1]服务器生态!AC582</f>
        <v>0.47962550249999997</v>
      </c>
      <c r="AH568" s="11">
        <f>[1]服务器生态!AD582</f>
        <v>0.47291513735919999</v>
      </c>
      <c r="AI568" s="11">
        <f>[1]服务器生态!AE582</f>
        <v>3.8604200140800002E-2</v>
      </c>
      <c r="AJ568" s="11">
        <f>[1]服务器生态!AF582</f>
        <v>6.8679600000000019E-3</v>
      </c>
      <c r="AK568" s="11">
        <f>[1]服务器生态!AG582</f>
        <v>1.9871999999999997E-3</v>
      </c>
    </row>
    <row r="569" spans="32:37" x14ac:dyDescent="0.15">
      <c r="AF569" s="7">
        <v>562</v>
      </c>
      <c r="AG569" s="11">
        <f>[1]服务器生态!AC583</f>
        <v>0.47962550249999997</v>
      </c>
      <c r="AH569" s="11">
        <f>[1]服务器生态!AD583</f>
        <v>0.47291513735919999</v>
      </c>
      <c r="AI569" s="11">
        <f>[1]服务器生态!AE583</f>
        <v>3.8604200140800002E-2</v>
      </c>
      <c r="AJ569" s="11">
        <f>[1]服务器生态!AF583</f>
        <v>6.8679600000000019E-3</v>
      </c>
      <c r="AK569" s="11">
        <f>[1]服务器生态!AG583</f>
        <v>1.9871999999999997E-3</v>
      </c>
    </row>
    <row r="570" spans="32:37" x14ac:dyDescent="0.15">
      <c r="AF570" s="7">
        <v>563</v>
      </c>
      <c r="AG570" s="11">
        <f>[1]服务器生态!AC584</f>
        <v>0.47962550249999997</v>
      </c>
      <c r="AH570" s="11">
        <f>[1]服务器生态!AD584</f>
        <v>0.47291513735919999</v>
      </c>
      <c r="AI570" s="11">
        <f>[1]服务器生态!AE584</f>
        <v>3.8604200140800002E-2</v>
      </c>
      <c r="AJ570" s="11">
        <f>[1]服务器生态!AF584</f>
        <v>6.8679600000000019E-3</v>
      </c>
      <c r="AK570" s="11">
        <f>[1]服务器生态!AG584</f>
        <v>1.9871999999999997E-3</v>
      </c>
    </row>
    <row r="571" spans="32:37" x14ac:dyDescent="0.15">
      <c r="AF571" s="7">
        <v>564</v>
      </c>
      <c r="AG571" s="11">
        <f>[1]服务器生态!AC585</f>
        <v>0.47962550249999997</v>
      </c>
      <c r="AH571" s="11">
        <f>[1]服务器生态!AD585</f>
        <v>0.47291513735919999</v>
      </c>
      <c r="AI571" s="11">
        <f>[1]服务器生态!AE585</f>
        <v>3.8604200140800002E-2</v>
      </c>
      <c r="AJ571" s="11">
        <f>[1]服务器生态!AF585</f>
        <v>6.8679600000000019E-3</v>
      </c>
      <c r="AK571" s="11">
        <f>[1]服务器生态!AG585</f>
        <v>1.9871999999999997E-3</v>
      </c>
    </row>
    <row r="572" spans="32:37" x14ac:dyDescent="0.15">
      <c r="AF572" s="7">
        <v>565</v>
      </c>
      <c r="AG572" s="11">
        <f>[1]服务器生态!AC586</f>
        <v>0.47962550249999997</v>
      </c>
      <c r="AH572" s="11">
        <f>[1]服务器生态!AD586</f>
        <v>0.47291513735919999</v>
      </c>
      <c r="AI572" s="11">
        <f>[1]服务器生态!AE586</f>
        <v>3.8604200140800002E-2</v>
      </c>
      <c r="AJ572" s="11">
        <f>[1]服务器生态!AF586</f>
        <v>6.8679600000000019E-3</v>
      </c>
      <c r="AK572" s="11">
        <f>[1]服务器生态!AG586</f>
        <v>1.9871999999999997E-3</v>
      </c>
    </row>
    <row r="573" spans="32:37" x14ac:dyDescent="0.15">
      <c r="AF573" s="7">
        <v>566</v>
      </c>
      <c r="AG573" s="11">
        <f>[1]服务器生态!AC587</f>
        <v>0.47962550249999997</v>
      </c>
      <c r="AH573" s="11">
        <f>[1]服务器生态!AD587</f>
        <v>0.47291513735919999</v>
      </c>
      <c r="AI573" s="11">
        <f>[1]服务器生态!AE587</f>
        <v>3.8604200140800002E-2</v>
      </c>
      <c r="AJ573" s="11">
        <f>[1]服务器生态!AF587</f>
        <v>6.8679600000000019E-3</v>
      </c>
      <c r="AK573" s="11">
        <f>[1]服务器生态!AG587</f>
        <v>1.9871999999999997E-3</v>
      </c>
    </row>
    <row r="574" spans="32:37" x14ac:dyDescent="0.15">
      <c r="AF574" s="7">
        <v>567</v>
      </c>
      <c r="AG574" s="11">
        <f>[1]服务器生态!AC588</f>
        <v>0.47962550249999997</v>
      </c>
      <c r="AH574" s="11">
        <f>[1]服务器生态!AD588</f>
        <v>0.47291513735919999</v>
      </c>
      <c r="AI574" s="11">
        <f>[1]服务器生态!AE588</f>
        <v>3.8604200140800002E-2</v>
      </c>
      <c r="AJ574" s="11">
        <f>[1]服务器生态!AF588</f>
        <v>6.8679600000000019E-3</v>
      </c>
      <c r="AK574" s="11">
        <f>[1]服务器生态!AG588</f>
        <v>1.9871999999999997E-3</v>
      </c>
    </row>
    <row r="575" spans="32:37" x14ac:dyDescent="0.15">
      <c r="AF575" s="7">
        <v>568</v>
      </c>
      <c r="AG575" s="11">
        <f>[1]服务器生态!AC589</f>
        <v>0.47962550249999997</v>
      </c>
      <c r="AH575" s="11">
        <f>[1]服务器生态!AD589</f>
        <v>0.47291513735919999</v>
      </c>
      <c r="AI575" s="11">
        <f>[1]服务器生态!AE589</f>
        <v>3.8604200140800002E-2</v>
      </c>
      <c r="AJ575" s="11">
        <f>[1]服务器生态!AF589</f>
        <v>6.8679600000000019E-3</v>
      </c>
      <c r="AK575" s="11">
        <f>[1]服务器生态!AG589</f>
        <v>1.9871999999999997E-3</v>
      </c>
    </row>
    <row r="576" spans="32:37" x14ac:dyDescent="0.15">
      <c r="AF576" s="7">
        <v>569</v>
      </c>
      <c r="AG576" s="11">
        <f>[1]服务器生态!AC590</f>
        <v>0.47962550249999997</v>
      </c>
      <c r="AH576" s="11">
        <f>[1]服务器生态!AD590</f>
        <v>0.47291513735919999</v>
      </c>
      <c r="AI576" s="11">
        <f>[1]服务器生态!AE590</f>
        <v>3.8604200140800002E-2</v>
      </c>
      <c r="AJ576" s="11">
        <f>[1]服务器生态!AF590</f>
        <v>6.8679600000000019E-3</v>
      </c>
      <c r="AK576" s="11">
        <f>[1]服务器生态!AG590</f>
        <v>1.9871999999999997E-3</v>
      </c>
    </row>
    <row r="577" spans="32:37" x14ac:dyDescent="0.15">
      <c r="AF577" s="7">
        <v>570</v>
      </c>
      <c r="AG577" s="11">
        <f>[1]服务器生态!AC591</f>
        <v>0.47962550249999997</v>
      </c>
      <c r="AH577" s="11">
        <f>[1]服务器生态!AD591</f>
        <v>0.47291513735919999</v>
      </c>
      <c r="AI577" s="11">
        <f>[1]服务器生态!AE591</f>
        <v>3.8604200140800002E-2</v>
      </c>
      <c r="AJ577" s="11">
        <f>[1]服务器生态!AF591</f>
        <v>6.8679600000000019E-3</v>
      </c>
      <c r="AK577" s="11">
        <f>[1]服务器生态!AG591</f>
        <v>1.9871999999999997E-3</v>
      </c>
    </row>
    <row r="578" spans="32:37" x14ac:dyDescent="0.15">
      <c r="AF578" s="7">
        <v>571</v>
      </c>
      <c r="AG578" s="11">
        <f>[1]服务器生态!AC592</f>
        <v>0.47962550249999997</v>
      </c>
      <c r="AH578" s="11">
        <f>[1]服务器生态!AD592</f>
        <v>0.47291513735919999</v>
      </c>
      <c r="AI578" s="11">
        <f>[1]服务器生态!AE592</f>
        <v>3.8604200140800002E-2</v>
      </c>
      <c r="AJ578" s="11">
        <f>[1]服务器生态!AF592</f>
        <v>6.8679600000000019E-3</v>
      </c>
      <c r="AK578" s="11">
        <f>[1]服务器生态!AG592</f>
        <v>1.9871999999999997E-3</v>
      </c>
    </row>
    <row r="579" spans="32:37" x14ac:dyDescent="0.15">
      <c r="AF579" s="7">
        <v>572</v>
      </c>
      <c r="AG579" s="11">
        <f>[1]服务器生态!AC593</f>
        <v>0.47962550249999997</v>
      </c>
      <c r="AH579" s="11">
        <f>[1]服务器生态!AD593</f>
        <v>0.47291513735919999</v>
      </c>
      <c r="AI579" s="11">
        <f>[1]服务器生态!AE593</f>
        <v>3.8604200140800002E-2</v>
      </c>
      <c r="AJ579" s="11">
        <f>[1]服务器生态!AF593</f>
        <v>6.8679600000000019E-3</v>
      </c>
      <c r="AK579" s="11">
        <f>[1]服务器生态!AG593</f>
        <v>1.9871999999999997E-3</v>
      </c>
    </row>
    <row r="580" spans="32:37" x14ac:dyDescent="0.15">
      <c r="AF580" s="7">
        <v>573</v>
      </c>
      <c r="AG580" s="11">
        <f>[1]服务器生态!AC594</f>
        <v>0.47962550249999997</v>
      </c>
      <c r="AH580" s="11">
        <f>[1]服务器生态!AD594</f>
        <v>0.47291513735919999</v>
      </c>
      <c r="AI580" s="11">
        <f>[1]服务器生态!AE594</f>
        <v>3.8604200140800002E-2</v>
      </c>
      <c r="AJ580" s="11">
        <f>[1]服务器生态!AF594</f>
        <v>6.8679600000000019E-3</v>
      </c>
      <c r="AK580" s="11">
        <f>[1]服务器生态!AG594</f>
        <v>1.9871999999999997E-3</v>
      </c>
    </row>
    <row r="581" spans="32:37" x14ac:dyDescent="0.15">
      <c r="AF581" s="7">
        <v>574</v>
      </c>
      <c r="AG581" s="11">
        <f>[1]服务器生态!AC595</f>
        <v>0.47962550249999997</v>
      </c>
      <c r="AH581" s="11">
        <f>[1]服务器生态!AD595</f>
        <v>0.47291513735919999</v>
      </c>
      <c r="AI581" s="11">
        <f>[1]服务器生态!AE595</f>
        <v>3.8604200140800002E-2</v>
      </c>
      <c r="AJ581" s="11">
        <f>[1]服务器生态!AF595</f>
        <v>6.8679600000000019E-3</v>
      </c>
      <c r="AK581" s="11">
        <f>[1]服务器生态!AG595</f>
        <v>1.9871999999999997E-3</v>
      </c>
    </row>
    <row r="582" spans="32:37" x14ac:dyDescent="0.15">
      <c r="AF582" s="7">
        <v>575</v>
      </c>
      <c r="AG582" s="11">
        <f>[1]服务器生态!AC596</f>
        <v>0.47962550249999997</v>
      </c>
      <c r="AH582" s="11">
        <f>[1]服务器生态!AD596</f>
        <v>0.47291513735919999</v>
      </c>
      <c r="AI582" s="11">
        <f>[1]服务器生态!AE596</f>
        <v>3.8604200140800002E-2</v>
      </c>
      <c r="AJ582" s="11">
        <f>[1]服务器生态!AF596</f>
        <v>6.8679600000000019E-3</v>
      </c>
      <c r="AK582" s="11">
        <f>[1]服务器生态!AG596</f>
        <v>1.9871999999999997E-3</v>
      </c>
    </row>
    <row r="583" spans="32:37" x14ac:dyDescent="0.15">
      <c r="AF583" s="7">
        <v>576</v>
      </c>
      <c r="AG583" s="11">
        <f>[1]服务器生态!AC597</f>
        <v>0.47962550249999997</v>
      </c>
      <c r="AH583" s="11">
        <f>[1]服务器生态!AD597</f>
        <v>0.47291513735919999</v>
      </c>
      <c r="AI583" s="11">
        <f>[1]服务器生态!AE597</f>
        <v>3.8604200140800002E-2</v>
      </c>
      <c r="AJ583" s="11">
        <f>[1]服务器生态!AF597</f>
        <v>6.8679600000000019E-3</v>
      </c>
      <c r="AK583" s="11">
        <f>[1]服务器生态!AG597</f>
        <v>1.9871999999999997E-3</v>
      </c>
    </row>
    <row r="584" spans="32:37" x14ac:dyDescent="0.15">
      <c r="AF584" s="7">
        <v>577</v>
      </c>
      <c r="AG584" s="11">
        <f>[1]服务器生态!AC598</f>
        <v>0.47962550249999997</v>
      </c>
      <c r="AH584" s="11">
        <f>[1]服务器生态!AD598</f>
        <v>0.47291513735919999</v>
      </c>
      <c r="AI584" s="11">
        <f>[1]服务器生态!AE598</f>
        <v>3.8604200140800002E-2</v>
      </c>
      <c r="AJ584" s="11">
        <f>[1]服务器生态!AF598</f>
        <v>6.8679600000000019E-3</v>
      </c>
      <c r="AK584" s="11">
        <f>[1]服务器生态!AG598</f>
        <v>1.9871999999999997E-3</v>
      </c>
    </row>
    <row r="585" spans="32:37" x14ac:dyDescent="0.15">
      <c r="AF585" s="7">
        <v>578</v>
      </c>
      <c r="AG585" s="11">
        <f>[1]服务器生态!AC599</f>
        <v>0.47962550249999997</v>
      </c>
      <c r="AH585" s="11">
        <f>[1]服务器生态!AD599</f>
        <v>0.47291513735919999</v>
      </c>
      <c r="AI585" s="11">
        <f>[1]服务器生态!AE599</f>
        <v>3.8604200140800002E-2</v>
      </c>
      <c r="AJ585" s="11">
        <f>[1]服务器生态!AF599</f>
        <v>6.8679600000000019E-3</v>
      </c>
      <c r="AK585" s="11">
        <f>[1]服务器生态!AG599</f>
        <v>1.9871999999999997E-3</v>
      </c>
    </row>
    <row r="586" spans="32:37" x14ac:dyDescent="0.15">
      <c r="AF586" s="7">
        <v>579</v>
      </c>
      <c r="AG586" s="11">
        <f>[1]服务器生态!AC600</f>
        <v>0.47962550249999997</v>
      </c>
      <c r="AH586" s="11">
        <f>[1]服务器生态!AD600</f>
        <v>0.47291513735919999</v>
      </c>
      <c r="AI586" s="11">
        <f>[1]服务器生态!AE600</f>
        <v>3.8604200140800002E-2</v>
      </c>
      <c r="AJ586" s="11">
        <f>[1]服务器生态!AF600</f>
        <v>6.8679600000000019E-3</v>
      </c>
      <c r="AK586" s="11">
        <f>[1]服务器生态!AG600</f>
        <v>1.9871999999999997E-3</v>
      </c>
    </row>
    <row r="587" spans="32:37" x14ac:dyDescent="0.15">
      <c r="AF587" s="7">
        <v>580</v>
      </c>
      <c r="AG587" s="11">
        <f>[1]服务器生态!AC601</f>
        <v>0.47962550249999997</v>
      </c>
      <c r="AH587" s="11">
        <f>[1]服务器生态!AD601</f>
        <v>0.47291513735919999</v>
      </c>
      <c r="AI587" s="11">
        <f>[1]服务器生态!AE601</f>
        <v>3.8604200140800002E-2</v>
      </c>
      <c r="AJ587" s="11">
        <f>[1]服务器生态!AF601</f>
        <v>6.8679600000000019E-3</v>
      </c>
      <c r="AK587" s="11">
        <f>[1]服务器生态!AG601</f>
        <v>1.9871999999999997E-3</v>
      </c>
    </row>
    <row r="588" spans="32:37" x14ac:dyDescent="0.15">
      <c r="AF588" s="7">
        <v>581</v>
      </c>
      <c r="AG588" s="11">
        <f>[1]服务器生态!AC602</f>
        <v>0.47962550249999997</v>
      </c>
      <c r="AH588" s="11">
        <f>[1]服务器生态!AD602</f>
        <v>0.47291513735919999</v>
      </c>
      <c r="AI588" s="11">
        <f>[1]服务器生态!AE602</f>
        <v>3.8604200140800002E-2</v>
      </c>
      <c r="AJ588" s="11">
        <f>[1]服务器生态!AF602</f>
        <v>6.8679600000000019E-3</v>
      </c>
      <c r="AK588" s="11">
        <f>[1]服务器生态!AG602</f>
        <v>1.9871999999999997E-3</v>
      </c>
    </row>
    <row r="589" spans="32:37" x14ac:dyDescent="0.15">
      <c r="AF589" s="7">
        <v>582</v>
      </c>
      <c r="AG589" s="11">
        <f>[1]服务器生态!AC603</f>
        <v>0.47962550249999997</v>
      </c>
      <c r="AH589" s="11">
        <f>[1]服务器生态!AD603</f>
        <v>0.47291513735919999</v>
      </c>
      <c r="AI589" s="11">
        <f>[1]服务器生态!AE603</f>
        <v>3.8604200140800002E-2</v>
      </c>
      <c r="AJ589" s="11">
        <f>[1]服务器生态!AF603</f>
        <v>6.8679600000000019E-3</v>
      </c>
      <c r="AK589" s="11">
        <f>[1]服务器生态!AG603</f>
        <v>1.9871999999999997E-3</v>
      </c>
    </row>
    <row r="590" spans="32:37" x14ac:dyDescent="0.15">
      <c r="AF590" s="7">
        <v>583</v>
      </c>
      <c r="AG590" s="11">
        <f>[1]服务器生态!AC604</f>
        <v>0.47962550249999997</v>
      </c>
      <c r="AH590" s="11">
        <f>[1]服务器生态!AD604</f>
        <v>0.47291513735919999</v>
      </c>
      <c r="AI590" s="11">
        <f>[1]服务器生态!AE604</f>
        <v>3.8604200140800002E-2</v>
      </c>
      <c r="AJ590" s="11">
        <f>[1]服务器生态!AF604</f>
        <v>6.8679600000000019E-3</v>
      </c>
      <c r="AK590" s="11">
        <f>[1]服务器生态!AG604</f>
        <v>1.9871999999999997E-3</v>
      </c>
    </row>
    <row r="591" spans="32:37" x14ac:dyDescent="0.15">
      <c r="AF591" s="7">
        <v>584</v>
      </c>
      <c r="AG591" s="11">
        <f>[1]服务器生态!AC605</f>
        <v>0.47962550249999997</v>
      </c>
      <c r="AH591" s="11">
        <f>[1]服务器生态!AD605</f>
        <v>0.47291513735919999</v>
      </c>
      <c r="AI591" s="11">
        <f>[1]服务器生态!AE605</f>
        <v>3.8604200140800002E-2</v>
      </c>
      <c r="AJ591" s="11">
        <f>[1]服务器生态!AF605</f>
        <v>6.8679600000000019E-3</v>
      </c>
      <c r="AK591" s="11">
        <f>[1]服务器生态!AG605</f>
        <v>1.9871999999999997E-3</v>
      </c>
    </row>
    <row r="592" spans="32:37" x14ac:dyDescent="0.15">
      <c r="AF592" s="7">
        <v>585</v>
      </c>
      <c r="AG592" s="11">
        <f>[1]服务器生态!AC606</f>
        <v>0.47962550249999997</v>
      </c>
      <c r="AH592" s="11">
        <f>[1]服务器生态!AD606</f>
        <v>0.47291513735919999</v>
      </c>
      <c r="AI592" s="11">
        <f>[1]服务器生态!AE606</f>
        <v>3.8604200140800002E-2</v>
      </c>
      <c r="AJ592" s="11">
        <f>[1]服务器生态!AF606</f>
        <v>6.8679600000000019E-3</v>
      </c>
      <c r="AK592" s="11">
        <f>[1]服务器生态!AG606</f>
        <v>1.9871999999999997E-3</v>
      </c>
    </row>
    <row r="593" spans="32:37" x14ac:dyDescent="0.15">
      <c r="AF593" s="7">
        <v>586</v>
      </c>
      <c r="AG593" s="11">
        <f>[1]服务器生态!AC607</f>
        <v>0.47962550249999997</v>
      </c>
      <c r="AH593" s="11">
        <f>[1]服务器生态!AD607</f>
        <v>0.47291513735919999</v>
      </c>
      <c r="AI593" s="11">
        <f>[1]服务器生态!AE607</f>
        <v>3.8604200140800002E-2</v>
      </c>
      <c r="AJ593" s="11">
        <f>[1]服务器生态!AF607</f>
        <v>6.8679600000000019E-3</v>
      </c>
      <c r="AK593" s="11">
        <f>[1]服务器生态!AG607</f>
        <v>1.9871999999999997E-3</v>
      </c>
    </row>
    <row r="594" spans="32:37" x14ac:dyDescent="0.15">
      <c r="AF594" s="7">
        <v>587</v>
      </c>
      <c r="AG594" s="11">
        <f>[1]服务器生态!AC608</f>
        <v>0.47962550249999997</v>
      </c>
      <c r="AH594" s="11">
        <f>[1]服务器生态!AD608</f>
        <v>0.47291513735919999</v>
      </c>
      <c r="AI594" s="11">
        <f>[1]服务器生态!AE608</f>
        <v>3.8604200140800002E-2</v>
      </c>
      <c r="AJ594" s="11">
        <f>[1]服务器生态!AF608</f>
        <v>6.8679600000000019E-3</v>
      </c>
      <c r="AK594" s="11">
        <f>[1]服务器生态!AG608</f>
        <v>1.9871999999999997E-3</v>
      </c>
    </row>
    <row r="595" spans="32:37" x14ac:dyDescent="0.15">
      <c r="AF595" s="7">
        <v>588</v>
      </c>
      <c r="AG595" s="11">
        <f>[1]服务器生态!AC609</f>
        <v>0.47962550249999997</v>
      </c>
      <c r="AH595" s="11">
        <f>[1]服务器生态!AD609</f>
        <v>0.47291513735919999</v>
      </c>
      <c r="AI595" s="11">
        <f>[1]服务器生态!AE609</f>
        <v>3.8604200140800002E-2</v>
      </c>
      <c r="AJ595" s="11">
        <f>[1]服务器生态!AF609</f>
        <v>6.8679600000000019E-3</v>
      </c>
      <c r="AK595" s="11">
        <f>[1]服务器生态!AG609</f>
        <v>1.9871999999999997E-3</v>
      </c>
    </row>
    <row r="596" spans="32:37" x14ac:dyDescent="0.15">
      <c r="AF596" s="7">
        <v>589</v>
      </c>
      <c r="AG596" s="11">
        <f>[1]服务器生态!AC610</f>
        <v>0.47962550249999997</v>
      </c>
      <c r="AH596" s="11">
        <f>[1]服务器生态!AD610</f>
        <v>0.47291513735919999</v>
      </c>
      <c r="AI596" s="11">
        <f>[1]服务器生态!AE610</f>
        <v>3.8604200140800002E-2</v>
      </c>
      <c r="AJ596" s="11">
        <f>[1]服务器生态!AF610</f>
        <v>6.8679600000000019E-3</v>
      </c>
      <c r="AK596" s="11">
        <f>[1]服务器生态!AG610</f>
        <v>1.9871999999999997E-3</v>
      </c>
    </row>
    <row r="597" spans="32:37" x14ac:dyDescent="0.15">
      <c r="AF597" s="7">
        <v>590</v>
      </c>
      <c r="AG597" s="11">
        <f>[1]服务器生态!AC611</f>
        <v>0.47962550249999997</v>
      </c>
      <c r="AH597" s="11">
        <f>[1]服务器生态!AD611</f>
        <v>0.47291513735919999</v>
      </c>
      <c r="AI597" s="11">
        <f>[1]服务器生态!AE611</f>
        <v>3.8604200140800002E-2</v>
      </c>
      <c r="AJ597" s="11">
        <f>[1]服务器生态!AF611</f>
        <v>6.8679600000000019E-3</v>
      </c>
      <c r="AK597" s="11">
        <f>[1]服务器生态!AG611</f>
        <v>1.9871999999999997E-3</v>
      </c>
    </row>
    <row r="598" spans="32:37" x14ac:dyDescent="0.15">
      <c r="AF598" s="7">
        <v>591</v>
      </c>
      <c r="AG598" s="11">
        <f>[1]服务器生态!AC612</f>
        <v>0.47962550249999997</v>
      </c>
      <c r="AH598" s="11">
        <f>[1]服务器生态!AD612</f>
        <v>0.47291513735919999</v>
      </c>
      <c r="AI598" s="11">
        <f>[1]服务器生态!AE612</f>
        <v>3.8604200140800002E-2</v>
      </c>
      <c r="AJ598" s="11">
        <f>[1]服务器生态!AF612</f>
        <v>6.8679600000000019E-3</v>
      </c>
      <c r="AK598" s="11">
        <f>[1]服务器生态!AG612</f>
        <v>1.9871999999999997E-3</v>
      </c>
    </row>
    <row r="599" spans="32:37" x14ac:dyDescent="0.15">
      <c r="AF599" s="7">
        <v>592</v>
      </c>
      <c r="AG599" s="11">
        <f>[1]服务器生态!AC613</f>
        <v>0.47962550249999997</v>
      </c>
      <c r="AH599" s="11">
        <f>[1]服务器生态!AD613</f>
        <v>0.47291513735919999</v>
      </c>
      <c r="AI599" s="11">
        <f>[1]服务器生态!AE613</f>
        <v>3.8604200140800002E-2</v>
      </c>
      <c r="AJ599" s="11">
        <f>[1]服务器生态!AF613</f>
        <v>6.8679600000000019E-3</v>
      </c>
      <c r="AK599" s="11">
        <f>[1]服务器生态!AG613</f>
        <v>1.9871999999999997E-3</v>
      </c>
    </row>
    <row r="600" spans="32:37" x14ac:dyDescent="0.15">
      <c r="AF600" s="7">
        <v>593</v>
      </c>
      <c r="AG600" s="11">
        <f>[1]服务器生态!AC614</f>
        <v>0.47962550249999997</v>
      </c>
      <c r="AH600" s="11">
        <f>[1]服务器生态!AD614</f>
        <v>0.47291513735919999</v>
      </c>
      <c r="AI600" s="11">
        <f>[1]服务器生态!AE614</f>
        <v>3.8604200140800002E-2</v>
      </c>
      <c r="AJ600" s="11">
        <f>[1]服务器生态!AF614</f>
        <v>6.8679600000000019E-3</v>
      </c>
      <c r="AK600" s="11">
        <f>[1]服务器生态!AG614</f>
        <v>1.9871999999999997E-3</v>
      </c>
    </row>
    <row r="601" spans="32:37" x14ac:dyDescent="0.15">
      <c r="AF601" s="7">
        <v>594</v>
      </c>
      <c r="AG601" s="11">
        <f>[1]服务器生态!AC615</f>
        <v>0.47962550249999997</v>
      </c>
      <c r="AH601" s="11">
        <f>[1]服务器生态!AD615</f>
        <v>0.47291513735919999</v>
      </c>
      <c r="AI601" s="11">
        <f>[1]服务器生态!AE615</f>
        <v>3.8604200140800002E-2</v>
      </c>
      <c r="AJ601" s="11">
        <f>[1]服务器生态!AF615</f>
        <v>6.8679600000000019E-3</v>
      </c>
      <c r="AK601" s="11">
        <f>[1]服务器生态!AG615</f>
        <v>1.9871999999999997E-3</v>
      </c>
    </row>
    <row r="602" spans="32:37" x14ac:dyDescent="0.15">
      <c r="AF602" s="7">
        <v>595</v>
      </c>
      <c r="AG602" s="11">
        <f>[1]服务器生态!AC616</f>
        <v>0.47962550249999997</v>
      </c>
      <c r="AH602" s="11">
        <f>[1]服务器生态!AD616</f>
        <v>0.47291513735919999</v>
      </c>
      <c r="AI602" s="11">
        <f>[1]服务器生态!AE616</f>
        <v>3.8604200140800002E-2</v>
      </c>
      <c r="AJ602" s="11">
        <f>[1]服务器生态!AF616</f>
        <v>6.8679600000000019E-3</v>
      </c>
      <c r="AK602" s="11">
        <f>[1]服务器生态!AG616</f>
        <v>1.9871999999999997E-3</v>
      </c>
    </row>
    <row r="603" spans="32:37" x14ac:dyDescent="0.15">
      <c r="AF603" s="7">
        <v>596</v>
      </c>
      <c r="AG603" s="11">
        <f>[1]服务器生态!AC617</f>
        <v>0.47962550249999997</v>
      </c>
      <c r="AH603" s="11">
        <f>[1]服务器生态!AD617</f>
        <v>0.47291513735919999</v>
      </c>
      <c r="AI603" s="11">
        <f>[1]服务器生态!AE617</f>
        <v>3.8604200140800002E-2</v>
      </c>
      <c r="AJ603" s="11">
        <f>[1]服务器生态!AF617</f>
        <v>6.8679600000000019E-3</v>
      </c>
      <c r="AK603" s="11">
        <f>[1]服务器生态!AG617</f>
        <v>1.9871999999999997E-3</v>
      </c>
    </row>
    <row r="604" spans="32:37" x14ac:dyDescent="0.15">
      <c r="AF604" s="7">
        <v>597</v>
      </c>
      <c r="AG604" s="11">
        <f>[1]服务器生态!AC618</f>
        <v>0.47962550249999997</v>
      </c>
      <c r="AH604" s="11">
        <f>[1]服务器生态!AD618</f>
        <v>0.47291513735919999</v>
      </c>
      <c r="AI604" s="11">
        <f>[1]服务器生态!AE618</f>
        <v>3.8604200140800002E-2</v>
      </c>
      <c r="AJ604" s="11">
        <f>[1]服务器生态!AF618</f>
        <v>6.8679600000000019E-3</v>
      </c>
      <c r="AK604" s="11">
        <f>[1]服务器生态!AG618</f>
        <v>1.9871999999999997E-3</v>
      </c>
    </row>
    <row r="605" spans="32:37" x14ac:dyDescent="0.15">
      <c r="AF605" s="7">
        <v>598</v>
      </c>
      <c r="AG605" s="11">
        <f>[1]服务器生态!AC619</f>
        <v>0.47962550249999997</v>
      </c>
      <c r="AH605" s="11">
        <f>[1]服务器生态!AD619</f>
        <v>0.47291513735919999</v>
      </c>
      <c r="AI605" s="11">
        <f>[1]服务器生态!AE619</f>
        <v>3.8604200140800002E-2</v>
      </c>
      <c r="AJ605" s="11">
        <f>[1]服务器生态!AF619</f>
        <v>6.8679600000000019E-3</v>
      </c>
      <c r="AK605" s="11">
        <f>[1]服务器生态!AG619</f>
        <v>1.9871999999999997E-3</v>
      </c>
    </row>
    <row r="606" spans="32:37" x14ac:dyDescent="0.15">
      <c r="AF606" s="7">
        <v>599</v>
      </c>
      <c r="AG606" s="11">
        <f>[1]服务器生态!AC620</f>
        <v>0.47962550249999997</v>
      </c>
      <c r="AH606" s="11">
        <f>[1]服务器生态!AD620</f>
        <v>0.47291513735919999</v>
      </c>
      <c r="AI606" s="11">
        <f>[1]服务器生态!AE620</f>
        <v>3.8604200140800002E-2</v>
      </c>
      <c r="AJ606" s="11">
        <f>[1]服务器生态!AF620</f>
        <v>6.8679600000000019E-3</v>
      </c>
      <c r="AK606" s="11">
        <f>[1]服务器生态!AG620</f>
        <v>1.9871999999999997E-3</v>
      </c>
    </row>
    <row r="607" spans="32:37" x14ac:dyDescent="0.15">
      <c r="AF607" s="7">
        <v>600</v>
      </c>
      <c r="AG607" s="11">
        <f>[1]服务器生态!AC621</f>
        <v>0.47962550249999997</v>
      </c>
      <c r="AH607" s="11">
        <f>[1]服务器生态!AD621</f>
        <v>0.47291513735919999</v>
      </c>
      <c r="AI607" s="11">
        <f>[1]服务器生态!AE621</f>
        <v>3.8604200140800002E-2</v>
      </c>
      <c r="AJ607" s="11">
        <f>[1]服务器生态!AF621</f>
        <v>6.8679600000000019E-3</v>
      </c>
      <c r="AK607" s="11">
        <f>[1]服务器生态!AG621</f>
        <v>1.9871999999999997E-3</v>
      </c>
    </row>
  </sheetData>
  <mergeCells count="4">
    <mergeCell ref="E6:I6"/>
    <mergeCell ref="AF6:AK6"/>
    <mergeCell ref="AW6:BA6"/>
    <mergeCell ref="AO7:AT7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D6B-B8E5-49A5-BAB5-91A203C6EF33}">
  <dimension ref="B3:H17"/>
  <sheetViews>
    <sheetView workbookViewId="0">
      <selection activeCell="E38" sqref="E38"/>
    </sheetView>
  </sheetViews>
  <sheetFormatPr defaultRowHeight="11.25" x14ac:dyDescent="0.15"/>
  <cols>
    <col min="1" max="2" width="9" style="7"/>
    <col min="3" max="3" width="13.375" style="7" customWidth="1"/>
    <col min="4" max="4" width="10.375" style="7" customWidth="1"/>
    <col min="5" max="5" width="10.625" style="7" customWidth="1"/>
    <col min="6" max="16384" width="9" style="7"/>
  </cols>
  <sheetData>
    <row r="3" spans="2:8" x14ac:dyDescent="0.15">
      <c r="C3" s="7" t="s">
        <v>35</v>
      </c>
      <c r="D3" s="7" t="s">
        <v>38</v>
      </c>
      <c r="E3" s="7" t="s">
        <v>242</v>
      </c>
      <c r="F3" s="7" t="s">
        <v>247</v>
      </c>
      <c r="G3" s="7" t="s">
        <v>248</v>
      </c>
    </row>
    <row r="4" spans="2:8" x14ac:dyDescent="0.15">
      <c r="B4" s="68" t="s">
        <v>34</v>
      </c>
      <c r="C4" s="7" t="s">
        <v>36</v>
      </c>
      <c r="D4" s="69" t="s">
        <v>39</v>
      </c>
      <c r="E4" s="7">
        <v>0.2</v>
      </c>
      <c r="F4" s="7">
        <v>1</v>
      </c>
    </row>
    <row r="5" spans="2:8" x14ac:dyDescent="0.15">
      <c r="B5" s="68"/>
      <c r="C5" s="7" t="s">
        <v>37</v>
      </c>
      <c r="D5" s="69"/>
      <c r="E5" s="7">
        <v>0.6</v>
      </c>
      <c r="F5" s="7">
        <v>1</v>
      </c>
      <c r="G5" s="7">
        <v>1</v>
      </c>
    </row>
    <row r="6" spans="2:8" x14ac:dyDescent="0.15">
      <c r="B6" s="68"/>
      <c r="C6" s="7" t="s">
        <v>157</v>
      </c>
      <c r="D6" s="69"/>
      <c r="E6" s="7">
        <v>0.2</v>
      </c>
      <c r="F6" s="7">
        <v>0.3</v>
      </c>
      <c r="G6" s="7">
        <v>0.7</v>
      </c>
    </row>
    <row r="11" spans="2:8" x14ac:dyDescent="0.15">
      <c r="E11" s="7" t="s">
        <v>45</v>
      </c>
      <c r="F11" s="7" t="s">
        <v>38</v>
      </c>
      <c r="H11" s="7" t="s">
        <v>48</v>
      </c>
    </row>
    <row r="12" spans="2:8" x14ac:dyDescent="0.15">
      <c r="C12" s="7" t="s">
        <v>41</v>
      </c>
      <c r="D12" s="7" t="s">
        <v>43</v>
      </c>
      <c r="E12" s="7" t="s">
        <v>46</v>
      </c>
      <c r="F12" s="7" t="s">
        <v>51</v>
      </c>
      <c r="H12" s="7" t="s">
        <v>50</v>
      </c>
    </row>
    <row r="13" spans="2:8" x14ac:dyDescent="0.15">
      <c r="E13" s="7" t="s">
        <v>47</v>
      </c>
    </row>
    <row r="14" spans="2:8" x14ac:dyDescent="0.15">
      <c r="B14" s="7" t="s">
        <v>40</v>
      </c>
    </row>
    <row r="15" spans="2:8" x14ac:dyDescent="0.15">
      <c r="E15" s="7" t="s">
        <v>45</v>
      </c>
      <c r="F15" s="7" t="s">
        <v>38</v>
      </c>
      <c r="H15" s="7" t="s">
        <v>49</v>
      </c>
    </row>
    <row r="16" spans="2:8" x14ac:dyDescent="0.15">
      <c r="C16" s="7" t="s">
        <v>42</v>
      </c>
      <c r="D16" s="7" t="s">
        <v>44</v>
      </c>
      <c r="E16" s="7" t="s">
        <v>46</v>
      </c>
      <c r="F16" s="7" t="s">
        <v>51</v>
      </c>
      <c r="H16" s="7" t="s">
        <v>50</v>
      </c>
    </row>
    <row r="17" spans="5:5" x14ac:dyDescent="0.15">
      <c r="E17" s="7" t="s">
        <v>47</v>
      </c>
    </row>
  </sheetData>
  <mergeCells count="2">
    <mergeCell ref="B4:B6"/>
    <mergeCell ref="D4:D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912C-B4C6-483C-B423-3F060B8E88CC}">
  <dimension ref="C3:D3"/>
  <sheetViews>
    <sheetView workbookViewId="0">
      <selection activeCell="D3" sqref="D3"/>
    </sheetView>
  </sheetViews>
  <sheetFormatPr defaultRowHeight="11.25" x14ac:dyDescent="0.15"/>
  <cols>
    <col min="1" max="16384" width="9" style="58"/>
  </cols>
  <sheetData>
    <row r="3" spans="3:4" x14ac:dyDescent="0.15">
      <c r="C3" s="58" t="s">
        <v>231</v>
      </c>
      <c r="D3" s="7">
        <f>75*3+1</f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428DF-92AF-40FF-8B40-F6CE4567E721}">
  <dimension ref="B1:AS109"/>
  <sheetViews>
    <sheetView tabSelected="1" topLeftCell="A7" zoomScaleNormal="100" workbookViewId="0">
      <selection activeCell="A20" sqref="A20"/>
    </sheetView>
  </sheetViews>
  <sheetFormatPr defaultColWidth="6.625" defaultRowHeight="11.25" x14ac:dyDescent="0.15"/>
  <cols>
    <col min="1" max="3" width="6.625" style="7"/>
    <col min="4" max="4" width="6.625" style="7" customWidth="1"/>
    <col min="5" max="5" width="6.625" style="8" customWidth="1"/>
    <col min="6" max="8" width="6.625" style="7"/>
    <col min="9" max="9" width="6.625" style="14"/>
    <col min="10" max="11" width="6.625" style="59"/>
    <col min="12" max="12" width="6.625" style="18" customWidth="1"/>
    <col min="13" max="16" width="6.625" style="14" customWidth="1"/>
    <col min="17" max="24" width="6.625" style="7" customWidth="1"/>
    <col min="25" max="25" width="6.625" style="47" customWidth="1"/>
    <col min="26" max="26" width="6.625" style="18" customWidth="1"/>
    <col min="27" max="27" width="6.625" style="7" customWidth="1"/>
    <col min="28" max="29" width="6.625" style="47" customWidth="1"/>
    <col min="30" max="35" width="6.625" style="7" customWidth="1"/>
    <col min="36" max="36" width="6.625" style="18" customWidth="1"/>
    <col min="37" max="37" width="6.625" style="7" customWidth="1"/>
    <col min="38" max="39" width="6.625" style="47" customWidth="1"/>
    <col min="40" max="41" width="6.625" style="7" customWidth="1"/>
    <col min="42" max="42" width="6.625" style="18" customWidth="1"/>
    <col min="43" max="43" width="6.625" style="7"/>
    <col min="44" max="45" width="6.625" style="47"/>
    <col min="46" max="16384" width="6.625" style="7"/>
  </cols>
  <sheetData>
    <row r="1" spans="2:45" x14ac:dyDescent="0.15">
      <c r="B1" s="7" t="s">
        <v>269</v>
      </c>
      <c r="M1" s="14" t="s">
        <v>36</v>
      </c>
      <c r="AA1" s="20" t="s">
        <v>85</v>
      </c>
      <c r="AK1" s="20" t="s">
        <v>245</v>
      </c>
      <c r="AQ1" s="7" t="s">
        <v>246</v>
      </c>
    </row>
    <row r="2" spans="2:45" x14ac:dyDescent="0.15">
      <c r="C2" s="45"/>
      <c r="M2" s="51" t="s">
        <v>239</v>
      </c>
    </row>
    <row r="3" spans="2:45" x14ac:dyDescent="0.15">
      <c r="M3" s="20" t="s">
        <v>240</v>
      </c>
    </row>
    <row r="4" spans="2:45" s="47" customFormat="1" x14ac:dyDescent="0.15">
      <c r="J4" s="59"/>
      <c r="K4" s="59"/>
      <c r="L4" s="18"/>
      <c r="M4" s="20" t="s">
        <v>241</v>
      </c>
      <c r="Z4" s="18"/>
      <c r="AJ4" s="18"/>
      <c r="AP4" s="18"/>
    </row>
    <row r="5" spans="2:45" s="47" customFormat="1" x14ac:dyDescent="0.15">
      <c r="J5" s="59"/>
      <c r="K5" s="59"/>
      <c r="L5" s="18"/>
      <c r="M5" s="20" t="s">
        <v>249</v>
      </c>
      <c r="Z5" s="18"/>
      <c r="AJ5" s="18"/>
      <c r="AP5" s="18"/>
    </row>
    <row r="6" spans="2:45" s="47" customFormat="1" x14ac:dyDescent="0.15">
      <c r="J6" s="59"/>
      <c r="K6" s="59"/>
      <c r="L6" s="18"/>
      <c r="M6" s="20"/>
      <c r="Z6" s="18"/>
      <c r="AJ6" s="18"/>
      <c r="AP6" s="18"/>
    </row>
    <row r="7" spans="2:45" s="47" customFormat="1" x14ac:dyDescent="0.15">
      <c r="J7" s="59"/>
      <c r="K7" s="59"/>
      <c r="L7" s="18"/>
      <c r="M7" s="20"/>
      <c r="Z7" s="18"/>
      <c r="AJ7" s="18"/>
      <c r="AP7" s="18"/>
    </row>
    <row r="8" spans="2:45" s="47" customFormat="1" x14ac:dyDescent="0.15">
      <c r="J8" s="59"/>
      <c r="K8" s="59"/>
      <c r="L8" s="18"/>
      <c r="M8" s="20"/>
      <c r="N8" s="45" t="s">
        <v>238</v>
      </c>
      <c r="O8" s="52">
        <f>O16+O15</f>
        <v>100000</v>
      </c>
      <c r="Z8" s="18"/>
      <c r="AE8" s="47" t="s">
        <v>230</v>
      </c>
      <c r="AJ8" s="18"/>
      <c r="AP8" s="18"/>
    </row>
    <row r="9" spans="2:45" s="9" customFormat="1" ht="33.75" x14ac:dyDescent="0.15">
      <c r="C9" s="9" t="s">
        <v>53</v>
      </c>
      <c r="D9" s="9" t="s">
        <v>56</v>
      </c>
      <c r="E9" s="10" t="s">
        <v>79</v>
      </c>
      <c r="F9" s="9" t="s">
        <v>54</v>
      </c>
      <c r="G9" s="9" t="s">
        <v>55</v>
      </c>
      <c r="H9" s="9" t="s">
        <v>83</v>
      </c>
      <c r="I9" s="15" t="s">
        <v>270</v>
      </c>
      <c r="J9" s="60" t="s">
        <v>271</v>
      </c>
      <c r="K9" s="60"/>
      <c r="L9" s="19"/>
      <c r="M9" s="15"/>
      <c r="N9" s="15" t="s">
        <v>57</v>
      </c>
      <c r="O9" s="15" t="s">
        <v>84</v>
      </c>
      <c r="P9" s="15"/>
      <c r="Q9" s="9" t="s">
        <v>60</v>
      </c>
      <c r="R9" s="9" t="s">
        <v>62</v>
      </c>
      <c r="S9" s="9" t="s">
        <v>78</v>
      </c>
      <c r="T9" s="9" t="s">
        <v>80</v>
      </c>
      <c r="U9" s="9" t="s">
        <v>86</v>
      </c>
      <c r="V9" s="15" t="s">
        <v>85</v>
      </c>
      <c r="W9" s="9" t="s">
        <v>250</v>
      </c>
      <c r="Y9" s="48"/>
      <c r="Z9" s="19"/>
      <c r="AB9" s="48" t="s">
        <v>60</v>
      </c>
      <c r="AC9" s="48" t="s">
        <v>243</v>
      </c>
      <c r="AE9" s="9" t="s">
        <v>36</v>
      </c>
      <c r="AF9" s="9" t="s">
        <v>244</v>
      </c>
      <c r="AG9" s="9" t="s">
        <v>157</v>
      </c>
      <c r="AJ9" s="19"/>
      <c r="AL9" s="48" t="s">
        <v>60</v>
      </c>
      <c r="AM9" s="48" t="s">
        <v>245</v>
      </c>
      <c r="AP9" s="19"/>
      <c r="AR9" s="48" t="s">
        <v>60</v>
      </c>
      <c r="AS9" s="48" t="s">
        <v>246</v>
      </c>
    </row>
    <row r="10" spans="2:45" x14ac:dyDescent="0.15">
      <c r="B10" s="47"/>
      <c r="C10" s="7">
        <v>1</v>
      </c>
      <c r="D10" s="14">
        <v>0</v>
      </c>
      <c r="E10" s="13">
        <f>SUM($D$10:D10)</f>
        <v>0</v>
      </c>
      <c r="F10" s="7">
        <v>0</v>
      </c>
      <c r="G10" s="7">
        <f>SUM($F$10:F10)</f>
        <v>0</v>
      </c>
      <c r="H10" s="7">
        <v>1</v>
      </c>
      <c r="I10" s="14">
        <v>0</v>
      </c>
      <c r="J10" s="59">
        <f>SUM($I$10:I10)</f>
        <v>0</v>
      </c>
      <c r="N10" s="14">
        <v>1</v>
      </c>
      <c r="O10" s="14">
        <v>5000</v>
      </c>
      <c r="Q10" s="7">
        <v>1</v>
      </c>
      <c r="R10" s="7">
        <f>INT(求节点(其他调用!$S$8:$S$14,其他调用!$Q$8:$Q$14,$Q10))</f>
        <v>0</v>
      </c>
      <c r="S10" s="7">
        <f>IF($Q10&lt;其他调用!$R$8,0,求节点($E$10:$E$29,$H$10:$H$29,$Q10)+求节点(其他调用!$M$8:$M$11,其他调用!$L$8:$L$11,$Q10))</f>
        <v>0</v>
      </c>
      <c r="T10" s="8">
        <f>IF($Q10=1,0,S10-S9+其他调用!$V$8)</f>
        <v>0</v>
      </c>
      <c r="U10" s="7">
        <f>IF(T10=0,0,MIN($O$8,T10*INDEX($O$10:$O$16,MATCH($R10,$N$10:$N$16,0))))</f>
        <v>0</v>
      </c>
      <c r="V10" s="7">
        <f>SUM($U$10:U10)</f>
        <v>0</v>
      </c>
      <c r="AB10" s="47">
        <v>1</v>
      </c>
      <c r="AC10" s="47">
        <f>V10+军团义军任务!Y5+移动营寨!U6*0.5</f>
        <v>131242.84076083681</v>
      </c>
      <c r="AE10" s="53">
        <f>V10/AC10</f>
        <v>0</v>
      </c>
      <c r="AF10" s="53">
        <f>军团义军任务!Y5/AC10</f>
        <v>1</v>
      </c>
      <c r="AG10" s="53">
        <f>移动营寨!U6/AC10</f>
        <v>0</v>
      </c>
      <c r="AL10" s="47">
        <v>1</v>
      </c>
      <c r="AM10" s="47">
        <f t="shared" ref="AM10:AM41" si="0">求节点($E$10:$E$29,$G$10:$G$29,$AL10)</f>
        <v>9538.4615384615372</v>
      </c>
      <c r="AR10" s="47">
        <v>1</v>
      </c>
      <c r="AS10" s="47">
        <f>AC10/AM10</f>
        <v>13.759330079765151</v>
      </c>
    </row>
    <row r="11" spans="2:45" x14ac:dyDescent="0.15">
      <c r="B11" s="47"/>
      <c r="C11" s="7">
        <v>2</v>
      </c>
      <c r="D11" s="14">
        <v>0.13</v>
      </c>
      <c r="E11" s="13">
        <f>SUM($D$10:D11)</f>
        <v>0.13</v>
      </c>
      <c r="F11" s="7">
        <v>1000</v>
      </c>
      <c r="G11" s="7">
        <f>SUM($F$10:F11)</f>
        <v>1000</v>
      </c>
      <c r="H11" s="7">
        <v>2</v>
      </c>
      <c r="I11" s="47">
        <v>500</v>
      </c>
      <c r="J11" s="59">
        <f>SUM($I$10:I11)</f>
        <v>500</v>
      </c>
      <c r="N11" s="14">
        <v>2</v>
      </c>
      <c r="O11" s="14">
        <f>ROUND(O10*1.5/(5*10^(LEN(O10)-2)),0)*(5*10^(LEN(O10)-2))</f>
        <v>7500</v>
      </c>
      <c r="Q11" s="7">
        <v>2</v>
      </c>
      <c r="R11" s="7">
        <f>INT(求节点(其他调用!$S$8:$S$14,其他调用!$Q$8:$Q$14,$Q11))</f>
        <v>1</v>
      </c>
      <c r="S11" s="58">
        <f>IF($Q11&lt;其他调用!$R$8,0,求节点($E$10:$E$29,$H$10:$H$29,$Q11)+求节点(其他调用!$M$8:$M$11,其他调用!$L$8:$L$11,$Q11))</f>
        <v>8.1782674689651422</v>
      </c>
      <c r="T11" s="8">
        <f>IF($Q11=1,0,S11-S10+其他调用!$V$8)</f>
        <v>9.1782674689651422</v>
      </c>
      <c r="U11" s="47">
        <f t="shared" ref="U11:U74" si="1">IF(T11=0,0,MIN($O$8,T11*INDEX($O$10:$O$16,MATCH($R11,$N$10:$N$16,0))))</f>
        <v>45891.337344825712</v>
      </c>
      <c r="V11" s="47">
        <f>SUM($U$10:U11)</f>
        <v>45891.337344825712</v>
      </c>
      <c r="W11" s="47">
        <f>IFERROR(INDEX($O$10:$O$16,R11-2),$O$10)*(3*60/20)+W10</f>
        <v>45000</v>
      </c>
      <c r="X11" s="7">
        <f>W11/V11</f>
        <v>0.98057722009432324</v>
      </c>
      <c r="AB11" s="47">
        <v>2</v>
      </c>
      <c r="AC11" s="47">
        <f>V11+军团义军任务!Y6+移动营寨!U7</f>
        <v>308377.01886649936</v>
      </c>
      <c r="AE11" s="53">
        <f t="shared" ref="AE11:AE74" si="2">V11/AC11</f>
        <v>0.14881568514251933</v>
      </c>
      <c r="AF11" s="53">
        <f>军团义军任务!Y6/AC11</f>
        <v>0.85118431485748058</v>
      </c>
      <c r="AG11" s="53">
        <f>移动营寨!U7/AC11</f>
        <v>0</v>
      </c>
      <c r="AL11" s="47">
        <v>2</v>
      </c>
      <c r="AM11" s="47">
        <f t="shared" si="0"/>
        <v>25897.435897435895</v>
      </c>
      <c r="AR11" s="47">
        <v>2</v>
      </c>
      <c r="AS11" s="47">
        <f t="shared" ref="AS11:AS74" si="3">AC11/AM11</f>
        <v>11.90762746118166</v>
      </c>
    </row>
    <row r="12" spans="2:45" x14ac:dyDescent="0.15">
      <c r="B12" s="63"/>
      <c r="C12" s="7">
        <v>3</v>
      </c>
      <c r="D12" s="14">
        <f>$D$11*C11</f>
        <v>0.26</v>
      </c>
      <c r="E12" s="13">
        <f>SUM($D$10:D12)</f>
        <v>0.39</v>
      </c>
      <c r="F12" s="7">
        <v>2000</v>
      </c>
      <c r="G12" s="7">
        <f>SUM($F$10:F12)</f>
        <v>3000</v>
      </c>
      <c r="H12" s="7">
        <v>3</v>
      </c>
      <c r="I12" s="59">
        <v>500</v>
      </c>
      <c r="J12" s="59">
        <f>SUM($I$10:I12)</f>
        <v>1000</v>
      </c>
      <c r="M12" s="47"/>
      <c r="N12" s="14">
        <v>3</v>
      </c>
      <c r="O12" s="47">
        <f t="shared" ref="O12:O16" si="4">ROUND(O11*1.5/(5*10^(LEN(O11)-2)),0)*(5*10^(LEN(O11)-2))</f>
        <v>11500</v>
      </c>
      <c r="Q12" s="7">
        <v>3</v>
      </c>
      <c r="R12" s="7">
        <f>INT(求节点(其他调用!$S$8:$S$14,其他调用!$Q$8:$Q$14,$Q12))</f>
        <v>1</v>
      </c>
      <c r="S12" s="58">
        <f>IF($Q12&lt;其他调用!$R$8,0,求节点($E$10:$E$29,$H$10:$H$29,$Q12)+求节点(其他调用!$M$8:$M$11,其他调用!$L$8:$L$11,$Q12))</f>
        <v>10.467950653997164</v>
      </c>
      <c r="T12" s="8">
        <f>IF($Q12=1,0,S12-S11+其他调用!$V$8)</f>
        <v>3.2896831850320218</v>
      </c>
      <c r="U12" s="47">
        <f t="shared" si="1"/>
        <v>16448.415925160109</v>
      </c>
      <c r="V12" s="47">
        <f>SUM($U$10:U12)</f>
        <v>62339.75326998582</v>
      </c>
      <c r="W12" s="47">
        <f t="shared" ref="W12:W75" si="5">IFERROR(INDEX($O$10:$O$16,R12-2),$O$10)*(3*60/20)+W11</f>
        <v>90000</v>
      </c>
      <c r="X12" s="47">
        <f t="shared" ref="X12:X75" si="6">W12/V12</f>
        <v>1.4437015753049429</v>
      </c>
      <c r="AB12" s="47">
        <v>3</v>
      </c>
      <c r="AC12" s="47">
        <f>V12+军团义军任务!Y7+移动营寨!U8</f>
        <v>456068.27555249626</v>
      </c>
      <c r="AE12" s="53">
        <f t="shared" si="2"/>
        <v>0.13668951911742902</v>
      </c>
      <c r="AF12" s="53">
        <f>军团义军任务!Y7/AC12</f>
        <v>0.8633104808825709</v>
      </c>
      <c r="AG12" s="53">
        <f>移动营寨!U8/AC12</f>
        <v>0</v>
      </c>
      <c r="AL12" s="47">
        <v>3</v>
      </c>
      <c r="AM12" s="47">
        <f t="shared" si="0"/>
        <v>44340.659340659331</v>
      </c>
      <c r="AR12" s="47">
        <v>3</v>
      </c>
      <c r="AS12" s="47">
        <f t="shared" si="3"/>
        <v>10.2855546654962</v>
      </c>
    </row>
    <row r="13" spans="2:45" x14ac:dyDescent="0.15">
      <c r="B13" s="63"/>
      <c r="C13" s="7">
        <v>4</v>
      </c>
      <c r="D13" s="64">
        <f t="shared" ref="D13:D29" si="7">$D$11*C12</f>
        <v>0.39</v>
      </c>
      <c r="E13" s="13">
        <f>SUM($D$10:D13)</f>
        <v>0.78</v>
      </c>
      <c r="F13" s="7">
        <v>4000</v>
      </c>
      <c r="G13" s="7">
        <f>SUM($F$10:F13)</f>
        <v>7000</v>
      </c>
      <c r="H13" s="7">
        <v>4</v>
      </c>
      <c r="I13" s="59">
        <v>500</v>
      </c>
      <c r="J13" s="59">
        <f>SUM($I$10:I13)</f>
        <v>1500</v>
      </c>
      <c r="M13" s="47"/>
      <c r="N13" s="14">
        <v>4</v>
      </c>
      <c r="O13" s="47">
        <f t="shared" si="4"/>
        <v>15000</v>
      </c>
      <c r="Q13" s="7">
        <v>4</v>
      </c>
      <c r="R13" s="7">
        <f>INT(求节点(其他调用!$S$8:$S$14,其他调用!$Q$8:$Q$14,$Q13))</f>
        <v>2</v>
      </c>
      <c r="S13" s="58">
        <f>IF($Q13&lt;其他调用!$R$8,0,求节点($E$10:$E$29,$H$10:$H$29,$Q13)+求节点(其他调用!$M$8:$M$11,其他调用!$L$8:$L$11,$Q13))</f>
        <v>12.574483655879003</v>
      </c>
      <c r="T13" s="8">
        <f>IF($Q13=1,0,S13-S12+其他调用!$V$8)</f>
        <v>3.1065330018818393</v>
      </c>
      <c r="U13" s="47">
        <f t="shared" si="1"/>
        <v>23298.997514113795</v>
      </c>
      <c r="V13" s="47">
        <f>SUM($U$10:U13)</f>
        <v>85638.750784099611</v>
      </c>
      <c r="W13" s="47">
        <f t="shared" si="5"/>
        <v>225000</v>
      </c>
      <c r="X13" s="47">
        <f t="shared" si="6"/>
        <v>2.6273152975717546</v>
      </c>
      <c r="AB13" s="47">
        <v>4</v>
      </c>
      <c r="AC13" s="47">
        <f>V13+军团义军任务!Y8+移动营寨!U9</f>
        <v>610610.11382744682</v>
      </c>
      <c r="AE13" s="53">
        <f t="shared" si="2"/>
        <v>0.14025111743940158</v>
      </c>
      <c r="AF13" s="53">
        <f>军团义军任务!Y8/AC13</f>
        <v>0.85974888256059845</v>
      </c>
      <c r="AG13" s="53">
        <f>移动营寨!U9/AC13</f>
        <v>0</v>
      </c>
      <c r="AL13" s="47">
        <v>4</v>
      </c>
      <c r="AM13" s="47">
        <f t="shared" si="0"/>
        <v>65307.692307692298</v>
      </c>
      <c r="AR13" s="47">
        <v>4</v>
      </c>
      <c r="AS13" s="47">
        <f t="shared" si="3"/>
        <v>9.3497426145545468</v>
      </c>
    </row>
    <row r="14" spans="2:45" x14ac:dyDescent="0.15">
      <c r="B14" s="63"/>
      <c r="C14" s="7">
        <v>5</v>
      </c>
      <c r="D14" s="64">
        <f t="shared" si="7"/>
        <v>0.52</v>
      </c>
      <c r="E14" s="13">
        <f>SUM($D$10:D14)</f>
        <v>1.3</v>
      </c>
      <c r="F14" s="7">
        <v>6000</v>
      </c>
      <c r="G14" s="7">
        <f>SUM($F$10:F14)</f>
        <v>13000</v>
      </c>
      <c r="H14" s="7">
        <v>5</v>
      </c>
      <c r="I14" s="59">
        <v>500</v>
      </c>
      <c r="J14" s="59">
        <f>SUM($I$10:I14)</f>
        <v>2000</v>
      </c>
      <c r="M14" s="47"/>
      <c r="N14" s="14">
        <v>5</v>
      </c>
      <c r="O14" s="47">
        <f t="shared" si="4"/>
        <v>25000</v>
      </c>
      <c r="Q14" s="7">
        <v>5</v>
      </c>
      <c r="R14" s="7">
        <f>INT(求节点(其他调用!$S$8:$S$14,其他调用!$Q$8:$Q$14,$Q14))</f>
        <v>2</v>
      </c>
      <c r="S14" s="58">
        <f>IF($Q14&lt;其他调用!$R$8,0,求节点($E$10:$E$29,$H$10:$H$29,$Q14)+求节点(其他调用!$M$8:$M$11,其他调用!$L$8:$L$11,$Q14))</f>
        <v>14.527741561639864</v>
      </c>
      <c r="T14" s="8">
        <f>IF($Q14=1,0,S14-S13+其他调用!$V$8)</f>
        <v>2.9532579057608608</v>
      </c>
      <c r="U14" s="47">
        <f t="shared" si="1"/>
        <v>22149.434293206457</v>
      </c>
      <c r="V14" s="47">
        <f>SUM($U$10:U14)</f>
        <v>107788.18507730607</v>
      </c>
      <c r="W14" s="47">
        <f t="shared" si="5"/>
        <v>450000</v>
      </c>
      <c r="X14" s="47">
        <f t="shared" si="6"/>
        <v>4.1748545972571893</v>
      </c>
      <c r="AB14" s="47">
        <v>5</v>
      </c>
      <c r="AC14" s="47">
        <f>V14+军团义军任务!Y9+移动营寨!U10</f>
        <v>764002.38888149022</v>
      </c>
      <c r="AE14" s="53">
        <f t="shared" si="2"/>
        <v>0.14108357074002009</v>
      </c>
      <c r="AF14" s="53">
        <f>军团义军任务!Y9/AC14</f>
        <v>0.8589164292599798</v>
      </c>
      <c r="AG14" s="53">
        <f>移动营寨!U10/AC14</f>
        <v>0</v>
      </c>
      <c r="AL14" s="47">
        <v>5</v>
      </c>
      <c r="AM14" s="47">
        <f t="shared" si="0"/>
        <v>90572.649572649563</v>
      </c>
      <c r="AR14" s="47">
        <v>5</v>
      </c>
      <c r="AS14" s="47">
        <f t="shared" si="3"/>
        <v>8.4352438896984392</v>
      </c>
    </row>
    <row r="15" spans="2:45" x14ac:dyDescent="0.15">
      <c r="B15" s="63"/>
      <c r="C15" s="7">
        <v>6</v>
      </c>
      <c r="D15" s="64">
        <f t="shared" si="7"/>
        <v>0.65</v>
      </c>
      <c r="E15" s="13">
        <f>SUM($D$10:D15)</f>
        <v>1.9500000000000002</v>
      </c>
      <c r="F15" s="7">
        <v>12000</v>
      </c>
      <c r="G15" s="7">
        <f>SUM($F$10:F15)</f>
        <v>25000</v>
      </c>
      <c r="H15" s="7">
        <v>6</v>
      </c>
      <c r="I15" s="59">
        <f>I11+500</f>
        <v>1000</v>
      </c>
      <c r="J15" s="59">
        <f>SUM($I$10:I15)</f>
        <v>3000</v>
      </c>
      <c r="M15" s="47"/>
      <c r="N15" s="14">
        <v>6</v>
      </c>
      <c r="O15" s="47">
        <f t="shared" si="4"/>
        <v>40000</v>
      </c>
      <c r="Q15" s="7">
        <v>6</v>
      </c>
      <c r="R15" s="7">
        <f>INT(求节点(其他调用!$S$8:$S$14,其他调用!$Q$8:$Q$14,$Q15))</f>
        <v>3</v>
      </c>
      <c r="S15" s="58">
        <f>IF($Q15&lt;其他调用!$R$8,0,求节点($E$10:$E$29,$H$10:$H$29,$Q15)+求节点(其他调用!$M$8:$M$11,其他调用!$L$8:$L$11,$Q15))</f>
        <v>16.311241489207589</v>
      </c>
      <c r="T15" s="8">
        <f>IF($Q15=1,0,S15-S14+其他调用!$V$8)</f>
        <v>2.7834999275677248</v>
      </c>
      <c r="U15" s="47">
        <f t="shared" si="1"/>
        <v>32010.249167028836</v>
      </c>
      <c r="V15" s="47">
        <f>SUM($U$10:U15)</f>
        <v>139798.4342443349</v>
      </c>
      <c r="W15" s="47">
        <f t="shared" si="5"/>
        <v>495000</v>
      </c>
      <c r="X15" s="47">
        <f t="shared" si="6"/>
        <v>3.5408121891755671</v>
      </c>
      <c r="AB15" s="47">
        <v>6</v>
      </c>
      <c r="AC15" s="47">
        <f>V15+军团义军任务!Y10+移动营寨!U11</f>
        <v>927255.47880935587</v>
      </c>
      <c r="AE15" s="53">
        <f t="shared" si="2"/>
        <v>0.15076582176019424</v>
      </c>
      <c r="AF15" s="53">
        <f>军团义军任务!Y10/AC15</f>
        <v>0.84923417823980574</v>
      </c>
      <c r="AG15" s="53">
        <f>移动营寨!U11/AC15</f>
        <v>0</v>
      </c>
      <c r="AL15" s="47">
        <v>6</v>
      </c>
      <c r="AM15" s="47">
        <f t="shared" si="0"/>
        <v>121769.23076923075</v>
      </c>
      <c r="AR15" s="47">
        <v>6</v>
      </c>
      <c r="AS15" s="47">
        <f t="shared" si="3"/>
        <v>7.6148586383585775</v>
      </c>
    </row>
    <row r="16" spans="2:45" x14ac:dyDescent="0.15">
      <c r="B16" s="63"/>
      <c r="C16" s="7">
        <v>7</v>
      </c>
      <c r="D16" s="64">
        <f t="shared" si="7"/>
        <v>0.78</v>
      </c>
      <c r="E16" s="13">
        <f>SUM($D$10:D16)</f>
        <v>2.7300000000000004</v>
      </c>
      <c r="F16" s="64">
        <v>14000</v>
      </c>
      <c r="G16" s="7">
        <f>SUM($F$10:F16)</f>
        <v>39000</v>
      </c>
      <c r="H16" s="7">
        <v>7</v>
      </c>
      <c r="I16" s="59">
        <f t="shared" ref="I16:I29" si="8">I12+500</f>
        <v>1000</v>
      </c>
      <c r="J16" s="59">
        <f>SUM($I$10:I16)</f>
        <v>4000</v>
      </c>
      <c r="M16" s="47"/>
      <c r="N16" s="14">
        <v>7</v>
      </c>
      <c r="O16" s="47">
        <f t="shared" si="4"/>
        <v>60000</v>
      </c>
      <c r="Q16" s="7">
        <v>7</v>
      </c>
      <c r="R16" s="7">
        <f>INT(求节点(其他调用!$S$8:$S$14,其他调用!$Q$8:$Q$14,$Q16))</f>
        <v>3</v>
      </c>
      <c r="S16" s="58">
        <f>IF($Q16&lt;其他调用!$R$8,0,求节点($E$10:$E$29,$H$10:$H$29,$Q16)+求节点(其他调用!$M$8:$M$11,其他调用!$L$8:$L$11,$Q16))</f>
        <v>18.022091844125743</v>
      </c>
      <c r="T16" s="8">
        <f>IF($Q16=1,0,S16-S15+其他调用!$V$8)</f>
        <v>2.7108503549181542</v>
      </c>
      <c r="U16" s="47">
        <f t="shared" si="1"/>
        <v>31174.779081558772</v>
      </c>
      <c r="V16" s="47">
        <f>SUM($U$10:U16)</f>
        <v>170973.21332589368</v>
      </c>
      <c r="W16" s="47">
        <f t="shared" si="5"/>
        <v>540000</v>
      </c>
      <c r="X16" s="47">
        <f t="shared" si="6"/>
        <v>3.1583894897658666</v>
      </c>
      <c r="AB16" s="47">
        <v>7</v>
      </c>
      <c r="AC16" s="47">
        <f>V16+军团义军任务!Y11+移动营寨!U12</f>
        <v>1089673.0986517514</v>
      </c>
      <c r="AE16" s="53">
        <f t="shared" si="2"/>
        <v>0.15690321577860206</v>
      </c>
      <c r="AF16" s="53">
        <f>军团义军任务!Y11/AC16</f>
        <v>0.843096784221398</v>
      </c>
      <c r="AG16" s="53">
        <f>移动营寨!U12/AC16</f>
        <v>0</v>
      </c>
      <c r="AL16" s="47">
        <v>7</v>
      </c>
      <c r="AM16" s="47">
        <f t="shared" si="0"/>
        <v>160230.76923076922</v>
      </c>
      <c r="AR16" s="47">
        <v>7</v>
      </c>
      <c r="AS16" s="47">
        <f t="shared" si="3"/>
        <v>6.8006482393052181</v>
      </c>
    </row>
    <row r="17" spans="2:45" x14ac:dyDescent="0.15">
      <c r="B17" s="63"/>
      <c r="C17" s="7">
        <v>8</v>
      </c>
      <c r="D17" s="64">
        <f t="shared" si="7"/>
        <v>0.91</v>
      </c>
      <c r="E17" s="13">
        <f>SUM($D$10:D17)</f>
        <v>3.6400000000000006</v>
      </c>
      <c r="F17" s="64">
        <v>18000</v>
      </c>
      <c r="G17" s="7">
        <f>SUM($F$10:F17)</f>
        <v>57000</v>
      </c>
      <c r="H17" s="7">
        <v>8</v>
      </c>
      <c r="I17" s="59">
        <f t="shared" si="8"/>
        <v>1000</v>
      </c>
      <c r="J17" s="59">
        <f>SUM($I$10:I17)</f>
        <v>5000</v>
      </c>
      <c r="M17" s="47"/>
      <c r="Q17" s="7">
        <v>8</v>
      </c>
      <c r="R17" s="7">
        <f>INT(求节点(其他调用!$S$8:$S$14,其他调用!$Q$8:$Q$14,$Q17))</f>
        <v>3</v>
      </c>
      <c r="S17" s="58">
        <f>IF($Q17&lt;其他调用!$R$8,0,求节点($E$10:$E$29,$H$10:$H$29,$Q17)+求节点(其他调用!$M$8:$M$11,其他调用!$L$8:$L$11,$Q17))</f>
        <v>19.673501639603337</v>
      </c>
      <c r="T17" s="8">
        <f>IF($Q17=1,0,S17-S16+其他调用!$V$8)</f>
        <v>2.6514097954775941</v>
      </c>
      <c r="U17" s="47">
        <f t="shared" si="1"/>
        <v>30491.212647992332</v>
      </c>
      <c r="V17" s="47">
        <f>SUM($U$10:U17)</f>
        <v>201464.42597388601</v>
      </c>
      <c r="W17" s="47">
        <f t="shared" si="5"/>
        <v>585000</v>
      </c>
      <c r="X17" s="47">
        <f t="shared" si="6"/>
        <v>2.9037384499625167</v>
      </c>
      <c r="AB17" s="47">
        <v>8</v>
      </c>
      <c r="AC17" s="47">
        <f>V17+军团义军任务!Y12+移动营寨!U13</f>
        <v>1301407.1520605804</v>
      </c>
      <c r="AE17" s="53">
        <f t="shared" si="2"/>
        <v>0.15480507053837664</v>
      </c>
      <c r="AF17" s="53">
        <f>军团义军任务!Y12/AC17</f>
        <v>0.80677497770338036</v>
      </c>
      <c r="AG17" s="53">
        <f>移动营寨!U13/AC17</f>
        <v>3.8419951758243066E-2</v>
      </c>
      <c r="AL17" s="47">
        <v>8</v>
      </c>
      <c r="AM17" s="47">
        <f t="shared" si="0"/>
        <v>201664.33566433567</v>
      </c>
      <c r="AR17" s="47">
        <v>8</v>
      </c>
      <c r="AS17" s="47">
        <f t="shared" si="3"/>
        <v>6.4533331973320962</v>
      </c>
    </row>
    <row r="18" spans="2:45" x14ac:dyDescent="0.15">
      <c r="B18" s="63"/>
      <c r="C18" s="7">
        <v>9</v>
      </c>
      <c r="D18" s="64">
        <f t="shared" si="7"/>
        <v>1.04</v>
      </c>
      <c r="E18" s="13">
        <f>SUM($D$10:D18)</f>
        <v>4.6800000000000006</v>
      </c>
      <c r="F18" s="64">
        <v>24000</v>
      </c>
      <c r="G18" s="7">
        <f>SUM($F$10:F18)</f>
        <v>81000</v>
      </c>
      <c r="H18" s="7">
        <v>9</v>
      </c>
      <c r="I18" s="59">
        <f t="shared" si="8"/>
        <v>1000</v>
      </c>
      <c r="J18" s="59">
        <f>SUM($I$10:I18)</f>
        <v>6000</v>
      </c>
      <c r="M18" s="47"/>
      <c r="Q18" s="7">
        <v>9</v>
      </c>
      <c r="R18" s="7">
        <f>INT(求节点(其他调用!$S$8:$S$14,其他调用!$Q$8:$Q$14,$Q18))</f>
        <v>4</v>
      </c>
      <c r="S18" s="58">
        <f>IF($Q18&lt;其他调用!$R$8,0,求节点($E$10:$E$29,$H$10:$H$29,$Q18)+求节点(其他调用!$M$8:$M$11,其他调用!$L$8:$L$11,$Q18))</f>
        <v>21.289946400115891</v>
      </c>
      <c r="T18" s="8">
        <f>IF($Q18=1,0,S18-S17+其他调用!$V$8)</f>
        <v>2.6164447605125538</v>
      </c>
      <c r="U18" s="47">
        <f t="shared" si="1"/>
        <v>39246.671407688307</v>
      </c>
      <c r="V18" s="47">
        <f>SUM($U$10:U18)</f>
        <v>240711.09738157433</v>
      </c>
      <c r="W18" s="47">
        <f t="shared" si="5"/>
        <v>652500</v>
      </c>
      <c r="X18" s="47">
        <f t="shared" si="6"/>
        <v>2.7107183968575383</v>
      </c>
      <c r="AB18" s="47">
        <v>9</v>
      </c>
      <c r="AC18" s="47">
        <f>V18+军团义军任务!Y13+移动营寨!U14</f>
        <v>1521896.6642291057</v>
      </c>
      <c r="AE18" s="53">
        <f t="shared" si="2"/>
        <v>0.15816520466815201</v>
      </c>
      <c r="AF18" s="53">
        <f>军团义军任务!Y13/AC18</f>
        <v>0.77612731180131966</v>
      </c>
      <c r="AG18" s="53">
        <f>移动营寨!U14/AC18</f>
        <v>6.5707483530528354E-2</v>
      </c>
      <c r="AL18" s="47">
        <v>9</v>
      </c>
      <c r="AM18" s="47">
        <f t="shared" si="0"/>
        <v>246192.30769230769</v>
      </c>
      <c r="AR18" s="47">
        <v>9</v>
      </c>
      <c r="AS18" s="47">
        <f t="shared" si="3"/>
        <v>6.181739301664857</v>
      </c>
    </row>
    <row r="19" spans="2:45" x14ac:dyDescent="0.15">
      <c r="B19" s="63"/>
      <c r="C19" s="47">
        <v>10</v>
      </c>
      <c r="D19" s="64">
        <f t="shared" si="7"/>
        <v>1.17</v>
      </c>
      <c r="E19" s="13">
        <f>SUM($D$10:D19)</f>
        <v>5.8500000000000005</v>
      </c>
      <c r="F19" s="64">
        <v>35000</v>
      </c>
      <c r="G19" s="47">
        <f>SUM($F$10:F19)</f>
        <v>116000</v>
      </c>
      <c r="H19" s="7">
        <v>10</v>
      </c>
      <c r="I19" s="59">
        <f t="shared" si="8"/>
        <v>1500</v>
      </c>
      <c r="J19" s="59">
        <f>SUM($I$10:I19)</f>
        <v>7500</v>
      </c>
      <c r="M19" s="47"/>
      <c r="Q19" s="7">
        <v>10</v>
      </c>
      <c r="R19" s="7">
        <f>INT(求节点(其他调用!$S$8:$S$14,其他调用!$Q$8:$Q$14,$Q19))</f>
        <v>4</v>
      </c>
      <c r="S19" s="58">
        <f>IF($Q19&lt;其他调用!$R$8,0,求节点($E$10:$E$29,$H$10:$H$29,$Q19)+求节点(其他调用!$M$8:$M$11,其他调用!$L$8:$L$11,$Q19))</f>
        <v>22.872591626828914</v>
      </c>
      <c r="T19" s="8">
        <f>IF($Q19=1,0,S19-S18+其他调用!$V$8)</f>
        <v>2.5826452267130229</v>
      </c>
      <c r="U19" s="47">
        <f t="shared" si="1"/>
        <v>38739.678400695346</v>
      </c>
      <c r="V19" s="47">
        <f>SUM($U$10:U19)</f>
        <v>279450.77578226966</v>
      </c>
      <c r="W19" s="47">
        <f t="shared" si="5"/>
        <v>720000</v>
      </c>
      <c r="X19" s="47">
        <f t="shared" si="6"/>
        <v>2.5764823804281667</v>
      </c>
      <c r="AB19" s="47">
        <v>10</v>
      </c>
      <c r="AC19" s="47">
        <f>V19+军团义军任务!Y14+移动营寨!U15</f>
        <v>1741879.1833906379</v>
      </c>
      <c r="AE19" s="53">
        <f t="shared" si="2"/>
        <v>0.16043063057812509</v>
      </c>
      <c r="AF19" s="53">
        <f>军团义军任务!Y14/AC19</f>
        <v>0.7534554750540583</v>
      </c>
      <c r="AG19" s="53">
        <f>移动营寨!U15/AC19</f>
        <v>8.6113894367816579E-2</v>
      </c>
      <c r="AL19" s="47">
        <v>10</v>
      </c>
      <c r="AM19" s="47">
        <f t="shared" si="0"/>
        <v>294269.23076923075</v>
      </c>
      <c r="AR19" s="47">
        <v>10</v>
      </c>
      <c r="AS19" s="47">
        <f t="shared" si="3"/>
        <v>5.9193384875384378</v>
      </c>
    </row>
    <row r="20" spans="2:45" x14ac:dyDescent="0.15">
      <c r="B20" s="63"/>
      <c r="C20" s="47">
        <v>11</v>
      </c>
      <c r="D20" s="64">
        <f t="shared" si="7"/>
        <v>1.3</v>
      </c>
      <c r="E20" s="13">
        <f>SUM($D$10:D20)</f>
        <v>7.15</v>
      </c>
      <c r="F20" s="64">
        <v>50000</v>
      </c>
      <c r="G20" s="47">
        <f>SUM($F$10:F20)</f>
        <v>166000</v>
      </c>
      <c r="H20" s="47">
        <v>11</v>
      </c>
      <c r="I20" s="59">
        <f t="shared" si="8"/>
        <v>1500</v>
      </c>
      <c r="J20" s="59">
        <f>SUM($I$10:I20)</f>
        <v>9000</v>
      </c>
      <c r="M20" s="47"/>
      <c r="Q20" s="7">
        <v>11</v>
      </c>
      <c r="R20" s="7">
        <f>INT(求节点(其他调用!$S$8:$S$14,其他调用!$Q$8:$Q$14,$Q20))</f>
        <v>4</v>
      </c>
      <c r="S20" s="58">
        <f>IF($Q20&lt;其他调用!$R$8,0,求节点($E$10:$E$29,$H$10:$H$29,$Q20)+求节点(其他调用!$M$8:$M$11,其他调用!$L$8:$L$11,$Q20))</f>
        <v>23.797684403904899</v>
      </c>
      <c r="T20" s="8">
        <f>IF($Q20=1,0,S20-S19+其他调用!$V$8)</f>
        <v>1.9250927770759851</v>
      </c>
      <c r="U20" s="47">
        <f t="shared" si="1"/>
        <v>28876.391656139778</v>
      </c>
      <c r="V20" s="47">
        <f>SUM($U$10:U20)</f>
        <v>308327.16743840941</v>
      </c>
      <c r="W20" s="47">
        <f t="shared" si="5"/>
        <v>787500</v>
      </c>
      <c r="X20" s="47">
        <f t="shared" si="6"/>
        <v>2.5541051297638533</v>
      </c>
      <c r="AB20" s="47">
        <v>11</v>
      </c>
      <c r="AC20" s="47">
        <f>V20+军团义军任务!Y15+移动营寨!U16</f>
        <v>1951998.4158076146</v>
      </c>
      <c r="AE20" s="53">
        <f t="shared" si="2"/>
        <v>0.15795461970743607</v>
      </c>
      <c r="AF20" s="53">
        <f>军团义军任务!Y15/AC20</f>
        <v>0.73958628074598332</v>
      </c>
      <c r="AG20" s="53">
        <f>移动营寨!U16/AC20</f>
        <v>0.1024590995465806</v>
      </c>
      <c r="AL20" s="47">
        <v>11</v>
      </c>
      <c r="AM20" s="47">
        <f t="shared" si="0"/>
        <v>346798.81656804733</v>
      </c>
      <c r="AR20" s="47">
        <v>11</v>
      </c>
      <c r="AS20" s="47">
        <f t="shared" si="3"/>
        <v>5.6286190221892012</v>
      </c>
    </row>
    <row r="21" spans="2:45" x14ac:dyDescent="0.15">
      <c r="B21" s="63"/>
      <c r="C21" s="47">
        <v>12</v>
      </c>
      <c r="D21" s="64">
        <f t="shared" si="7"/>
        <v>1.4300000000000002</v>
      </c>
      <c r="E21" s="13">
        <f>SUM($D$10:D21)</f>
        <v>8.58</v>
      </c>
      <c r="F21" s="64">
        <v>60000</v>
      </c>
      <c r="G21" s="47">
        <f>SUM($F$10:F21)</f>
        <v>226000</v>
      </c>
      <c r="H21" s="47">
        <v>12</v>
      </c>
      <c r="I21" s="59">
        <f t="shared" si="8"/>
        <v>1500</v>
      </c>
      <c r="J21" s="59">
        <f>SUM($I$10:I21)</f>
        <v>10500</v>
      </c>
      <c r="M21" s="47"/>
      <c r="Q21" s="7">
        <v>12</v>
      </c>
      <c r="R21" s="7">
        <f>INT(求节点(其他调用!$S$8:$S$14,其他调用!$Q$8:$Q$14,$Q21))</f>
        <v>5</v>
      </c>
      <c r="S21" s="58">
        <f>IF($Q21&lt;其他调用!$R$8,0,求节点($E$10:$E$29,$H$10:$H$29,$Q21)+求节点(其他调用!$M$8:$M$11,其他调用!$L$8:$L$11,$Q21))</f>
        <v>24.683057616270613</v>
      </c>
      <c r="T21" s="8">
        <f>IF($Q21=1,0,S21-S20+其他调用!$V$8)</f>
        <v>1.8853732123657139</v>
      </c>
      <c r="U21" s="47">
        <f t="shared" si="1"/>
        <v>47134.330309142846</v>
      </c>
      <c r="V21" s="47">
        <f>SUM($U$10:U21)</f>
        <v>355461.49774755223</v>
      </c>
      <c r="W21" s="47">
        <f t="shared" si="5"/>
        <v>891000</v>
      </c>
      <c r="X21" s="47">
        <f t="shared" si="6"/>
        <v>2.5066005900666792</v>
      </c>
      <c r="AB21" s="47">
        <v>12</v>
      </c>
      <c r="AC21" s="47">
        <f>V21+军团义军任务!Y16+移动营寨!U17</f>
        <v>2180375.5868775942</v>
      </c>
      <c r="AE21" s="53">
        <f t="shared" si="2"/>
        <v>0.16302764527674368</v>
      </c>
      <c r="AF21" s="53">
        <f>军团义军任务!Y16/AC21</f>
        <v>0.72231320998479753</v>
      </c>
      <c r="AG21" s="53">
        <f>移动营寨!U17/AC21</f>
        <v>0.11465914473845874</v>
      </c>
      <c r="AL21" s="47">
        <v>12</v>
      </c>
      <c r="AM21" s="47">
        <f t="shared" si="0"/>
        <v>400340.65934065933</v>
      </c>
      <c r="AR21" s="47">
        <v>12</v>
      </c>
      <c r="AS21" s="47">
        <f t="shared" si="3"/>
        <v>5.4463006342362572</v>
      </c>
    </row>
    <row r="22" spans="2:45" x14ac:dyDescent="0.15">
      <c r="B22" s="63"/>
      <c r="C22" s="47">
        <v>13</v>
      </c>
      <c r="D22" s="64">
        <f t="shared" si="7"/>
        <v>1.56</v>
      </c>
      <c r="E22" s="13">
        <f>SUM($D$10:D22)</f>
        <v>10.14</v>
      </c>
      <c r="F22" s="64">
        <v>75000</v>
      </c>
      <c r="G22" s="47">
        <f>SUM($F$10:F22)</f>
        <v>301000</v>
      </c>
      <c r="H22" s="47">
        <v>13</v>
      </c>
      <c r="I22" s="59">
        <f t="shared" si="8"/>
        <v>1500</v>
      </c>
      <c r="J22" s="59">
        <f>SUM($I$10:I22)</f>
        <v>12000</v>
      </c>
      <c r="M22" s="47"/>
      <c r="Q22" s="7">
        <v>13</v>
      </c>
      <c r="R22" s="7">
        <f>INT(求节点(其他调用!$S$8:$S$14,其他调用!$Q$8:$Q$14,$Q22))</f>
        <v>5</v>
      </c>
      <c r="S22" s="58">
        <f>IF($Q22&lt;其他调用!$R$8,0,求节点($E$10:$E$29,$H$10:$H$29,$Q22)+求节点(其他调用!$M$8:$M$11,其他调用!$L$8:$L$11,$Q22))</f>
        <v>25.533350524325254</v>
      </c>
      <c r="T22" s="8">
        <f>IF($Q22=1,0,S22-S21+其他调用!$V$8)</f>
        <v>1.8502929080546409</v>
      </c>
      <c r="U22" s="47">
        <f t="shared" si="1"/>
        <v>46257.322701366022</v>
      </c>
      <c r="V22" s="47">
        <f>SUM($U$10:U22)</f>
        <v>401718.82044891827</v>
      </c>
      <c r="W22" s="47">
        <f t="shared" si="5"/>
        <v>994500</v>
      </c>
      <c r="X22" s="47">
        <f t="shared" si="6"/>
        <v>2.4756121679553189</v>
      </c>
      <c r="AB22" s="47">
        <v>13</v>
      </c>
      <c r="AC22" s="47">
        <f>V22+军团义军任务!Y17+移动营寨!U18</f>
        <v>2407875.7503397968</v>
      </c>
      <c r="AE22" s="53">
        <f t="shared" si="2"/>
        <v>0.16683536116522132</v>
      </c>
      <c r="AF22" s="53">
        <f>军团义军任务!Y17/AC22</f>
        <v>0.70857349248610846</v>
      </c>
      <c r="AG22" s="53">
        <f>移动营寨!U18/AC22</f>
        <v>0.12459114634867033</v>
      </c>
      <c r="AL22" s="47">
        <v>13</v>
      </c>
      <c r="AM22" s="47">
        <f t="shared" si="0"/>
        <v>455285.71428571426</v>
      </c>
      <c r="AR22" s="47">
        <v>13</v>
      </c>
      <c r="AS22" s="47">
        <f t="shared" si="3"/>
        <v>5.2887136028800059</v>
      </c>
    </row>
    <row r="23" spans="2:45" x14ac:dyDescent="0.15">
      <c r="B23" s="63"/>
      <c r="C23" s="47">
        <v>14</v>
      </c>
      <c r="D23" s="64">
        <f t="shared" si="7"/>
        <v>1.69</v>
      </c>
      <c r="E23" s="13">
        <f>SUM($D$10:D23)</f>
        <v>11.83</v>
      </c>
      <c r="F23" s="64">
        <v>90000</v>
      </c>
      <c r="G23" s="47">
        <f>SUM($F$10:F23)</f>
        <v>391000</v>
      </c>
      <c r="H23" s="47">
        <v>14</v>
      </c>
      <c r="I23" s="59">
        <f t="shared" si="8"/>
        <v>2000</v>
      </c>
      <c r="J23" s="59">
        <f>SUM($I$10:I23)</f>
        <v>14000</v>
      </c>
      <c r="M23" s="47"/>
      <c r="Q23" s="7">
        <v>14</v>
      </c>
      <c r="R23" s="7">
        <f>INT(求节点(其他调用!$S$8:$S$14,其他调用!$Q$8:$Q$14,$Q23))</f>
        <v>5</v>
      </c>
      <c r="S23" s="58">
        <f>IF($Q23&lt;其他调用!$R$8,0,求节点($E$10:$E$29,$H$10:$H$29,$Q23)+求节点(其他调用!$M$8:$M$11,其他调用!$L$8:$L$11,$Q23))</f>
        <v>26.37082291955938</v>
      </c>
      <c r="T23" s="8">
        <f>IF($Q23=1,0,S23-S22+其他调用!$V$8)</f>
        <v>1.8374723952341263</v>
      </c>
      <c r="U23" s="47">
        <f t="shared" si="1"/>
        <v>45936.809880853158</v>
      </c>
      <c r="V23" s="47">
        <f>SUM($U$10:U23)</f>
        <v>447655.63032977143</v>
      </c>
      <c r="W23" s="47">
        <f t="shared" si="5"/>
        <v>1098000</v>
      </c>
      <c r="X23" s="47">
        <f t="shared" si="6"/>
        <v>2.4527782643795719</v>
      </c>
      <c r="AB23" s="47">
        <v>14</v>
      </c>
      <c r="AC23" s="47">
        <f>V23+军团义军任务!Y18+移动营寨!U19</f>
        <v>2635055.4009814868</v>
      </c>
      <c r="AE23" s="53">
        <f t="shared" si="2"/>
        <v>0.16988471292217683</v>
      </c>
      <c r="AF23" s="53">
        <f>军团义军任务!Y18/AC23</f>
        <v>0.69729075524079454</v>
      </c>
      <c r="AG23" s="53">
        <f>移动营寨!U19/AC23</f>
        <v>0.13282453183702872</v>
      </c>
      <c r="AL23" s="47">
        <v>14</v>
      </c>
      <c r="AM23" s="47">
        <f t="shared" si="0"/>
        <v>512538.4615384615</v>
      </c>
      <c r="AR23" s="47">
        <v>14</v>
      </c>
      <c r="AS23" s="47">
        <f t="shared" si="3"/>
        <v>5.1411856840401216</v>
      </c>
    </row>
    <row r="24" spans="2:45" x14ac:dyDescent="0.15">
      <c r="B24" s="63"/>
      <c r="C24" s="47">
        <v>15</v>
      </c>
      <c r="D24" s="64">
        <f t="shared" si="7"/>
        <v>1.82</v>
      </c>
      <c r="E24" s="13">
        <f>SUM($D$10:D24)</f>
        <v>13.65</v>
      </c>
      <c r="F24" s="64">
        <v>100000</v>
      </c>
      <c r="G24" s="47">
        <f>SUM($F$10:F24)</f>
        <v>491000</v>
      </c>
      <c r="H24" s="47">
        <v>15</v>
      </c>
      <c r="I24" s="59">
        <f t="shared" si="8"/>
        <v>2000</v>
      </c>
      <c r="J24" s="59">
        <f>SUM($I$10:I24)</f>
        <v>16000</v>
      </c>
      <c r="M24" s="47"/>
      <c r="Q24" s="7">
        <v>15</v>
      </c>
      <c r="R24" s="7">
        <f>INT(求节点(其他调用!$S$8:$S$14,其他调用!$Q$8:$Q$14,$Q24))</f>
        <v>5</v>
      </c>
      <c r="S24" s="58">
        <f>IF($Q24&lt;其他调用!$R$8,0,求节点($E$10:$E$29,$H$10:$H$29,$Q24)+求节点(其他调用!$M$8:$M$11,其他调用!$L$8:$L$11,$Q24))</f>
        <v>27.184485790983985</v>
      </c>
      <c r="T24" s="8">
        <f>IF($Q24=1,0,S24-S23+其他调用!$V$8)</f>
        <v>1.8136628714246044</v>
      </c>
      <c r="U24" s="47">
        <f t="shared" si="1"/>
        <v>45341.57178561511</v>
      </c>
      <c r="V24" s="47">
        <f>SUM($U$10:U24)</f>
        <v>492997.20211538655</v>
      </c>
      <c r="W24" s="47">
        <f t="shared" si="5"/>
        <v>1201500</v>
      </c>
      <c r="X24" s="47">
        <f t="shared" si="6"/>
        <v>2.4371335067309117</v>
      </c>
      <c r="AB24" s="47">
        <v>15</v>
      </c>
      <c r="AC24" s="47">
        <f>V24+军团义军任务!Y19+移动营寨!U20</f>
        <v>2861639.8135279389</v>
      </c>
      <c r="AE24" s="53">
        <f t="shared" si="2"/>
        <v>0.17227786662207525</v>
      </c>
      <c r="AF24" s="53">
        <f>军团义军任务!Y19/AC24</f>
        <v>0.6879421379679278</v>
      </c>
      <c r="AG24" s="53">
        <f>移动营寨!U20/AC24</f>
        <v>0.139779995409997</v>
      </c>
      <c r="AL24" s="47">
        <v>15</v>
      </c>
      <c r="AM24" s="47">
        <f t="shared" si="0"/>
        <v>574076.92307692301</v>
      </c>
      <c r="AR24" s="47">
        <v>15</v>
      </c>
      <c r="AS24" s="47">
        <f t="shared" si="3"/>
        <v>4.9847671949434824</v>
      </c>
    </row>
    <row r="25" spans="2:45" x14ac:dyDescent="0.15">
      <c r="B25" s="63"/>
      <c r="C25" s="47">
        <v>16</v>
      </c>
      <c r="D25" s="64">
        <f t="shared" si="7"/>
        <v>1.9500000000000002</v>
      </c>
      <c r="E25" s="13">
        <f>SUM($D$10:D25)</f>
        <v>15.600000000000001</v>
      </c>
      <c r="F25" s="64">
        <v>120000</v>
      </c>
      <c r="G25" s="47">
        <f>SUM($F$10:F25)</f>
        <v>611000</v>
      </c>
      <c r="H25" s="47">
        <v>16</v>
      </c>
      <c r="I25" s="59">
        <f t="shared" si="8"/>
        <v>2000</v>
      </c>
      <c r="J25" s="59">
        <f>SUM($I$10:I25)</f>
        <v>18000</v>
      </c>
      <c r="M25" s="47"/>
      <c r="Q25" s="7">
        <v>16</v>
      </c>
      <c r="R25" s="7">
        <f>INT(求节点(其他调用!$S$8:$S$14,其他调用!$Q$8:$Q$14,$Q25))</f>
        <v>5</v>
      </c>
      <c r="S25" s="58">
        <f>IF($Q25&lt;其他调用!$R$8,0,求节点($E$10:$E$29,$H$10:$H$29,$Q25)+求节点(其他调用!$M$8:$M$11,其他调用!$L$8:$L$11,$Q25))</f>
        <v>27.985328149588078</v>
      </c>
      <c r="T25" s="8">
        <f>IF($Q25=1,0,S25-S24+其他调用!$V$8)</f>
        <v>1.8008423586040934</v>
      </c>
      <c r="U25" s="47">
        <f t="shared" si="1"/>
        <v>45021.058965102333</v>
      </c>
      <c r="V25" s="47">
        <f>SUM($U$10:U25)</f>
        <v>538018.26108048891</v>
      </c>
      <c r="W25" s="47">
        <f t="shared" si="5"/>
        <v>1305000</v>
      </c>
      <c r="X25" s="47">
        <f t="shared" si="6"/>
        <v>2.4255682277014174</v>
      </c>
      <c r="AB25" s="47">
        <v>16</v>
      </c>
      <c r="AC25" s="47">
        <f>V25+军团义军任务!Y20+移动营寨!U21</f>
        <v>3087903.7132538785</v>
      </c>
      <c r="AE25" s="53">
        <f t="shared" si="2"/>
        <v>0.17423414427438613</v>
      </c>
      <c r="AF25" s="53">
        <f>军团义军任务!Y20/AC25</f>
        <v>0.68003592312813255</v>
      </c>
      <c r="AG25" s="53">
        <f>移动营寨!U21/AC25</f>
        <v>0.14572993259748132</v>
      </c>
      <c r="AL25" s="47">
        <v>16</v>
      </c>
      <c r="AM25" s="47">
        <f t="shared" si="0"/>
        <v>639846.15384615376</v>
      </c>
      <c r="AR25" s="47">
        <v>16</v>
      </c>
      <c r="AS25" s="47">
        <f t="shared" si="3"/>
        <v>4.826009650432848</v>
      </c>
    </row>
    <row r="26" spans="2:45" x14ac:dyDescent="0.15">
      <c r="B26" s="63"/>
      <c r="C26" s="47">
        <v>17</v>
      </c>
      <c r="D26" s="64">
        <f t="shared" si="7"/>
        <v>2.08</v>
      </c>
      <c r="E26" s="13">
        <f>SUM($D$10:D26)</f>
        <v>17.68</v>
      </c>
      <c r="F26" s="65">
        <v>150000</v>
      </c>
      <c r="G26" s="47">
        <f>SUM($F$10:F26)</f>
        <v>761000</v>
      </c>
      <c r="H26" s="47">
        <v>17</v>
      </c>
      <c r="I26" s="59">
        <f t="shared" si="8"/>
        <v>2000</v>
      </c>
      <c r="J26" s="59">
        <f>SUM($I$10:I26)</f>
        <v>20000</v>
      </c>
      <c r="M26" s="47"/>
      <c r="Q26" s="7">
        <v>17</v>
      </c>
      <c r="R26" s="7">
        <f>INT(求节点(其他调用!$S$8:$S$14,其他调用!$Q$8:$Q$14,$Q26))</f>
        <v>6</v>
      </c>
      <c r="S26" s="58">
        <f>IF($Q26&lt;其他调用!$R$8,0,求节点($E$10:$E$29,$H$10:$H$29,$Q26)+求节点(其他调用!$M$8:$M$11,其他调用!$L$8:$L$11,$Q26))</f>
        <v>28.766939738961398</v>
      </c>
      <c r="T26" s="8">
        <f>IF($Q26=1,0,S26-S25+其他调用!$V$8)</f>
        <v>1.7816115893733198</v>
      </c>
      <c r="U26" s="47">
        <f t="shared" si="1"/>
        <v>71264.463574932786</v>
      </c>
      <c r="V26" s="47">
        <f>SUM($U$10:U26)</f>
        <v>609282.72465542168</v>
      </c>
      <c r="W26" s="47">
        <f t="shared" si="5"/>
        <v>1440000</v>
      </c>
      <c r="X26" s="47">
        <f t="shared" si="6"/>
        <v>2.3634348090443371</v>
      </c>
      <c r="AB26" s="47">
        <v>17</v>
      </c>
      <c r="AC26" s="47">
        <f>V26+军团义军任务!Y21+移动营寨!U22</f>
        <v>3340411.0175896483</v>
      </c>
      <c r="AE26" s="53">
        <f t="shared" si="2"/>
        <v>0.18239753175495868</v>
      </c>
      <c r="AF26" s="53">
        <f>军团义军任务!Y21/AC26</f>
        <v>0.66792028920565261</v>
      </c>
      <c r="AG26" s="53">
        <f>移动营寨!U22/AC26</f>
        <v>0.1496821790393886</v>
      </c>
      <c r="AL26" s="47">
        <v>17</v>
      </c>
      <c r="AM26" s="47">
        <f t="shared" si="0"/>
        <v>711961.5384615385</v>
      </c>
      <c r="AR26" s="47">
        <v>17</v>
      </c>
      <c r="AS26" s="47">
        <f>AC26/AM26</f>
        <v>4.691841956530217</v>
      </c>
    </row>
    <row r="27" spans="2:45" x14ac:dyDescent="0.15">
      <c r="B27" s="63"/>
      <c r="C27" s="47">
        <v>18</v>
      </c>
      <c r="D27" s="64">
        <f t="shared" si="7"/>
        <v>2.21</v>
      </c>
      <c r="E27" s="13">
        <f>SUM($D$10:D27)</f>
        <v>19.89</v>
      </c>
      <c r="F27" s="65">
        <v>165000</v>
      </c>
      <c r="G27" s="47">
        <f>SUM($F$10:F27)</f>
        <v>926000</v>
      </c>
      <c r="H27" s="47">
        <v>18</v>
      </c>
      <c r="I27" s="59">
        <f t="shared" si="8"/>
        <v>2500</v>
      </c>
      <c r="J27" s="59">
        <f>SUM($I$10:I27)</f>
        <v>22500</v>
      </c>
      <c r="M27" s="47"/>
      <c r="Q27" s="7">
        <v>18</v>
      </c>
      <c r="R27" s="7">
        <f>INT(求节点(其他调用!$S$8:$S$14,其他调用!$Q$8:$Q$14,$Q27))</f>
        <v>6</v>
      </c>
      <c r="S27" s="58">
        <f>IF($Q27&lt;其他调用!$R$8,0,求节点($E$10:$E$29,$H$10:$H$29,$Q27)+求节点(其他调用!$M$8:$M$11,其他调用!$L$8:$L$11,$Q27))</f>
        <v>29.539501554579065</v>
      </c>
      <c r="T27" s="8">
        <f>IF($Q27=1,0,S27-S26+其他调用!$V$8)</f>
        <v>1.7725618156176672</v>
      </c>
      <c r="U27" s="47">
        <f t="shared" si="1"/>
        <v>70902.472624706686</v>
      </c>
      <c r="V27" s="47">
        <f>SUM($U$10:U27)</f>
        <v>680185.19728012837</v>
      </c>
      <c r="W27" s="47">
        <f t="shared" si="5"/>
        <v>1575000</v>
      </c>
      <c r="X27" s="47">
        <f t="shared" si="6"/>
        <v>2.3155458341316266</v>
      </c>
      <c r="AB27" s="47">
        <v>18</v>
      </c>
      <c r="AC27" s="47">
        <f>V27+军团义军任务!Y22+移动营寨!U23</f>
        <v>3592556.3309751917</v>
      </c>
      <c r="AE27" s="53">
        <f t="shared" si="2"/>
        <v>0.18933181128310758</v>
      </c>
      <c r="AF27" s="53">
        <f>军团义军任务!Y22/AC27</f>
        <v>0.65757385996333217</v>
      </c>
      <c r="AG27" s="53">
        <f>移动营寨!U23/AC27</f>
        <v>0.15309432875356019</v>
      </c>
      <c r="AL27" s="47">
        <v>18</v>
      </c>
      <c r="AM27" s="47">
        <f t="shared" si="0"/>
        <v>784891.4027149321</v>
      </c>
      <c r="AR27" s="47">
        <v>18</v>
      </c>
      <c r="AS27" s="47">
        <f t="shared" si="3"/>
        <v>4.5771380837509144</v>
      </c>
    </row>
    <row r="28" spans="2:45" x14ac:dyDescent="0.15">
      <c r="B28" s="63"/>
      <c r="C28" s="47">
        <v>19</v>
      </c>
      <c r="D28" s="64">
        <f t="shared" si="7"/>
        <v>2.34</v>
      </c>
      <c r="E28" s="13">
        <f>SUM($D$10:D28)</f>
        <v>22.23</v>
      </c>
      <c r="F28" s="65">
        <v>200000</v>
      </c>
      <c r="G28" s="47">
        <f>SUM($F$10:F28)</f>
        <v>1126000</v>
      </c>
      <c r="H28" s="47">
        <v>19</v>
      </c>
      <c r="I28" s="59">
        <f t="shared" si="8"/>
        <v>2500</v>
      </c>
      <c r="J28" s="59">
        <f>SUM($I$10:I28)</f>
        <v>25000</v>
      </c>
      <c r="M28" s="47"/>
      <c r="Q28" s="7">
        <v>19</v>
      </c>
      <c r="R28" s="7">
        <f>INT(求节点(其他调用!$S$8:$S$14,其他调用!$Q$8:$Q$14,$Q28))</f>
        <v>6</v>
      </c>
      <c r="S28" s="58">
        <f>IF($Q28&lt;其他调用!$R$8,0,求节点($E$10:$E$29,$H$10:$H$29,$Q28)+求节点(其他调用!$M$8:$M$11,其他调用!$L$8:$L$11,$Q28))</f>
        <v>30.292832600965966</v>
      </c>
      <c r="T28" s="8">
        <f>IF($Q28=1,0,S28-S27+其他调用!$V$8)</f>
        <v>1.7533310463869007</v>
      </c>
      <c r="U28" s="47">
        <f t="shared" si="1"/>
        <v>70133.241855476022</v>
      </c>
      <c r="V28" s="47">
        <f>SUM($U$10:U28)</f>
        <v>750318.43913560442</v>
      </c>
      <c r="W28" s="47">
        <f t="shared" si="5"/>
        <v>1710000</v>
      </c>
      <c r="X28" s="47">
        <f t="shared" si="6"/>
        <v>2.2790323558754406</v>
      </c>
      <c r="AB28" s="47">
        <v>19</v>
      </c>
      <c r="AC28" s="47">
        <f>V28+军团义军任务!Y23+移动营寨!U24</f>
        <v>3843932.4135915046</v>
      </c>
      <c r="AE28" s="53">
        <f t="shared" si="2"/>
        <v>0.19519553374107293</v>
      </c>
      <c r="AF28" s="53">
        <f>军团义军任务!Y23/AC28</f>
        <v>0.64871431288409143</v>
      </c>
      <c r="AG28" s="53">
        <f>移动营寨!U24/AC28</f>
        <v>0.15609015337483562</v>
      </c>
      <c r="AL28" s="47">
        <v>19</v>
      </c>
      <c r="AM28" s="47">
        <f t="shared" si="0"/>
        <v>859552.03619909496</v>
      </c>
      <c r="AR28" s="47">
        <v>19</v>
      </c>
      <c r="AS28" s="47">
        <f t="shared" si="3"/>
        <v>4.4720182742969481</v>
      </c>
    </row>
    <row r="29" spans="2:45" x14ac:dyDescent="0.15">
      <c r="B29" s="63"/>
      <c r="C29" s="47">
        <v>20</v>
      </c>
      <c r="D29" s="64">
        <f t="shared" si="7"/>
        <v>2.4700000000000002</v>
      </c>
      <c r="E29" s="13">
        <f>SUM($D$10:D29)</f>
        <v>24.7</v>
      </c>
      <c r="F29" s="65">
        <v>230000</v>
      </c>
      <c r="G29" s="47">
        <f>SUM($F$10:F29)</f>
        <v>1356000</v>
      </c>
      <c r="H29" s="47">
        <v>20</v>
      </c>
      <c r="I29" s="59">
        <f t="shared" si="8"/>
        <v>2500</v>
      </c>
      <c r="J29" s="59">
        <f>SUM($I$10:I29)</f>
        <v>27500</v>
      </c>
      <c r="M29" s="47"/>
      <c r="Q29" s="7">
        <v>20</v>
      </c>
      <c r="R29" s="7">
        <f>INT(求节点(其他调用!$S$8:$S$14,其他调用!$Q$8:$Q$14,$Q29))</f>
        <v>6</v>
      </c>
      <c r="S29" s="58">
        <f>IF($Q29&lt;其他调用!$R$8,0,求节点($E$10:$E$29,$H$10:$H$29,$Q29)+求节点(其他调用!$M$8:$M$11,其他调用!$L$8:$L$11,$Q29))</f>
        <v>31.043398438705296</v>
      </c>
      <c r="T29" s="8">
        <f>IF($Q29=1,0,S29-S28+其他调用!$V$8)</f>
        <v>1.7505658377393303</v>
      </c>
      <c r="U29" s="47">
        <f t="shared" si="1"/>
        <v>70022.633509573207</v>
      </c>
      <c r="V29" s="47">
        <f>SUM($U$10:U29)</f>
        <v>820341.0726451776</v>
      </c>
      <c r="W29" s="47">
        <f t="shared" si="5"/>
        <v>1845000</v>
      </c>
      <c r="X29" s="47">
        <f t="shared" si="6"/>
        <v>2.2490645190430669</v>
      </c>
      <c r="AB29" s="47">
        <v>20</v>
      </c>
      <c r="AC29" s="47">
        <f>V29+军团义军任务!Y24+移动营寨!U25</f>
        <v>4095197.8878619145</v>
      </c>
      <c r="AE29" s="53">
        <f t="shared" si="2"/>
        <v>0.20031781005666474</v>
      </c>
      <c r="AF29" s="53">
        <f>军团义军任务!Y24/AC29</f>
        <v>0.64095970136064984</v>
      </c>
      <c r="AG29" s="53">
        <f>移动营寨!U25/AC29</f>
        <v>0.15872248858268537</v>
      </c>
      <c r="AL29" s="47">
        <v>20</v>
      </c>
      <c r="AM29" s="47">
        <f t="shared" si="0"/>
        <v>935401.70940170938</v>
      </c>
      <c r="AR29" s="47">
        <v>20</v>
      </c>
      <c r="AS29" s="47">
        <f t="shared" si="3"/>
        <v>4.3780098397310354</v>
      </c>
    </row>
    <row r="30" spans="2:45" x14ac:dyDescent="0.15">
      <c r="Q30" s="7">
        <v>21</v>
      </c>
      <c r="R30" s="7">
        <f>INT(求节点(其他调用!$S$8:$S$14,其他调用!$Q$8:$Q$14,$Q30))</f>
        <v>6</v>
      </c>
      <c r="S30" s="58">
        <f>IF($Q30&lt;其他调用!$R$8,0,求节点($E$10:$E$29,$H$10:$H$29,$Q30)+求节点(其他调用!$M$8:$M$11,其他调用!$L$8:$L$11,$Q30))</f>
        <v>31.771591224659815</v>
      </c>
      <c r="T30" s="8">
        <f>IF($Q30=1,0,S30-S29+其他调用!$V$8)</f>
        <v>1.7281927859545192</v>
      </c>
      <c r="U30" s="47">
        <f t="shared" si="1"/>
        <v>69127.711438180762</v>
      </c>
      <c r="V30" s="47">
        <f>SUM($U$10:U30)</f>
        <v>889468.78408335836</v>
      </c>
      <c r="W30" s="47">
        <f t="shared" si="5"/>
        <v>1980000</v>
      </c>
      <c r="X30" s="47">
        <f t="shared" si="6"/>
        <v>2.2260477662973726</v>
      </c>
      <c r="AB30" s="47">
        <v>21</v>
      </c>
      <c r="AC30" s="47">
        <f>V30+军团义军任务!Y25+移动营寨!U26</f>
        <v>4345568.4400609322</v>
      </c>
      <c r="AE30" s="53">
        <f t="shared" si="2"/>
        <v>0.20468410435871229</v>
      </c>
      <c r="AF30" s="53">
        <f>军团义军任务!Y25/AC30</f>
        <v>0.63423225154381146</v>
      </c>
      <c r="AG30" s="53">
        <f>移动营寨!U26/AC30</f>
        <v>0.16108364409747619</v>
      </c>
      <c r="AL30" s="47">
        <v>21</v>
      </c>
      <c r="AM30" s="47">
        <f t="shared" si="0"/>
        <v>1020871.7948717948</v>
      </c>
      <c r="AR30" s="47">
        <v>21</v>
      </c>
      <c r="AS30" s="47">
        <f t="shared" si="3"/>
        <v>4.2567229909674076</v>
      </c>
    </row>
    <row r="31" spans="2:45" x14ac:dyDescent="0.15">
      <c r="Q31" s="7">
        <v>22</v>
      </c>
      <c r="R31" s="7">
        <f>INT(求节点(其他调用!$S$8:$S$14,其他调用!$Q$8:$Q$14,$Q31))</f>
        <v>6</v>
      </c>
      <c r="S31" s="58">
        <f>IF($Q31&lt;其他调用!$R$8,0,求节点($E$10:$E$29,$H$10:$H$29,$Q31)+求节点(其他调用!$M$8:$M$11,其他调用!$L$8:$L$11,$Q31))</f>
        <v>32.499784010614334</v>
      </c>
      <c r="T31" s="8">
        <f>IF($Q31=1,0,S31-S30+其他调用!$V$8)</f>
        <v>1.7281927859545192</v>
      </c>
      <c r="U31" s="47">
        <f t="shared" si="1"/>
        <v>69127.711438180762</v>
      </c>
      <c r="V31" s="47">
        <f>SUM($U$10:U31)</f>
        <v>958596.49552153912</v>
      </c>
      <c r="W31" s="47">
        <f t="shared" si="5"/>
        <v>2115000</v>
      </c>
      <c r="X31" s="47">
        <f t="shared" si="6"/>
        <v>2.2063506489759299</v>
      </c>
      <c r="AB31" s="47">
        <v>22</v>
      </c>
      <c r="AC31" s="47">
        <f>V31+军团义军任务!Y26+移动营寨!U27</f>
        <v>4595938.9922599494</v>
      </c>
      <c r="AE31" s="53">
        <f t="shared" si="2"/>
        <v>0.20857467802247107</v>
      </c>
      <c r="AF31" s="53">
        <f>军团义军任务!Y26/AC31</f>
        <v>0.62823777722049889</v>
      </c>
      <c r="AG31" s="53">
        <f>移动营寨!U27/AC31</f>
        <v>0.16318754475703004</v>
      </c>
      <c r="AL31" s="47">
        <v>22</v>
      </c>
      <c r="AM31" s="47">
        <f t="shared" si="0"/>
        <v>1106341.8803418803</v>
      </c>
      <c r="AR31" s="47">
        <v>22</v>
      </c>
      <c r="AS31" s="47">
        <f t="shared" si="3"/>
        <v>4.1541760950419038</v>
      </c>
    </row>
    <row r="32" spans="2:45" x14ac:dyDescent="0.15">
      <c r="Q32" s="7">
        <v>23</v>
      </c>
      <c r="R32" s="7">
        <f>INT(求节点(其他调用!$S$8:$S$14,其他调用!$Q$8:$Q$14,$Q32))</f>
        <v>6</v>
      </c>
      <c r="S32" s="58">
        <f>IF($Q32&lt;其他调用!$R$8,0,求节点($E$10:$E$29,$H$10:$H$29,$Q32)+求节点(其他调用!$M$8:$M$11,其他调用!$L$8:$L$11,$Q32))</f>
        <v>33.210657858197287</v>
      </c>
      <c r="T32" s="8">
        <f>IF($Q32=1,0,S32-S31+其他调用!$V$8)</f>
        <v>1.7108738475829526</v>
      </c>
      <c r="U32" s="47">
        <f t="shared" si="1"/>
        <v>68434.953903318106</v>
      </c>
      <c r="V32" s="47">
        <f>SUM($U$10:U32)</f>
        <v>1027031.4494248573</v>
      </c>
      <c r="W32" s="47">
        <f t="shared" si="5"/>
        <v>2250000</v>
      </c>
      <c r="X32" s="47">
        <f t="shared" si="6"/>
        <v>2.1907800401438644</v>
      </c>
      <c r="AB32" s="47">
        <v>23</v>
      </c>
      <c r="AC32" s="47">
        <f>V32+军团义军任务!Y27+移动营寨!U28</f>
        <v>4845616.7869241051</v>
      </c>
      <c r="AE32" s="53">
        <f t="shared" si="2"/>
        <v>0.21195061322147909</v>
      </c>
      <c r="AF32" s="53">
        <f>军团义军任务!Y27/AC32</f>
        <v>0.62295172528807863</v>
      </c>
      <c r="AG32" s="53">
        <f>移动营寨!U28/AC32</f>
        <v>0.16509766149044217</v>
      </c>
      <c r="AL32" s="47">
        <v>23</v>
      </c>
      <c r="AM32" s="47">
        <f t="shared" si="0"/>
        <v>1197700.4048582995</v>
      </c>
      <c r="AR32" s="47">
        <v>23</v>
      </c>
      <c r="AS32" s="47">
        <f t="shared" si="3"/>
        <v>4.0457670109056965</v>
      </c>
    </row>
    <row r="33" spans="17:45" x14ac:dyDescent="0.15">
      <c r="Q33" s="7">
        <v>24</v>
      </c>
      <c r="R33" s="7">
        <f>INT(求节点(其他调用!$S$8:$S$14,其他调用!$Q$8:$Q$14,$Q33))</f>
        <v>6</v>
      </c>
      <c r="S33" s="58">
        <f>IF($Q33&lt;其他调用!$R$8,0,求节点($E$10:$E$29,$H$10:$H$29,$Q33)+求节点(其他调用!$M$8:$M$11,其他调用!$L$8:$L$11,$Q33))</f>
        <v>33.916358516396514</v>
      </c>
      <c r="T33" s="8">
        <f>IF($Q33=1,0,S33-S32+其他调用!$V$8)</f>
        <v>1.7057006581992269</v>
      </c>
      <c r="U33" s="47">
        <f t="shared" si="1"/>
        <v>68228.02632796907</v>
      </c>
      <c r="V33" s="47">
        <f>SUM($U$10:U33)</f>
        <v>1095259.4757528263</v>
      </c>
      <c r="W33" s="47">
        <f t="shared" si="5"/>
        <v>2385000</v>
      </c>
      <c r="X33" s="47">
        <f t="shared" si="6"/>
        <v>2.1775661866432801</v>
      </c>
      <c r="AB33" s="47">
        <v>24</v>
      </c>
      <c r="AC33" s="47">
        <f>V33+军团义军任务!Y28+移动营寨!U29</f>
        <v>5095087.654012911</v>
      </c>
      <c r="AE33" s="53">
        <f t="shared" si="2"/>
        <v>0.21496381419271476</v>
      </c>
      <c r="AF33" s="53">
        <f>军团义军任务!Y28/AC33</f>
        <v>0.61820883018160977</v>
      </c>
      <c r="AG33" s="53">
        <f>移动营寨!U29/AC33</f>
        <v>0.16682735562567538</v>
      </c>
      <c r="AL33" s="47">
        <v>24</v>
      </c>
      <c r="AM33" s="47">
        <f t="shared" si="0"/>
        <v>1290817.8137651822</v>
      </c>
      <c r="AR33" s="47">
        <v>24</v>
      </c>
      <c r="AS33" s="47">
        <f t="shared" si="3"/>
        <v>3.9471779825776241</v>
      </c>
    </row>
    <row r="34" spans="17:45" x14ac:dyDescent="0.15">
      <c r="Q34" s="7">
        <v>25</v>
      </c>
      <c r="R34" s="7">
        <f>INT(求节点(其他调用!$S$8:$S$14,其他调用!$Q$8:$Q$14,$Q34))</f>
        <v>7</v>
      </c>
      <c r="S34" s="58">
        <f>IF($Q34&lt;其他调用!$R$8,0,求节点($E$10:$E$29,$H$10:$H$29,$Q34)+求节点(其他调用!$M$8:$M$11,其他调用!$L$8:$L$11,$Q34))</f>
        <v>34.500601684717211</v>
      </c>
      <c r="T34" s="8">
        <f>IF($Q34=1,0,S34-S33+其他调用!$V$8)</f>
        <v>1.5842431683206968</v>
      </c>
      <c r="U34" s="47">
        <f t="shared" si="1"/>
        <v>95054.590099241803</v>
      </c>
      <c r="V34" s="47">
        <f>SUM($U$10:U34)</f>
        <v>1190314.0658520681</v>
      </c>
      <c r="W34" s="47">
        <f t="shared" si="5"/>
        <v>2610000</v>
      </c>
      <c r="X34" s="47">
        <f t="shared" si="6"/>
        <v>2.1926986119681544</v>
      </c>
      <c r="AB34" s="47">
        <v>25</v>
      </c>
      <c r="AC34" s="47">
        <f>V34+军团义军任务!Y29+移动营寨!U30</f>
        <v>5371385.084872989</v>
      </c>
      <c r="AE34" s="53">
        <f t="shared" si="2"/>
        <v>0.22160281697252657</v>
      </c>
      <c r="AF34" s="53">
        <f>军团义军任务!Y29/AC34</f>
        <v>0.61084263503302794</v>
      </c>
      <c r="AG34" s="53">
        <f>移动营寨!U30/AC34</f>
        <v>0.1675545479944455</v>
      </c>
      <c r="AL34" s="47">
        <v>25</v>
      </c>
      <c r="AM34" s="47">
        <f t="shared" si="0"/>
        <v>1356000</v>
      </c>
      <c r="AR34" s="47">
        <v>25</v>
      </c>
      <c r="AS34" s="47">
        <f t="shared" si="3"/>
        <v>3.9611984401718208</v>
      </c>
    </row>
    <row r="35" spans="17:45" x14ac:dyDescent="0.15">
      <c r="Q35" s="7">
        <v>26</v>
      </c>
      <c r="R35" s="7">
        <f>INT(求节点(其他调用!$S$8:$S$14,其他调用!$Q$8:$Q$14,$Q35))</f>
        <v>7</v>
      </c>
      <c r="S35" s="58">
        <f>IF($Q35&lt;其他调用!$R$8,0,求节点($E$10:$E$29,$H$10:$H$29,$Q35)+求节点(其他调用!$M$8:$M$11,其他调用!$L$8:$L$11,$Q35))</f>
        <v>34.801444043321297</v>
      </c>
      <c r="T35" s="8">
        <f>IF($Q35=1,0,S35-S34+其他调用!$V$8)</f>
        <v>1.3008423586040863</v>
      </c>
      <c r="U35" s="47">
        <f t="shared" si="1"/>
        <v>78050.541516245168</v>
      </c>
      <c r="V35" s="47">
        <f>SUM($U$10:U35)</f>
        <v>1268364.6073683132</v>
      </c>
      <c r="W35" s="47">
        <f t="shared" si="5"/>
        <v>2835000</v>
      </c>
      <c r="X35" s="47">
        <f t="shared" si="6"/>
        <v>2.2351617062874731</v>
      </c>
      <c r="AB35" s="47">
        <v>26</v>
      </c>
      <c r="AC35" s="47">
        <f>V35+军团义军任务!Y30+移动营寨!U31</f>
        <v>5630678.4671500716</v>
      </c>
      <c r="AE35" s="53">
        <f t="shared" si="2"/>
        <v>0.22525964051545055</v>
      </c>
      <c r="AF35" s="53">
        <f>军团义军任务!Y30/AC35</f>
        <v>0.6060217928779863</v>
      </c>
      <c r="AG35" s="53">
        <f>移动营寨!U31/AC35</f>
        <v>0.16871856660656309</v>
      </c>
      <c r="AL35" s="47">
        <v>26</v>
      </c>
      <c r="AM35" s="47">
        <f t="shared" si="0"/>
        <v>1356000</v>
      </c>
      <c r="AR35" s="47">
        <v>26</v>
      </c>
      <c r="AS35" s="47">
        <f t="shared" si="3"/>
        <v>4.1524177486357461</v>
      </c>
    </row>
    <row r="36" spans="17:45" x14ac:dyDescent="0.15">
      <c r="Q36" s="7">
        <v>27</v>
      </c>
      <c r="R36" s="7">
        <f>INT(求节点(其他调用!$S$8:$S$14,其他调用!$Q$8:$Q$14,$Q36))</f>
        <v>7</v>
      </c>
      <c r="S36" s="58">
        <f>IF($Q36&lt;其他调用!$R$8,0,求节点($E$10:$E$29,$H$10:$H$29,$Q36)+求节点(其他调用!$M$8:$M$11,其他调用!$L$8:$L$11,$Q36))</f>
        <v>35.048808498420904</v>
      </c>
      <c r="T36" s="8">
        <f>IF($Q36=1,0,S36-S35+其他调用!$V$8)</f>
        <v>1.247364455099607</v>
      </c>
      <c r="U36" s="47">
        <f t="shared" si="1"/>
        <v>74841.867305976426</v>
      </c>
      <c r="V36" s="47">
        <f>SUM($U$10:U36)</f>
        <v>1343206.4746742896</v>
      </c>
      <c r="W36" s="47">
        <f t="shared" si="5"/>
        <v>3060000</v>
      </c>
      <c r="X36" s="47">
        <f t="shared" si="6"/>
        <v>2.2781307696882647</v>
      </c>
      <c r="AB36" s="47">
        <v>27</v>
      </c>
      <c r="AC36" s="47">
        <f>V36+军团义军任务!Y31+移动营寨!U32</f>
        <v>5886763.1752168844</v>
      </c>
      <c r="AE36" s="53">
        <f t="shared" si="2"/>
        <v>0.2281740295463478</v>
      </c>
      <c r="AF36" s="53">
        <f>军团义军任务!Y31/AC36</f>
        <v>0.6019533307303534</v>
      </c>
      <c r="AG36" s="53">
        <f>移动营寨!U32/AC36</f>
        <v>0.16987263972329875</v>
      </c>
      <c r="AL36" s="47">
        <v>27</v>
      </c>
      <c r="AM36" s="47">
        <f t="shared" si="0"/>
        <v>1356000</v>
      </c>
      <c r="AR36" s="47">
        <v>27</v>
      </c>
      <c r="AS36" s="47">
        <f t="shared" si="3"/>
        <v>4.3412707781835431</v>
      </c>
    </row>
    <row r="37" spans="17:45" x14ac:dyDescent="0.15">
      <c r="Q37" s="7">
        <v>28</v>
      </c>
      <c r="R37" s="7">
        <f>INT(求节点(其他调用!$S$8:$S$14,其他调用!$Q$8:$Q$14,$Q37))</f>
        <v>7</v>
      </c>
      <c r="S37" s="58">
        <f>IF($Q37&lt;其他调用!$R$8,0,求节点($E$10:$E$29,$H$10:$H$29,$Q37)+求节点(其他调用!$M$8:$M$11,其他调用!$L$8:$L$11,$Q37))</f>
        <v>35.192362905541202</v>
      </c>
      <c r="T37" s="8">
        <f>IF($Q37=1,0,S37-S36+其他调用!$V$8)</f>
        <v>1.1435544071202983</v>
      </c>
      <c r="U37" s="47">
        <f t="shared" si="1"/>
        <v>68613.264427217902</v>
      </c>
      <c r="V37" s="47">
        <f>SUM($U$10:U37)</f>
        <v>1411819.7391015075</v>
      </c>
      <c r="W37" s="47">
        <f t="shared" si="5"/>
        <v>3285000</v>
      </c>
      <c r="X37" s="47">
        <f t="shared" si="6"/>
        <v>2.3267842976119586</v>
      </c>
      <c r="AB37" s="47">
        <v>28</v>
      </c>
      <c r="AC37" s="47">
        <f>V37+军团义军任务!Y32+移动营寨!U33</f>
        <v>6136619.2804049393</v>
      </c>
      <c r="AE37" s="53">
        <f t="shared" si="2"/>
        <v>0.23006474323894266</v>
      </c>
      <c r="AF37" s="53">
        <f>军团义军任务!Y32/AC37</f>
        <v>0.59883127392920832</v>
      </c>
      <c r="AG37" s="53">
        <f>移动营寨!U33/AC37</f>
        <v>0.17110398283184894</v>
      </c>
      <c r="AL37" s="47">
        <v>28</v>
      </c>
      <c r="AM37" s="47">
        <f t="shared" si="0"/>
        <v>1356000</v>
      </c>
      <c r="AR37" s="47">
        <v>28</v>
      </c>
      <c r="AS37" s="47">
        <f t="shared" si="3"/>
        <v>4.5255304427765042</v>
      </c>
    </row>
    <row r="38" spans="17:45" x14ac:dyDescent="0.15">
      <c r="Q38" s="7">
        <v>29</v>
      </c>
      <c r="R38" s="7">
        <f>INT(求节点(其他调用!$S$8:$S$14,其他调用!$Q$8:$Q$14,$Q38))</f>
        <v>7</v>
      </c>
      <c r="S38" s="58">
        <f>IF($Q38&lt;其他调用!$R$8,0,求节点($E$10:$E$29,$H$10:$H$29,$Q38)+求节点(其他调用!$M$8:$M$11,其他调用!$L$8:$L$11,$Q38))</f>
        <v>35.3359173126615</v>
      </c>
      <c r="T38" s="8">
        <f>IF($Q38=1,0,S38-S37+其他调用!$V$8)</f>
        <v>1.1435544071202983</v>
      </c>
      <c r="U38" s="47">
        <f t="shared" si="1"/>
        <v>68613.264427217902</v>
      </c>
      <c r="V38" s="47">
        <f>SUM($U$10:U38)</f>
        <v>1480433.0035287254</v>
      </c>
      <c r="W38" s="47">
        <f t="shared" si="5"/>
        <v>3510000</v>
      </c>
      <c r="X38" s="47">
        <f t="shared" si="6"/>
        <v>2.3709279593427373</v>
      </c>
      <c r="AB38" s="47">
        <v>29</v>
      </c>
      <c r="AC38" s="47">
        <f>V38+军团义军任务!Y33+移动营寨!U34</f>
        <v>6386475.3855929933</v>
      </c>
      <c r="AE38" s="53">
        <f t="shared" si="2"/>
        <v>0.23180751731516538</v>
      </c>
      <c r="AF38" s="53">
        <f>军团义军任务!Y33/AC38</f>
        <v>0.59595350365714628</v>
      </c>
      <c r="AG38" s="53">
        <f>移动营寨!U34/AC38</f>
        <v>0.17223897902768845</v>
      </c>
      <c r="AL38" s="47">
        <v>29</v>
      </c>
      <c r="AM38" s="47">
        <f t="shared" si="0"/>
        <v>1356000</v>
      </c>
      <c r="AR38" s="47">
        <v>29</v>
      </c>
      <c r="AS38" s="47">
        <f t="shared" si="3"/>
        <v>4.7097901073694644</v>
      </c>
    </row>
    <row r="39" spans="17:45" x14ac:dyDescent="0.15">
      <c r="Q39" s="7">
        <v>30</v>
      </c>
      <c r="R39" s="7">
        <f>INT(求节点(其他调用!$S$8:$S$14,其他调用!$Q$8:$Q$14,$Q39))</f>
        <v>7</v>
      </c>
      <c r="S39" s="58">
        <f>IF($Q39&lt;其他调用!$R$8,0,求节点($E$10:$E$29,$H$10:$H$29,$Q39)+求节点(其他调用!$M$8:$M$11,其他调用!$L$8:$L$11,$Q39))</f>
        <v>35.479471719781799</v>
      </c>
      <c r="T39" s="8">
        <f>IF($Q39=1,0,S39-S38+其他调用!$V$8)</f>
        <v>1.1435544071202983</v>
      </c>
      <c r="U39" s="47">
        <f t="shared" si="1"/>
        <v>68613.264427217902</v>
      </c>
      <c r="V39" s="47">
        <f>SUM($U$10:U39)</f>
        <v>1549046.2679559432</v>
      </c>
      <c r="W39" s="47">
        <f t="shared" si="5"/>
        <v>3735000</v>
      </c>
      <c r="X39" s="47">
        <f t="shared" si="6"/>
        <v>2.4111610332521249</v>
      </c>
      <c r="AB39" s="47">
        <v>30</v>
      </c>
      <c r="AC39" s="47">
        <f>V39+军团义军任务!Y34+移动营寨!U35</f>
        <v>6636331.4907810483</v>
      </c>
      <c r="AE39" s="53">
        <f t="shared" si="2"/>
        <v>0.23341906143594882</v>
      </c>
      <c r="AF39" s="53">
        <f>军团义军任务!Y34/AC39</f>
        <v>0.59329242794677139</v>
      </c>
      <c r="AG39" s="53">
        <f>移动营寨!U35/AC39</f>
        <v>0.17328851061727982</v>
      </c>
      <c r="AL39" s="47">
        <v>30</v>
      </c>
      <c r="AM39" s="47">
        <f t="shared" si="0"/>
        <v>1356000</v>
      </c>
      <c r="AR39" s="47">
        <v>30</v>
      </c>
      <c r="AS39" s="47">
        <f t="shared" si="3"/>
        <v>4.8940497719624254</v>
      </c>
    </row>
    <row r="40" spans="17:45" x14ac:dyDescent="0.15">
      <c r="Q40" s="7">
        <v>31</v>
      </c>
      <c r="R40" s="7">
        <f>INT(求节点(其他调用!$S$8:$S$14,其他调用!$Q$8:$Q$14,$Q40))</f>
        <v>7</v>
      </c>
      <c r="S40" s="58">
        <f>IF($Q40&lt;其他调用!$R$8,0,求节点($E$10:$E$29,$H$10:$H$29,$Q40)+求节点(其他调用!$M$8:$M$11,其他调用!$L$8:$L$11,$Q40))</f>
        <v>35.623026126902097</v>
      </c>
      <c r="T40" s="8">
        <f>IF($Q40=1,0,S40-S39+其他调用!$V$8)</f>
        <v>1.1435544071202983</v>
      </c>
      <c r="U40" s="47">
        <f t="shared" si="1"/>
        <v>68613.264427217902</v>
      </c>
      <c r="V40" s="47">
        <f>SUM($U$10:U40)</f>
        <v>1617659.5323831611</v>
      </c>
      <c r="W40" s="47">
        <f t="shared" si="5"/>
        <v>3960000</v>
      </c>
      <c r="X40" s="47">
        <f t="shared" si="6"/>
        <v>2.4479811237943663</v>
      </c>
      <c r="AB40" s="47">
        <v>31</v>
      </c>
      <c r="AC40" s="47">
        <f>V40+军团义军任务!Y35+移动营寨!U36</f>
        <v>6886187.5959691033</v>
      </c>
      <c r="AE40" s="53">
        <f t="shared" si="2"/>
        <v>0.23491366011144887</v>
      </c>
      <c r="AF40" s="53">
        <f>军团义军任务!Y35/AC40</f>
        <v>0.59082445938119588</v>
      </c>
      <c r="AG40" s="53">
        <f>移动营寨!U36/AC40</f>
        <v>0.17426188050735528</v>
      </c>
      <c r="AL40" s="47">
        <v>31</v>
      </c>
      <c r="AM40" s="47">
        <f t="shared" si="0"/>
        <v>1356000</v>
      </c>
      <c r="AR40" s="47">
        <v>31</v>
      </c>
      <c r="AS40" s="47">
        <f t="shared" si="3"/>
        <v>5.0783094365553856</v>
      </c>
    </row>
    <row r="41" spans="17:45" x14ac:dyDescent="0.15">
      <c r="Q41" s="7">
        <v>32</v>
      </c>
      <c r="R41" s="7">
        <f>INT(求节点(其他调用!$S$8:$S$14,其他调用!$Q$8:$Q$14,$Q41))</f>
        <v>7</v>
      </c>
      <c r="S41" s="58">
        <f>IF($Q41&lt;其他调用!$R$8,0,求节点($E$10:$E$29,$H$10:$H$29,$Q41)+求节点(其他调用!$M$8:$M$11,其他调用!$L$8:$L$11,$Q41))</f>
        <v>35.766580534022395</v>
      </c>
      <c r="T41" s="8">
        <f>IF($Q41=1,0,S41-S40+其他调用!$V$8)</f>
        <v>1.1435544071202983</v>
      </c>
      <c r="U41" s="47">
        <f t="shared" si="1"/>
        <v>68613.264427217902</v>
      </c>
      <c r="V41" s="47">
        <f>SUM($U$10:U41)</f>
        <v>1686272.796810379</v>
      </c>
      <c r="W41" s="47">
        <f t="shared" si="5"/>
        <v>4185000</v>
      </c>
      <c r="X41" s="47">
        <f t="shared" si="6"/>
        <v>2.481804846710459</v>
      </c>
      <c r="AB41" s="47">
        <v>32</v>
      </c>
      <c r="AC41" s="47">
        <f>V41+军团义军任务!Y36+移动营寨!U37</f>
        <v>7136043.7011571582</v>
      </c>
      <c r="AE41" s="53">
        <f t="shared" si="2"/>
        <v>0.23630359726313593</v>
      </c>
      <c r="AF41" s="53">
        <f>军团义军任务!Y36/AC41</f>
        <v>0.58852931403233388</v>
      </c>
      <c r="AG41" s="53">
        <f>移动营寨!U37/AC41</f>
        <v>0.17516708870453021</v>
      </c>
      <c r="AL41" s="47">
        <v>32</v>
      </c>
      <c r="AM41" s="47">
        <f t="shared" si="0"/>
        <v>1356000</v>
      </c>
      <c r="AR41" s="47">
        <v>32</v>
      </c>
      <c r="AS41" s="47">
        <f t="shared" si="3"/>
        <v>5.2625691011483466</v>
      </c>
    </row>
    <row r="42" spans="17:45" x14ac:dyDescent="0.15">
      <c r="Q42" s="7">
        <v>33</v>
      </c>
      <c r="R42" s="7">
        <f>INT(求节点(其他调用!$S$8:$S$14,其他调用!$Q$8:$Q$14,$Q42))</f>
        <v>7</v>
      </c>
      <c r="S42" s="58">
        <f>IF($Q42&lt;其他调用!$R$8,0,求节点($E$10:$E$29,$H$10:$H$29,$Q42)+求节点(其他调用!$M$8:$M$11,其他调用!$L$8:$L$11,$Q42))</f>
        <v>35.910134941142694</v>
      </c>
      <c r="T42" s="8">
        <f>IF($Q42=1,0,S42-S41+其他调用!$V$8)</f>
        <v>1.1435544071202983</v>
      </c>
      <c r="U42" s="47">
        <f t="shared" si="1"/>
        <v>68613.264427217902</v>
      </c>
      <c r="V42" s="47">
        <f>SUM($U$10:U42)</f>
        <v>1754886.0612375969</v>
      </c>
      <c r="W42" s="47">
        <f t="shared" si="5"/>
        <v>4410000</v>
      </c>
      <c r="X42" s="47">
        <f t="shared" si="6"/>
        <v>2.5129836616799719</v>
      </c>
      <c r="AB42" s="47">
        <v>33</v>
      </c>
      <c r="AC42" s="47">
        <f>V42+军团义军任务!Y37+移动营寨!U38</f>
        <v>7385899.8063452132</v>
      </c>
      <c r="AE42" s="53">
        <f t="shared" si="2"/>
        <v>0.23759949461133734</v>
      </c>
      <c r="AF42" s="53">
        <f>军团义军任务!Y37/AC42</f>
        <v>0.5863894526956418</v>
      </c>
      <c r="AG42" s="53">
        <f>移动营寨!U38/AC42</f>
        <v>0.17601105269302086</v>
      </c>
      <c r="AL42" s="47">
        <v>33</v>
      </c>
      <c r="AM42" s="47">
        <f t="shared" ref="AM42:AM73" si="9">求节点($E$10:$E$29,$G$10:$G$29,$AL42)</f>
        <v>1356000</v>
      </c>
      <c r="AR42" s="47">
        <v>33</v>
      </c>
      <c r="AS42" s="47">
        <f t="shared" si="3"/>
        <v>5.4468287657413077</v>
      </c>
    </row>
    <row r="43" spans="17:45" x14ac:dyDescent="0.15">
      <c r="Q43" s="7">
        <v>34</v>
      </c>
      <c r="R43" s="7">
        <f>INT(求节点(其他调用!$S$8:$S$14,其他调用!$Q$8:$Q$14,$Q43))</f>
        <v>7</v>
      </c>
      <c r="S43" s="58">
        <f>IF($Q43&lt;其他调用!$R$8,0,求节点($E$10:$E$29,$H$10:$H$29,$Q43)+求节点(其他调用!$M$8:$M$11,其他调用!$L$8:$L$11,$Q43))</f>
        <v>36.053689348262992</v>
      </c>
      <c r="T43" s="8">
        <f>IF($Q43=1,0,S43-S42+其他调用!$V$8)</f>
        <v>1.1435544071202983</v>
      </c>
      <c r="U43" s="47">
        <f t="shared" si="1"/>
        <v>68613.264427217902</v>
      </c>
      <c r="V43" s="47">
        <f>SUM($U$10:U43)</f>
        <v>1823499.3256648148</v>
      </c>
      <c r="W43" s="47">
        <f t="shared" si="5"/>
        <v>4635000</v>
      </c>
      <c r="X43" s="47">
        <f t="shared" si="6"/>
        <v>2.5418161305380043</v>
      </c>
      <c r="AB43" s="47">
        <v>34</v>
      </c>
      <c r="AC43" s="47">
        <f>V43+军团义军任务!Y38+移动营寨!U39</f>
        <v>7635755.9115332682</v>
      </c>
      <c r="AE43" s="53">
        <f t="shared" si="2"/>
        <v>0.23881058362676946</v>
      </c>
      <c r="AF43" s="53">
        <f>军团义军任务!Y38/AC43</f>
        <v>0.58438963182787595</v>
      </c>
      <c r="AG43" s="53">
        <f>移动营寨!U39/AC43</f>
        <v>0.17679978454535467</v>
      </c>
      <c r="AL43" s="47">
        <v>34</v>
      </c>
      <c r="AM43" s="47">
        <f t="shared" si="9"/>
        <v>1356000</v>
      </c>
      <c r="AR43" s="47">
        <v>34</v>
      </c>
      <c r="AS43" s="47">
        <f t="shared" si="3"/>
        <v>5.6310884303342688</v>
      </c>
    </row>
    <row r="44" spans="17:45" x14ac:dyDescent="0.15">
      <c r="Q44" s="7">
        <v>35</v>
      </c>
      <c r="R44" s="7">
        <f>INT(求节点(其他调用!$S$8:$S$14,其他调用!$Q$8:$Q$14,$Q44))</f>
        <v>7</v>
      </c>
      <c r="S44" s="58">
        <f>IF($Q44&lt;其他调用!$R$8,0,求节点($E$10:$E$29,$H$10:$H$29,$Q44)+求节点(其他调用!$M$8:$M$11,其他调用!$L$8:$L$11,$Q44))</f>
        <v>36.19724375538329</v>
      </c>
      <c r="T44" s="8">
        <f>IF($Q44=1,0,S44-S43+其他调用!$V$8)</f>
        <v>1.1435544071202983</v>
      </c>
      <c r="U44" s="47">
        <f t="shared" si="1"/>
        <v>68613.264427217902</v>
      </c>
      <c r="V44" s="47">
        <f>SUM($U$10:U44)</f>
        <v>1892112.5900920327</v>
      </c>
      <c r="W44" s="47">
        <f t="shared" si="5"/>
        <v>4860000</v>
      </c>
      <c r="X44" s="47">
        <f t="shared" si="6"/>
        <v>2.5685575083899255</v>
      </c>
      <c r="AB44" s="47">
        <v>35</v>
      </c>
      <c r="AC44" s="47">
        <f>V44+军团义军任务!Y39+移动营寨!U40</f>
        <v>7885612.0167213231</v>
      </c>
      <c r="AE44" s="53">
        <f t="shared" si="2"/>
        <v>0.23994492578126289</v>
      </c>
      <c r="AF44" s="53">
        <f>军团义军任务!Y39/AC44</f>
        <v>0.58251653985623986</v>
      </c>
      <c r="AG44" s="53">
        <f>移动营寨!U40/AC44</f>
        <v>0.17753853436249728</v>
      </c>
      <c r="AL44" s="47">
        <v>35</v>
      </c>
      <c r="AM44" s="47">
        <f t="shared" si="9"/>
        <v>1356000</v>
      </c>
      <c r="AR44" s="47">
        <v>35</v>
      </c>
      <c r="AS44" s="47">
        <f t="shared" si="3"/>
        <v>5.8153480949272298</v>
      </c>
    </row>
    <row r="45" spans="17:45" x14ac:dyDescent="0.15">
      <c r="Q45" s="7">
        <v>36</v>
      </c>
      <c r="R45" s="7">
        <f>INT(求节点(其他调用!$S$8:$S$14,其他调用!$Q$8:$Q$14,$Q45))</f>
        <v>7</v>
      </c>
      <c r="S45" s="58">
        <f>IF($Q45&lt;其他调用!$R$8,0,求节点($E$10:$E$29,$H$10:$H$29,$Q45)+求节点(其他调用!$M$8:$M$11,其他调用!$L$8:$L$11,$Q45))</f>
        <v>36.340798162503589</v>
      </c>
      <c r="T45" s="8">
        <f>IF($Q45=1,0,S45-S44+其他调用!$V$8)</f>
        <v>1.1435544071202983</v>
      </c>
      <c r="U45" s="47">
        <f t="shared" si="1"/>
        <v>68613.264427217902</v>
      </c>
      <c r="V45" s="47">
        <f>SUM($U$10:U45)</f>
        <v>1960725.8545192506</v>
      </c>
      <c r="W45" s="47">
        <f t="shared" si="5"/>
        <v>5085000</v>
      </c>
      <c r="X45" s="47">
        <f t="shared" si="6"/>
        <v>2.5934273209483378</v>
      </c>
      <c r="AB45" s="47">
        <v>36</v>
      </c>
      <c r="AC45" s="47">
        <f>V45+军团义军任务!Y40+移动营寨!U41</f>
        <v>8135468.121909379</v>
      </c>
      <c r="AE45" s="53">
        <f t="shared" si="2"/>
        <v>0.24100959221250959</v>
      </c>
      <c r="AF45" s="53">
        <f>军团义军任务!Y40/AC45</f>
        <v>0.58075850050546818</v>
      </c>
      <c r="AG45" s="53">
        <f>移动营寨!U41/AC45</f>
        <v>0.17823190728202223</v>
      </c>
      <c r="AL45" s="47">
        <v>36</v>
      </c>
      <c r="AM45" s="47">
        <f t="shared" si="9"/>
        <v>1356000</v>
      </c>
      <c r="AR45" s="47">
        <v>36</v>
      </c>
      <c r="AS45" s="47">
        <f t="shared" si="3"/>
        <v>5.9996077595201909</v>
      </c>
    </row>
    <row r="46" spans="17:45" x14ac:dyDescent="0.15">
      <c r="Q46" s="7">
        <v>37</v>
      </c>
      <c r="R46" s="7">
        <f>INT(求节点(其他调用!$S$8:$S$14,其他调用!$Q$8:$Q$14,$Q46))</f>
        <v>7</v>
      </c>
      <c r="S46" s="58">
        <f>IF($Q46&lt;其他调用!$R$8,0,求节点($E$10:$E$29,$H$10:$H$29,$Q46)+求节点(其他调用!$M$8:$M$11,其他调用!$L$8:$L$11,$Q46))</f>
        <v>36.484352569623887</v>
      </c>
      <c r="T46" s="8">
        <f>IF($Q46=1,0,S46-S45+其他调用!$V$8)</f>
        <v>1.1435544071202983</v>
      </c>
      <c r="U46" s="47">
        <f t="shared" si="1"/>
        <v>68613.264427217902</v>
      </c>
      <c r="V46" s="47">
        <f>SUM($U$10:U46)</f>
        <v>2029339.1189464685</v>
      </c>
      <c r="W46" s="47">
        <f t="shared" si="5"/>
        <v>5310000</v>
      </c>
      <c r="X46" s="47">
        <f t="shared" si="6"/>
        <v>2.616615404702141</v>
      </c>
      <c r="AB46" s="47">
        <v>37</v>
      </c>
      <c r="AC46" s="47">
        <f>V46+军团义军任务!Y41+移动营寨!U42</f>
        <v>8385324.227097434</v>
      </c>
      <c r="AE46" s="53">
        <f t="shared" si="2"/>
        <v>0.24201081126816737</v>
      </c>
      <c r="AF46" s="53">
        <f>军团义军任务!Y41/AC46</f>
        <v>0.57910522916438933</v>
      </c>
      <c r="AG46" s="53">
        <f>移动营寨!U42/AC46</f>
        <v>0.1788839595674433</v>
      </c>
      <c r="AL46" s="47">
        <v>37</v>
      </c>
      <c r="AM46" s="47">
        <f t="shared" si="9"/>
        <v>1356000</v>
      </c>
      <c r="AR46" s="47">
        <v>37</v>
      </c>
      <c r="AS46" s="47">
        <f t="shared" si="3"/>
        <v>6.1838674241131519</v>
      </c>
    </row>
    <row r="47" spans="17:45" x14ac:dyDescent="0.15">
      <c r="Q47" s="7">
        <v>38</v>
      </c>
      <c r="R47" s="7">
        <f>INT(求节点(其他调用!$S$8:$S$14,其他调用!$Q$8:$Q$14,$Q47))</f>
        <v>7</v>
      </c>
      <c r="S47" s="58">
        <f>IF($Q47&lt;其他调用!$R$8,0,求节点($E$10:$E$29,$H$10:$H$29,$Q47)+求节点(其他调用!$M$8:$M$11,其他调用!$L$8:$L$11,$Q47))</f>
        <v>36.627906976744185</v>
      </c>
      <c r="T47" s="8">
        <f>IF($Q47=1,0,S47-S46+其他调用!$V$8)</f>
        <v>1.1435544071202983</v>
      </c>
      <c r="U47" s="47">
        <f t="shared" si="1"/>
        <v>68613.264427217902</v>
      </c>
      <c r="V47" s="47">
        <f>SUM($U$10:U47)</f>
        <v>2097952.3833736866</v>
      </c>
      <c r="W47" s="47">
        <f t="shared" si="5"/>
        <v>5535000</v>
      </c>
      <c r="X47" s="47">
        <f t="shared" si="6"/>
        <v>2.6382867618278576</v>
      </c>
      <c r="AB47" s="47">
        <v>38</v>
      </c>
      <c r="AC47" s="47">
        <f>V47+军团义军任务!Y42+移动营寨!U43</f>
        <v>8635180.3322854899</v>
      </c>
      <c r="AE47" s="53">
        <f t="shared" si="2"/>
        <v>0.24295409043512325</v>
      </c>
      <c r="AF47" s="53">
        <f>军团义军任务!Y42/AC47</f>
        <v>0.57754763154920974</v>
      </c>
      <c r="AG47" s="53">
        <f>移动营寨!U43/AC47</f>
        <v>0.17949827801566692</v>
      </c>
      <c r="AL47" s="47">
        <v>38</v>
      </c>
      <c r="AM47" s="47">
        <f t="shared" si="9"/>
        <v>1356000</v>
      </c>
      <c r="AR47" s="47">
        <v>38</v>
      </c>
      <c r="AS47" s="47">
        <f t="shared" si="3"/>
        <v>6.3681270887061139</v>
      </c>
    </row>
    <row r="48" spans="17:45" x14ac:dyDescent="0.15">
      <c r="Q48" s="7">
        <v>39</v>
      </c>
      <c r="R48" s="7">
        <f>INT(求节点(其他调用!$S$8:$S$14,其他调用!$Q$8:$Q$14,$Q48))</f>
        <v>7</v>
      </c>
      <c r="S48" s="58">
        <f>IF($Q48&lt;其他调用!$R$8,0,求节点($E$10:$E$29,$H$10:$H$29,$Q48)+求节点(其他调用!$M$8:$M$11,其他调用!$L$8:$L$11,$Q48))</f>
        <v>36.771461383864484</v>
      </c>
      <c r="T48" s="8">
        <f>IF($Q48=1,0,S48-S47+其他调用!$V$8)</f>
        <v>1.1435544071202983</v>
      </c>
      <c r="U48" s="47">
        <f t="shared" si="1"/>
        <v>68613.264427217902</v>
      </c>
      <c r="V48" s="47">
        <f>SUM($U$10:U48)</f>
        <v>2166565.6478009047</v>
      </c>
      <c r="W48" s="47">
        <f t="shared" si="5"/>
        <v>5760000</v>
      </c>
      <c r="X48" s="47">
        <f t="shared" si="6"/>
        <v>2.6585854925958432</v>
      </c>
      <c r="AB48" s="47">
        <v>39</v>
      </c>
      <c r="AC48" s="47">
        <f>V48+军团义军任务!Y43+移动营寨!U44</f>
        <v>8885036.4374735449</v>
      </c>
      <c r="AE48" s="53">
        <f t="shared" si="2"/>
        <v>0.24384431769612039</v>
      </c>
      <c r="AF48" s="53">
        <f>军团义军任务!Y43/AC48</f>
        <v>0.57607763633753584</v>
      </c>
      <c r="AG48" s="53">
        <f>移动营寨!U44/AC48</f>
        <v>0.18007804596634375</v>
      </c>
      <c r="AL48" s="47">
        <v>39</v>
      </c>
      <c r="AM48" s="47">
        <f t="shared" si="9"/>
        <v>1356000</v>
      </c>
      <c r="AR48" s="47">
        <v>39</v>
      </c>
      <c r="AS48" s="47">
        <f t="shared" si="3"/>
        <v>6.5523867532990741</v>
      </c>
    </row>
    <row r="49" spans="17:45" x14ac:dyDescent="0.15">
      <c r="Q49" s="7">
        <v>40</v>
      </c>
      <c r="R49" s="7">
        <f>INT(求节点(其他调用!$S$8:$S$14,其他调用!$Q$8:$Q$14,$Q49))</f>
        <v>7</v>
      </c>
      <c r="S49" s="58">
        <f>IF($Q49&lt;其他调用!$R$8,0,求节点($E$10:$E$29,$H$10:$H$29,$Q49)+求节点(其他调用!$M$8:$M$11,其他调用!$L$8:$L$11,$Q49))</f>
        <v>36.915015790984782</v>
      </c>
      <c r="T49" s="8">
        <f>IF($Q49=1,0,S49-S48+其他调用!$V$8)</f>
        <v>1.1435544071202983</v>
      </c>
      <c r="U49" s="47">
        <f t="shared" si="1"/>
        <v>68613.264427217902</v>
      </c>
      <c r="V49" s="47">
        <f>SUM($U$10:U49)</f>
        <v>2235178.9122281228</v>
      </c>
      <c r="W49" s="47">
        <f t="shared" si="5"/>
        <v>5985000</v>
      </c>
      <c r="X49" s="47">
        <f t="shared" si="6"/>
        <v>2.6776380034982945</v>
      </c>
      <c r="AB49" s="47">
        <v>40</v>
      </c>
      <c r="AC49" s="47">
        <f>V49+军团义军任务!Y44+移动营寨!U45</f>
        <v>9134892.5426615998</v>
      </c>
      <c r="AE49" s="53">
        <f t="shared" si="2"/>
        <v>0.24468584625264425</v>
      </c>
      <c r="AF49" s="53">
        <f>军团义军任务!Y44/AC49</f>
        <v>0.57468805526899913</v>
      </c>
      <c r="AG49" s="53">
        <f>移动营寨!U45/AC49</f>
        <v>0.18062609847835667</v>
      </c>
      <c r="AL49" s="47">
        <v>40</v>
      </c>
      <c r="AM49" s="47">
        <f t="shared" si="9"/>
        <v>1356000</v>
      </c>
      <c r="AR49" s="47">
        <v>40</v>
      </c>
      <c r="AS49" s="47">
        <f t="shared" si="3"/>
        <v>6.7366464178920351</v>
      </c>
    </row>
    <row r="50" spans="17:45" x14ac:dyDescent="0.15">
      <c r="Q50" s="7">
        <v>41</v>
      </c>
      <c r="R50" s="7">
        <f>INT(求节点(其他调用!$S$8:$S$14,其他调用!$Q$8:$Q$14,$Q50))</f>
        <v>7</v>
      </c>
      <c r="S50" s="58">
        <f>IF($Q50&lt;其他调用!$R$8,0,求节点($E$10:$E$29,$H$10:$H$29,$Q50)+求节点(其他调用!$M$8:$M$11,其他调用!$L$8:$L$11,$Q50))</f>
        <v>37.05857019810508</v>
      </c>
      <c r="T50" s="8">
        <f>IF($Q50=1,0,S50-S49+其他调用!$V$8)</f>
        <v>1.1435544071202983</v>
      </c>
      <c r="U50" s="47">
        <f t="shared" si="1"/>
        <v>68613.264427217902</v>
      </c>
      <c r="V50" s="47">
        <f>SUM($U$10:U50)</f>
        <v>2303792.1766553409</v>
      </c>
      <c r="W50" s="47">
        <f t="shared" si="5"/>
        <v>6210000</v>
      </c>
      <c r="X50" s="47">
        <f t="shared" si="6"/>
        <v>2.6955556420960307</v>
      </c>
      <c r="AB50" s="47">
        <v>41</v>
      </c>
      <c r="AC50" s="47">
        <f>V50+军团义军任务!Y45+移动营寨!U46</f>
        <v>9384748.6478496566</v>
      </c>
      <c r="AE50" s="53">
        <f t="shared" si="2"/>
        <v>0.24548256571402291</v>
      </c>
      <c r="AF50" s="53">
        <f>军团义军任务!Y45/AC50</f>
        <v>0.57337246559365895</v>
      </c>
      <c r="AG50" s="53">
        <f>移动营寨!U46/AC50</f>
        <v>0.18114496869231803</v>
      </c>
      <c r="AL50" s="47">
        <v>41</v>
      </c>
      <c r="AM50" s="47">
        <f t="shared" si="9"/>
        <v>1356000</v>
      </c>
      <c r="AR50" s="47">
        <v>41</v>
      </c>
      <c r="AS50" s="47">
        <f t="shared" si="3"/>
        <v>6.9209060824849979</v>
      </c>
    </row>
    <row r="51" spans="17:45" x14ac:dyDescent="0.15">
      <c r="Q51" s="7">
        <v>42</v>
      </c>
      <c r="R51" s="7">
        <f>INT(求节点(其他调用!$S$8:$S$14,其他调用!$Q$8:$Q$14,$Q51))</f>
        <v>7</v>
      </c>
      <c r="S51" s="58">
        <f>IF($Q51&lt;其他调用!$R$8,0,求节点($E$10:$E$29,$H$10:$H$29,$Q51)+求节点(其他调用!$M$8:$M$11,其他调用!$L$8:$L$11,$Q51))</f>
        <v>37.202124605225379</v>
      </c>
      <c r="T51" s="8">
        <f>IF($Q51=1,0,S51-S50+其他调用!$V$8)</f>
        <v>1.1435544071202983</v>
      </c>
      <c r="U51" s="47">
        <f t="shared" si="1"/>
        <v>68613.264427217902</v>
      </c>
      <c r="V51" s="47">
        <f>SUM($U$10:U51)</f>
        <v>2372405.4410825591</v>
      </c>
      <c r="W51" s="47">
        <f t="shared" si="5"/>
        <v>6435000</v>
      </c>
      <c r="X51" s="47">
        <f t="shared" si="6"/>
        <v>2.7124368746446756</v>
      </c>
      <c r="AB51" s="47">
        <v>42</v>
      </c>
      <c r="AC51" s="47">
        <f>V51+军团义军任务!Y46+移动营寨!U47</f>
        <v>9634604.7530377116</v>
      </c>
      <c r="AE51" s="53">
        <f t="shared" si="2"/>
        <v>0.24623796220956123</v>
      </c>
      <c r="AF51" s="53">
        <f>军团义军任务!Y46/AC51</f>
        <v>0.57212511081133877</v>
      </c>
      <c r="AG51" s="53">
        <f>移动营寨!U47/AC51</f>
        <v>0.18163692697909994</v>
      </c>
      <c r="AL51" s="47">
        <v>42</v>
      </c>
      <c r="AM51" s="47">
        <f t="shared" si="9"/>
        <v>1356000</v>
      </c>
      <c r="AR51" s="47">
        <v>42</v>
      </c>
      <c r="AS51" s="47">
        <f t="shared" si="3"/>
        <v>7.1051657470779581</v>
      </c>
    </row>
    <row r="52" spans="17:45" x14ac:dyDescent="0.15">
      <c r="Q52" s="7">
        <v>43</v>
      </c>
      <c r="R52" s="7">
        <f>INT(求节点(其他调用!$S$8:$S$14,其他调用!$Q$8:$Q$14,$Q52))</f>
        <v>7</v>
      </c>
      <c r="S52" s="58">
        <f>IF($Q52&lt;其他调用!$R$8,0,求节点($E$10:$E$29,$H$10:$H$29,$Q52)+求节点(其他调用!$M$8:$M$11,其他调用!$L$8:$L$11,$Q52))</f>
        <v>37.345679012345684</v>
      </c>
      <c r="T52" s="8">
        <f>IF($Q52=1,0,S52-S51+其他调用!$V$8)</f>
        <v>1.1435544071203054</v>
      </c>
      <c r="U52" s="47">
        <f t="shared" si="1"/>
        <v>68613.264427218324</v>
      </c>
      <c r="V52" s="47">
        <f>SUM($U$10:U52)</f>
        <v>2441018.7055097772</v>
      </c>
      <c r="W52" s="47">
        <f t="shared" si="5"/>
        <v>6660000</v>
      </c>
      <c r="X52" s="47">
        <f t="shared" si="6"/>
        <v>2.7283690964625933</v>
      </c>
      <c r="AB52" s="47">
        <v>43</v>
      </c>
      <c r="AC52" s="47">
        <f>V52+军团义军任务!Y47+移动营寨!U48</f>
        <v>9884460.8582257666</v>
      </c>
      <c r="AE52" s="53">
        <f t="shared" si="2"/>
        <v>0.24695516938370812</v>
      </c>
      <c r="AF52" s="53">
        <f>军团义军任务!Y47/AC52</f>
        <v>0.57094081646542849</v>
      </c>
      <c r="AG52" s="53">
        <f>移动营寨!U48/AC52</f>
        <v>0.18210401415086336</v>
      </c>
      <c r="AL52" s="47">
        <v>43</v>
      </c>
      <c r="AM52" s="47">
        <f t="shared" si="9"/>
        <v>1356000</v>
      </c>
      <c r="AR52" s="47">
        <v>43</v>
      </c>
      <c r="AS52" s="47">
        <f t="shared" si="3"/>
        <v>7.2894254116709192</v>
      </c>
    </row>
    <row r="53" spans="17:45" x14ac:dyDescent="0.15">
      <c r="Q53" s="7">
        <v>44</v>
      </c>
      <c r="R53" s="7">
        <f>INT(求节点(其他调用!$S$8:$S$14,其他调用!$Q$8:$Q$14,$Q53))</f>
        <v>7</v>
      </c>
      <c r="S53" s="58">
        <f>IF($Q53&lt;其他调用!$R$8,0,求节点($E$10:$E$29,$H$10:$H$29,$Q53)+求节点(其他调用!$M$8:$M$11,其他调用!$L$8:$L$11,$Q53))</f>
        <v>37.489233419465975</v>
      </c>
      <c r="T53" s="8">
        <f>IF($Q53=1,0,S53-S52+其他调用!$V$8)</f>
        <v>1.1435544071202912</v>
      </c>
      <c r="U53" s="47">
        <f t="shared" si="1"/>
        <v>68613.26442721748</v>
      </c>
      <c r="V53" s="47">
        <f>SUM($U$10:U53)</f>
        <v>2509631.9699369948</v>
      </c>
      <c r="W53" s="47">
        <f t="shared" si="5"/>
        <v>6885000</v>
      </c>
      <c r="X53" s="47">
        <f t="shared" si="6"/>
        <v>2.7434301453263883</v>
      </c>
      <c r="AB53" s="47">
        <v>44</v>
      </c>
      <c r="AC53" s="47">
        <f>V53+军团义军任务!Y48+移动营寨!U49</f>
        <v>10134316.963413822</v>
      </c>
      <c r="AE53" s="53">
        <f t="shared" si="2"/>
        <v>0.24763701184767425</v>
      </c>
      <c r="AF53" s="53">
        <f>军团义军任务!Y48/AC53</f>
        <v>0.56981491839303788</v>
      </c>
      <c r="AG53" s="53">
        <f>移动营寨!U49/AC53</f>
        <v>0.18254806975928781</v>
      </c>
      <c r="AL53" s="47">
        <v>44</v>
      </c>
      <c r="AM53" s="47">
        <f t="shared" si="9"/>
        <v>1356000</v>
      </c>
      <c r="AR53" s="47">
        <v>44</v>
      </c>
      <c r="AS53" s="47">
        <f t="shared" si="3"/>
        <v>7.4736850762638802</v>
      </c>
    </row>
    <row r="54" spans="17:45" x14ac:dyDescent="0.15">
      <c r="Q54" s="7">
        <v>45</v>
      </c>
      <c r="R54" s="7">
        <f>INT(求节点(其他调用!$S$8:$S$14,其他调用!$Q$8:$Q$14,$Q54))</f>
        <v>7</v>
      </c>
      <c r="S54" s="58">
        <f>IF($Q54&lt;其他调用!$R$8,0,求节点($E$10:$E$29,$H$10:$H$29,$Q54)+求节点(其他调用!$M$8:$M$11,其他调用!$L$8:$L$11,$Q54))</f>
        <v>37.632787826586281</v>
      </c>
      <c r="T54" s="8">
        <f>IF($Q54=1,0,S54-S53+其他调用!$V$8)</f>
        <v>1.1435544071203054</v>
      </c>
      <c r="U54" s="47">
        <f t="shared" si="1"/>
        <v>68613.264427218324</v>
      </c>
      <c r="V54" s="47">
        <f>SUM($U$10:U54)</f>
        <v>2578245.234364213</v>
      </c>
      <c r="W54" s="47">
        <f t="shared" si="5"/>
        <v>7110000</v>
      </c>
      <c r="X54" s="47">
        <f t="shared" si="6"/>
        <v>2.7576895732159876</v>
      </c>
      <c r="AB54" s="47">
        <v>45</v>
      </c>
      <c r="AC54" s="47">
        <f>V54+军团义军任务!Y49+移动营寨!U50</f>
        <v>10384173.068601876</v>
      </c>
      <c r="AE54" s="53">
        <f t="shared" si="2"/>
        <v>0.24828604235805052</v>
      </c>
      <c r="AF54" s="53">
        <f>军团义军任务!Y49/AC54</f>
        <v>0.5687432013334921</v>
      </c>
      <c r="AG54" s="53">
        <f>移动营寨!U50/AC54</f>
        <v>0.18297075630845738</v>
      </c>
      <c r="AL54" s="47">
        <v>45</v>
      </c>
      <c r="AM54" s="47">
        <f t="shared" si="9"/>
        <v>1356000</v>
      </c>
      <c r="AR54" s="47">
        <v>45</v>
      </c>
      <c r="AS54" s="47">
        <f t="shared" si="3"/>
        <v>7.6579447408568413</v>
      </c>
    </row>
    <row r="55" spans="17:45" x14ac:dyDescent="0.15">
      <c r="Q55" s="7">
        <v>46</v>
      </c>
      <c r="R55" s="7">
        <f>INT(求节点(其他调用!$S$8:$S$14,其他调用!$Q$8:$Q$14,$Q55))</f>
        <v>7</v>
      </c>
      <c r="S55" s="58">
        <f>IF($Q55&lt;其他调用!$R$8,0,求节点($E$10:$E$29,$H$10:$H$29,$Q55)+求节点(其他调用!$M$8:$M$11,其他调用!$L$8:$L$11,$Q55))</f>
        <v>37.776342233706572</v>
      </c>
      <c r="T55" s="8">
        <f>IF($Q55=1,0,S55-S54+其他调用!$V$8)</f>
        <v>1.1435544071202912</v>
      </c>
      <c r="U55" s="47">
        <f t="shared" si="1"/>
        <v>68613.26442721748</v>
      </c>
      <c r="V55" s="47">
        <f>SUM($U$10:U55)</f>
        <v>2646858.4987914306</v>
      </c>
      <c r="W55" s="47">
        <f t="shared" si="5"/>
        <v>7335000</v>
      </c>
      <c r="X55" s="47">
        <f t="shared" si="6"/>
        <v>2.7712097202586383</v>
      </c>
      <c r="AB55" s="47">
        <v>46</v>
      </c>
      <c r="AC55" s="47">
        <f>V55+军团义军任务!Y50+移动营寨!U51</f>
        <v>10634029.173789931</v>
      </c>
      <c r="AE55" s="53">
        <f t="shared" si="2"/>
        <v>0.24890457375415487</v>
      </c>
      <c r="AF55" s="53">
        <f>军团义军任务!Y50/AC55</f>
        <v>0.56772184619151977</v>
      </c>
      <c r="AG55" s="53">
        <f>移动营寨!U51/AC55</f>
        <v>0.18337358005432541</v>
      </c>
      <c r="AL55" s="47">
        <v>46</v>
      </c>
      <c r="AM55" s="47">
        <f t="shared" si="9"/>
        <v>1356000</v>
      </c>
      <c r="AR55" s="47">
        <v>46</v>
      </c>
      <c r="AS55" s="47">
        <f t="shared" si="3"/>
        <v>7.8422044054498024</v>
      </c>
    </row>
    <row r="56" spans="17:45" x14ac:dyDescent="0.15">
      <c r="Q56" s="7">
        <v>47</v>
      </c>
      <c r="R56" s="7">
        <f>INT(求节点(其他调用!$S$8:$S$14,其他调用!$Q$8:$Q$14,$Q56))</f>
        <v>7</v>
      </c>
      <c r="S56" s="58">
        <f>IF($Q56&lt;其他调用!$R$8,0,求节点($E$10:$E$29,$H$10:$H$29,$Q56)+求节点(其他调用!$M$8:$M$11,其他调用!$L$8:$L$11,$Q56))</f>
        <v>37.919896640826877</v>
      </c>
      <c r="T56" s="8">
        <f>IF($Q56=1,0,S56-S55+其他调用!$V$8)</f>
        <v>1.1435544071203054</v>
      </c>
      <c r="U56" s="47">
        <f t="shared" si="1"/>
        <v>68613.264427218324</v>
      </c>
      <c r="V56" s="47">
        <f>SUM($U$10:U56)</f>
        <v>2715471.7632186487</v>
      </c>
      <c r="W56" s="47">
        <f t="shared" si="5"/>
        <v>7560000</v>
      </c>
      <c r="X56" s="47">
        <f t="shared" si="6"/>
        <v>2.7840466258574281</v>
      </c>
      <c r="AB56" s="47">
        <v>47</v>
      </c>
      <c r="AC56" s="47">
        <f>V56+军团义军任务!Y51+移动营寨!U52</f>
        <v>10883885.278977986</v>
      </c>
      <c r="AE56" s="53">
        <f t="shared" si="2"/>
        <v>0.24949470649635841</v>
      </c>
      <c r="AF56" s="53">
        <f>军团义军任务!Y51/AC56</f>
        <v>0.56674738456436236</v>
      </c>
      <c r="AG56" s="53">
        <f>移动营寨!U52/AC56</f>
        <v>0.18375790893927937</v>
      </c>
      <c r="AL56" s="47">
        <v>47</v>
      </c>
      <c r="AM56" s="47">
        <f t="shared" si="9"/>
        <v>1356000</v>
      </c>
      <c r="AR56" s="47">
        <v>47</v>
      </c>
      <c r="AS56" s="47">
        <f t="shared" si="3"/>
        <v>8.0264640700427634</v>
      </c>
    </row>
    <row r="57" spans="17:45" x14ac:dyDescent="0.15">
      <c r="Q57" s="7">
        <v>48</v>
      </c>
      <c r="R57" s="7">
        <f>INT(求节点(其他调用!$S$8:$S$14,其他调用!$Q$8:$Q$14,$Q57))</f>
        <v>7</v>
      </c>
      <c r="S57" s="58">
        <f>IF($Q57&lt;其他调用!$R$8,0,求节点($E$10:$E$29,$H$10:$H$29,$Q57)+求节点(其他调用!$M$8:$M$11,其他调用!$L$8:$L$11,$Q57))</f>
        <v>38.063451047947169</v>
      </c>
      <c r="T57" s="8">
        <f>IF($Q57=1,0,S57-S56+其他调用!$V$8)</f>
        <v>1.1435544071202912</v>
      </c>
      <c r="U57" s="47">
        <f t="shared" si="1"/>
        <v>68613.26442721748</v>
      </c>
      <c r="V57" s="47">
        <f>SUM($U$10:U57)</f>
        <v>2784085.0276458664</v>
      </c>
      <c r="W57" s="47">
        <f t="shared" si="5"/>
        <v>7785000</v>
      </c>
      <c r="X57" s="47">
        <f t="shared" si="6"/>
        <v>2.7962508050922383</v>
      </c>
      <c r="AB57" s="47">
        <v>48</v>
      </c>
      <c r="AC57" s="47">
        <f>V57+军团义军任务!Y52+移动营寨!U53</f>
        <v>11133741.384166043</v>
      </c>
      <c r="AE57" s="53">
        <f t="shared" si="2"/>
        <v>0.25005835249642849</v>
      </c>
      <c r="AF57" s="53">
        <f>军团义军任务!Y52/AC57</f>
        <v>0.5658166593917201</v>
      </c>
      <c r="AG57" s="53">
        <f>移动营寨!U53/AC57</f>
        <v>0.18412498811185135</v>
      </c>
      <c r="AL57" s="47">
        <v>48</v>
      </c>
      <c r="AM57" s="47">
        <f t="shared" si="9"/>
        <v>1356000</v>
      </c>
      <c r="AR57" s="47">
        <v>48</v>
      </c>
      <c r="AS57" s="47">
        <f t="shared" si="3"/>
        <v>8.2107237346357245</v>
      </c>
    </row>
    <row r="58" spans="17:45" x14ac:dyDescent="0.15">
      <c r="Q58" s="7">
        <v>49</v>
      </c>
      <c r="R58" s="7">
        <f>INT(求节点(其他调用!$S$8:$S$14,其他调用!$Q$8:$Q$14,$Q58))</f>
        <v>7</v>
      </c>
      <c r="S58" s="58">
        <f>IF($Q58&lt;其他调用!$R$8,0,求节点($E$10:$E$29,$H$10:$H$29,$Q58)+求节点(其他调用!$M$8:$M$11,其他调用!$L$8:$L$11,$Q58))</f>
        <v>38.207005455067474</v>
      </c>
      <c r="T58" s="8">
        <f>IF($Q58=1,0,S58-S57+其他调用!$V$8)</f>
        <v>1.1435544071203054</v>
      </c>
      <c r="U58" s="47">
        <f t="shared" si="1"/>
        <v>68613.264427218324</v>
      </c>
      <c r="V58" s="47">
        <f>SUM($U$10:U58)</f>
        <v>2852698.2920730845</v>
      </c>
      <c r="W58" s="47">
        <f t="shared" si="5"/>
        <v>8010000</v>
      </c>
      <c r="X58" s="47">
        <f t="shared" si="6"/>
        <v>2.8078679130764481</v>
      </c>
      <c r="AB58" s="47">
        <v>49</v>
      </c>
      <c r="AC58" s="47">
        <f>V58+军团义军任务!Y53+移动营寨!U54</f>
        <v>11383597.489354098</v>
      </c>
      <c r="AE58" s="53">
        <f t="shared" si="2"/>
        <v>0.2505972558095908</v>
      </c>
      <c r="AF58" s="53">
        <f>军团义军任务!Y53/AC58</f>
        <v>0.56492679078781272</v>
      </c>
      <c r="AG58" s="53">
        <f>移动营寨!U54/AC58</f>
        <v>0.1844759534025964</v>
      </c>
      <c r="AL58" s="47">
        <v>49</v>
      </c>
      <c r="AM58" s="47">
        <f t="shared" si="9"/>
        <v>1356000</v>
      </c>
      <c r="AR58" s="47">
        <v>49</v>
      </c>
      <c r="AS58" s="47">
        <f t="shared" si="3"/>
        <v>8.3949833992286855</v>
      </c>
    </row>
    <row r="59" spans="17:45" x14ac:dyDescent="0.15">
      <c r="Q59" s="7">
        <v>50</v>
      </c>
      <c r="R59" s="7">
        <f>INT(求节点(其他调用!$S$8:$S$14,其他调用!$Q$8:$Q$14,$Q59))</f>
        <v>7</v>
      </c>
      <c r="S59" s="58">
        <f>IF($Q59&lt;其他调用!$R$8,0,求节点($E$10:$E$29,$H$10:$H$29,$Q59)+求节点(其他调用!$M$8:$M$11,其他调用!$L$8:$L$11,$Q59))</f>
        <v>38.350559862187765</v>
      </c>
      <c r="T59" s="8">
        <f>IF($Q59=1,0,S59-S58+其他调用!$V$8)</f>
        <v>1.1435544071202912</v>
      </c>
      <c r="U59" s="47">
        <f t="shared" si="1"/>
        <v>68613.26442721748</v>
      </c>
      <c r="V59" s="47">
        <f>SUM($U$10:U59)</f>
        <v>2921311.5565003022</v>
      </c>
      <c r="W59" s="47">
        <f t="shared" si="5"/>
        <v>8235000</v>
      </c>
      <c r="X59" s="47">
        <f t="shared" si="6"/>
        <v>2.8189393156905989</v>
      </c>
      <c r="AB59" s="47">
        <v>50</v>
      </c>
      <c r="AC59" s="47">
        <f>V59+军团义军任务!Y54+移动营寨!U55</f>
        <v>11633453.594542153</v>
      </c>
      <c r="AE59" s="53">
        <f t="shared" si="2"/>
        <v>0.25111301066012232</v>
      </c>
      <c r="AF59" s="53">
        <f>军团义军任务!Y54/AC59</f>
        <v>0.56407514627646649</v>
      </c>
      <c r="AG59" s="53">
        <f>移动营寨!U55/AC59</f>
        <v>0.18481184306341109</v>
      </c>
      <c r="AL59" s="47">
        <v>50</v>
      </c>
      <c r="AM59" s="47">
        <f t="shared" si="9"/>
        <v>1356000</v>
      </c>
      <c r="AR59" s="47">
        <v>50</v>
      </c>
      <c r="AS59" s="47">
        <f t="shared" si="3"/>
        <v>8.5792430638216466</v>
      </c>
    </row>
    <row r="60" spans="17:45" x14ac:dyDescent="0.15">
      <c r="Q60" s="7">
        <v>51</v>
      </c>
      <c r="R60" s="7">
        <f>INT(求节点(其他调用!$S$8:$S$14,其他调用!$Q$8:$Q$14,$Q60))</f>
        <v>7</v>
      </c>
      <c r="S60" s="58">
        <f>IF($Q60&lt;其他调用!$R$8,0,求节点($E$10:$E$29,$H$10:$H$29,$Q60)+求节点(其他调用!$M$8:$M$11,其他调用!$L$8:$L$11,$Q60))</f>
        <v>38.494114269308071</v>
      </c>
      <c r="T60" s="8">
        <f>IF($Q60=1,0,S60-S59+其他调用!$V$8)</f>
        <v>1.1435544071203054</v>
      </c>
      <c r="U60" s="47">
        <f t="shared" si="1"/>
        <v>68613.264427218324</v>
      </c>
      <c r="V60" s="47">
        <f>SUM($U$10:U60)</f>
        <v>2989924.8209275203</v>
      </c>
      <c r="W60" s="47">
        <f t="shared" si="5"/>
        <v>8460000</v>
      </c>
      <c r="X60" s="47">
        <f t="shared" si="6"/>
        <v>2.8295025817323323</v>
      </c>
      <c r="AB60" s="47">
        <v>51</v>
      </c>
      <c r="AC60" s="47">
        <f>V60+军团义军任务!Y55+移动营寨!U56</f>
        <v>11883309.699730208</v>
      </c>
      <c r="AE60" s="53">
        <f t="shared" si="2"/>
        <v>0.25160707719293068</v>
      </c>
      <c r="AF60" s="53">
        <f>军团义军任务!Y55/AC60</f>
        <v>0.56325931478118851</v>
      </c>
      <c r="AG60" s="53">
        <f>移动营寨!U56/AC60</f>
        <v>0.18513360802588083</v>
      </c>
      <c r="AL60" s="47">
        <v>51</v>
      </c>
      <c r="AM60" s="47">
        <f t="shared" si="9"/>
        <v>1356000</v>
      </c>
      <c r="AR60" s="47">
        <v>51</v>
      </c>
      <c r="AS60" s="47">
        <f t="shared" si="3"/>
        <v>8.7635027284146076</v>
      </c>
    </row>
    <row r="61" spans="17:45" x14ac:dyDescent="0.15">
      <c r="Q61" s="7">
        <v>52</v>
      </c>
      <c r="R61" s="7">
        <f>INT(求节点(其他调用!$S$8:$S$14,其他调用!$Q$8:$Q$14,$Q61))</f>
        <v>7</v>
      </c>
      <c r="S61" s="58">
        <f>IF($Q61&lt;其他调用!$R$8,0,求节点($E$10:$E$29,$H$10:$H$29,$Q61)+求节点(其他调用!$M$8:$M$11,其他调用!$L$8:$L$11,$Q61))</f>
        <v>38.637668676428362</v>
      </c>
      <c r="T61" s="8">
        <f>IF($Q61=1,0,S61-S60+其他调用!$V$8)</f>
        <v>1.1435544071202912</v>
      </c>
      <c r="U61" s="47">
        <f t="shared" si="1"/>
        <v>68613.26442721748</v>
      </c>
      <c r="V61" s="47">
        <f>SUM($U$10:U61)</f>
        <v>3058538.0853547379</v>
      </c>
      <c r="W61" s="47">
        <f t="shared" si="5"/>
        <v>8685000</v>
      </c>
      <c r="X61" s="47">
        <f t="shared" si="6"/>
        <v>2.8395919088229005</v>
      </c>
      <c r="AB61" s="47">
        <v>52</v>
      </c>
      <c r="AC61" s="47">
        <f>V61+军团义军任务!Y56+移动营寨!U57</f>
        <v>12133165.804918263</v>
      </c>
      <c r="AE61" s="53">
        <f t="shared" si="2"/>
        <v>0.25208079527891541</v>
      </c>
      <c r="AF61" s="53">
        <f>军团义军任务!Y56/AC61</f>
        <v>0.56247708382894712</v>
      </c>
      <c r="AG61" s="53">
        <f>移动营寨!U57/AC61</f>
        <v>0.18544212089213738</v>
      </c>
      <c r="AL61" s="47">
        <v>52</v>
      </c>
      <c r="AM61" s="47">
        <f t="shared" si="9"/>
        <v>1356000</v>
      </c>
      <c r="AR61" s="47">
        <v>52</v>
      </c>
      <c r="AS61" s="47">
        <f t="shared" si="3"/>
        <v>8.9477623930075687</v>
      </c>
    </row>
    <row r="62" spans="17:45" x14ac:dyDescent="0.15">
      <c r="Q62" s="7">
        <v>53</v>
      </c>
      <c r="R62" s="7">
        <f>INT(求节点(其他调用!$S$8:$S$14,其他调用!$Q$8:$Q$14,$Q62))</f>
        <v>7</v>
      </c>
      <c r="S62" s="58">
        <f>IF($Q62&lt;其他调用!$R$8,0,求节点($E$10:$E$29,$H$10:$H$29,$Q62)+求节点(其他调用!$M$8:$M$11,其他调用!$L$8:$L$11,$Q62))</f>
        <v>38.781223083548667</v>
      </c>
      <c r="T62" s="8">
        <f>IF($Q62=1,0,S62-S61+其他调用!$V$8)</f>
        <v>1.1435544071203054</v>
      </c>
      <c r="U62" s="47">
        <f t="shared" si="1"/>
        <v>68613.264427218324</v>
      </c>
      <c r="V62" s="47">
        <f>SUM($U$10:U62)</f>
        <v>3127151.3497819561</v>
      </c>
      <c r="W62" s="47">
        <f t="shared" si="5"/>
        <v>8910000</v>
      </c>
      <c r="X62" s="47">
        <f t="shared" si="6"/>
        <v>2.8492384932444219</v>
      </c>
      <c r="AB62" s="47">
        <v>53</v>
      </c>
      <c r="AC62" s="47">
        <f>V62+军团义军任务!Y57+移动营寨!U58</f>
        <v>12383021.910106318</v>
      </c>
      <c r="AE62" s="53">
        <f t="shared" si="2"/>
        <v>0.25253539664899993</v>
      </c>
      <c r="AF62" s="53">
        <f>军团义军任务!Y57/AC62</f>
        <v>0.56172641951375191</v>
      </c>
      <c r="AG62" s="53">
        <f>移动营寨!U58/AC62</f>
        <v>0.18573818383724822</v>
      </c>
      <c r="AL62" s="47">
        <v>53</v>
      </c>
      <c r="AM62" s="47">
        <f t="shared" si="9"/>
        <v>1356000</v>
      </c>
      <c r="AR62" s="47">
        <v>53</v>
      </c>
      <c r="AS62" s="47">
        <f t="shared" si="3"/>
        <v>9.1320220576005298</v>
      </c>
    </row>
    <row r="63" spans="17:45" x14ac:dyDescent="0.15">
      <c r="Q63" s="7">
        <v>54</v>
      </c>
      <c r="R63" s="7">
        <f>INT(求节点(其他调用!$S$8:$S$14,其他调用!$Q$8:$Q$14,$Q63))</f>
        <v>7</v>
      </c>
      <c r="S63" s="58">
        <f>IF($Q63&lt;其他调用!$R$8,0,求节点($E$10:$E$29,$H$10:$H$29,$Q63)+求节点(其他调用!$M$8:$M$11,其他调用!$L$8:$L$11,$Q63))</f>
        <v>38.924777490668966</v>
      </c>
      <c r="T63" s="8">
        <f>IF($Q63=1,0,S63-S62+其他调用!$V$8)</f>
        <v>1.1435544071202983</v>
      </c>
      <c r="U63" s="47">
        <f t="shared" si="1"/>
        <v>68613.264427217902</v>
      </c>
      <c r="V63" s="47">
        <f>SUM($U$10:U63)</f>
        <v>3195764.6142091742</v>
      </c>
      <c r="W63" s="47">
        <f t="shared" si="5"/>
        <v>9135000</v>
      </c>
      <c r="X63" s="47">
        <f t="shared" si="6"/>
        <v>2.8584708521345688</v>
      </c>
      <c r="AB63" s="47">
        <v>54</v>
      </c>
      <c r="AC63" s="47">
        <f>V63+军团义军任务!Y58+移动营寨!U59</f>
        <v>12632878.015294373</v>
      </c>
      <c r="AE63" s="53">
        <f t="shared" si="2"/>
        <v>0.25297201558822352</v>
      </c>
      <c r="AF63" s="53">
        <f>军团义军任务!Y58/AC63</f>
        <v>0.56100544883794279</v>
      </c>
      <c r="AG63" s="53">
        <f>移动营寨!U59/AC63</f>
        <v>0.18602253557383377</v>
      </c>
      <c r="AL63" s="47">
        <v>54</v>
      </c>
      <c r="AM63" s="47">
        <f t="shared" si="9"/>
        <v>1356000</v>
      </c>
      <c r="AR63" s="47">
        <v>54</v>
      </c>
      <c r="AS63" s="47">
        <f t="shared" si="3"/>
        <v>9.3162817221934908</v>
      </c>
    </row>
    <row r="64" spans="17:45" x14ac:dyDescent="0.15">
      <c r="Q64" s="7">
        <v>55</v>
      </c>
      <c r="R64" s="7">
        <f>INT(求节点(其他调用!$S$8:$S$14,其他调用!$Q$8:$Q$14,$Q64))</f>
        <v>7</v>
      </c>
      <c r="S64" s="58">
        <f>IF($Q64&lt;其他调用!$R$8,0,求节点($E$10:$E$29,$H$10:$H$29,$Q64)+求节点(其他调用!$M$8:$M$11,其他调用!$L$8:$L$11,$Q64))</f>
        <v>39.068331897789264</v>
      </c>
      <c r="T64" s="8">
        <f>IF($Q64=1,0,S64-S63+其他调用!$V$8)</f>
        <v>1.1435544071202983</v>
      </c>
      <c r="U64" s="47">
        <f t="shared" si="1"/>
        <v>68613.264427217902</v>
      </c>
      <c r="V64" s="47">
        <f>SUM($U$10:U64)</f>
        <v>3264377.8786363923</v>
      </c>
      <c r="W64" s="47">
        <f t="shared" si="5"/>
        <v>9360000</v>
      </c>
      <c r="X64" s="47">
        <f t="shared" si="6"/>
        <v>2.867315105048406</v>
      </c>
      <c r="AB64" s="47">
        <v>55</v>
      </c>
      <c r="AC64" s="47">
        <f>V64+军团义军任务!Y59+移动营寨!U60</f>
        <v>12882734.12048243</v>
      </c>
      <c r="AE64" s="53">
        <f t="shared" si="2"/>
        <v>0.253391698385385</v>
      </c>
      <c r="AF64" s="53">
        <f>军团义军任务!Y59/AC64</f>
        <v>0.56031244410838821</v>
      </c>
      <c r="AG64" s="53">
        <f>移动营寨!U60/AC64</f>
        <v>0.18629585750622674</v>
      </c>
      <c r="AL64" s="47">
        <v>55</v>
      </c>
      <c r="AM64" s="47">
        <f t="shared" si="9"/>
        <v>1356000</v>
      </c>
      <c r="AR64" s="47">
        <v>55</v>
      </c>
      <c r="AS64" s="47">
        <f t="shared" si="3"/>
        <v>9.5005413867864519</v>
      </c>
    </row>
    <row r="65" spans="17:45" x14ac:dyDescent="0.15">
      <c r="Q65" s="7">
        <v>56</v>
      </c>
      <c r="R65" s="7">
        <f>INT(求节点(其他调用!$S$8:$S$14,其他调用!$Q$8:$Q$14,$Q65))</f>
        <v>7</v>
      </c>
      <c r="S65" s="58">
        <f>IF($Q65&lt;其他调用!$R$8,0,求节点($E$10:$E$29,$H$10:$H$29,$Q65)+求节点(其他调用!$M$8:$M$11,其他调用!$L$8:$L$11,$Q65))</f>
        <v>39.211886304909562</v>
      </c>
      <c r="T65" s="8">
        <f>IF($Q65=1,0,S65-S64+其他调用!$V$8)</f>
        <v>1.1435544071202983</v>
      </c>
      <c r="U65" s="47">
        <f t="shared" si="1"/>
        <v>68613.264427217902</v>
      </c>
      <c r="V65" s="47">
        <f>SUM($U$10:U65)</f>
        <v>3332991.1430636104</v>
      </c>
      <c r="W65" s="47">
        <f t="shared" si="5"/>
        <v>9585000</v>
      </c>
      <c r="X65" s="47">
        <f t="shared" si="6"/>
        <v>2.8757952207426762</v>
      </c>
      <c r="AB65" s="47">
        <v>56</v>
      </c>
      <c r="AC65" s="47">
        <f>V65+军团义军任务!Y60+移动营寨!U61</f>
        <v>13132590.225670485</v>
      </c>
      <c r="AE65" s="53">
        <f t="shared" si="2"/>
        <v>0.25379541170397285</v>
      </c>
      <c r="AF65" s="53">
        <f>军团义军任务!Y60/AC65</f>
        <v>0.55964580911391681</v>
      </c>
      <c r="AG65" s="53">
        <f>移动营寨!U61/AC65</f>
        <v>0.18655877918211031</v>
      </c>
      <c r="AL65" s="47">
        <v>56</v>
      </c>
      <c r="AM65" s="47">
        <f t="shared" si="9"/>
        <v>1356000</v>
      </c>
      <c r="AR65" s="47">
        <v>56</v>
      </c>
      <c r="AS65" s="47">
        <f t="shared" si="3"/>
        <v>9.6848010513794129</v>
      </c>
    </row>
    <row r="66" spans="17:45" x14ac:dyDescent="0.15">
      <c r="Q66" s="7">
        <v>57</v>
      </c>
      <c r="R66" s="7">
        <f>INT(求节点(其他调用!$S$8:$S$14,其他调用!$Q$8:$Q$14,$Q66))</f>
        <v>7</v>
      </c>
      <c r="S66" s="58">
        <f>IF($Q66&lt;其他调用!$R$8,0,求节点($E$10:$E$29,$H$10:$H$29,$Q66)+求节点(其他调用!$M$8:$M$11,其他调用!$L$8:$L$11,$Q66))</f>
        <v>39.355440712029861</v>
      </c>
      <c r="T66" s="8">
        <f>IF($Q66=1,0,S66-S65+其他调用!$V$8)</f>
        <v>1.1435544071202983</v>
      </c>
      <c r="U66" s="47">
        <f t="shared" si="1"/>
        <v>68613.264427217902</v>
      </c>
      <c r="V66" s="47">
        <f>SUM($U$10:U66)</f>
        <v>3401604.4074908285</v>
      </c>
      <c r="W66" s="47">
        <f t="shared" si="5"/>
        <v>9810000</v>
      </c>
      <c r="X66" s="47">
        <f t="shared" si="6"/>
        <v>2.8839332340929915</v>
      </c>
      <c r="AB66" s="47">
        <v>57</v>
      </c>
      <c r="AC66" s="47">
        <f>V66+军团义军任务!Y61+移动营寨!U62</f>
        <v>13382446.33085854</v>
      </c>
      <c r="AE66" s="53">
        <f t="shared" si="2"/>
        <v>0.25418405001536076</v>
      </c>
      <c r="AF66" s="53">
        <f>军团义军任务!Y61/AC66</f>
        <v>0.5590040668511902</v>
      </c>
      <c r="AG66" s="53">
        <f>移动营寨!U62/AC66</f>
        <v>0.18681188313344907</v>
      </c>
      <c r="AL66" s="47">
        <v>57</v>
      </c>
      <c r="AM66" s="47">
        <f t="shared" si="9"/>
        <v>1356000</v>
      </c>
      <c r="AR66" s="47">
        <v>57</v>
      </c>
      <c r="AS66" s="47">
        <f t="shared" si="3"/>
        <v>9.869060715972374</v>
      </c>
    </row>
    <row r="67" spans="17:45" x14ac:dyDescent="0.15">
      <c r="Q67" s="7">
        <v>58</v>
      </c>
      <c r="R67" s="7">
        <f>INT(求节点(其他调用!$S$8:$S$14,其他调用!$Q$8:$Q$14,$Q67))</f>
        <v>7</v>
      </c>
      <c r="S67" s="58">
        <f>IF($Q67&lt;其他调用!$R$8,0,求节点($E$10:$E$29,$H$10:$H$29,$Q67)+求节点(其他调用!$M$8:$M$11,其他调用!$L$8:$L$11,$Q67))</f>
        <v>39.498995119150159</v>
      </c>
      <c r="T67" s="8">
        <f>IF($Q67=1,0,S67-S66+其他调用!$V$8)</f>
        <v>1.1435544071202983</v>
      </c>
      <c r="U67" s="47">
        <f t="shared" si="1"/>
        <v>68613.264427217902</v>
      </c>
      <c r="V67" s="47">
        <f>SUM($U$10:U67)</f>
        <v>3470217.6719180467</v>
      </c>
      <c r="W67" s="47">
        <f t="shared" si="5"/>
        <v>10035000</v>
      </c>
      <c r="X67" s="47">
        <f t="shared" si="6"/>
        <v>2.8917494372776593</v>
      </c>
      <c r="AB67" s="47">
        <v>58</v>
      </c>
      <c r="AC67" s="47">
        <f>V67+军团义军任务!Y62+移动营寨!U63</f>
        <v>13632302.436046597</v>
      </c>
      <c r="AE67" s="53">
        <f t="shared" si="2"/>
        <v>0.25455844221458007</v>
      </c>
      <c r="AF67" s="53">
        <f>军团义军任务!Y62/AC67</f>
        <v>0.55838584860035378</v>
      </c>
      <c r="AG67" s="53">
        <f>移动营寨!U63/AC67</f>
        <v>0.18705570918506609</v>
      </c>
      <c r="AL67" s="47">
        <v>58</v>
      </c>
      <c r="AM67" s="47">
        <f t="shared" si="9"/>
        <v>1356000</v>
      </c>
      <c r="AR67" s="47">
        <v>58</v>
      </c>
      <c r="AS67" s="47">
        <f t="shared" si="3"/>
        <v>10.053320380565337</v>
      </c>
    </row>
    <row r="68" spans="17:45" x14ac:dyDescent="0.15">
      <c r="Q68" s="7">
        <v>59</v>
      </c>
      <c r="R68" s="7">
        <f>INT(求节点(其他调用!$S$8:$S$14,其他调用!$Q$8:$Q$14,$Q68))</f>
        <v>7</v>
      </c>
      <c r="S68" s="58">
        <f>IF($Q68&lt;其他调用!$R$8,0,求节点($E$10:$E$29,$H$10:$H$29,$Q68)+求节点(其他调用!$M$8:$M$11,其他调用!$L$8:$L$11,$Q68))</f>
        <v>39.642549526270457</v>
      </c>
      <c r="T68" s="8">
        <f>IF($Q68=1,0,S68-S67+其他调用!$V$8)</f>
        <v>1.1435544071202983</v>
      </c>
      <c r="U68" s="47">
        <f t="shared" si="1"/>
        <v>68613.264427217902</v>
      </c>
      <c r="V68" s="47">
        <f>SUM($U$10:U68)</f>
        <v>3538830.9363452648</v>
      </c>
      <c r="W68" s="47">
        <f t="shared" si="5"/>
        <v>10260000</v>
      </c>
      <c r="X68" s="47">
        <f t="shared" si="6"/>
        <v>2.8992625487206904</v>
      </c>
      <c r="AB68" s="47">
        <v>59</v>
      </c>
      <c r="AC68" s="47">
        <f>V68+军团义军任务!Y63+移动营寨!U64</f>
        <v>13882158.541234652</v>
      </c>
      <c r="AE68" s="53">
        <f t="shared" si="2"/>
        <v>0.25491935752165296</v>
      </c>
      <c r="AF68" s="53">
        <f>军团义军任务!Y63/AC68</f>
        <v>0.55778988418041153</v>
      </c>
      <c r="AG68" s="53">
        <f>移动营寨!U64/AC68</f>
        <v>0.18729075829793551</v>
      </c>
      <c r="AL68" s="47">
        <v>59</v>
      </c>
      <c r="AM68" s="47">
        <f t="shared" si="9"/>
        <v>1356000</v>
      </c>
      <c r="AR68" s="47">
        <v>59</v>
      </c>
      <c r="AS68" s="47">
        <f t="shared" si="3"/>
        <v>10.237580045158298</v>
      </c>
    </row>
    <row r="69" spans="17:45" x14ac:dyDescent="0.15">
      <c r="Q69" s="7">
        <v>60</v>
      </c>
      <c r="R69" s="7">
        <f>INT(求节点(其他调用!$S$8:$S$14,其他调用!$Q$8:$Q$14,$Q69))</f>
        <v>7</v>
      </c>
      <c r="S69" s="58">
        <f>IF($Q69&lt;其他调用!$R$8,0,求节点($E$10:$E$29,$H$10:$H$29,$Q69)+求节点(其他调用!$M$8:$M$11,其他调用!$L$8:$L$11,$Q69))</f>
        <v>39.786103933390756</v>
      </c>
      <c r="T69" s="8">
        <f>IF($Q69=1,0,S69-S68+其他调用!$V$8)</f>
        <v>1.1435544071202983</v>
      </c>
      <c r="U69" s="47">
        <f t="shared" si="1"/>
        <v>68613.264427217902</v>
      </c>
      <c r="V69" s="47">
        <f>SUM($U$10:U69)</f>
        <v>3607444.2007724829</v>
      </c>
      <c r="W69" s="47">
        <f t="shared" si="5"/>
        <v>10485000</v>
      </c>
      <c r="X69" s="47">
        <f t="shared" si="6"/>
        <v>2.9064898627551292</v>
      </c>
      <c r="AB69" s="47">
        <v>60</v>
      </c>
      <c r="AC69" s="47">
        <f>V69+军团义军任务!Y64+移动营寨!U65</f>
        <v>14132014.646422707</v>
      </c>
      <c r="AE69" s="53">
        <f t="shared" si="2"/>
        <v>0.25526751075690751</v>
      </c>
      <c r="AF69" s="53">
        <f>军团义军任务!Y64/AC69</f>
        <v>0.55721499323831691</v>
      </c>
      <c r="AG69" s="53">
        <f>移动营寨!U65/AC69</f>
        <v>0.1875174960047756</v>
      </c>
      <c r="AL69" s="47">
        <v>60</v>
      </c>
      <c r="AM69" s="47">
        <f t="shared" si="9"/>
        <v>1356000</v>
      </c>
      <c r="AR69" s="47">
        <v>60</v>
      </c>
      <c r="AS69" s="47">
        <f t="shared" si="3"/>
        <v>10.421839709751259</v>
      </c>
    </row>
    <row r="70" spans="17:45" x14ac:dyDescent="0.15">
      <c r="Q70" s="7">
        <v>61</v>
      </c>
      <c r="R70" s="7">
        <f>INT(求节点(其他调用!$S$8:$S$14,其他调用!$Q$8:$Q$14,$Q70))</f>
        <v>7</v>
      </c>
      <c r="S70" s="58">
        <f>IF($Q70&lt;其他调用!$R$8,0,求节点($E$10:$E$29,$H$10:$H$29,$Q70)+求节点(其他调用!$M$8:$M$11,其他调用!$L$8:$L$11,$Q70))</f>
        <v>39.929658340511054</v>
      </c>
      <c r="T70" s="8">
        <f>IF($Q70=1,0,S70-S69+其他调用!$V$8)</f>
        <v>1.1435544071202983</v>
      </c>
      <c r="U70" s="47">
        <f t="shared" si="1"/>
        <v>68613.264427217902</v>
      </c>
      <c r="V70" s="47">
        <f>SUM($U$10:U70)</f>
        <v>3676057.465199701</v>
      </c>
      <c r="W70" s="47">
        <f t="shared" si="5"/>
        <v>10710000</v>
      </c>
      <c r="X70" s="47">
        <f t="shared" si="6"/>
        <v>2.913447382525665</v>
      </c>
      <c r="AB70" s="47">
        <v>61</v>
      </c>
      <c r="AC70" s="47">
        <f>V70+军团义军任务!Y65+移动营寨!U66</f>
        <v>14381870.751610762</v>
      </c>
      <c r="AE70" s="53">
        <f t="shared" si="2"/>
        <v>0.25560356706640441</v>
      </c>
      <c r="AF70" s="53">
        <f>军团义军任务!Y65/AC70</f>
        <v>0.55666007744607315</v>
      </c>
      <c r="AG70" s="53">
        <f>移动营寨!U66/AC70</f>
        <v>0.18773635548752249</v>
      </c>
      <c r="AL70" s="47">
        <v>61</v>
      </c>
      <c r="AM70" s="47">
        <f t="shared" si="9"/>
        <v>1356000</v>
      </c>
      <c r="AR70" s="47">
        <v>61</v>
      </c>
      <c r="AS70" s="47">
        <f t="shared" si="3"/>
        <v>10.60609937434422</v>
      </c>
    </row>
    <row r="71" spans="17:45" x14ac:dyDescent="0.15">
      <c r="Q71" s="7">
        <v>62</v>
      </c>
      <c r="R71" s="7">
        <f>INT(求节点(其他调用!$S$8:$S$14,其他调用!$Q$8:$Q$14,$Q71))</f>
        <v>7</v>
      </c>
      <c r="S71" s="58">
        <f>IF($Q71&lt;其他调用!$R$8,0,求节点($E$10:$E$29,$H$10:$H$29,$Q71)+求节点(其他调用!$M$8:$M$11,其他调用!$L$8:$L$11,$Q71))</f>
        <v>40</v>
      </c>
      <c r="T71" s="8">
        <f>IF($Q71=1,0,S71-S70+其他调用!$V$8)</f>
        <v>1.0703416594889461</v>
      </c>
      <c r="U71" s="47">
        <f t="shared" si="1"/>
        <v>64220.499569336767</v>
      </c>
      <c r="V71" s="47">
        <f>SUM($U$10:U71)</f>
        <v>3740277.9647690379</v>
      </c>
      <c r="W71" s="47">
        <f t="shared" si="5"/>
        <v>10935000</v>
      </c>
      <c r="X71" s="47">
        <f t="shared" si="6"/>
        <v>2.9235795047856117</v>
      </c>
      <c r="AB71" s="47">
        <v>62</v>
      </c>
      <c r="AC71" s="47">
        <f>V71+军团义军任务!Y66+移动营寨!U67</f>
        <v>14627334.091940936</v>
      </c>
      <c r="AE71" s="53">
        <f t="shared" si="2"/>
        <v>0.25570469241075028</v>
      </c>
      <c r="AF71" s="53">
        <f>军团义军任务!Y66/AC71</f>
        <v>0.55629112427636995</v>
      </c>
      <c r="AG71" s="53">
        <f>移动营寨!U67/AC71</f>
        <v>0.1880041833128798</v>
      </c>
      <c r="AL71" s="47">
        <v>62</v>
      </c>
      <c r="AM71" s="47">
        <f t="shared" si="9"/>
        <v>1356000</v>
      </c>
      <c r="AR71" s="47">
        <v>62</v>
      </c>
      <c r="AS71" s="47">
        <f t="shared" si="3"/>
        <v>10.787119536829598</v>
      </c>
    </row>
    <row r="72" spans="17:45" x14ac:dyDescent="0.15">
      <c r="Q72" s="7">
        <v>63</v>
      </c>
      <c r="R72" s="7">
        <f>INT(求节点(其他调用!$S$8:$S$14,其他调用!$Q$8:$Q$14,$Q72))</f>
        <v>7</v>
      </c>
      <c r="S72" s="58">
        <f>IF($Q72&lt;其他调用!$R$8,0,求节点($E$10:$E$29,$H$10:$H$29,$Q72)+求节点(其他调用!$M$8:$M$11,其他调用!$L$8:$L$11,$Q72))</f>
        <v>40</v>
      </c>
      <c r="T72" s="8">
        <f>IF($Q72=1,0,S72-S71+其他调用!$V$8)</f>
        <v>1</v>
      </c>
      <c r="U72" s="47">
        <f t="shared" si="1"/>
        <v>60000</v>
      </c>
      <c r="V72" s="47">
        <f>SUM($U$10:U72)</f>
        <v>3800277.9647690379</v>
      </c>
      <c r="W72" s="47">
        <f t="shared" si="5"/>
        <v>11160000</v>
      </c>
      <c r="X72" s="47">
        <f t="shared" si="6"/>
        <v>2.9366272950189973</v>
      </c>
      <c r="AB72" s="47">
        <v>63</v>
      </c>
      <c r="AC72" s="47">
        <f>V72+军团义军任务!Y67+移动营寨!U68</f>
        <v>14868576.932701774</v>
      </c>
      <c r="AE72" s="53">
        <f t="shared" si="2"/>
        <v>0.25559123660387101</v>
      </c>
      <c r="AF72" s="53">
        <f>军团义军任务!Y67/AC72</f>
        <v>0.55609215363089226</v>
      </c>
      <c r="AG72" s="53">
        <f>移动营寨!U68/AC72</f>
        <v>0.1883166097652367</v>
      </c>
      <c r="AL72" s="47">
        <v>63</v>
      </c>
      <c r="AM72" s="47">
        <f t="shared" si="9"/>
        <v>1356000</v>
      </c>
      <c r="AR72" s="47">
        <v>63</v>
      </c>
      <c r="AS72" s="47">
        <f t="shared" si="3"/>
        <v>10.965027236505733</v>
      </c>
    </row>
    <row r="73" spans="17:45" x14ac:dyDescent="0.15">
      <c r="Q73" s="7">
        <v>64</v>
      </c>
      <c r="R73" s="7">
        <f>INT(求节点(其他调用!$S$8:$S$14,其他调用!$Q$8:$Q$14,$Q73))</f>
        <v>7</v>
      </c>
      <c r="S73" s="58">
        <f>IF($Q73&lt;其他调用!$R$8,0,求节点($E$10:$E$29,$H$10:$H$29,$Q73)+求节点(其他调用!$M$8:$M$11,其他调用!$L$8:$L$11,$Q73))</f>
        <v>40</v>
      </c>
      <c r="T73" s="8">
        <f>IF($Q73=1,0,S73-S72+其他调用!$V$8)</f>
        <v>1</v>
      </c>
      <c r="U73" s="47">
        <f t="shared" si="1"/>
        <v>60000</v>
      </c>
      <c r="V73" s="47">
        <f>SUM($U$10:U73)</f>
        <v>3860277.9647690379</v>
      </c>
      <c r="W73" s="47">
        <f t="shared" si="5"/>
        <v>11385000</v>
      </c>
      <c r="X73" s="47">
        <f t="shared" si="6"/>
        <v>2.949269483675943</v>
      </c>
      <c r="AB73" s="47">
        <v>64</v>
      </c>
      <c r="AC73" s="47">
        <f>V73+军团义军任务!Y68+移动营寨!U69</f>
        <v>15109819.77346261</v>
      </c>
      <c r="AE73" s="53">
        <f t="shared" si="2"/>
        <v>0.25548140365968147</v>
      </c>
      <c r="AF73" s="53">
        <f>军团义军任务!Y68/AC73</f>
        <v>0.55589953650179835</v>
      </c>
      <c r="AG73" s="53">
        <f>移动营寨!U69/AC73</f>
        <v>0.1886190598385202</v>
      </c>
      <c r="AL73" s="47">
        <v>64</v>
      </c>
      <c r="AM73" s="47">
        <f t="shared" si="9"/>
        <v>1356000</v>
      </c>
      <c r="AR73" s="47">
        <v>64</v>
      </c>
      <c r="AS73" s="47">
        <f t="shared" si="3"/>
        <v>11.142934936181867</v>
      </c>
    </row>
    <row r="74" spans="17:45" x14ac:dyDescent="0.15">
      <c r="Q74" s="7">
        <v>65</v>
      </c>
      <c r="R74" s="7">
        <f>INT(求节点(其他调用!$S$8:$S$14,其他调用!$Q$8:$Q$14,$Q74))</f>
        <v>7</v>
      </c>
      <c r="S74" s="58">
        <f>IF($Q74&lt;其他调用!$R$8,0,求节点($E$10:$E$29,$H$10:$H$29,$Q74)+求节点(其他调用!$M$8:$M$11,其他调用!$L$8:$L$11,$Q74))</f>
        <v>40</v>
      </c>
      <c r="T74" s="8">
        <f>IF($Q74=1,0,S74-S73+其他调用!$V$8)</f>
        <v>1</v>
      </c>
      <c r="U74" s="47">
        <f t="shared" si="1"/>
        <v>60000</v>
      </c>
      <c r="V74" s="47">
        <f>SUM($U$10:U74)</f>
        <v>3920277.9647690379</v>
      </c>
      <c r="W74" s="47">
        <f t="shared" si="5"/>
        <v>11610000</v>
      </c>
      <c r="X74" s="47">
        <f t="shared" si="6"/>
        <v>2.9615246939980695</v>
      </c>
      <c r="AB74" s="47">
        <v>65</v>
      </c>
      <c r="AC74" s="47">
        <f>V74+军团义军任务!Y69+移动营寨!U70</f>
        <v>15351062.614223447</v>
      </c>
      <c r="AE74" s="53">
        <f t="shared" si="2"/>
        <v>0.2553750227776887</v>
      </c>
      <c r="AF74" s="53">
        <f>军团义军任务!Y69/AC74</f>
        <v>0.55571297335145098</v>
      </c>
      <c r="AG74" s="53">
        <f>移动营寨!U70/AC74</f>
        <v>0.18891200387086038</v>
      </c>
      <c r="AL74" s="47">
        <v>65</v>
      </c>
      <c r="AM74" s="47">
        <f t="shared" ref="AM74:AM109" si="10">求节点($E$10:$E$29,$G$10:$G$29,$AL74)</f>
        <v>1356000</v>
      </c>
      <c r="AR74" s="47">
        <v>65</v>
      </c>
      <c r="AS74" s="47">
        <f t="shared" si="3"/>
        <v>11.320842635858</v>
      </c>
    </row>
    <row r="75" spans="17:45" x14ac:dyDescent="0.15">
      <c r="Q75" s="7">
        <v>66</v>
      </c>
      <c r="R75" s="7">
        <f>INT(求节点(其他调用!$S$8:$S$14,其他调用!$Q$8:$Q$14,$Q75))</f>
        <v>7</v>
      </c>
      <c r="S75" s="58">
        <f>IF($Q75&lt;其他调用!$R$8,0,求节点($E$10:$E$29,$H$10:$H$29,$Q75)+求节点(其他调用!$M$8:$M$11,其他调用!$L$8:$L$11,$Q75))</f>
        <v>40</v>
      </c>
      <c r="T75" s="8">
        <f>IF($Q75=1,0,S75-S74+其他调用!$V$8)</f>
        <v>1</v>
      </c>
      <c r="U75" s="47">
        <f t="shared" ref="U75:U109" si="11">IF(T75=0,0,MIN($O$8,T75*INDEX($O$10:$O$16,MATCH($R75,$N$10:$N$16,0))))</f>
        <v>60000</v>
      </c>
      <c r="V75" s="47">
        <f>SUM($U$10:U75)</f>
        <v>3980277.9647690379</v>
      </c>
      <c r="W75" s="47">
        <f t="shared" si="5"/>
        <v>11835000</v>
      </c>
      <c r="X75" s="47">
        <f t="shared" si="6"/>
        <v>2.9734104262958794</v>
      </c>
      <c r="AB75" s="47">
        <v>66</v>
      </c>
      <c r="AC75" s="47">
        <f>V75+军团义军任务!Y70+移动营寨!U71</f>
        <v>15592305.454984283</v>
      </c>
      <c r="AE75" s="53">
        <f t="shared" ref="AE75:AE109" si="12">V75/AC75</f>
        <v>0.25527193372784335</v>
      </c>
      <c r="AF75" s="53">
        <f>军团义军任务!Y70/AC75</f>
        <v>0.55553218317989761</v>
      </c>
      <c r="AG75" s="53">
        <f>移动营寨!U71/AC75</f>
        <v>0.18919588309225907</v>
      </c>
      <c r="AL75" s="47">
        <v>66</v>
      </c>
      <c r="AM75" s="47">
        <f t="shared" si="10"/>
        <v>1356000</v>
      </c>
      <c r="AR75" s="47">
        <v>66</v>
      </c>
      <c r="AS75" s="47">
        <f t="shared" ref="AS75:AS109" si="13">AC75/AM75</f>
        <v>11.498750335534131</v>
      </c>
    </row>
    <row r="76" spans="17:45" x14ac:dyDescent="0.15">
      <c r="Q76" s="7">
        <v>67</v>
      </c>
      <c r="R76" s="7">
        <f>INT(求节点(其他调用!$S$8:$S$14,其他调用!$Q$8:$Q$14,$Q76))</f>
        <v>7</v>
      </c>
      <c r="S76" s="58">
        <f>IF($Q76&lt;其他调用!$R$8,0,求节点($E$10:$E$29,$H$10:$H$29,$Q76)+求节点(其他调用!$M$8:$M$11,其他调用!$L$8:$L$11,$Q76))</f>
        <v>40</v>
      </c>
      <c r="T76" s="8">
        <f>IF($Q76=1,0,S76-S75+其他调用!$V$8)</f>
        <v>1</v>
      </c>
      <c r="U76" s="47">
        <f t="shared" si="11"/>
        <v>60000</v>
      </c>
      <c r="V76" s="47">
        <f>SUM($U$10:U76)</f>
        <v>4040277.9647690379</v>
      </c>
      <c r="W76" s="47">
        <f t="shared" ref="W76:W109" si="14">IFERROR(INDEX($O$10:$O$16,R76-2),$O$10)*(3*60/20)+W75</f>
        <v>12060000</v>
      </c>
      <c r="X76" s="47">
        <f t="shared" ref="X76:X109" si="15">W76/V76</f>
        <v>2.9849431413289924</v>
      </c>
      <c r="AB76" s="47">
        <v>67</v>
      </c>
      <c r="AC76" s="47">
        <f>V76+军团义军任务!Y71+移动营寨!U72</f>
        <v>15833548.295745119</v>
      </c>
      <c r="AE76" s="53">
        <f t="shared" si="12"/>
        <v>0.25517198604527352</v>
      </c>
      <c r="AF76" s="53">
        <f>军团义军任务!Y71/AC76</f>
        <v>0.55535690211265276</v>
      </c>
      <c r="AG76" s="53">
        <f>移动营寨!U72/AC76</f>
        <v>0.18947111184207377</v>
      </c>
      <c r="AL76" s="47">
        <v>67</v>
      </c>
      <c r="AM76" s="47">
        <f t="shared" si="10"/>
        <v>1356000</v>
      </c>
      <c r="AR76" s="47">
        <v>67</v>
      </c>
      <c r="AS76" s="47">
        <f t="shared" si="13"/>
        <v>11.676658035210265</v>
      </c>
    </row>
    <row r="77" spans="17:45" x14ac:dyDescent="0.15">
      <c r="Q77" s="7">
        <v>68</v>
      </c>
      <c r="R77" s="7">
        <f>INT(求节点(其他调用!$S$8:$S$14,其他调用!$Q$8:$Q$14,$Q77))</f>
        <v>7</v>
      </c>
      <c r="S77" s="58">
        <f>IF($Q77&lt;其他调用!$R$8,0,求节点($E$10:$E$29,$H$10:$H$29,$Q77)+求节点(其他调用!$M$8:$M$11,其他调用!$L$8:$L$11,$Q77))</f>
        <v>40</v>
      </c>
      <c r="T77" s="8">
        <f>IF($Q77=1,0,S77-S76+其他调用!$V$8)</f>
        <v>1</v>
      </c>
      <c r="U77" s="47">
        <f t="shared" si="11"/>
        <v>60000</v>
      </c>
      <c r="V77" s="47">
        <f>SUM($U$10:U77)</f>
        <v>4100277.9647690379</v>
      </c>
      <c r="W77" s="47">
        <f t="shared" si="14"/>
        <v>12285000</v>
      </c>
      <c r="X77" s="47">
        <f t="shared" si="15"/>
        <v>2.9961383363656893</v>
      </c>
      <c r="AB77" s="47">
        <v>68</v>
      </c>
      <c r="AC77" s="47">
        <f>V77+军团义军任务!Y72+移动营寨!U73</f>
        <v>16074791.136505956</v>
      </c>
      <c r="AE77" s="53">
        <f t="shared" si="12"/>
        <v>0.25507503829752909</v>
      </c>
      <c r="AF77" s="53">
        <f>军团义军任务!Y72/AC77</f>
        <v>0.55518688211564315</v>
      </c>
      <c r="AG77" s="53">
        <f>移动营寨!U73/AC77</f>
        <v>0.18973807958682773</v>
      </c>
      <c r="AL77" s="47">
        <v>68</v>
      </c>
      <c r="AM77" s="47">
        <f t="shared" si="10"/>
        <v>1356000</v>
      </c>
      <c r="AR77" s="47">
        <v>68</v>
      </c>
      <c r="AS77" s="47">
        <f t="shared" si="13"/>
        <v>11.854565734886398</v>
      </c>
    </row>
    <row r="78" spans="17:45" x14ac:dyDescent="0.15">
      <c r="Q78" s="7">
        <v>69</v>
      </c>
      <c r="R78" s="7">
        <f>INT(求节点(其他调用!$S$8:$S$14,其他调用!$Q$8:$Q$14,$Q78))</f>
        <v>7</v>
      </c>
      <c r="S78" s="58">
        <f>IF($Q78&lt;其他调用!$R$8,0,求节点($E$10:$E$29,$H$10:$H$29,$Q78)+求节点(其他调用!$M$8:$M$11,其他调用!$L$8:$L$11,$Q78))</f>
        <v>40</v>
      </c>
      <c r="T78" s="8">
        <f>IF($Q78=1,0,S78-S77+其他调用!$V$8)</f>
        <v>1</v>
      </c>
      <c r="U78" s="47">
        <f t="shared" si="11"/>
        <v>60000</v>
      </c>
      <c r="V78" s="47">
        <f>SUM($U$10:U78)</f>
        <v>4160277.9647690379</v>
      </c>
      <c r="W78" s="47">
        <f t="shared" si="14"/>
        <v>12510000</v>
      </c>
      <c r="X78" s="47">
        <f t="shared" si="15"/>
        <v>3.0070106146608175</v>
      </c>
      <c r="AB78" s="47">
        <v>69</v>
      </c>
      <c r="AC78" s="47">
        <f>V78+军团义军任务!Y73+移动营寨!U74</f>
        <v>16316033.977266792</v>
      </c>
      <c r="AE78" s="53">
        <f t="shared" si="12"/>
        <v>0.25498095741683136</v>
      </c>
      <c r="AF78" s="53">
        <f>军团义军任务!Y73/AC78</f>
        <v>0.55502188982415601</v>
      </c>
      <c r="AG78" s="53">
        <f>移动营寨!U74/AC78</f>
        <v>0.18999715275901269</v>
      </c>
      <c r="AL78" s="47">
        <v>69</v>
      </c>
      <c r="AM78" s="47">
        <f t="shared" si="10"/>
        <v>1356000</v>
      </c>
      <c r="AR78" s="47">
        <v>69</v>
      </c>
      <c r="AS78" s="47">
        <f t="shared" si="13"/>
        <v>12.032473434562531</v>
      </c>
    </row>
    <row r="79" spans="17:45" x14ac:dyDescent="0.15">
      <c r="Q79" s="7">
        <v>70</v>
      </c>
      <c r="R79" s="7">
        <f>INT(求节点(其他调用!$S$8:$S$14,其他调用!$Q$8:$Q$14,$Q79))</f>
        <v>7</v>
      </c>
      <c r="S79" s="58">
        <f>IF($Q79&lt;其他调用!$R$8,0,求节点($E$10:$E$29,$H$10:$H$29,$Q79)+求节点(其他调用!$M$8:$M$11,其他调用!$L$8:$L$11,$Q79))</f>
        <v>40</v>
      </c>
      <c r="T79" s="8">
        <f>IF($Q79=1,0,S79-S78+其他调用!$V$8)</f>
        <v>1</v>
      </c>
      <c r="U79" s="47">
        <f t="shared" si="11"/>
        <v>60000</v>
      </c>
      <c r="V79" s="47">
        <f>SUM($U$10:U79)</f>
        <v>4220277.9647690374</v>
      </c>
      <c r="W79" s="47">
        <f t="shared" si="14"/>
        <v>12735000</v>
      </c>
      <c r="X79" s="47">
        <f t="shared" si="15"/>
        <v>3.0175737490070627</v>
      </c>
      <c r="AB79" s="47">
        <v>70</v>
      </c>
      <c r="AC79" s="47">
        <f>V79+军团义军任务!Y74+移动营寨!U75</f>
        <v>16557276.818027629</v>
      </c>
      <c r="AE79" s="53">
        <f t="shared" si="12"/>
        <v>0.25488961809069849</v>
      </c>
      <c r="AF79" s="53">
        <f>军团义军任务!Y74/AC79</f>
        <v>0.55486170547416047</v>
      </c>
      <c r="AG79" s="53">
        <f>移动营寨!U75/AC79</f>
        <v>0.19024867643514104</v>
      </c>
      <c r="AL79" s="47">
        <v>70</v>
      </c>
      <c r="AM79" s="47">
        <f t="shared" si="10"/>
        <v>1356000</v>
      </c>
      <c r="AR79" s="47">
        <v>70</v>
      </c>
      <c r="AS79" s="47">
        <f t="shared" si="13"/>
        <v>12.210381134238665</v>
      </c>
    </row>
    <row r="80" spans="17:45" x14ac:dyDescent="0.15">
      <c r="Q80" s="7">
        <v>71</v>
      </c>
      <c r="R80" s="7">
        <f>INT(求节点(其他调用!$S$8:$S$14,其他调用!$Q$8:$Q$14,$Q80))</f>
        <v>7</v>
      </c>
      <c r="S80" s="58">
        <f>IF($Q80&lt;其他调用!$R$8,0,求节点($E$10:$E$29,$H$10:$H$29,$Q80)+求节点(其他调用!$M$8:$M$11,其他调用!$L$8:$L$11,$Q80))</f>
        <v>40</v>
      </c>
      <c r="T80" s="8">
        <f>IF($Q80=1,0,S80-S79+其他调用!$V$8)</f>
        <v>1</v>
      </c>
      <c r="U80" s="47">
        <f t="shared" si="11"/>
        <v>60000</v>
      </c>
      <c r="V80" s="47">
        <f>SUM($U$10:U80)</f>
        <v>4280277.9647690374</v>
      </c>
      <c r="W80" s="47">
        <f t="shared" si="14"/>
        <v>12960000</v>
      </c>
      <c r="X80" s="47">
        <f t="shared" si="15"/>
        <v>3.0278407399411309</v>
      </c>
      <c r="AB80" s="47">
        <v>71</v>
      </c>
      <c r="AC80" s="47">
        <f>V80+军团义军任务!Y75+移动营寨!U76</f>
        <v>16798519.658788465</v>
      </c>
      <c r="AE80" s="53">
        <f t="shared" si="12"/>
        <v>0.25480090220507784</v>
      </c>
      <c r="AF80" s="53">
        <f>军团义军任务!Y75/AC80</f>
        <v>0.55470612192571456</v>
      </c>
      <c r="AG80" s="53">
        <f>移动营寨!U76/AC80</f>
        <v>0.19049297586920758</v>
      </c>
      <c r="AL80" s="47">
        <v>71</v>
      </c>
      <c r="AM80" s="47">
        <f t="shared" si="10"/>
        <v>1356000</v>
      </c>
      <c r="AR80" s="47">
        <v>71</v>
      </c>
      <c r="AS80" s="47">
        <f t="shared" si="13"/>
        <v>12.388288833914798</v>
      </c>
    </row>
    <row r="81" spans="17:45" x14ac:dyDescent="0.15">
      <c r="Q81" s="7">
        <v>72</v>
      </c>
      <c r="R81" s="7">
        <f>INT(求节点(其他调用!$S$8:$S$14,其他调用!$Q$8:$Q$14,$Q81))</f>
        <v>7</v>
      </c>
      <c r="S81" s="58">
        <f>IF($Q81&lt;其他调用!$R$8,0,求节点($E$10:$E$29,$H$10:$H$29,$Q81)+求节点(其他调用!$M$8:$M$11,其他调用!$L$8:$L$11,$Q81))</f>
        <v>40</v>
      </c>
      <c r="T81" s="8">
        <f>IF($Q81=1,0,S81-S80+其他调用!$V$8)</f>
        <v>1</v>
      </c>
      <c r="U81" s="47">
        <f t="shared" si="11"/>
        <v>60000</v>
      </c>
      <c r="V81" s="47">
        <f>SUM($U$10:U81)</f>
        <v>4340277.9647690374</v>
      </c>
      <c r="W81" s="47">
        <f t="shared" si="14"/>
        <v>13185000</v>
      </c>
      <c r="X81" s="47">
        <f t="shared" si="15"/>
        <v>3.0378238691220836</v>
      </c>
      <c r="AB81" s="47">
        <v>72</v>
      </c>
      <c r="AC81" s="47">
        <f>V81+军团义军任务!Y76+移动营寨!U77</f>
        <v>17039762.499549299</v>
      </c>
      <c r="AE81" s="53">
        <f t="shared" si="12"/>
        <v>0.25471469833478239</v>
      </c>
      <c r="AF81" s="53">
        <f>军团义军任务!Y76/AC81</f>
        <v>0.5545549437693279</v>
      </c>
      <c r="AG81" s="53">
        <f>移动营寨!U77/AC81</f>
        <v>0.19073035789588982</v>
      </c>
      <c r="AL81" s="47">
        <v>72</v>
      </c>
      <c r="AM81" s="47">
        <f t="shared" si="10"/>
        <v>1356000</v>
      </c>
      <c r="AR81" s="47">
        <v>72</v>
      </c>
      <c r="AS81" s="47">
        <f t="shared" si="13"/>
        <v>12.566196533590929</v>
      </c>
    </row>
    <row r="82" spans="17:45" x14ac:dyDescent="0.15">
      <c r="Q82" s="7">
        <v>73</v>
      </c>
      <c r="R82" s="7">
        <f>INT(求节点(其他调用!$S$8:$S$14,其他调用!$Q$8:$Q$14,$Q82))</f>
        <v>7</v>
      </c>
      <c r="S82" s="58">
        <f>IF($Q82&lt;其他调用!$R$8,0,求节点($E$10:$E$29,$H$10:$H$29,$Q82)+求节点(其他调用!$M$8:$M$11,其他调用!$L$8:$L$11,$Q82))</f>
        <v>40</v>
      </c>
      <c r="T82" s="8">
        <f>IF($Q82=1,0,S82-S81+其他调用!$V$8)</f>
        <v>1</v>
      </c>
      <c r="U82" s="47">
        <f t="shared" si="11"/>
        <v>60000</v>
      </c>
      <c r="V82" s="47">
        <f>SUM($U$10:U82)</f>
        <v>4400277.9647690374</v>
      </c>
      <c r="W82" s="47">
        <f t="shared" si="14"/>
        <v>13410000</v>
      </c>
      <c r="X82" s="47">
        <f t="shared" si="15"/>
        <v>3.0475347483426236</v>
      </c>
      <c r="AB82" s="47">
        <v>73</v>
      </c>
      <c r="AC82" s="47">
        <f>V82+军团义军任务!Y77+移动营寨!U78</f>
        <v>17281005.340310138</v>
      </c>
      <c r="AE82" s="53">
        <f t="shared" si="12"/>
        <v>0.25463090127660748</v>
      </c>
      <c r="AF82" s="53">
        <f>军团义军任务!Y77/AC82</f>
        <v>0.55440798650717604</v>
      </c>
      <c r="AG82" s="53">
        <f>移动营寨!U78/AC82</f>
        <v>0.19096111221621645</v>
      </c>
      <c r="AL82" s="47">
        <v>73</v>
      </c>
      <c r="AM82" s="47">
        <f t="shared" si="10"/>
        <v>1356000</v>
      </c>
      <c r="AR82" s="47">
        <v>73</v>
      </c>
      <c r="AS82" s="47">
        <f t="shared" si="13"/>
        <v>12.744104233267063</v>
      </c>
    </row>
    <row r="83" spans="17:45" x14ac:dyDescent="0.15">
      <c r="Q83" s="7">
        <v>74</v>
      </c>
      <c r="R83" s="7">
        <f>INT(求节点(其他调用!$S$8:$S$14,其他调用!$Q$8:$Q$14,$Q83))</f>
        <v>7</v>
      </c>
      <c r="S83" s="58">
        <f>IF($Q83&lt;其他调用!$R$8,0,求节点($E$10:$E$29,$H$10:$H$29,$Q83)+求节点(其他调用!$M$8:$M$11,其他调用!$L$8:$L$11,$Q83))</f>
        <v>40</v>
      </c>
      <c r="T83" s="8">
        <f>IF($Q83=1,0,S83-S82+其他调用!$V$8)</f>
        <v>1</v>
      </c>
      <c r="U83" s="47">
        <f t="shared" si="11"/>
        <v>60000</v>
      </c>
      <c r="V83" s="47">
        <f>SUM($U$10:U83)</f>
        <v>4460277.9647690374</v>
      </c>
      <c r="W83" s="47">
        <f t="shared" si="14"/>
        <v>13635000</v>
      </c>
      <c r="X83" s="47">
        <f t="shared" si="15"/>
        <v>3.056984364584562</v>
      </c>
      <c r="AB83" s="47">
        <v>74</v>
      </c>
      <c r="AC83" s="47">
        <f>V83+军团义军任务!Y78+移动营寨!U79</f>
        <v>17522248.181070976</v>
      </c>
      <c r="AE83" s="53">
        <f t="shared" si="12"/>
        <v>0.25454941162101613</v>
      </c>
      <c r="AF83" s="53">
        <f>军团义军任务!Y78/AC83</f>
        <v>0.55426507580195294</v>
      </c>
      <c r="AG83" s="53">
        <f>移动营寨!U79/AC83</f>
        <v>0.19118551257703079</v>
      </c>
      <c r="AL83" s="47">
        <v>74</v>
      </c>
      <c r="AM83" s="47">
        <f t="shared" si="10"/>
        <v>1356000</v>
      </c>
      <c r="AR83" s="47">
        <v>74</v>
      </c>
      <c r="AS83" s="47">
        <f t="shared" si="13"/>
        <v>12.922011932943198</v>
      </c>
    </row>
    <row r="84" spans="17:45" x14ac:dyDescent="0.15">
      <c r="Q84" s="7">
        <v>75</v>
      </c>
      <c r="R84" s="7">
        <f>INT(求节点(其他调用!$S$8:$S$14,其他调用!$Q$8:$Q$14,$Q84))</f>
        <v>7</v>
      </c>
      <c r="S84" s="58">
        <f>IF($Q84&lt;其他调用!$R$8,0,求节点($E$10:$E$29,$H$10:$H$29,$Q84)+求节点(其他调用!$M$8:$M$11,其他调用!$L$8:$L$11,$Q84))</f>
        <v>40</v>
      </c>
      <c r="T84" s="8">
        <f>IF($Q84=1,0,S84-S83+其他调用!$V$8)</f>
        <v>1</v>
      </c>
      <c r="U84" s="47">
        <f t="shared" si="11"/>
        <v>60000</v>
      </c>
      <c r="V84" s="47">
        <f>SUM($U$10:U84)</f>
        <v>4520277.9647690374</v>
      </c>
      <c r="W84" s="47">
        <f t="shared" si="14"/>
        <v>13860000</v>
      </c>
      <c r="X84" s="47">
        <f t="shared" si="15"/>
        <v>3.06618312148602</v>
      </c>
      <c r="AB84" s="47">
        <v>75</v>
      </c>
      <c r="AC84" s="47">
        <f>V84+军团义军任务!Y79+移动营寨!U80</f>
        <v>17763491.02183181</v>
      </c>
      <c r="AE84" s="53">
        <f t="shared" si="12"/>
        <v>0.25447013535872504</v>
      </c>
      <c r="AF84" s="53">
        <f>军团义军任务!Y79/AC84</f>
        <v>0.55412604678692934</v>
      </c>
      <c r="AG84" s="53">
        <f>移动营寨!U80/AC84</f>
        <v>0.19140381785434565</v>
      </c>
      <c r="AL84" s="47">
        <v>75</v>
      </c>
      <c r="AM84" s="47">
        <f t="shared" si="10"/>
        <v>1356000</v>
      </c>
      <c r="AR84" s="47">
        <v>75</v>
      </c>
      <c r="AS84" s="47">
        <f t="shared" si="13"/>
        <v>13.099919632619329</v>
      </c>
    </row>
    <row r="85" spans="17:45" x14ac:dyDescent="0.15">
      <c r="Q85" s="7">
        <v>76</v>
      </c>
      <c r="R85" s="7">
        <f>INT(求节点(其他调用!$S$8:$S$14,其他调用!$Q$8:$Q$14,$Q85))</f>
        <v>7</v>
      </c>
      <c r="S85" s="58">
        <f>IF($Q85&lt;其他调用!$R$8,0,求节点($E$10:$E$29,$H$10:$H$29,$Q85)+求节点(其他调用!$M$8:$M$11,其他调用!$L$8:$L$11,$Q85))</f>
        <v>40</v>
      </c>
      <c r="T85" s="8">
        <f>IF($Q85=1,0,S85-S84+其他调用!$V$8)</f>
        <v>1</v>
      </c>
      <c r="U85" s="47">
        <f t="shared" si="11"/>
        <v>60000</v>
      </c>
      <c r="V85" s="47">
        <f>SUM($U$10:U85)</f>
        <v>4580277.9647690374</v>
      </c>
      <c r="W85" s="47">
        <f t="shared" si="14"/>
        <v>14085000</v>
      </c>
      <c r="X85" s="47">
        <f t="shared" si="15"/>
        <v>3.0751408775493916</v>
      </c>
      <c r="AB85" s="47">
        <v>76</v>
      </c>
      <c r="AC85" s="47">
        <f>V85+军团义军任务!Y80+移动营寨!U81</f>
        <v>18004733.862592645</v>
      </c>
      <c r="AE85" s="53">
        <f t="shared" si="12"/>
        <v>0.25439298351891809</v>
      </c>
      <c r="AF85" s="53">
        <f>军团义军任务!Y80/AC85</f>
        <v>0.55399074343147825</v>
      </c>
      <c r="AG85" s="53">
        <f>移动营寨!U81/AC85</f>
        <v>0.1916162730496038</v>
      </c>
      <c r="AL85" s="47">
        <v>76</v>
      </c>
      <c r="AM85" s="47">
        <f t="shared" si="10"/>
        <v>1356000</v>
      </c>
      <c r="AR85" s="47">
        <v>76</v>
      </c>
      <c r="AS85" s="47">
        <f t="shared" si="13"/>
        <v>13.277827332295461</v>
      </c>
    </row>
    <row r="86" spans="17:45" x14ac:dyDescent="0.15">
      <c r="Q86" s="7">
        <v>77</v>
      </c>
      <c r="R86" s="7">
        <f>INT(求节点(其他调用!$S$8:$S$14,其他调用!$Q$8:$Q$14,$Q86))</f>
        <v>7</v>
      </c>
      <c r="S86" s="58">
        <f>IF($Q86&lt;其他调用!$R$8,0,求节点($E$10:$E$29,$H$10:$H$29,$Q86)+求节点(其他调用!$M$8:$M$11,其他调用!$L$8:$L$11,$Q86))</f>
        <v>40</v>
      </c>
      <c r="T86" s="8">
        <f>IF($Q86=1,0,S86-S85+其他调用!$V$8)</f>
        <v>1</v>
      </c>
      <c r="U86" s="47">
        <f t="shared" si="11"/>
        <v>60000</v>
      </c>
      <c r="V86" s="47">
        <f>SUM($U$10:U86)</f>
        <v>4640277.9647690374</v>
      </c>
      <c r="W86" s="47">
        <f t="shared" si="14"/>
        <v>14310000</v>
      </c>
      <c r="X86" s="47">
        <f t="shared" si="15"/>
        <v>3.0838669813850812</v>
      </c>
      <c r="AB86" s="47">
        <v>77</v>
      </c>
      <c r="AC86" s="47">
        <f>V86+军团义军任务!Y81+移动营寨!U82</f>
        <v>18245976.703353483</v>
      </c>
      <c r="AE86" s="53">
        <f t="shared" si="12"/>
        <v>0.25431787183616139</v>
      </c>
      <c r="AF86" s="53">
        <f>军团义军任务!Y81/AC86</f>
        <v>0.55385901795693337</v>
      </c>
      <c r="AG86" s="53">
        <f>移动营寨!U82/AC86</f>
        <v>0.19182311020690521</v>
      </c>
      <c r="AL86" s="47">
        <v>77</v>
      </c>
      <c r="AM86" s="47">
        <f t="shared" si="10"/>
        <v>1356000</v>
      </c>
      <c r="AR86" s="47">
        <v>77</v>
      </c>
      <c r="AS86" s="47">
        <f t="shared" si="13"/>
        <v>13.455735031971596</v>
      </c>
    </row>
    <row r="87" spans="17:45" x14ac:dyDescent="0.15">
      <c r="Q87" s="7">
        <v>78</v>
      </c>
      <c r="R87" s="7">
        <f>INT(求节点(其他调用!$S$8:$S$14,其他调用!$Q$8:$Q$14,$Q87))</f>
        <v>7</v>
      </c>
      <c r="S87" s="58">
        <f>IF($Q87&lt;其他调用!$R$8,0,求节点($E$10:$E$29,$H$10:$H$29,$Q87)+求节点(其他调用!$M$8:$M$11,其他调用!$L$8:$L$11,$Q87))</f>
        <v>40</v>
      </c>
      <c r="T87" s="8">
        <f>IF($Q87=1,0,S87-S86+其他调用!$V$8)</f>
        <v>1</v>
      </c>
      <c r="U87" s="47">
        <f t="shared" si="11"/>
        <v>60000</v>
      </c>
      <c r="V87" s="47">
        <f>SUM($U$10:U87)</f>
        <v>4700277.9647690374</v>
      </c>
      <c r="W87" s="47">
        <f t="shared" si="14"/>
        <v>14535000</v>
      </c>
      <c r="X87" s="47">
        <f t="shared" si="15"/>
        <v>3.0923703042558723</v>
      </c>
      <c r="AB87" s="47">
        <v>78</v>
      </c>
      <c r="AC87" s="47">
        <f>V87+军团义军任务!Y82+移动营寨!U83</f>
        <v>18487219.544114321</v>
      </c>
      <c r="AE87" s="53">
        <f t="shared" si="12"/>
        <v>0.25424472044339624</v>
      </c>
      <c r="AF87" s="53">
        <f>军团义军任务!Y82/AC87</f>
        <v>0.55373073029818398</v>
      </c>
      <c r="AG87" s="53">
        <f>移动营寨!U83/AC87</f>
        <v>0.19202454925841969</v>
      </c>
      <c r="AL87" s="47">
        <v>78</v>
      </c>
      <c r="AM87" s="47">
        <f t="shared" si="10"/>
        <v>1356000</v>
      </c>
      <c r="AR87" s="47">
        <v>78</v>
      </c>
      <c r="AS87" s="47">
        <f t="shared" si="13"/>
        <v>13.633642731647729</v>
      </c>
    </row>
    <row r="88" spans="17:45" x14ac:dyDescent="0.15">
      <c r="Q88" s="7">
        <v>79</v>
      </c>
      <c r="R88" s="7">
        <f>INT(求节点(其他调用!$S$8:$S$14,其他调用!$Q$8:$Q$14,$Q88))</f>
        <v>7</v>
      </c>
      <c r="S88" s="58">
        <f>IF($Q88&lt;其他调用!$R$8,0,求节点($E$10:$E$29,$H$10:$H$29,$Q88)+求节点(其他调用!$M$8:$M$11,其他调用!$L$8:$L$11,$Q88))</f>
        <v>40</v>
      </c>
      <c r="T88" s="8">
        <f>IF($Q88=1,0,S88-S87+其他调用!$V$8)</f>
        <v>1</v>
      </c>
      <c r="U88" s="47">
        <f t="shared" si="11"/>
        <v>60000</v>
      </c>
      <c r="V88" s="47">
        <f>SUM($U$10:U88)</f>
        <v>4760277.9647690374</v>
      </c>
      <c r="W88" s="47">
        <f t="shared" si="14"/>
        <v>14760000</v>
      </c>
      <c r="X88" s="47">
        <f t="shared" si="15"/>
        <v>3.1006592701601061</v>
      </c>
      <c r="AB88" s="47">
        <v>79</v>
      </c>
      <c r="AC88" s="47">
        <f>V88+军团义军任务!Y83+移动营寨!U84</f>
        <v>18728462.384875156</v>
      </c>
      <c r="AE88" s="53">
        <f t="shared" si="12"/>
        <v>0.25417345358866039</v>
      </c>
      <c r="AF88" s="53">
        <f>军团义军任务!Y83/AC88</f>
        <v>0.55360574760687875</v>
      </c>
      <c r="AG88" s="53">
        <f>移动营寨!U84/AC88</f>
        <v>0.19222079880446083</v>
      </c>
      <c r="AL88" s="47">
        <v>79</v>
      </c>
      <c r="AM88" s="47">
        <f t="shared" si="10"/>
        <v>1356000</v>
      </c>
      <c r="AR88" s="47">
        <v>79</v>
      </c>
      <c r="AS88" s="47">
        <f t="shared" si="13"/>
        <v>13.811550431323861</v>
      </c>
    </row>
    <row r="89" spans="17:45" x14ac:dyDescent="0.15">
      <c r="Q89" s="7">
        <v>80</v>
      </c>
      <c r="R89" s="7">
        <f>INT(求节点(其他调用!$S$8:$S$14,其他调用!$Q$8:$Q$14,$Q89))</f>
        <v>7</v>
      </c>
      <c r="S89" s="58">
        <f>IF($Q89&lt;其他调用!$R$8,0,求节点($E$10:$E$29,$H$10:$H$29,$Q89)+求节点(其他调用!$M$8:$M$11,其他调用!$L$8:$L$11,$Q89))</f>
        <v>40</v>
      </c>
      <c r="T89" s="8">
        <f>IF($Q89=1,0,S89-S88+其他调用!$V$8)</f>
        <v>1</v>
      </c>
      <c r="U89" s="47">
        <f t="shared" si="11"/>
        <v>60000</v>
      </c>
      <c r="V89" s="47">
        <f>SUM($U$10:U89)</f>
        <v>4820277.9647690374</v>
      </c>
      <c r="W89" s="47">
        <f t="shared" si="14"/>
        <v>14985000</v>
      </c>
      <c r="X89" s="47">
        <f t="shared" si="15"/>
        <v>3.108741883668114</v>
      </c>
      <c r="AB89" s="47">
        <v>80</v>
      </c>
      <c r="AC89" s="47">
        <f>V89+军团义军任务!Y84+移动营寨!U85</f>
        <v>18969705.225635991</v>
      </c>
      <c r="AE89" s="53">
        <f t="shared" si="12"/>
        <v>0.25410399937342354</v>
      </c>
      <c r="AF89" s="53">
        <f>军团义军任务!Y84/AC89</f>
        <v>0.55348394379253962</v>
      </c>
      <c r="AG89" s="53">
        <f>移动营寨!U85/AC89</f>
        <v>0.19241205683403695</v>
      </c>
      <c r="AL89" s="47">
        <v>80</v>
      </c>
      <c r="AM89" s="47">
        <f t="shared" si="10"/>
        <v>1356000</v>
      </c>
      <c r="AR89" s="47">
        <v>80</v>
      </c>
      <c r="AS89" s="47">
        <f t="shared" si="13"/>
        <v>13.989458130999992</v>
      </c>
    </row>
    <row r="90" spans="17:45" x14ac:dyDescent="0.15">
      <c r="Q90" s="7">
        <v>81</v>
      </c>
      <c r="R90" s="7">
        <f>INT(求节点(其他调用!$S$8:$S$14,其他调用!$Q$8:$Q$14,$Q90))</f>
        <v>7</v>
      </c>
      <c r="S90" s="58">
        <f>IF($Q90&lt;其他调用!$R$8,0,求节点($E$10:$E$29,$H$10:$H$29,$Q90)+求节点(其他调用!$M$8:$M$11,其他调用!$L$8:$L$11,$Q90))</f>
        <v>40</v>
      </c>
      <c r="T90" s="8">
        <f>IF($Q90=1,0,S90-S89+其他调用!$V$8)</f>
        <v>1</v>
      </c>
      <c r="U90" s="47">
        <f t="shared" si="11"/>
        <v>60000</v>
      </c>
      <c r="V90" s="47">
        <f>SUM($U$10:U90)</f>
        <v>4880277.9647690374</v>
      </c>
      <c r="W90" s="47">
        <f t="shared" si="14"/>
        <v>15210000</v>
      </c>
      <c r="X90" s="47">
        <f t="shared" si="15"/>
        <v>3.1166257557052539</v>
      </c>
      <c r="AB90" s="47">
        <v>81</v>
      </c>
      <c r="AC90" s="47">
        <f>V90+军团义军任务!Y85+移动营寨!U86</f>
        <v>19210948.066396829</v>
      </c>
      <c r="AE90" s="53">
        <f t="shared" si="12"/>
        <v>0.25403628951063911</v>
      </c>
      <c r="AF90" s="53">
        <f>军团义军任务!Y85/AC90</f>
        <v>0.55336519909824844</v>
      </c>
      <c r="AG90" s="53">
        <f>移动营寨!U86/AC90</f>
        <v>0.19259851139111248</v>
      </c>
      <c r="AL90" s="47">
        <v>81</v>
      </c>
      <c r="AM90" s="47">
        <f t="shared" si="10"/>
        <v>1356000</v>
      </c>
      <c r="AR90" s="47">
        <v>81</v>
      </c>
      <c r="AS90" s="47">
        <f t="shared" si="13"/>
        <v>14.167365830676127</v>
      </c>
    </row>
    <row r="91" spans="17:45" x14ac:dyDescent="0.15">
      <c r="Q91" s="7">
        <v>82</v>
      </c>
      <c r="R91" s="7">
        <f>INT(求节点(其他调用!$S$8:$S$14,其他调用!$Q$8:$Q$14,$Q91))</f>
        <v>7</v>
      </c>
      <c r="S91" s="58">
        <f>IF($Q91&lt;其他调用!$R$8,0,求节点($E$10:$E$29,$H$10:$H$29,$Q91)+求节点(其他调用!$M$8:$M$11,其他调用!$L$8:$L$11,$Q91))</f>
        <v>40</v>
      </c>
      <c r="T91" s="8">
        <f>IF($Q91=1,0,S91-S90+其他调用!$V$8)</f>
        <v>1</v>
      </c>
      <c r="U91" s="47">
        <f t="shared" si="11"/>
        <v>60000</v>
      </c>
      <c r="V91" s="47">
        <f>SUM($U$10:U91)</f>
        <v>4940277.9647690374</v>
      </c>
      <c r="W91" s="47">
        <f t="shared" si="14"/>
        <v>15435000</v>
      </c>
      <c r="X91" s="47">
        <f t="shared" si="15"/>
        <v>3.1243181274561342</v>
      </c>
      <c r="AB91" s="47">
        <v>82</v>
      </c>
      <c r="AC91" s="47">
        <f>V91+军团义军任务!Y86+移动营寨!U87</f>
        <v>19452190.907157667</v>
      </c>
      <c r="AE91" s="53">
        <f t="shared" si="12"/>
        <v>0.2539702591007989</v>
      </c>
      <c r="AF91" s="53">
        <f>军团义军任务!Y86/AC91</f>
        <v>0.5532493997079091</v>
      </c>
      <c r="AG91" s="53">
        <f>移动营寨!U87/AC91</f>
        <v>0.19278034119129187</v>
      </c>
      <c r="AL91" s="47">
        <v>82</v>
      </c>
      <c r="AM91" s="47">
        <f t="shared" si="10"/>
        <v>1356000</v>
      </c>
      <c r="AR91" s="47">
        <v>82</v>
      </c>
      <c r="AS91" s="47">
        <f t="shared" si="13"/>
        <v>14.345273530352262</v>
      </c>
    </row>
    <row r="92" spans="17:45" x14ac:dyDescent="0.15">
      <c r="Q92" s="7">
        <v>83</v>
      </c>
      <c r="R92" s="7">
        <f>INT(求节点(其他调用!$S$8:$S$14,其他调用!$Q$8:$Q$14,$Q92))</f>
        <v>7</v>
      </c>
      <c r="S92" s="58">
        <f>IF($Q92&lt;其他调用!$R$8,0,求节点($E$10:$E$29,$H$10:$H$29,$Q92)+求节点(其他调用!$M$8:$M$11,其他调用!$L$8:$L$11,$Q92))</f>
        <v>40</v>
      </c>
      <c r="T92" s="8">
        <f>IF($Q92=1,0,S92-S91+其他调用!$V$8)</f>
        <v>1</v>
      </c>
      <c r="U92" s="47">
        <f t="shared" si="11"/>
        <v>60000</v>
      </c>
      <c r="V92" s="47">
        <f>SUM($U$10:U92)</f>
        <v>5000277.9647690374</v>
      </c>
      <c r="W92" s="47">
        <f t="shared" si="14"/>
        <v>15660000</v>
      </c>
      <c r="X92" s="47">
        <f t="shared" si="15"/>
        <v>3.1318258925478224</v>
      </c>
      <c r="AB92" s="47">
        <v>83</v>
      </c>
      <c r="AC92" s="47">
        <f>V92+军团义军任务!Y87+移动营寨!U88</f>
        <v>19693433.747918501</v>
      </c>
      <c r="AE92" s="53">
        <f t="shared" si="12"/>
        <v>0.25390584642444808</v>
      </c>
      <c r="AF92" s="53">
        <f>军团义军任务!Y87/AC92</f>
        <v>0.5531364373823745</v>
      </c>
      <c r="AG92" s="53">
        <f>移动营寨!U88/AC92</f>
        <v>0.19295771619317739</v>
      </c>
      <c r="AL92" s="47">
        <v>83</v>
      </c>
      <c r="AM92" s="47">
        <f t="shared" si="10"/>
        <v>1356000</v>
      </c>
      <c r="AR92" s="47">
        <v>83</v>
      </c>
      <c r="AS92" s="47">
        <f t="shared" si="13"/>
        <v>14.523181230028394</v>
      </c>
    </row>
    <row r="93" spans="17:45" x14ac:dyDescent="0.15">
      <c r="Q93" s="7">
        <v>84</v>
      </c>
      <c r="R93" s="7">
        <f>INT(求节点(其他调用!$S$8:$S$14,其他调用!$Q$8:$Q$14,$Q93))</f>
        <v>7</v>
      </c>
      <c r="S93" s="58">
        <f>IF($Q93&lt;其他调用!$R$8,0,求节点($E$10:$E$29,$H$10:$H$29,$Q93)+求节点(其他调用!$M$8:$M$11,其他调用!$L$8:$L$11,$Q93))</f>
        <v>40</v>
      </c>
      <c r="T93" s="8">
        <f>IF($Q93=1,0,S93-S92+其他调用!$V$8)</f>
        <v>1</v>
      </c>
      <c r="U93" s="47">
        <f t="shared" si="11"/>
        <v>60000</v>
      </c>
      <c r="V93" s="47">
        <f>SUM($U$10:U93)</f>
        <v>5060277.9647690374</v>
      </c>
      <c r="W93" s="47">
        <f t="shared" si="14"/>
        <v>15885000</v>
      </c>
      <c r="X93" s="47">
        <f t="shared" si="15"/>
        <v>3.1391556176548945</v>
      </c>
      <c r="AB93" s="47">
        <v>84</v>
      </c>
      <c r="AC93" s="47">
        <f>V93+军团义军任务!Y88+移动营寨!U89</f>
        <v>19934676.588679336</v>
      </c>
      <c r="AE93" s="53">
        <f t="shared" si="12"/>
        <v>0.25384299274976491</v>
      </c>
      <c r="AF93" s="53">
        <f>军团义军任务!Y88/AC93</f>
        <v>0.55302620912199418</v>
      </c>
      <c r="AG93" s="53">
        <f>移动营寨!U89/AC93</f>
        <v>0.19313079812824097</v>
      </c>
      <c r="AL93" s="47">
        <v>84</v>
      </c>
      <c r="AM93" s="47">
        <f t="shared" si="10"/>
        <v>1356000</v>
      </c>
      <c r="AR93" s="47">
        <v>84</v>
      </c>
      <c r="AS93" s="47">
        <f t="shared" si="13"/>
        <v>14.701088929704525</v>
      </c>
    </row>
    <row r="94" spans="17:45" x14ac:dyDescent="0.15">
      <c r="Q94" s="7">
        <v>85</v>
      </c>
      <c r="R94" s="7">
        <f>INT(求节点(其他调用!$S$8:$S$14,其他调用!$Q$8:$Q$14,$Q94))</f>
        <v>7</v>
      </c>
      <c r="S94" s="58">
        <f>IF($Q94&lt;其他调用!$R$8,0,求节点($E$10:$E$29,$H$10:$H$29,$Q94)+求节点(其他调用!$M$8:$M$11,其他调用!$L$8:$L$11,$Q94))</f>
        <v>40</v>
      </c>
      <c r="T94" s="8">
        <f>IF($Q94=1,0,S94-S93+其他调用!$V$8)</f>
        <v>1</v>
      </c>
      <c r="U94" s="47">
        <f t="shared" si="11"/>
        <v>60000</v>
      </c>
      <c r="V94" s="47">
        <f>SUM($U$10:U94)</f>
        <v>5120277.9647690374</v>
      </c>
      <c r="W94" s="47">
        <f t="shared" si="14"/>
        <v>16110000</v>
      </c>
      <c r="X94" s="47">
        <f t="shared" si="15"/>
        <v>3.1463135616557647</v>
      </c>
      <c r="AB94" s="47">
        <v>85</v>
      </c>
      <c r="AC94" s="47">
        <f>V94+军团义军任务!Y89+移动营寨!U90</f>
        <v>20175919.429440174</v>
      </c>
      <c r="AE94" s="53">
        <f t="shared" si="12"/>
        <v>0.25378164215394622</v>
      </c>
      <c r="AF94" s="53">
        <f>军团义军任务!Y89/AC94</f>
        <v>0.55291861685337207</v>
      </c>
      <c r="AG94" s="53">
        <f>移动营寨!U90/AC94</f>
        <v>0.19329974099268171</v>
      </c>
      <c r="AL94" s="47">
        <v>85</v>
      </c>
      <c r="AM94" s="47">
        <f t="shared" si="10"/>
        <v>1356000</v>
      </c>
      <c r="AR94" s="47">
        <v>85</v>
      </c>
      <c r="AS94" s="47">
        <f t="shared" si="13"/>
        <v>14.878996629380659</v>
      </c>
    </row>
    <row r="95" spans="17:45" x14ac:dyDescent="0.15">
      <c r="Q95" s="7">
        <v>86</v>
      </c>
      <c r="R95" s="7">
        <f>INT(求节点(其他调用!$S$8:$S$14,其他调用!$Q$8:$Q$14,$Q95))</f>
        <v>7</v>
      </c>
      <c r="S95" s="58">
        <f>IF($Q95&lt;其他调用!$R$8,0,求节点($E$10:$E$29,$H$10:$H$29,$Q95)+求节点(其他调用!$M$8:$M$11,其他调用!$L$8:$L$11,$Q95))</f>
        <v>40</v>
      </c>
      <c r="T95" s="8">
        <f>IF($Q95=1,0,S95-S94+其他调用!$V$8)</f>
        <v>1</v>
      </c>
      <c r="U95" s="47">
        <f t="shared" si="11"/>
        <v>60000</v>
      </c>
      <c r="V95" s="47">
        <f>SUM($U$10:U95)</f>
        <v>5180277.9647690374</v>
      </c>
      <c r="W95" s="47">
        <f t="shared" si="14"/>
        <v>16335000</v>
      </c>
      <c r="X95" s="47">
        <f t="shared" si="15"/>
        <v>3.1533056934577632</v>
      </c>
      <c r="AB95" s="47">
        <v>86</v>
      </c>
      <c r="AC95" s="47">
        <f>V95+军团义军任务!Y90+移动营寨!U91</f>
        <v>20417162.270201012</v>
      </c>
      <c r="AE95" s="53">
        <f t="shared" si="12"/>
        <v>0.25372174135725456</v>
      </c>
      <c r="AF95" s="53">
        <f>军团义军任务!Y90/AC95</f>
        <v>0.55281356713833141</v>
      </c>
      <c r="AG95" s="53">
        <f>移动营寨!U91/AC95</f>
        <v>0.193464691504414</v>
      </c>
      <c r="AL95" s="47">
        <v>86</v>
      </c>
      <c r="AM95" s="47">
        <f t="shared" si="10"/>
        <v>1356000</v>
      </c>
      <c r="AR95" s="47">
        <v>86</v>
      </c>
      <c r="AS95" s="47">
        <f t="shared" si="13"/>
        <v>15.056904329056794</v>
      </c>
    </row>
    <row r="96" spans="17:45" x14ac:dyDescent="0.15">
      <c r="Q96" s="7">
        <v>87</v>
      </c>
      <c r="R96" s="7">
        <f>INT(求节点(其他调用!$S$8:$S$14,其他调用!$Q$8:$Q$14,$Q96))</f>
        <v>7</v>
      </c>
      <c r="S96" s="58">
        <f>IF($Q96&lt;其他调用!$R$8,0,求节点($E$10:$E$29,$H$10:$H$29,$Q96)+求节点(其他调用!$M$8:$M$11,其他调用!$L$8:$L$11,$Q96))</f>
        <v>40</v>
      </c>
      <c r="T96" s="8">
        <f>IF($Q96=1,0,S96-S95+其他调用!$V$8)</f>
        <v>1</v>
      </c>
      <c r="U96" s="47">
        <f t="shared" si="11"/>
        <v>60000</v>
      </c>
      <c r="V96" s="47">
        <f>SUM($U$10:U96)</f>
        <v>5240277.9647690374</v>
      </c>
      <c r="W96" s="47">
        <f t="shared" si="14"/>
        <v>16560000</v>
      </c>
      <c r="X96" s="47">
        <f t="shared" si="15"/>
        <v>3.1601377085976532</v>
      </c>
      <c r="AB96" s="47">
        <v>87</v>
      </c>
      <c r="AC96" s="47">
        <f>V96+军团义军任务!Y91+移动营寨!U92</f>
        <v>20658405.110961847</v>
      </c>
      <c r="AE96" s="53">
        <f t="shared" si="12"/>
        <v>0.25366323956869352</v>
      </c>
      <c r="AF96" s="53">
        <f>军团义军任务!Y91/AC96</f>
        <v>0.55271097090327059</v>
      </c>
      <c r="AG96" s="53">
        <f>移动营寨!U92/AC96</f>
        <v>0.19362578952803591</v>
      </c>
      <c r="AL96" s="47">
        <v>87</v>
      </c>
      <c r="AM96" s="47">
        <f t="shared" si="10"/>
        <v>1356000</v>
      </c>
      <c r="AR96" s="47">
        <v>87</v>
      </c>
      <c r="AS96" s="47">
        <f t="shared" si="13"/>
        <v>15.234812028732925</v>
      </c>
    </row>
    <row r="97" spans="17:45" x14ac:dyDescent="0.15">
      <c r="Q97" s="7">
        <v>88</v>
      </c>
      <c r="R97" s="7">
        <f>INT(求节点(其他调用!$S$8:$S$14,其他调用!$Q$8:$Q$14,$Q97))</f>
        <v>7</v>
      </c>
      <c r="S97" s="58">
        <f>IF($Q97&lt;其他调用!$R$8,0,求节点($E$10:$E$29,$H$10:$H$29,$Q97)+求节点(其他调用!$M$8:$M$11,其他调用!$L$8:$L$11,$Q97))</f>
        <v>40</v>
      </c>
      <c r="T97" s="8">
        <f>IF($Q97=1,0,S97-S96+其他调用!$V$8)</f>
        <v>1</v>
      </c>
      <c r="U97" s="47">
        <f t="shared" si="11"/>
        <v>60000</v>
      </c>
      <c r="V97" s="47">
        <f>SUM($U$10:U97)</f>
        <v>5300277.9647690374</v>
      </c>
      <c r="W97" s="47">
        <f t="shared" si="14"/>
        <v>16785000</v>
      </c>
      <c r="X97" s="47">
        <f t="shared" si="15"/>
        <v>3.166815044714625</v>
      </c>
      <c r="AB97" s="47">
        <v>88</v>
      </c>
      <c r="AC97" s="47">
        <f>V97+军团义军任务!Y92+移动营寨!U93</f>
        <v>20899647.951722682</v>
      </c>
      <c r="AE97" s="53">
        <f t="shared" si="12"/>
        <v>0.25360608834237108</v>
      </c>
      <c r="AF97" s="53">
        <f>军团义军任务!Y92/AC97</f>
        <v>0.55261074318726378</v>
      </c>
      <c r="AG97" s="53">
        <f>移动营寨!U93/AC97</f>
        <v>0.19378316847036522</v>
      </c>
      <c r="AL97" s="47">
        <v>88</v>
      </c>
      <c r="AM97" s="47">
        <f t="shared" si="10"/>
        <v>1356000</v>
      </c>
      <c r="AR97" s="47">
        <v>88</v>
      </c>
      <c r="AS97" s="47">
        <f t="shared" si="13"/>
        <v>15.412719728409057</v>
      </c>
    </row>
    <row r="98" spans="17:45" x14ac:dyDescent="0.15">
      <c r="Q98" s="7">
        <v>89</v>
      </c>
      <c r="R98" s="7">
        <f>INT(求节点(其他调用!$S$8:$S$14,其他调用!$Q$8:$Q$14,$Q98))</f>
        <v>7</v>
      </c>
      <c r="S98" s="58">
        <f>IF($Q98&lt;其他调用!$R$8,0,求节点($E$10:$E$29,$H$10:$H$29,$Q98)+求节点(其他调用!$M$8:$M$11,其他调用!$L$8:$L$11,$Q98))</f>
        <v>40</v>
      </c>
      <c r="T98" s="8">
        <f>IF($Q98=1,0,S98-S97+其他调用!$V$8)</f>
        <v>1</v>
      </c>
      <c r="U98" s="47">
        <f t="shared" si="11"/>
        <v>60000</v>
      </c>
      <c r="V98" s="47">
        <f>SUM($U$10:U98)</f>
        <v>5360277.9647690374</v>
      </c>
      <c r="W98" s="47">
        <f t="shared" si="14"/>
        <v>17010000</v>
      </c>
      <c r="X98" s="47">
        <f t="shared" si="15"/>
        <v>3.1733428959841121</v>
      </c>
      <c r="AB98" s="47">
        <v>89</v>
      </c>
      <c r="AC98" s="47">
        <f>V98+军团义军任务!Y93+移动营寨!U94</f>
        <v>21140890.79248352</v>
      </c>
      <c r="AE98" s="53">
        <f t="shared" si="12"/>
        <v>0.25355024144369748</v>
      </c>
      <c r="AF98" s="53">
        <f>军团义军任务!Y93/AC98</f>
        <v>0.5525128029074079</v>
      </c>
      <c r="AG98" s="53">
        <f>移动营寨!U94/AC98</f>
        <v>0.19393695564889457</v>
      </c>
      <c r="AL98" s="47">
        <v>89</v>
      </c>
      <c r="AM98" s="47">
        <f t="shared" si="10"/>
        <v>1356000</v>
      </c>
      <c r="AR98" s="47">
        <v>89</v>
      </c>
      <c r="AS98" s="47">
        <f t="shared" si="13"/>
        <v>15.590627428085192</v>
      </c>
    </row>
    <row r="99" spans="17:45" x14ac:dyDescent="0.15">
      <c r="Q99" s="7">
        <v>90</v>
      </c>
      <c r="R99" s="7">
        <f>INT(求节点(其他调用!$S$8:$S$14,其他调用!$Q$8:$Q$14,$Q99))</f>
        <v>7</v>
      </c>
      <c r="S99" s="58">
        <f>IF($Q99&lt;其他调用!$R$8,0,求节点($E$10:$E$29,$H$10:$H$29,$Q99)+求节点(其他调用!$M$8:$M$11,其他调用!$L$8:$L$11,$Q99))</f>
        <v>40</v>
      </c>
      <c r="T99" s="8">
        <f>IF($Q99=1,0,S99-S98+其他调用!$V$8)</f>
        <v>1</v>
      </c>
      <c r="U99" s="47">
        <f t="shared" si="11"/>
        <v>60000</v>
      </c>
      <c r="V99" s="47">
        <f>SUM($U$10:U99)</f>
        <v>5420277.9647690374</v>
      </c>
      <c r="W99" s="47">
        <f t="shared" si="14"/>
        <v>17235000</v>
      </c>
      <c r="X99" s="47">
        <f t="shared" si="15"/>
        <v>3.1797262265929565</v>
      </c>
      <c r="AB99" s="47">
        <v>90</v>
      </c>
      <c r="AC99" s="47">
        <f>V99+军团义军任务!Y94+移动营寨!U95</f>
        <v>21382133.633244358</v>
      </c>
      <c r="AE99" s="53">
        <f t="shared" si="12"/>
        <v>0.25349565472464064</v>
      </c>
      <c r="AF99" s="53">
        <f>军团义军任务!Y94/AC99</f>
        <v>0.55241707264005535</v>
      </c>
      <c r="AG99" s="53">
        <f>移动营寨!U95/AC99</f>
        <v>0.19408727263530395</v>
      </c>
      <c r="AL99" s="47">
        <v>90</v>
      </c>
      <c r="AM99" s="47">
        <f t="shared" si="10"/>
        <v>1356000</v>
      </c>
      <c r="AR99" s="47">
        <v>90</v>
      </c>
      <c r="AS99" s="47">
        <f t="shared" si="13"/>
        <v>15.768535127761327</v>
      </c>
    </row>
    <row r="100" spans="17:45" x14ac:dyDescent="0.15">
      <c r="Q100" s="7">
        <v>91</v>
      </c>
      <c r="R100" s="7">
        <f>INT(求节点(其他调用!$S$8:$S$14,其他调用!$Q$8:$Q$14,$Q100))</f>
        <v>7</v>
      </c>
      <c r="S100" s="58">
        <f>IF($Q100&lt;其他调用!$R$8,0,求节点($E$10:$E$29,$H$10:$H$29,$Q100)+求节点(其他调用!$M$8:$M$11,其他调用!$L$8:$L$11,$Q100))</f>
        <v>40</v>
      </c>
      <c r="T100" s="8">
        <f>IF($Q100=1,0,S100-S99+其他调用!$V$8)</f>
        <v>1</v>
      </c>
      <c r="U100" s="47">
        <f t="shared" si="11"/>
        <v>60000</v>
      </c>
      <c r="V100" s="47">
        <f>SUM($U$10:U100)</f>
        <v>5480277.9647690374</v>
      </c>
      <c r="W100" s="47">
        <f t="shared" si="14"/>
        <v>17460000</v>
      </c>
      <c r="X100" s="47">
        <f t="shared" si="15"/>
        <v>3.1859697833293827</v>
      </c>
      <c r="AB100" s="47">
        <v>91</v>
      </c>
      <c r="AC100" s="47">
        <f>V100+军团义军任务!Y95+移动营寨!U96</f>
        <v>21623376.474005193</v>
      </c>
      <c r="AE100" s="53">
        <f t="shared" si="12"/>
        <v>0.25344228600733198</v>
      </c>
      <c r="AF100" s="53">
        <f>军团义军任务!Y95/AC100</f>
        <v>0.55232347841668938</v>
      </c>
      <c r="AG100" s="53">
        <f>移动营寨!U96/AC100</f>
        <v>0.19423423557597869</v>
      </c>
      <c r="AL100" s="47">
        <v>91</v>
      </c>
      <c r="AM100" s="47">
        <f t="shared" si="10"/>
        <v>1356000</v>
      </c>
      <c r="AR100" s="47">
        <v>91</v>
      </c>
      <c r="AS100" s="47">
        <f t="shared" si="13"/>
        <v>15.946442827437458</v>
      </c>
    </row>
    <row r="101" spans="17:45" x14ac:dyDescent="0.15">
      <c r="Q101" s="7">
        <v>92</v>
      </c>
      <c r="R101" s="7">
        <f>INT(求节点(其他调用!$S$8:$S$14,其他调用!$Q$8:$Q$14,$Q101))</f>
        <v>7</v>
      </c>
      <c r="S101" s="58">
        <f>IF($Q101&lt;其他调用!$R$8,0,求节点($E$10:$E$29,$H$10:$H$29,$Q101)+求节点(其他调用!$M$8:$M$11,其他调用!$L$8:$L$11,$Q101))</f>
        <v>40</v>
      </c>
      <c r="T101" s="8">
        <f>IF($Q101=1,0,S101-S100+其他调用!$V$8)</f>
        <v>1</v>
      </c>
      <c r="U101" s="47">
        <f t="shared" si="11"/>
        <v>60000</v>
      </c>
      <c r="V101" s="47">
        <f>SUM($U$10:U101)</f>
        <v>5540277.9647690374</v>
      </c>
      <c r="W101" s="47">
        <f t="shared" si="14"/>
        <v>17685000</v>
      </c>
      <c r="X101" s="47">
        <f t="shared" si="15"/>
        <v>3.1920781073548987</v>
      </c>
      <c r="AB101" s="47">
        <v>92</v>
      </c>
      <c r="AC101" s="47">
        <f>V101+军团义军任务!Y96+移动营寨!U97</f>
        <v>21864619.314766027</v>
      </c>
      <c r="AE101" s="53">
        <f t="shared" si="12"/>
        <v>0.25339009497537751</v>
      </c>
      <c r="AF101" s="53">
        <f>军团义军任务!Y96/AC101</f>
        <v>0.55223194953331378</v>
      </c>
      <c r="AG101" s="53">
        <f>移动营寨!U97/AC101</f>
        <v>0.19437795549130873</v>
      </c>
      <c r="AL101" s="47">
        <v>92</v>
      </c>
      <c r="AM101" s="47">
        <f t="shared" si="10"/>
        <v>1356000</v>
      </c>
      <c r="AR101" s="47">
        <v>92</v>
      </c>
      <c r="AS101" s="47">
        <f t="shared" si="13"/>
        <v>16.124350527113588</v>
      </c>
    </row>
    <row r="102" spans="17:45" x14ac:dyDescent="0.15">
      <c r="Q102" s="7">
        <v>93</v>
      </c>
      <c r="R102" s="7">
        <f>INT(求节点(其他调用!$S$8:$S$14,其他调用!$Q$8:$Q$14,$Q102))</f>
        <v>7</v>
      </c>
      <c r="S102" s="58">
        <f>IF($Q102&lt;其他调用!$R$8,0,求节点($E$10:$E$29,$H$10:$H$29,$Q102)+求节点(其他调用!$M$8:$M$11,其他调用!$L$8:$L$11,$Q102))</f>
        <v>40</v>
      </c>
      <c r="T102" s="8">
        <f>IF($Q102=1,0,S102-S101+其他调用!$V$8)</f>
        <v>1</v>
      </c>
      <c r="U102" s="47">
        <f t="shared" si="11"/>
        <v>60000</v>
      </c>
      <c r="V102" s="47">
        <f>SUM($U$10:U102)</f>
        <v>5600277.9647690374</v>
      </c>
      <c r="W102" s="47">
        <f t="shared" si="14"/>
        <v>17910000</v>
      </c>
      <c r="X102" s="47">
        <f t="shared" si="15"/>
        <v>3.1980555452194652</v>
      </c>
      <c r="AB102" s="47">
        <v>93</v>
      </c>
      <c r="AC102" s="47">
        <f>V102+军团义军任务!Y97+移动营寨!U98</f>
        <v>22105862.155526865</v>
      </c>
      <c r="AE102" s="53">
        <f t="shared" si="12"/>
        <v>0.253339043072286</v>
      </c>
      <c r="AF102" s="53">
        <f>军团义军任务!Y97/AC102</f>
        <v>0.55214241837232347</v>
      </c>
      <c r="AG102" s="53">
        <f>移动营寨!U98/AC102</f>
        <v>0.19451853855539047</v>
      </c>
      <c r="AL102" s="47">
        <v>93</v>
      </c>
      <c r="AM102" s="47">
        <f t="shared" si="10"/>
        <v>1356000</v>
      </c>
      <c r="AR102" s="47">
        <v>93</v>
      </c>
      <c r="AS102" s="47">
        <f t="shared" si="13"/>
        <v>16.302258226789725</v>
      </c>
    </row>
    <row r="103" spans="17:45" x14ac:dyDescent="0.15">
      <c r="Q103" s="7">
        <v>94</v>
      </c>
      <c r="R103" s="7">
        <f>INT(求节点(其他调用!$S$8:$S$14,其他调用!$Q$8:$Q$14,$Q103))</f>
        <v>7</v>
      </c>
      <c r="S103" s="58">
        <f>IF($Q103&lt;其他调用!$R$8,0,求节点($E$10:$E$29,$H$10:$H$29,$Q103)+求节点(其他调用!$M$8:$M$11,其他调用!$L$8:$L$11,$Q103))</f>
        <v>40</v>
      </c>
      <c r="T103" s="8">
        <f>IF($Q103=1,0,S103-S102+其他调用!$V$8)</f>
        <v>1</v>
      </c>
      <c r="U103" s="47">
        <f t="shared" si="11"/>
        <v>60000</v>
      </c>
      <c r="V103" s="47">
        <f>SUM($U$10:U103)</f>
        <v>5660277.9647690374</v>
      </c>
      <c r="W103" s="47">
        <f t="shared" si="14"/>
        <v>18135000</v>
      </c>
      <c r="X103" s="47">
        <f t="shared" si="15"/>
        <v>3.2039062591760867</v>
      </c>
      <c r="AB103" s="47">
        <v>94</v>
      </c>
      <c r="AC103" s="47">
        <f>V103+军团义军任务!Y98+移动营寨!U99</f>
        <v>22347104.996287704</v>
      </c>
      <c r="AE103" s="53">
        <f t="shared" si="12"/>
        <v>0.25328909340647576</v>
      </c>
      <c r="AF103" s="53">
        <f>军团义军任务!Y98/AC103</f>
        <v>0.55205482023591224</v>
      </c>
      <c r="AG103" s="53">
        <f>移动营寨!U99/AC103</f>
        <v>0.19465608635761192</v>
      </c>
      <c r="AL103" s="47">
        <v>94</v>
      </c>
      <c r="AM103" s="47">
        <f t="shared" si="10"/>
        <v>1356000</v>
      </c>
      <c r="AR103" s="47">
        <v>94</v>
      </c>
      <c r="AS103" s="47">
        <f t="shared" si="13"/>
        <v>16.480165926465858</v>
      </c>
    </row>
    <row r="104" spans="17:45" x14ac:dyDescent="0.15">
      <c r="Q104" s="7">
        <v>95</v>
      </c>
      <c r="R104" s="7">
        <f>INT(求节点(其他调用!$S$8:$S$14,其他调用!$Q$8:$Q$14,$Q104))</f>
        <v>7</v>
      </c>
      <c r="S104" s="58">
        <f>IF($Q104&lt;其他调用!$R$8,0,求节点($E$10:$E$29,$H$10:$H$29,$Q104)+求节点(其他调用!$M$8:$M$11,其他调用!$L$8:$L$11,$Q104))</f>
        <v>40</v>
      </c>
      <c r="T104" s="8">
        <f>IF($Q104=1,0,S104-S103+其他调用!$V$8)</f>
        <v>1</v>
      </c>
      <c r="U104" s="47">
        <f t="shared" si="11"/>
        <v>60000</v>
      </c>
      <c r="V104" s="47">
        <f>SUM($U$10:U104)</f>
        <v>5720277.9647690374</v>
      </c>
      <c r="W104" s="47">
        <f t="shared" si="14"/>
        <v>18360000</v>
      </c>
      <c r="X104" s="47">
        <f t="shared" si="15"/>
        <v>3.2096342368462691</v>
      </c>
      <c r="AB104" s="47">
        <v>95</v>
      </c>
      <c r="AC104" s="47">
        <f>V104+军团义军任务!Y99+移动营寨!U100</f>
        <v>22588347.837048538</v>
      </c>
      <c r="AE104" s="53">
        <f t="shared" si="12"/>
        <v>0.25324021066236896</v>
      </c>
      <c r="AF104" s="53">
        <f>军团义军任务!Y99/AC104</f>
        <v>0.55196909319015586</v>
      </c>
      <c r="AG104" s="53">
        <f>移动营寨!U100/AC104</f>
        <v>0.19479069614747518</v>
      </c>
      <c r="AL104" s="47">
        <v>95</v>
      </c>
      <c r="AM104" s="47">
        <f t="shared" si="10"/>
        <v>1356000</v>
      </c>
      <c r="AR104" s="47">
        <v>95</v>
      </c>
      <c r="AS104" s="47">
        <f t="shared" si="13"/>
        <v>16.658073626141988</v>
      </c>
    </row>
    <row r="105" spans="17:45" x14ac:dyDescent="0.15">
      <c r="Q105" s="7">
        <v>96</v>
      </c>
      <c r="R105" s="7">
        <f>INT(求节点(其他调用!$S$8:$S$14,其他调用!$Q$8:$Q$14,$Q105))</f>
        <v>7</v>
      </c>
      <c r="S105" s="58">
        <f>IF($Q105&lt;其他调用!$R$8,0,求节点($E$10:$E$29,$H$10:$H$29,$Q105)+求节点(其他调用!$M$8:$M$11,其他调用!$L$8:$L$11,$Q105))</f>
        <v>40</v>
      </c>
      <c r="T105" s="8">
        <f>IF($Q105=1,0,S105-S104+其他调用!$V$8)</f>
        <v>1</v>
      </c>
      <c r="U105" s="47">
        <f t="shared" si="11"/>
        <v>60000</v>
      </c>
      <c r="V105" s="47">
        <f>SUM($U$10:U105)</f>
        <v>5780277.9647690374</v>
      </c>
      <c r="W105" s="47">
        <f t="shared" si="14"/>
        <v>18585000</v>
      </c>
      <c r="X105" s="47">
        <f t="shared" si="15"/>
        <v>3.2152433002835012</v>
      </c>
      <c r="AB105" s="47">
        <v>96</v>
      </c>
      <c r="AC105" s="47">
        <f>V105+军团义军任务!Y100+移动营寨!U101</f>
        <v>22829590.677809373</v>
      </c>
      <c r="AE105" s="53">
        <f t="shared" si="12"/>
        <v>0.25319236101712217</v>
      </c>
      <c r="AF105" s="53">
        <f>军团义军任务!Y100/AC105</f>
        <v>0.55188517791898106</v>
      </c>
      <c r="AG105" s="53">
        <f>移动营寨!U101/AC105</f>
        <v>0.19492246106389685</v>
      </c>
      <c r="AL105" s="47">
        <v>96</v>
      </c>
      <c r="AM105" s="47">
        <f t="shared" si="10"/>
        <v>1356000</v>
      </c>
      <c r="AR105" s="47">
        <v>96</v>
      </c>
      <c r="AS105" s="47">
        <f t="shared" si="13"/>
        <v>16.835981325818121</v>
      </c>
    </row>
    <row r="106" spans="17:45" x14ac:dyDescent="0.15">
      <c r="Q106" s="7">
        <v>97</v>
      </c>
      <c r="R106" s="7">
        <f>INT(求节点(其他调用!$S$8:$S$14,其他调用!$Q$8:$Q$14,$Q106))</f>
        <v>7</v>
      </c>
      <c r="S106" s="58">
        <f>IF($Q106&lt;其他调用!$R$8,0,求节点($E$10:$E$29,$H$10:$H$29,$Q106)+求节点(其他调用!$M$8:$M$11,其他调用!$L$8:$L$11,$Q106))</f>
        <v>40</v>
      </c>
      <c r="T106" s="8">
        <f>IF($Q106=1,0,S106-S105+其他调用!$V$8)</f>
        <v>1</v>
      </c>
      <c r="U106" s="47">
        <f t="shared" si="11"/>
        <v>60000</v>
      </c>
      <c r="V106" s="47">
        <f>SUM($U$10:U106)</f>
        <v>5840277.9647690374</v>
      </c>
      <c r="W106" s="47">
        <f t="shared" si="14"/>
        <v>18810000</v>
      </c>
      <c r="X106" s="47">
        <f t="shared" si="15"/>
        <v>3.2207371144780557</v>
      </c>
      <c r="AB106" s="47">
        <v>97</v>
      </c>
      <c r="AC106" s="47">
        <f>V106+军团义军任务!Y101+移动营寨!U102</f>
        <v>23070833.518570211</v>
      </c>
      <c r="AE106" s="53">
        <f t="shared" si="12"/>
        <v>0.25314551206258207</v>
      </c>
      <c r="AF106" s="53">
        <f>军团义军任务!Y101/AC106</f>
        <v>0.55180301758729589</v>
      </c>
      <c r="AG106" s="53">
        <f>移动营寨!U102/AC106</f>
        <v>0.19505147035012207</v>
      </c>
      <c r="AL106" s="47">
        <v>97</v>
      </c>
      <c r="AM106" s="47">
        <f t="shared" si="10"/>
        <v>1356000</v>
      </c>
      <c r="AR106" s="47">
        <v>97</v>
      </c>
      <c r="AS106" s="47">
        <f t="shared" si="13"/>
        <v>17.013889025494255</v>
      </c>
    </row>
    <row r="107" spans="17:45" x14ac:dyDescent="0.15">
      <c r="Q107" s="7">
        <v>98</v>
      </c>
      <c r="R107" s="7">
        <f>INT(求节点(其他调用!$S$8:$S$14,其他调用!$Q$8:$Q$14,$Q107))</f>
        <v>7</v>
      </c>
      <c r="S107" s="58">
        <f>IF($Q107&lt;其他调用!$R$8,0,求节点($E$10:$E$29,$H$10:$H$29,$Q107)+求节点(其他调用!$M$8:$M$11,其他调用!$L$8:$L$11,$Q107))</f>
        <v>40</v>
      </c>
      <c r="T107" s="8">
        <f>IF($Q107=1,0,S107-S106+其他调用!$V$8)</f>
        <v>1</v>
      </c>
      <c r="U107" s="47">
        <f t="shared" si="11"/>
        <v>60000</v>
      </c>
      <c r="V107" s="47">
        <f>SUM($U$10:U107)</f>
        <v>5900277.9647690374</v>
      </c>
      <c r="W107" s="47">
        <f t="shared" si="14"/>
        <v>19035000</v>
      </c>
      <c r="X107" s="47">
        <f t="shared" si="15"/>
        <v>3.2261191953428781</v>
      </c>
      <c r="AB107" s="47">
        <v>98</v>
      </c>
      <c r="AC107" s="47">
        <f>V107+军团义军任务!Y102+移动营寨!U103</f>
        <v>23312076.359331049</v>
      </c>
      <c r="AE107" s="53">
        <f t="shared" si="12"/>
        <v>0.25309963273208619</v>
      </c>
      <c r="AF107" s="53">
        <f>军团义军任务!Y102/AC107</f>
        <v>0.55172255771261913</v>
      </c>
      <c r="AG107" s="53">
        <f>移动营寨!U103/AC107</f>
        <v>0.19517780955529457</v>
      </c>
      <c r="AL107" s="47">
        <v>98</v>
      </c>
      <c r="AM107" s="47">
        <f t="shared" si="10"/>
        <v>1356000</v>
      </c>
      <c r="AR107" s="47">
        <v>98</v>
      </c>
      <c r="AS107" s="47">
        <f t="shared" si="13"/>
        <v>17.191796725170391</v>
      </c>
    </row>
    <row r="108" spans="17:45" x14ac:dyDescent="0.15">
      <c r="Q108" s="7">
        <v>99</v>
      </c>
      <c r="R108" s="7">
        <f>INT(求节点(其他调用!$S$8:$S$14,其他调用!$Q$8:$Q$14,$Q108))</f>
        <v>7</v>
      </c>
      <c r="S108" s="58">
        <f>IF($Q108&lt;其他调用!$R$8,0,求节点($E$10:$E$29,$H$10:$H$29,$Q108)+求节点(其他调用!$M$8:$M$11,其他调用!$L$8:$L$11,$Q108))</f>
        <v>40</v>
      </c>
      <c r="T108" s="8">
        <f>IF($Q108=1,0,S108-S107+其他调用!$V$8)</f>
        <v>1</v>
      </c>
      <c r="U108" s="47">
        <f t="shared" si="11"/>
        <v>60000</v>
      </c>
      <c r="V108" s="47">
        <f>SUM($U$10:U108)</f>
        <v>5960277.9647690374</v>
      </c>
      <c r="W108" s="47">
        <f t="shared" si="14"/>
        <v>19260000</v>
      </c>
      <c r="X108" s="47">
        <f t="shared" si="15"/>
        <v>3.2313929172171303</v>
      </c>
      <c r="AB108" s="47">
        <v>99</v>
      </c>
      <c r="AC108" s="47">
        <f>V108+军团义军任务!Y103+移动营寨!U104</f>
        <v>23553319.200091884</v>
      </c>
      <c r="AE108" s="53">
        <f t="shared" si="12"/>
        <v>0.25305469323176266</v>
      </c>
      <c r="AF108" s="53">
        <f>军团义军任务!Y103/AC108</f>
        <v>0.5516437460445982</v>
      </c>
      <c r="AG108" s="53">
        <f>移动营寨!U104/AC108</f>
        <v>0.19530156072363911</v>
      </c>
      <c r="AL108" s="47">
        <v>99</v>
      </c>
      <c r="AM108" s="47">
        <f t="shared" si="10"/>
        <v>1356000</v>
      </c>
      <c r="AR108" s="47">
        <v>99</v>
      </c>
      <c r="AS108" s="47">
        <f t="shared" si="13"/>
        <v>17.369704424846521</v>
      </c>
    </row>
    <row r="109" spans="17:45" x14ac:dyDescent="0.15">
      <c r="Q109" s="7">
        <v>100</v>
      </c>
      <c r="R109" s="7">
        <f>INT(求节点(其他调用!$S$8:$S$14,其他调用!$Q$8:$Q$14,$Q109))</f>
        <v>7</v>
      </c>
      <c r="S109" s="58">
        <f>IF($Q109&lt;其他调用!$R$8,0,求节点($E$10:$E$29,$H$10:$H$29,$Q109)+求节点(其他调用!$M$8:$M$11,其他调用!$L$8:$L$11,$Q109))</f>
        <v>40</v>
      </c>
      <c r="T109" s="8">
        <f>IF($Q109=1,0,S109-S108+其他调用!$V$8)</f>
        <v>1</v>
      </c>
      <c r="U109" s="47">
        <f t="shared" si="11"/>
        <v>60000</v>
      </c>
      <c r="V109" s="47">
        <f>SUM($U$10:U109)</f>
        <v>6020277.9647690374</v>
      </c>
      <c r="W109" s="47">
        <f t="shared" si="14"/>
        <v>19485000</v>
      </c>
      <c r="X109" s="47">
        <f t="shared" si="15"/>
        <v>3.2365615199210365</v>
      </c>
      <c r="AB109" s="47">
        <v>100</v>
      </c>
      <c r="AC109" s="47">
        <f>V109+军团义军任务!Y104+移动营寨!U105</f>
        <v>23794562.040852718</v>
      </c>
      <c r="AE109" s="53">
        <f t="shared" si="12"/>
        <v>0.25301066497600855</v>
      </c>
      <c r="AF109" s="53">
        <f>军团义军任务!Y104/AC109</f>
        <v>0.55156653245185561</v>
      </c>
      <c r="AG109" s="53">
        <f>移动营寨!U105/AC109</f>
        <v>0.1954228025721359</v>
      </c>
      <c r="AL109" s="47">
        <v>100</v>
      </c>
      <c r="AM109" s="47">
        <f t="shared" si="10"/>
        <v>1356000</v>
      </c>
      <c r="AR109" s="47">
        <v>100</v>
      </c>
      <c r="AS109" s="47">
        <f t="shared" si="13"/>
        <v>17.547612124522654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613B8-8AF0-4A82-A425-721D23886358}">
  <dimension ref="A1:AQ104"/>
  <sheetViews>
    <sheetView workbookViewId="0">
      <selection activeCell="H12" sqref="H12"/>
    </sheetView>
  </sheetViews>
  <sheetFormatPr defaultColWidth="6.625" defaultRowHeight="11.25" x14ac:dyDescent="0.15"/>
  <cols>
    <col min="1" max="8" width="6.625" style="27"/>
    <col min="9" max="9" width="6.625" style="3"/>
    <col min="10" max="10" width="6.625" style="23"/>
    <col min="11" max="16" width="6.625" style="27"/>
    <col min="17" max="17" width="6.625" style="27" customWidth="1"/>
    <col min="18" max="24" width="6.625" style="27"/>
    <col min="25" max="25" width="13.875" style="27" bestFit="1" customWidth="1"/>
    <col min="26" max="27" width="6.625" style="27"/>
    <col min="28" max="28" width="6.625" style="23"/>
    <col min="29" max="32" width="6.625" style="46"/>
    <col min="33" max="33" width="13.875" style="46" bestFit="1" customWidth="1"/>
    <col min="34" max="40" width="6.625" style="46"/>
    <col min="41" max="41" width="6.625" style="23"/>
    <col min="42" max="16384" width="6.625" style="27"/>
  </cols>
  <sheetData>
    <row r="1" spans="1:43" x14ac:dyDescent="0.15">
      <c r="A1" s="27" t="s">
        <v>108</v>
      </c>
      <c r="K1" s="27" t="s">
        <v>141</v>
      </c>
      <c r="AC1" s="46" t="s">
        <v>233</v>
      </c>
      <c r="AP1" s="27" t="s">
        <v>234</v>
      </c>
    </row>
    <row r="2" spans="1:43" x14ac:dyDescent="0.15">
      <c r="A2" s="24" t="s">
        <v>109</v>
      </c>
    </row>
    <row r="3" spans="1:43" x14ac:dyDescent="0.15">
      <c r="A3" s="24" t="s">
        <v>110</v>
      </c>
      <c r="T3" s="70" t="s">
        <v>153</v>
      </c>
      <c r="U3" s="70"/>
      <c r="V3" s="70"/>
      <c r="W3" s="70"/>
      <c r="X3" s="70"/>
      <c r="AE3" s="46" t="s">
        <v>236</v>
      </c>
    </row>
    <row r="4" spans="1:43" x14ac:dyDescent="0.15">
      <c r="A4" s="24" t="s">
        <v>150</v>
      </c>
      <c r="E4" s="26">
        <f>3*75</f>
        <v>225</v>
      </c>
      <c r="F4" s="27" t="s">
        <v>151</v>
      </c>
      <c r="L4" s="27" t="s">
        <v>138</v>
      </c>
      <c r="M4" s="27" t="s">
        <v>93</v>
      </c>
      <c r="N4" s="27" t="s">
        <v>95</v>
      </c>
      <c r="O4" s="27" t="s">
        <v>97</v>
      </c>
      <c r="P4" s="27" t="s">
        <v>99</v>
      </c>
      <c r="Q4" s="27" t="s">
        <v>147</v>
      </c>
      <c r="S4" s="27" t="s">
        <v>60</v>
      </c>
      <c r="T4" s="27" t="s">
        <v>0</v>
      </c>
      <c r="U4" s="27" t="s">
        <v>3</v>
      </c>
      <c r="V4" s="27" t="s">
        <v>1</v>
      </c>
      <c r="W4" s="27" t="s">
        <v>4</v>
      </c>
      <c r="X4" s="27" t="s">
        <v>2</v>
      </c>
      <c r="Y4" s="27" t="s">
        <v>154</v>
      </c>
      <c r="AD4" s="46" t="s">
        <v>91</v>
      </c>
      <c r="AE4" s="46" t="s">
        <v>235</v>
      </c>
      <c r="AF4" s="46" t="s">
        <v>218</v>
      </c>
      <c r="AQ4" s="27" t="s">
        <v>114</v>
      </c>
    </row>
    <row r="5" spans="1:43" x14ac:dyDescent="0.15">
      <c r="L5" s="25" t="s">
        <v>140</v>
      </c>
      <c r="M5" s="27">
        <f>D$14*$D$6</f>
        <v>4.5</v>
      </c>
      <c r="N5" s="27">
        <f>E$14*$D$6</f>
        <v>3.5</v>
      </c>
      <c r="O5" s="27">
        <f>F$14*$D$6</f>
        <v>1.7000000000000002</v>
      </c>
      <c r="P5" s="27">
        <f>G$14*$D$6</f>
        <v>0.3</v>
      </c>
      <c r="S5" s="27">
        <v>1</v>
      </c>
      <c r="T5" s="27">
        <f>(求节点(其他调用!$AA$8:$AA$27,其他调用!$AB$8:$AB$27,$S5+$E$4)*INDEX(其他调用!AG$8:AG$607,MATCH($S5+$E$4,其他调用!$AF$8:$AF$607,0)))*INDEX($Q$19:$Q$23,MATCH(T$4,$L$19:$L$23,0))</f>
        <v>59127.508289241829</v>
      </c>
      <c r="U5" s="27">
        <f>(求节点(其他调用!$AA$8:$AA$27,其他调用!$AB$8:$AB$27,$S5+$E$4)*INDEX(其他调用!AH$8:AH$607,MATCH($S5+$E$4,其他调用!$AF$8:$AF$607,0)))*INDEX($Q$19:$Q$23,MATCH(U$4,$L$19:$L$23,0))</f>
        <v>65094.325751927048</v>
      </c>
      <c r="V5" s="27">
        <f>(求节点(其他调用!$AA$8:$AA$27,其他调用!$AB$8:$AB$27,$S5+$E$4)*INDEX(其他调用!AI$8:AI$607,MATCH($S5+$E$4,其他调用!$AF$8:$AF$607,0)))*INDEX($Q$19:$Q$23,MATCH(V$4,$L$19:$L$23,0))</f>
        <v>5668.6134939368258</v>
      </c>
      <c r="W5" s="27">
        <f>(求节点(其他调用!$AA$8:$AA$27,其他调用!$AB$8:$AB$27,$S5+$E$4)*INDEX(其他调用!AJ$8:AJ$607,MATCH($S5+$E$4,其他调用!$AF$8:$AF$607,0)))*INDEX($Q$19:$Q$23,MATCH(W$4,$L$19:$L$23,0))</f>
        <v>1048.9005933932622</v>
      </c>
      <c r="X5" s="27">
        <f>(求节点(其他调用!$AA$8:$AA$27,其他调用!$AB$8:$AB$27,$S5+$E$4)*INDEX(其他调用!AK$8:AK$607,MATCH($S5+$E$4,其他调用!$AF$8:$AF$607,0)))*INDEX($Q$19:$Q$23,MATCH(X$4,$L$19:$L$23,0))</f>
        <v>303.49263233785427</v>
      </c>
      <c r="Y5" s="31">
        <f>SUM($T$5:X5)</f>
        <v>131242.84076083681</v>
      </c>
      <c r="AD5" s="46" t="s">
        <v>93</v>
      </c>
      <c r="AE5" s="46">
        <f>INDEX($D$12:$G$12,1,MATCH($AD5,$D$10:$G$10,0))</f>
        <v>10</v>
      </c>
      <c r="AF5" s="46">
        <v>5</v>
      </c>
      <c r="AG5" s="46" t="s">
        <v>273</v>
      </c>
      <c r="AH5" s="46">
        <v>3</v>
      </c>
      <c r="AQ5" s="28" t="s">
        <v>115</v>
      </c>
    </row>
    <row r="6" spans="1:43" x14ac:dyDescent="0.15">
      <c r="B6" s="70" t="s">
        <v>113</v>
      </c>
      <c r="C6" s="70"/>
      <c r="D6" s="27">
        <v>10</v>
      </c>
      <c r="L6" s="27" t="s">
        <v>128</v>
      </c>
      <c r="M6" s="27">
        <f t="shared" ref="M6:M15" si="0">SUM($M5:$N5)*D$14</f>
        <v>3.5999999999999996</v>
      </c>
      <c r="N6" s="27">
        <f t="shared" ref="N6:N15" si="1">SUM($M5:$N5)*E$14</f>
        <v>2.8</v>
      </c>
      <c r="O6" s="27">
        <f t="shared" ref="O6:O15" si="2">SUM($M5:$N5)*F$14</f>
        <v>1.36</v>
      </c>
      <c r="P6" s="27">
        <f t="shared" ref="P6:P15" si="3">SUM($M5:$N5)*G$14</f>
        <v>0.24</v>
      </c>
      <c r="S6" s="27">
        <v>2</v>
      </c>
      <c r="T6" s="27">
        <f>(求节点(其他调用!$AA$8:$AA$27,其他调用!$AB$8:$AB$27,$S6+$E$4)*INDEX(其他调用!AG$8:AG$607,MATCH($S6+$E$4,其他调用!$AF$8:$AF$607,0)))*INDEX($Q$19:$Q$23,MATCH(T$4,$L$19:$L$23,0))</f>
        <v>59127.508289241829</v>
      </c>
      <c r="U6" s="27">
        <f>(求节点(其他调用!$AA$8:$AA$27,其他调用!$AB$8:$AB$27,$S6+$E$4)*INDEX(其他调用!AH$8:AH$607,MATCH($S6+$E$4,其他调用!$AF$8:$AF$607,0)))*INDEX($Q$19:$Q$23,MATCH(U$4,$L$19:$L$23,0))</f>
        <v>65094.325751927048</v>
      </c>
      <c r="V6" s="27">
        <f>(求节点(其他调用!$AA$8:$AA$27,其他调用!$AB$8:$AB$27,$S6+$E$4)*INDEX(其他调用!AI$8:AI$607,MATCH($S6+$E$4,其他调用!$AF$8:$AF$607,0)))*INDEX($Q$19:$Q$23,MATCH(V$4,$L$19:$L$23,0))</f>
        <v>5668.6134939368258</v>
      </c>
      <c r="W6" s="27">
        <f>(求节点(其他调用!$AA$8:$AA$27,其他调用!$AB$8:$AB$27,$S6+$E$4)*INDEX(其他调用!AJ$8:AJ$607,MATCH($S6+$E$4,其他调用!$AF$8:$AF$607,0)))*INDEX($Q$19:$Q$23,MATCH(W$4,$L$19:$L$23,0))</f>
        <v>1048.9005933932622</v>
      </c>
      <c r="X6" s="27">
        <f>(求节点(其他调用!$AA$8:$AA$27,其他调用!$AB$8:$AB$27,$S6+$E$4)*INDEX(其他调用!AK$8:AK$607,MATCH($S6+$E$4,其他调用!$AF$8:$AF$607,0)))*INDEX($Q$19:$Q$23,MATCH(X$4,$L$19:$L$23,0))</f>
        <v>303.49263233785427</v>
      </c>
      <c r="Y6" s="31">
        <f>SUM($T$5:X6)</f>
        <v>262485.68152167363</v>
      </c>
      <c r="AD6" s="46" t="s">
        <v>95</v>
      </c>
      <c r="AE6" s="46">
        <f t="shared" ref="AE6:AE8" si="4">INDEX($D$12:$G$12,1,MATCH($AD6,$D$10:$G$10,0))</f>
        <v>30</v>
      </c>
      <c r="AF6" s="46">
        <v>10</v>
      </c>
      <c r="AG6" s="62" t="s">
        <v>273</v>
      </c>
      <c r="AH6" s="62">
        <v>1</v>
      </c>
      <c r="AQ6" s="28" t="s">
        <v>116</v>
      </c>
    </row>
    <row r="7" spans="1:43" x14ac:dyDescent="0.15">
      <c r="L7" s="27" t="s">
        <v>129</v>
      </c>
      <c r="M7" s="27">
        <f t="shared" si="0"/>
        <v>2.8799999999999994</v>
      </c>
      <c r="N7" s="27">
        <f t="shared" si="1"/>
        <v>2.2399999999999998</v>
      </c>
      <c r="O7" s="27">
        <f t="shared" si="2"/>
        <v>1.0880000000000001</v>
      </c>
      <c r="P7" s="27">
        <f t="shared" si="3"/>
        <v>0.19199999999999998</v>
      </c>
      <c r="S7" s="27">
        <v>3</v>
      </c>
      <c r="T7" s="27">
        <f>(求节点(其他调用!$AA$8:$AA$27,其他调用!$AB$8:$AB$27,$S7+$E$4)*INDEX(其他调用!AG$8:AG$607,MATCH($S7+$E$4,其他调用!$AF$8:$AF$607,0)))*INDEX($Q$19:$Q$23,MATCH(T$4,$L$19:$L$23,0))</f>
        <v>59127.508289241829</v>
      </c>
      <c r="U7" s="27">
        <f>(求节点(其他调用!$AA$8:$AA$27,其他调用!$AB$8:$AB$27,$S7+$E$4)*INDEX(其他调用!AH$8:AH$607,MATCH($S7+$E$4,其他调用!$AF$8:$AF$607,0)))*INDEX($Q$19:$Q$23,MATCH(U$4,$L$19:$L$23,0))</f>
        <v>65094.325751927048</v>
      </c>
      <c r="V7" s="27">
        <f>(求节点(其他调用!$AA$8:$AA$27,其他调用!$AB$8:$AB$27,$S7+$E$4)*INDEX(其他调用!AI$8:AI$607,MATCH($S7+$E$4,其他调用!$AF$8:$AF$607,0)))*INDEX($Q$19:$Q$23,MATCH(V$4,$L$19:$L$23,0))</f>
        <v>5668.6134939368258</v>
      </c>
      <c r="W7" s="27">
        <f>(求节点(其他调用!$AA$8:$AA$27,其他调用!$AB$8:$AB$27,$S7+$E$4)*INDEX(其他调用!AJ$8:AJ$607,MATCH($S7+$E$4,其他调用!$AF$8:$AF$607,0)))*INDEX($Q$19:$Q$23,MATCH(W$4,$L$19:$L$23,0))</f>
        <v>1048.9005933932622</v>
      </c>
      <c r="X7" s="27">
        <f>(求节点(其他调用!$AA$8:$AA$27,其他调用!$AB$8:$AB$27,$S7+$E$4)*INDEX(其他调用!AK$8:AK$607,MATCH($S7+$E$4,其他调用!$AF$8:$AF$607,0)))*INDEX($Q$19:$Q$23,MATCH(X$4,$L$19:$L$23,0))</f>
        <v>303.49263233785427</v>
      </c>
      <c r="Y7" s="31">
        <f>SUM($T$5:X7)</f>
        <v>393728.52228251041</v>
      </c>
      <c r="AD7" s="46" t="s">
        <v>97</v>
      </c>
      <c r="AE7" s="46">
        <f t="shared" si="4"/>
        <v>50</v>
      </c>
      <c r="AF7" s="46">
        <v>15</v>
      </c>
      <c r="AG7" s="62" t="s">
        <v>273</v>
      </c>
      <c r="AH7" s="62">
        <v>1</v>
      </c>
      <c r="AQ7" s="28" t="s">
        <v>117</v>
      </c>
    </row>
    <row r="8" spans="1:43" x14ac:dyDescent="0.15">
      <c r="L8" s="27" t="s">
        <v>130</v>
      </c>
      <c r="M8" s="27">
        <f t="shared" si="0"/>
        <v>2.3039999999999994</v>
      </c>
      <c r="N8" s="27">
        <f t="shared" si="1"/>
        <v>1.7919999999999996</v>
      </c>
      <c r="O8" s="27">
        <f t="shared" si="2"/>
        <v>0.87039999999999995</v>
      </c>
      <c r="P8" s="27">
        <f t="shared" si="3"/>
        <v>0.15359999999999996</v>
      </c>
      <c r="S8" s="27">
        <v>4</v>
      </c>
      <c r="T8" s="27">
        <f>(求节点(其他调用!$AA$8:$AA$27,其他调用!$AB$8:$AB$27,$S8+$E$4)*INDEX(其他调用!AG$8:AG$607,MATCH($S8+$E$4,其他调用!$AF$8:$AF$607,0)))*INDEX($Q$19:$Q$23,MATCH(T$4,$L$19:$L$23,0))</f>
        <v>59127.508289241829</v>
      </c>
      <c r="U8" s="27">
        <f>(求节点(其他调用!$AA$8:$AA$27,其他调用!$AB$8:$AB$27,$S8+$E$4)*INDEX(其他调用!AH$8:AH$607,MATCH($S8+$E$4,其他调用!$AF$8:$AF$607,0)))*INDEX($Q$19:$Q$23,MATCH(U$4,$L$19:$L$23,0))</f>
        <v>65094.325751927048</v>
      </c>
      <c r="V8" s="27">
        <f>(求节点(其他调用!$AA$8:$AA$27,其他调用!$AB$8:$AB$27,$S8+$E$4)*INDEX(其他调用!AI$8:AI$607,MATCH($S8+$E$4,其他调用!$AF$8:$AF$607,0)))*INDEX($Q$19:$Q$23,MATCH(V$4,$L$19:$L$23,0))</f>
        <v>5668.6134939368258</v>
      </c>
      <c r="W8" s="27">
        <f>(求节点(其他调用!$AA$8:$AA$27,其他调用!$AB$8:$AB$27,$S8+$E$4)*INDEX(其他调用!AJ$8:AJ$607,MATCH($S8+$E$4,其他调用!$AF$8:$AF$607,0)))*INDEX($Q$19:$Q$23,MATCH(W$4,$L$19:$L$23,0))</f>
        <v>1048.9005933932622</v>
      </c>
      <c r="X8" s="27">
        <f>(求节点(其他调用!$AA$8:$AA$27,其他调用!$AB$8:$AB$27,$S8+$E$4)*INDEX(其他调用!AK$8:AK$607,MATCH($S8+$E$4,其他调用!$AF$8:$AF$607,0)))*INDEX($Q$19:$Q$23,MATCH(X$4,$L$19:$L$23,0))</f>
        <v>303.49263233785427</v>
      </c>
      <c r="Y8" s="31">
        <f>SUM($T$5:X8)</f>
        <v>524971.36304334726</v>
      </c>
      <c r="AD8" s="46" t="s">
        <v>99</v>
      </c>
      <c r="AE8" s="46">
        <f t="shared" si="4"/>
        <v>100</v>
      </c>
      <c r="AF8" s="46">
        <v>30</v>
      </c>
      <c r="AG8" s="62" t="s">
        <v>273</v>
      </c>
      <c r="AH8" s="62">
        <v>1</v>
      </c>
      <c r="AQ8" s="28" t="s">
        <v>118</v>
      </c>
    </row>
    <row r="9" spans="1:43" x14ac:dyDescent="0.15">
      <c r="B9" s="70" t="s">
        <v>91</v>
      </c>
      <c r="C9" s="70"/>
      <c r="D9" s="27">
        <v>1</v>
      </c>
      <c r="E9" s="27">
        <v>2</v>
      </c>
      <c r="F9" s="27">
        <v>3</v>
      </c>
      <c r="G9" s="27">
        <v>4</v>
      </c>
      <c r="L9" s="27" t="s">
        <v>131</v>
      </c>
      <c r="M9" s="27">
        <f t="shared" si="0"/>
        <v>1.8431999999999995</v>
      </c>
      <c r="N9" s="27">
        <f t="shared" si="1"/>
        <v>1.4335999999999995</v>
      </c>
      <c r="O9" s="27">
        <f t="shared" si="2"/>
        <v>0.69631999999999994</v>
      </c>
      <c r="P9" s="27">
        <f t="shared" si="3"/>
        <v>0.12287999999999998</v>
      </c>
      <c r="Q9" s="27" t="s">
        <v>0</v>
      </c>
      <c r="S9" s="27">
        <v>5</v>
      </c>
      <c r="T9" s="27">
        <f>(求节点(其他调用!$AA$8:$AA$27,其他调用!$AB$8:$AB$27,$S9+$E$4)*INDEX(其他调用!AG$8:AG$607,MATCH($S9+$E$4,其他调用!$AF$8:$AF$607,0)))*INDEX($Q$19:$Q$23,MATCH(T$4,$L$19:$L$23,0))</f>
        <v>59127.508289241829</v>
      </c>
      <c r="U9" s="27">
        <f>(求节点(其他调用!$AA$8:$AA$27,其他调用!$AB$8:$AB$27,$S9+$E$4)*INDEX(其他调用!AH$8:AH$607,MATCH($S9+$E$4,其他调用!$AF$8:$AF$607,0)))*INDEX($Q$19:$Q$23,MATCH(U$4,$L$19:$L$23,0))</f>
        <v>65094.325751927048</v>
      </c>
      <c r="V9" s="27">
        <f>(求节点(其他调用!$AA$8:$AA$27,其他调用!$AB$8:$AB$27,$S9+$E$4)*INDEX(其他调用!AI$8:AI$607,MATCH($S9+$E$4,其他调用!$AF$8:$AF$607,0)))*INDEX($Q$19:$Q$23,MATCH(V$4,$L$19:$L$23,0))</f>
        <v>5668.6134939368258</v>
      </c>
      <c r="W9" s="27">
        <f>(求节点(其他调用!$AA$8:$AA$27,其他调用!$AB$8:$AB$27,$S9+$E$4)*INDEX(其他调用!AJ$8:AJ$607,MATCH($S9+$E$4,其他调用!$AF$8:$AF$607,0)))*INDEX($Q$19:$Q$23,MATCH(W$4,$L$19:$L$23,0))</f>
        <v>1048.9005933932622</v>
      </c>
      <c r="X9" s="27">
        <f>(求节点(其他调用!$AA$8:$AA$27,其他调用!$AB$8:$AB$27,$S9+$E$4)*INDEX(其他调用!AK$8:AK$607,MATCH($S9+$E$4,其他调用!$AF$8:$AF$607,0)))*INDEX($Q$19:$Q$23,MATCH(X$4,$L$19:$L$23,0))</f>
        <v>303.49263233785427</v>
      </c>
      <c r="Y9" s="31">
        <f>SUM($T$5:X9)</f>
        <v>656214.2038041841</v>
      </c>
      <c r="AQ9" s="28" t="s">
        <v>120</v>
      </c>
    </row>
    <row r="10" spans="1:43" x14ac:dyDescent="0.15">
      <c r="B10" s="70" t="s">
        <v>92</v>
      </c>
      <c r="C10" s="70"/>
      <c r="D10" s="27" t="s">
        <v>94</v>
      </c>
      <c r="E10" s="27" t="s">
        <v>96</v>
      </c>
      <c r="F10" s="27" t="s">
        <v>98</v>
      </c>
      <c r="G10" s="27" t="s">
        <v>100</v>
      </c>
      <c r="L10" s="27" t="s">
        <v>132</v>
      </c>
      <c r="M10" s="27">
        <f t="shared" si="0"/>
        <v>1.4745599999999994</v>
      </c>
      <c r="N10" s="27">
        <f t="shared" si="1"/>
        <v>1.1468799999999995</v>
      </c>
      <c r="O10" s="27">
        <f t="shared" si="2"/>
        <v>0.55705599999999988</v>
      </c>
      <c r="P10" s="27">
        <f t="shared" si="3"/>
        <v>9.8303999999999961E-2</v>
      </c>
      <c r="S10" s="27">
        <v>6</v>
      </c>
      <c r="T10" s="27">
        <f>(求节点(其他调用!$AA$8:$AA$27,其他调用!$AB$8:$AB$27,$S10+$E$4)*INDEX(其他调用!AG$8:AG$607,MATCH($S10+$E$4,其他调用!$AF$8:$AF$607,0)))*INDEX($Q$19:$Q$23,MATCH(T$4,$L$19:$L$23,0))</f>
        <v>59127.508289241829</v>
      </c>
      <c r="U10" s="27">
        <f>(求节点(其他调用!$AA$8:$AA$27,其他调用!$AB$8:$AB$27,$S10+$E$4)*INDEX(其他调用!AH$8:AH$607,MATCH($S10+$E$4,其他调用!$AF$8:$AF$607,0)))*INDEX($Q$19:$Q$23,MATCH(U$4,$L$19:$L$23,0))</f>
        <v>65094.325751927048</v>
      </c>
      <c r="V10" s="27">
        <f>(求节点(其他调用!$AA$8:$AA$27,其他调用!$AB$8:$AB$27,$S10+$E$4)*INDEX(其他调用!AI$8:AI$607,MATCH($S10+$E$4,其他调用!$AF$8:$AF$607,0)))*INDEX($Q$19:$Q$23,MATCH(V$4,$L$19:$L$23,0))</f>
        <v>5668.6134939368258</v>
      </c>
      <c r="W10" s="27">
        <f>(求节点(其他调用!$AA$8:$AA$27,其他调用!$AB$8:$AB$27,$S10+$E$4)*INDEX(其他调用!AJ$8:AJ$607,MATCH($S10+$E$4,其他调用!$AF$8:$AF$607,0)))*INDEX($Q$19:$Q$23,MATCH(W$4,$L$19:$L$23,0))</f>
        <v>1048.9005933932622</v>
      </c>
      <c r="X10" s="27">
        <f>(求节点(其他调用!$AA$8:$AA$27,其他调用!$AB$8:$AB$27,$S10+$E$4)*INDEX(其他调用!AK$8:AK$607,MATCH($S10+$E$4,其他调用!$AF$8:$AF$607,0)))*INDEX($Q$19:$Q$23,MATCH(X$4,$L$19:$L$23,0))</f>
        <v>303.49263233785427</v>
      </c>
      <c r="Y10" s="31">
        <f>SUM($T$5:X10)</f>
        <v>787457.04456502094</v>
      </c>
      <c r="AQ10" s="28" t="s">
        <v>121</v>
      </c>
    </row>
    <row r="11" spans="1:43" x14ac:dyDescent="0.15">
      <c r="B11" s="70" t="s">
        <v>127</v>
      </c>
      <c r="C11" s="70"/>
      <c r="D11" s="27">
        <f>3600*1</f>
        <v>3600</v>
      </c>
      <c r="E11" s="27">
        <f>3600*2</f>
        <v>7200</v>
      </c>
      <c r="F11" s="27">
        <f>3600*3</f>
        <v>10800</v>
      </c>
      <c r="G11" s="27">
        <f>3600*4</f>
        <v>14400</v>
      </c>
      <c r="L11" s="27" t="s">
        <v>133</v>
      </c>
      <c r="M11" s="27">
        <f t="shared" si="0"/>
        <v>1.1796479999999994</v>
      </c>
      <c r="N11" s="27">
        <f t="shared" si="1"/>
        <v>0.91750399999999954</v>
      </c>
      <c r="O11" s="27">
        <f t="shared" si="2"/>
        <v>0.44564479999999984</v>
      </c>
      <c r="P11" s="27">
        <f t="shared" si="3"/>
        <v>7.8643199999999969E-2</v>
      </c>
      <c r="Q11" s="27" t="s">
        <v>3</v>
      </c>
      <c r="S11" s="27">
        <v>7</v>
      </c>
      <c r="T11" s="27">
        <f>(求节点(其他调用!$AA$8:$AA$27,其他调用!$AB$8:$AB$27,$S11+$E$4)*INDEX(其他调用!AG$8:AG$607,MATCH($S11+$E$4,其他调用!$AF$8:$AF$607,0)))*INDEX($Q$19:$Q$23,MATCH(T$4,$L$19:$L$23,0))</f>
        <v>59127.508289241829</v>
      </c>
      <c r="U11" s="27">
        <f>(求节点(其他调用!$AA$8:$AA$27,其他调用!$AB$8:$AB$27,$S11+$E$4)*INDEX(其他调用!AH$8:AH$607,MATCH($S11+$E$4,其他调用!$AF$8:$AF$607,0)))*INDEX($Q$19:$Q$23,MATCH(U$4,$L$19:$L$23,0))</f>
        <v>65094.325751927048</v>
      </c>
      <c r="V11" s="27">
        <f>(求节点(其他调用!$AA$8:$AA$27,其他调用!$AB$8:$AB$27,$S11+$E$4)*INDEX(其他调用!AI$8:AI$607,MATCH($S11+$E$4,其他调用!$AF$8:$AF$607,0)))*INDEX($Q$19:$Q$23,MATCH(V$4,$L$19:$L$23,0))</f>
        <v>5668.6134939368258</v>
      </c>
      <c r="W11" s="27">
        <f>(求节点(其他调用!$AA$8:$AA$27,其他调用!$AB$8:$AB$27,$S11+$E$4)*INDEX(其他调用!AJ$8:AJ$607,MATCH($S11+$E$4,其他调用!$AF$8:$AF$607,0)))*INDEX($Q$19:$Q$23,MATCH(W$4,$L$19:$L$23,0))</f>
        <v>1048.9005933932622</v>
      </c>
      <c r="X11" s="27">
        <f>(求节点(其他调用!$AA$8:$AA$27,其他调用!$AB$8:$AB$27,$S11+$E$4)*INDEX(其他调用!AK$8:AK$607,MATCH($S11+$E$4,其他调用!$AF$8:$AF$607,0)))*INDEX($Q$19:$Q$23,MATCH(X$4,$L$19:$L$23,0))</f>
        <v>303.49263233785427</v>
      </c>
      <c r="Y11" s="31">
        <f>SUM($T$5:X11)</f>
        <v>918699.88532585779</v>
      </c>
      <c r="AQ11" s="28" t="s">
        <v>122</v>
      </c>
    </row>
    <row r="12" spans="1:43" x14ac:dyDescent="0.15">
      <c r="B12" s="70" t="s">
        <v>84</v>
      </c>
      <c r="C12" s="70"/>
      <c r="D12" s="27">
        <v>10</v>
      </c>
      <c r="E12" s="27">
        <v>30</v>
      </c>
      <c r="F12" s="27">
        <v>50</v>
      </c>
      <c r="G12" s="27">
        <v>100</v>
      </c>
      <c r="L12" s="27" t="s">
        <v>134</v>
      </c>
      <c r="M12" s="27">
        <f t="shared" si="0"/>
        <v>0.94371839999999951</v>
      </c>
      <c r="N12" s="27">
        <f t="shared" si="1"/>
        <v>0.73400319999999963</v>
      </c>
      <c r="O12" s="27">
        <f t="shared" si="2"/>
        <v>0.35651583999999986</v>
      </c>
      <c r="P12" s="27">
        <f t="shared" si="3"/>
        <v>6.2914559999999967E-2</v>
      </c>
      <c r="S12" s="27">
        <v>8</v>
      </c>
      <c r="T12" s="27">
        <f>(求节点(其他调用!$AA$8:$AA$27,其他调用!$AB$8:$AB$27,$S12+$E$4)*INDEX(其他调用!AG$8:AG$607,MATCH($S12+$E$4,其他调用!$AF$8:$AF$607,0)))*INDEX($Q$19:$Q$23,MATCH(T$4,$L$19:$L$23,0))</f>
        <v>59127.508289241829</v>
      </c>
      <c r="U12" s="27">
        <f>(求节点(其他调用!$AA$8:$AA$27,其他调用!$AB$8:$AB$27,$S12+$E$4)*INDEX(其他调用!AH$8:AH$607,MATCH($S12+$E$4,其他调用!$AF$8:$AF$607,0)))*INDEX($Q$19:$Q$23,MATCH(U$4,$L$19:$L$23,0))</f>
        <v>65094.325751927048</v>
      </c>
      <c r="V12" s="27">
        <f>(求节点(其他调用!$AA$8:$AA$27,其他调用!$AB$8:$AB$27,$S12+$E$4)*INDEX(其他调用!AI$8:AI$607,MATCH($S12+$E$4,其他调用!$AF$8:$AF$607,0)))*INDEX($Q$19:$Q$23,MATCH(V$4,$L$19:$L$23,0))</f>
        <v>5668.6134939368258</v>
      </c>
      <c r="W12" s="27">
        <f>(求节点(其他调用!$AA$8:$AA$27,其他调用!$AB$8:$AB$27,$S12+$E$4)*INDEX(其他调用!AJ$8:AJ$607,MATCH($S12+$E$4,其他调用!$AF$8:$AF$607,0)))*INDEX($Q$19:$Q$23,MATCH(W$4,$L$19:$L$23,0))</f>
        <v>1048.9005933932622</v>
      </c>
      <c r="X12" s="27">
        <f>(求节点(其他调用!$AA$8:$AA$27,其他调用!$AB$8:$AB$27,$S12+$E$4)*INDEX(其他调用!AK$8:AK$607,MATCH($S12+$E$4,其他调用!$AF$8:$AF$607,0)))*INDEX($Q$19:$Q$23,MATCH(X$4,$L$19:$L$23,0))</f>
        <v>303.49263233785427</v>
      </c>
      <c r="Y12" s="31">
        <f>SUM($T$5:X12)</f>
        <v>1049942.7260866945</v>
      </c>
      <c r="AQ12" s="28" t="s">
        <v>119</v>
      </c>
    </row>
    <row r="13" spans="1:43" x14ac:dyDescent="0.15">
      <c r="B13" s="70" t="s">
        <v>107</v>
      </c>
      <c r="C13" s="70"/>
      <c r="D13" s="27">
        <f>0.2*COUNTA(D25:D28)</f>
        <v>0.60000000000000009</v>
      </c>
      <c r="E13" s="27">
        <f>0.2*COUNTA(E25:E28)</f>
        <v>0.60000000000000009</v>
      </c>
      <c r="F13" s="27">
        <f>0.3*COUNTA(F25:F28)</f>
        <v>0.89999999999999991</v>
      </c>
      <c r="G13" s="27">
        <f>0.5*COUNTA(G25:G28)</f>
        <v>1.5</v>
      </c>
      <c r="L13" s="27" t="s">
        <v>135</v>
      </c>
      <c r="M13" s="27">
        <f t="shared" si="0"/>
        <v>0.75497471999999954</v>
      </c>
      <c r="N13" s="27">
        <f t="shared" si="1"/>
        <v>0.5872025599999996</v>
      </c>
      <c r="O13" s="27">
        <f t="shared" si="2"/>
        <v>0.28521267199999983</v>
      </c>
      <c r="P13" s="27">
        <f t="shared" si="3"/>
        <v>5.0331647999999972E-2</v>
      </c>
      <c r="Q13" s="27" t="s">
        <v>1</v>
      </c>
      <c r="S13" s="27">
        <v>9</v>
      </c>
      <c r="T13" s="27">
        <f>(求节点(其他调用!$AA$8:$AA$27,其他调用!$AB$8:$AB$27,$S13+$E$4)*INDEX(其他调用!AG$8:AG$607,MATCH($S13+$E$4,其他调用!$AF$8:$AF$607,0)))*INDEX($Q$19:$Q$23,MATCH(T$4,$L$19:$L$23,0))</f>
        <v>59127.508289241829</v>
      </c>
      <c r="U13" s="27">
        <f>(求节点(其他调用!$AA$8:$AA$27,其他调用!$AB$8:$AB$27,$S13+$E$4)*INDEX(其他调用!AH$8:AH$607,MATCH($S13+$E$4,其他调用!$AF$8:$AF$607,0)))*INDEX($Q$19:$Q$23,MATCH(U$4,$L$19:$L$23,0))</f>
        <v>65094.325751927048</v>
      </c>
      <c r="V13" s="27">
        <f>(求节点(其他调用!$AA$8:$AA$27,其他调用!$AB$8:$AB$27,$S13+$E$4)*INDEX(其他调用!AI$8:AI$607,MATCH($S13+$E$4,其他调用!$AF$8:$AF$607,0)))*INDEX($Q$19:$Q$23,MATCH(V$4,$L$19:$L$23,0))</f>
        <v>5668.6134939368258</v>
      </c>
      <c r="W13" s="27">
        <f>(求节点(其他调用!$AA$8:$AA$27,其他调用!$AB$8:$AB$27,$S13+$E$4)*INDEX(其他调用!AJ$8:AJ$607,MATCH($S13+$E$4,其他调用!$AF$8:$AF$607,0)))*INDEX($Q$19:$Q$23,MATCH(W$4,$L$19:$L$23,0))</f>
        <v>1048.9005933932622</v>
      </c>
      <c r="X13" s="27">
        <f>(求节点(其他调用!$AA$8:$AA$27,其他调用!$AB$8:$AB$27,$S13+$E$4)*INDEX(其他调用!AK$8:AK$607,MATCH($S13+$E$4,其他调用!$AF$8:$AF$607,0)))*INDEX($Q$19:$Q$23,MATCH(X$4,$L$19:$L$23,0))</f>
        <v>303.49263233785427</v>
      </c>
      <c r="Y13" s="31">
        <f>SUM($T$5:X13)</f>
        <v>1181185.5668475314</v>
      </c>
      <c r="AQ13" s="27" t="s">
        <v>123</v>
      </c>
    </row>
    <row r="14" spans="1:43" x14ac:dyDescent="0.15">
      <c r="B14" s="70" t="s">
        <v>112</v>
      </c>
      <c r="C14" s="70"/>
      <c r="D14" s="27">
        <f>1-SUM($E$14:$G$14)</f>
        <v>0.44999999999999996</v>
      </c>
      <c r="E14" s="27">
        <v>0.35</v>
      </c>
      <c r="F14" s="27">
        <v>0.17</v>
      </c>
      <c r="G14" s="27">
        <v>0.03</v>
      </c>
      <c r="L14" s="27" t="s">
        <v>136</v>
      </c>
      <c r="M14" s="27">
        <f t="shared" si="0"/>
        <v>0.60397977599999952</v>
      </c>
      <c r="N14" s="27">
        <f t="shared" si="1"/>
        <v>0.46976204799999965</v>
      </c>
      <c r="O14" s="27">
        <f t="shared" si="2"/>
        <v>0.22817013759999988</v>
      </c>
      <c r="P14" s="27">
        <f t="shared" si="3"/>
        <v>4.0265318399999972E-2</v>
      </c>
      <c r="S14" s="27">
        <v>10</v>
      </c>
      <c r="T14" s="27">
        <f>(求节点(其他调用!$AA$8:$AA$27,其他调用!$AB$8:$AB$27,$S14+$E$4)*INDEX(其他调用!AG$8:AG$607,MATCH($S14+$E$4,其他调用!$AF$8:$AF$607,0)))*INDEX($Q$19:$Q$23,MATCH(T$4,$L$19:$L$23,0))</f>
        <v>59127.508289241829</v>
      </c>
      <c r="U14" s="27">
        <f>(求节点(其他调用!$AA$8:$AA$27,其他调用!$AB$8:$AB$27,$S14+$E$4)*INDEX(其他调用!AH$8:AH$607,MATCH($S14+$E$4,其他调用!$AF$8:$AF$607,0)))*INDEX($Q$19:$Q$23,MATCH(U$4,$L$19:$L$23,0))</f>
        <v>65094.325751927048</v>
      </c>
      <c r="V14" s="27">
        <f>(求节点(其他调用!$AA$8:$AA$27,其他调用!$AB$8:$AB$27,$S14+$E$4)*INDEX(其他调用!AI$8:AI$607,MATCH($S14+$E$4,其他调用!$AF$8:$AF$607,0)))*INDEX($Q$19:$Q$23,MATCH(V$4,$L$19:$L$23,0))</f>
        <v>5668.6134939368258</v>
      </c>
      <c r="W14" s="27">
        <f>(求节点(其他调用!$AA$8:$AA$27,其他调用!$AB$8:$AB$27,$S14+$E$4)*INDEX(其他调用!AJ$8:AJ$607,MATCH($S14+$E$4,其他调用!$AF$8:$AF$607,0)))*INDEX($Q$19:$Q$23,MATCH(W$4,$L$19:$L$23,0))</f>
        <v>1048.9005933932622</v>
      </c>
      <c r="X14" s="27">
        <f>(求节点(其他调用!$AA$8:$AA$27,其他调用!$AB$8:$AB$27,$S14+$E$4)*INDEX(其他调用!AK$8:AK$607,MATCH($S14+$E$4,其他调用!$AF$8:$AF$607,0)))*INDEX($Q$19:$Q$23,MATCH(X$4,$L$19:$L$23,0))</f>
        <v>303.49263233785427</v>
      </c>
      <c r="Y14" s="31">
        <f>SUM($T$5:X14)</f>
        <v>1312428.4076083682</v>
      </c>
      <c r="AQ14" s="27" t="s">
        <v>124</v>
      </c>
    </row>
    <row r="15" spans="1:43" x14ac:dyDescent="0.15">
      <c r="D15" s="27">
        <f>D12*(1+D13)</f>
        <v>16</v>
      </c>
      <c r="E15" s="27">
        <f t="shared" ref="E15:G15" si="5">E12*(1+E13)</f>
        <v>48</v>
      </c>
      <c r="F15" s="27">
        <f t="shared" si="5"/>
        <v>95</v>
      </c>
      <c r="G15" s="27">
        <f t="shared" si="5"/>
        <v>250</v>
      </c>
      <c r="L15" s="27" t="s">
        <v>137</v>
      </c>
      <c r="M15" s="27">
        <f t="shared" si="0"/>
        <v>0.48318382079999961</v>
      </c>
      <c r="N15" s="27">
        <f t="shared" si="1"/>
        <v>0.3758096383999997</v>
      </c>
      <c r="O15" s="27">
        <f t="shared" si="2"/>
        <v>0.18253611007999987</v>
      </c>
      <c r="P15" s="27">
        <f t="shared" si="3"/>
        <v>3.2212254719999972E-2</v>
      </c>
      <c r="Q15" s="27" t="s">
        <v>4</v>
      </c>
      <c r="S15" s="27">
        <v>11</v>
      </c>
      <c r="T15" s="27">
        <f>(求节点(其他调用!$AA$8:$AA$27,其他调用!$AB$8:$AB$27,$S15+$E$4)*INDEX(其他调用!AG$8:AG$607,MATCH($S15+$E$4,其他调用!$AF$8:$AF$607,0)))*INDEX($Q$19:$Q$23,MATCH(T$4,$L$19:$L$23,0))</f>
        <v>59127.508289241829</v>
      </c>
      <c r="U15" s="27">
        <f>(求节点(其他调用!$AA$8:$AA$27,其他调用!$AB$8:$AB$27,$S15+$E$4)*INDEX(其他调用!AH$8:AH$607,MATCH($S15+$E$4,其他调用!$AF$8:$AF$607,0)))*INDEX($Q$19:$Q$23,MATCH(U$4,$L$19:$L$23,0))</f>
        <v>65094.325751927048</v>
      </c>
      <c r="V15" s="27">
        <f>(求节点(其他调用!$AA$8:$AA$27,其他调用!$AB$8:$AB$27,$S15+$E$4)*INDEX(其他调用!AI$8:AI$607,MATCH($S15+$E$4,其他调用!$AF$8:$AF$607,0)))*INDEX($Q$19:$Q$23,MATCH(V$4,$L$19:$L$23,0))</f>
        <v>5668.6134939368258</v>
      </c>
      <c r="W15" s="27">
        <f>(求节点(其他调用!$AA$8:$AA$27,其他调用!$AB$8:$AB$27,$S15+$E$4)*INDEX(其他调用!AJ$8:AJ$607,MATCH($S15+$E$4,其他调用!$AF$8:$AF$607,0)))*INDEX($Q$19:$Q$23,MATCH(W$4,$L$19:$L$23,0))</f>
        <v>1048.9005933932622</v>
      </c>
      <c r="X15" s="27">
        <f>(求节点(其他调用!$AA$8:$AA$27,其他调用!$AB$8:$AB$27,$S15+$E$4)*INDEX(其他调用!AK$8:AK$607,MATCH($S15+$E$4,其他调用!$AF$8:$AF$607,0)))*INDEX($Q$19:$Q$23,MATCH(X$4,$L$19:$L$23,0))</f>
        <v>303.49263233785427</v>
      </c>
      <c r="Y15" s="31">
        <f>SUM($T$5:X15)</f>
        <v>1443671.248369205</v>
      </c>
    </row>
    <row r="16" spans="1:43" x14ac:dyDescent="0.15">
      <c r="S16" s="27">
        <v>12</v>
      </c>
      <c r="T16" s="27">
        <f>(求节点(其他调用!$AA$8:$AA$27,其他调用!$AB$8:$AB$27,$S16+$E$4)*INDEX(其他调用!AG$8:AG$607,MATCH($S16+$E$4,其他调用!$AF$8:$AF$607,0)))*INDEX($Q$19:$Q$23,MATCH(T$4,$L$19:$L$23,0))</f>
        <v>59127.508289241829</v>
      </c>
      <c r="U16" s="27">
        <f>(求节点(其他调用!$AA$8:$AA$27,其他调用!$AB$8:$AB$27,$S16+$E$4)*INDEX(其他调用!AH$8:AH$607,MATCH($S16+$E$4,其他调用!$AF$8:$AF$607,0)))*INDEX($Q$19:$Q$23,MATCH(U$4,$L$19:$L$23,0))</f>
        <v>65094.325751927048</v>
      </c>
      <c r="V16" s="27">
        <f>(求节点(其他调用!$AA$8:$AA$27,其他调用!$AB$8:$AB$27,$S16+$E$4)*INDEX(其他调用!AI$8:AI$607,MATCH($S16+$E$4,其他调用!$AF$8:$AF$607,0)))*INDEX($Q$19:$Q$23,MATCH(V$4,$L$19:$L$23,0))</f>
        <v>5668.6134939368258</v>
      </c>
      <c r="W16" s="27">
        <f>(求节点(其他调用!$AA$8:$AA$27,其他调用!$AB$8:$AB$27,$S16+$E$4)*INDEX(其他调用!AJ$8:AJ$607,MATCH($S16+$E$4,其他调用!$AF$8:$AF$607,0)))*INDEX($Q$19:$Q$23,MATCH(W$4,$L$19:$L$23,0))</f>
        <v>1048.9005933932622</v>
      </c>
      <c r="X16" s="27">
        <f>(求节点(其他调用!$AA$8:$AA$27,其他调用!$AB$8:$AB$27,$S16+$E$4)*INDEX(其他调用!AK$8:AK$607,MATCH($S16+$E$4,其他调用!$AF$8:$AF$607,0)))*INDEX($Q$19:$Q$23,MATCH(X$4,$L$19:$L$23,0))</f>
        <v>303.49263233785427</v>
      </c>
      <c r="Y16" s="31">
        <f>SUM($T$5:X16)</f>
        <v>1574914.0891300419</v>
      </c>
    </row>
    <row r="17" spans="2:25" x14ac:dyDescent="0.15">
      <c r="B17" s="70" t="s">
        <v>105</v>
      </c>
      <c r="C17" s="70"/>
      <c r="D17" s="70"/>
      <c r="E17" s="70"/>
      <c r="F17" s="70"/>
      <c r="G17" s="70"/>
      <c r="M17" s="28"/>
      <c r="N17" s="28"/>
      <c r="O17" s="28"/>
      <c r="P17" s="28"/>
      <c r="S17" s="27">
        <v>13</v>
      </c>
      <c r="T17" s="27">
        <f>(求节点(其他调用!$AA$8:$AA$27,其他调用!$AB$8:$AB$27,$S17+$E$4)*INDEX(其他调用!AG$8:AG$607,MATCH($S17+$E$4,其他调用!$AF$8:$AF$607,0)))*INDEX($Q$19:$Q$23,MATCH(T$4,$L$19:$L$23,0))</f>
        <v>59127.508289241829</v>
      </c>
      <c r="U17" s="27">
        <f>(求节点(其他调用!$AA$8:$AA$27,其他调用!$AB$8:$AB$27,$S17+$E$4)*INDEX(其他调用!AH$8:AH$607,MATCH($S17+$E$4,其他调用!$AF$8:$AF$607,0)))*INDEX($Q$19:$Q$23,MATCH(U$4,$L$19:$L$23,0))</f>
        <v>65094.325751927048</v>
      </c>
      <c r="V17" s="27">
        <f>(求节点(其他调用!$AA$8:$AA$27,其他调用!$AB$8:$AB$27,$S17+$E$4)*INDEX(其他调用!AI$8:AI$607,MATCH($S17+$E$4,其他调用!$AF$8:$AF$607,0)))*INDEX($Q$19:$Q$23,MATCH(V$4,$L$19:$L$23,0))</f>
        <v>5668.6134939368258</v>
      </c>
      <c r="W17" s="27">
        <f>(求节点(其他调用!$AA$8:$AA$27,其他调用!$AB$8:$AB$27,$S17+$E$4)*INDEX(其他调用!AJ$8:AJ$607,MATCH($S17+$E$4,其他调用!$AF$8:$AF$607,0)))*INDEX($Q$19:$Q$23,MATCH(W$4,$L$19:$L$23,0))</f>
        <v>1048.9005933932622</v>
      </c>
      <c r="X17" s="27">
        <f>(求节点(其他调用!$AA$8:$AA$27,其他调用!$AB$8:$AB$27,$S17+$E$4)*INDEX(其他调用!AK$8:AK$607,MATCH($S17+$E$4,其他调用!$AF$8:$AF$607,0)))*INDEX($Q$19:$Q$23,MATCH(X$4,$L$19:$L$23,0))</f>
        <v>303.49263233785427</v>
      </c>
      <c r="Y17" s="31">
        <f>SUM($T$5:X17)</f>
        <v>1706156.9298908787</v>
      </c>
    </row>
    <row r="18" spans="2:25" x14ac:dyDescent="0.15">
      <c r="B18" s="70" t="s">
        <v>92</v>
      </c>
      <c r="C18" s="70"/>
      <c r="D18" s="27" t="s">
        <v>94</v>
      </c>
      <c r="E18" s="27" t="s">
        <v>96</v>
      </c>
      <c r="F18" s="27" t="s">
        <v>98</v>
      </c>
      <c r="G18" s="27" t="s">
        <v>100</v>
      </c>
      <c r="L18" s="28" t="s">
        <v>139</v>
      </c>
      <c r="M18" s="27" t="s">
        <v>93</v>
      </c>
      <c r="N18" s="27" t="s">
        <v>95</v>
      </c>
      <c r="O18" s="27" t="s">
        <v>97</v>
      </c>
      <c r="P18" s="27" t="s">
        <v>99</v>
      </c>
      <c r="Q18" s="27" t="s">
        <v>152</v>
      </c>
      <c r="S18" s="27">
        <v>14</v>
      </c>
      <c r="T18" s="27">
        <f>(求节点(其他调用!$AA$8:$AA$27,其他调用!$AB$8:$AB$27,$S18+$E$4)*INDEX(其他调用!AG$8:AG$607,MATCH($S18+$E$4,其他调用!$AF$8:$AF$607,0)))*INDEX($Q$19:$Q$23,MATCH(T$4,$L$19:$L$23,0))</f>
        <v>59127.508289241829</v>
      </c>
      <c r="U18" s="27">
        <f>(求节点(其他调用!$AA$8:$AA$27,其他调用!$AB$8:$AB$27,$S18+$E$4)*INDEX(其他调用!AH$8:AH$607,MATCH($S18+$E$4,其他调用!$AF$8:$AF$607,0)))*INDEX($Q$19:$Q$23,MATCH(U$4,$L$19:$L$23,0))</f>
        <v>65094.325751927048</v>
      </c>
      <c r="V18" s="27">
        <f>(求节点(其他调用!$AA$8:$AA$27,其他调用!$AB$8:$AB$27,$S18+$E$4)*INDEX(其他调用!AI$8:AI$607,MATCH($S18+$E$4,其他调用!$AF$8:$AF$607,0)))*INDEX($Q$19:$Q$23,MATCH(V$4,$L$19:$L$23,0))</f>
        <v>5668.6134939368258</v>
      </c>
      <c r="W18" s="27">
        <f>(求节点(其他调用!$AA$8:$AA$27,其他调用!$AB$8:$AB$27,$S18+$E$4)*INDEX(其他调用!AJ$8:AJ$607,MATCH($S18+$E$4,其他调用!$AF$8:$AF$607,0)))*INDEX($Q$19:$Q$23,MATCH(W$4,$L$19:$L$23,0))</f>
        <v>1048.9005933932622</v>
      </c>
      <c r="X18" s="27">
        <f>(求节点(其他调用!$AA$8:$AA$27,其他调用!$AB$8:$AB$27,$S18+$E$4)*INDEX(其他调用!AK$8:AK$607,MATCH($S18+$E$4,其他调用!$AF$8:$AF$607,0)))*INDEX($Q$19:$Q$23,MATCH(X$4,$L$19:$L$23,0))</f>
        <v>303.49263233785427</v>
      </c>
      <c r="Y18" s="31">
        <f>SUM($T$5:X18)</f>
        <v>1837399.7706517156</v>
      </c>
    </row>
    <row r="19" spans="2:25" x14ac:dyDescent="0.15">
      <c r="B19" s="70" t="s">
        <v>102</v>
      </c>
      <c r="C19" s="70"/>
      <c r="D19" s="27">
        <v>2</v>
      </c>
      <c r="E19" s="27">
        <v>2</v>
      </c>
      <c r="F19" s="27">
        <v>3</v>
      </c>
      <c r="G19" s="27">
        <v>1</v>
      </c>
      <c r="L19" s="27" t="s">
        <v>142</v>
      </c>
      <c r="M19" s="27">
        <f>INDEX(M$5:M$15,MATCH($L19,$Q$5:$Q$15,0))</f>
        <v>1.8431999999999995</v>
      </c>
      <c r="N19" s="27">
        <f>INDEX(N$5:N$15,MATCH($L19,$Q$5:$Q$15,0))</f>
        <v>1.4335999999999995</v>
      </c>
      <c r="O19" s="29">
        <f>SUM(O5:O9)</f>
        <v>5.7147200000000007</v>
      </c>
      <c r="P19" s="29">
        <f>SUM(P5:P9)</f>
        <v>1.0084799999999998</v>
      </c>
      <c r="Q19" s="27">
        <f>SUMPRODUCT(M19:P19,$D$12:$G$12,1+$D$13:$G$13)</f>
        <v>893.32240000000002</v>
      </c>
      <c r="S19" s="27">
        <v>15</v>
      </c>
      <c r="T19" s="27">
        <f>(求节点(其他调用!$AA$8:$AA$27,其他调用!$AB$8:$AB$27,$S19+$E$4)*INDEX(其他调用!AG$8:AG$607,MATCH($S19+$E$4,其他调用!$AF$8:$AF$607,0)))*INDEX($Q$19:$Q$23,MATCH(T$4,$L$19:$L$23,0))</f>
        <v>59127.508289241829</v>
      </c>
      <c r="U19" s="27">
        <f>(求节点(其他调用!$AA$8:$AA$27,其他调用!$AB$8:$AB$27,$S19+$E$4)*INDEX(其他调用!AH$8:AH$607,MATCH($S19+$E$4,其他调用!$AF$8:$AF$607,0)))*INDEX($Q$19:$Q$23,MATCH(U$4,$L$19:$L$23,0))</f>
        <v>65094.325751927048</v>
      </c>
      <c r="V19" s="27">
        <f>(求节点(其他调用!$AA$8:$AA$27,其他调用!$AB$8:$AB$27,$S19+$E$4)*INDEX(其他调用!AI$8:AI$607,MATCH($S19+$E$4,其他调用!$AF$8:$AF$607,0)))*INDEX($Q$19:$Q$23,MATCH(V$4,$L$19:$L$23,0))</f>
        <v>5668.6134939368258</v>
      </c>
      <c r="W19" s="27">
        <f>(求节点(其他调用!$AA$8:$AA$27,其他调用!$AB$8:$AB$27,$S19+$E$4)*INDEX(其他调用!AJ$8:AJ$607,MATCH($S19+$E$4,其他调用!$AF$8:$AF$607,0)))*INDEX($Q$19:$Q$23,MATCH(W$4,$L$19:$L$23,0))</f>
        <v>1048.9005933932622</v>
      </c>
      <c r="X19" s="27">
        <f>(求节点(其他调用!$AA$8:$AA$27,其他调用!$AB$8:$AB$27,$S19+$E$4)*INDEX(其他调用!AK$8:AK$607,MATCH($S19+$E$4,其他调用!$AF$8:$AF$607,0)))*INDEX($Q$19:$Q$23,MATCH(X$4,$L$19:$L$23,0))</f>
        <v>303.49263233785427</v>
      </c>
      <c r="Y19" s="31">
        <f>SUM($T$5:X19)</f>
        <v>1968642.6114125524</v>
      </c>
    </row>
    <row r="20" spans="2:25" x14ac:dyDescent="0.15">
      <c r="B20" s="70" t="s">
        <v>106</v>
      </c>
      <c r="C20" s="70"/>
      <c r="D20" s="27">
        <v>4</v>
      </c>
      <c r="E20" s="27">
        <v>4</v>
      </c>
      <c r="F20" s="27">
        <v>4</v>
      </c>
      <c r="G20" s="27">
        <v>4</v>
      </c>
      <c r="L20" s="27" t="s">
        <v>143</v>
      </c>
      <c r="M20" s="27">
        <f t="shared" ref="M20:N21" si="6">INDEX(M$5:M$15,MATCH($L20,$Q$5:$Q$15,0))</f>
        <v>1.1796479999999994</v>
      </c>
      <c r="N20" s="27">
        <f t="shared" si="6"/>
        <v>0.91750399999999954</v>
      </c>
      <c r="O20" s="30">
        <f>SUM(O5:O11)</f>
        <v>6.7174208000000011</v>
      </c>
      <c r="P20" s="30">
        <f>SUM(P5:P11)</f>
        <v>1.1854271999999997</v>
      </c>
      <c r="Q20" s="27">
        <f>SUMPRODUCT(M20:P20,$D$12:$G$12,1+$D$13:$G$13)</f>
        <v>997.42633599999988</v>
      </c>
      <c r="S20" s="27">
        <v>16</v>
      </c>
      <c r="T20" s="27">
        <f>(求节点(其他调用!$AA$8:$AA$27,其他调用!$AB$8:$AB$27,$S20+$E$4)*INDEX(其他调用!AG$8:AG$607,MATCH($S20+$E$4,其他调用!$AF$8:$AF$607,0)))*INDEX($Q$19:$Q$23,MATCH(T$4,$L$19:$L$23,0))</f>
        <v>59127.508289241829</v>
      </c>
      <c r="U20" s="27">
        <f>(求节点(其他调用!$AA$8:$AA$27,其他调用!$AB$8:$AB$27,$S20+$E$4)*INDEX(其他调用!AH$8:AH$607,MATCH($S20+$E$4,其他调用!$AF$8:$AF$607,0)))*INDEX($Q$19:$Q$23,MATCH(U$4,$L$19:$L$23,0))</f>
        <v>65094.325751927048</v>
      </c>
      <c r="V20" s="27">
        <f>(求节点(其他调用!$AA$8:$AA$27,其他调用!$AB$8:$AB$27,$S20+$E$4)*INDEX(其他调用!AI$8:AI$607,MATCH($S20+$E$4,其他调用!$AF$8:$AF$607,0)))*INDEX($Q$19:$Q$23,MATCH(V$4,$L$19:$L$23,0))</f>
        <v>5668.6134939368258</v>
      </c>
      <c r="W20" s="27">
        <f>(求节点(其他调用!$AA$8:$AA$27,其他调用!$AB$8:$AB$27,$S20+$E$4)*INDEX(其他调用!AJ$8:AJ$607,MATCH($S20+$E$4,其他调用!$AF$8:$AF$607,0)))*INDEX($Q$19:$Q$23,MATCH(W$4,$L$19:$L$23,0))</f>
        <v>1048.9005933932622</v>
      </c>
      <c r="X20" s="27">
        <f>(求节点(其他调用!$AA$8:$AA$27,其他调用!$AB$8:$AB$27,$S20+$E$4)*INDEX(其他调用!AK$8:AK$607,MATCH($S20+$E$4,其他调用!$AF$8:$AF$607,0)))*INDEX($Q$19:$Q$23,MATCH(X$4,$L$19:$L$23,0))</f>
        <v>303.49263233785427</v>
      </c>
      <c r="Y20" s="31">
        <f>SUM($T$5:X20)</f>
        <v>2099885.4521733895</v>
      </c>
    </row>
    <row r="21" spans="2:25" x14ac:dyDescent="0.15">
      <c r="L21" s="27" t="s">
        <v>144</v>
      </c>
      <c r="M21" s="27">
        <f t="shared" si="6"/>
        <v>0.75497471999999954</v>
      </c>
      <c r="N21" s="27">
        <f t="shared" si="6"/>
        <v>0.5872025599999996</v>
      </c>
      <c r="O21" s="29">
        <f>SUM(O5:O13)</f>
        <v>7.3591493120000013</v>
      </c>
      <c r="P21" s="29">
        <f>SUM(P5:P13)</f>
        <v>1.2986734079999998</v>
      </c>
      <c r="Q21" s="27">
        <f t="shared" ref="Q21:Q23" si="7">SUMPRODUCT(M21:P21,$D$12:$G$12,1+$D$13:$G$13)</f>
        <v>1064.0528550399999</v>
      </c>
      <c r="S21" s="27">
        <v>17</v>
      </c>
      <c r="T21" s="27">
        <f>(求节点(其他调用!$AA$8:$AA$27,其他调用!$AB$8:$AB$27,$S21+$E$4)*INDEX(其他调用!AG$8:AG$607,MATCH($S21+$E$4,其他调用!$AF$8:$AF$607,0)))*INDEX($Q$19:$Q$23,MATCH(T$4,$L$19:$L$23,0))</f>
        <v>59127.508289241829</v>
      </c>
      <c r="U21" s="27">
        <f>(求节点(其他调用!$AA$8:$AA$27,其他调用!$AB$8:$AB$27,$S21+$E$4)*INDEX(其他调用!AH$8:AH$607,MATCH($S21+$E$4,其他调用!$AF$8:$AF$607,0)))*INDEX($Q$19:$Q$23,MATCH(U$4,$L$19:$L$23,0))</f>
        <v>65094.325751927048</v>
      </c>
      <c r="V21" s="27">
        <f>(求节点(其他调用!$AA$8:$AA$27,其他调用!$AB$8:$AB$27,$S21+$E$4)*INDEX(其他调用!AI$8:AI$607,MATCH($S21+$E$4,其他调用!$AF$8:$AF$607,0)))*INDEX($Q$19:$Q$23,MATCH(V$4,$L$19:$L$23,0))</f>
        <v>5668.6134939368258</v>
      </c>
      <c r="W21" s="27">
        <f>(求节点(其他调用!$AA$8:$AA$27,其他调用!$AB$8:$AB$27,$S21+$E$4)*INDEX(其他调用!AJ$8:AJ$607,MATCH($S21+$E$4,其他调用!$AF$8:$AF$607,0)))*INDEX($Q$19:$Q$23,MATCH(W$4,$L$19:$L$23,0))</f>
        <v>1048.9005933932622</v>
      </c>
      <c r="X21" s="27">
        <f>(求节点(其他调用!$AA$8:$AA$27,其他调用!$AB$8:$AB$27,$S21+$E$4)*INDEX(其他调用!AK$8:AK$607,MATCH($S21+$E$4,其他调用!$AF$8:$AF$607,0)))*INDEX($Q$19:$Q$23,MATCH(X$4,$L$19:$L$23,0))</f>
        <v>303.49263233785427</v>
      </c>
      <c r="Y21" s="31">
        <f>SUM($T$5:X21)</f>
        <v>2231128.2929342263</v>
      </c>
    </row>
    <row r="22" spans="2:25" x14ac:dyDescent="0.15">
      <c r="L22" s="27" t="s">
        <v>145</v>
      </c>
      <c r="M22" s="27">
        <f>INDEX(M$5:M$15,MATCH($L22,$Q$5:$Q$15,0))</f>
        <v>0.48318382079999961</v>
      </c>
      <c r="N22" s="27">
        <f>INDEX(N$5:N$15,MATCH($L22,$Q$5:$Q$15,0))</f>
        <v>0.3758096383999997</v>
      </c>
      <c r="O22" s="30">
        <f>SUM(O5:O15)</f>
        <v>7.7698555596800016</v>
      </c>
      <c r="P22" s="30">
        <f>SUM(P5:P15)</f>
        <v>1.3711509811199996</v>
      </c>
      <c r="Q22" s="27">
        <f t="shared" si="7"/>
        <v>1106.6938272256</v>
      </c>
      <c r="S22" s="27">
        <v>18</v>
      </c>
      <c r="T22" s="27">
        <f>(求节点(其他调用!$AA$8:$AA$27,其他调用!$AB$8:$AB$27,$S22+$E$4)*INDEX(其他调用!AG$8:AG$607,MATCH($S22+$E$4,其他调用!$AF$8:$AF$607,0)))*INDEX($Q$19:$Q$23,MATCH(T$4,$L$19:$L$23,0))</f>
        <v>59127.508289241829</v>
      </c>
      <c r="U22" s="27">
        <f>(求节点(其他调用!$AA$8:$AA$27,其他调用!$AB$8:$AB$27,$S22+$E$4)*INDEX(其他调用!AH$8:AH$607,MATCH($S22+$E$4,其他调用!$AF$8:$AF$607,0)))*INDEX($Q$19:$Q$23,MATCH(U$4,$L$19:$L$23,0))</f>
        <v>65094.325751927048</v>
      </c>
      <c r="V22" s="27">
        <f>(求节点(其他调用!$AA$8:$AA$27,其他调用!$AB$8:$AB$27,$S22+$E$4)*INDEX(其他调用!AI$8:AI$607,MATCH($S22+$E$4,其他调用!$AF$8:$AF$607,0)))*INDEX($Q$19:$Q$23,MATCH(V$4,$L$19:$L$23,0))</f>
        <v>5668.6134939368258</v>
      </c>
      <c r="W22" s="27">
        <f>(求节点(其他调用!$AA$8:$AA$27,其他调用!$AB$8:$AB$27,$S22+$E$4)*INDEX(其他调用!AJ$8:AJ$607,MATCH($S22+$E$4,其他调用!$AF$8:$AF$607,0)))*INDEX($Q$19:$Q$23,MATCH(W$4,$L$19:$L$23,0))</f>
        <v>1048.9005933932622</v>
      </c>
      <c r="X22" s="27">
        <f>(求节点(其他调用!$AA$8:$AA$27,其他调用!$AB$8:$AB$27,$S22+$E$4)*INDEX(其他调用!AK$8:AK$607,MATCH($S22+$E$4,其他调用!$AF$8:$AF$607,0)))*INDEX($Q$19:$Q$23,MATCH(X$4,$L$19:$L$23,0))</f>
        <v>303.49263233785427</v>
      </c>
      <c r="Y22" s="31">
        <f>SUM($T$5:X22)</f>
        <v>2362371.1336950632</v>
      </c>
    </row>
    <row r="23" spans="2:25" x14ac:dyDescent="0.15">
      <c r="B23" s="70" t="s">
        <v>111</v>
      </c>
      <c r="C23" s="70"/>
      <c r="D23" s="70"/>
      <c r="E23" s="70"/>
      <c r="F23" s="70"/>
      <c r="G23" s="70"/>
      <c r="L23" s="27" t="s">
        <v>2</v>
      </c>
      <c r="M23" s="29">
        <f>M22</f>
        <v>0.48318382079999961</v>
      </c>
      <c r="N23" s="29">
        <f t="shared" ref="N23:P23" si="8">N22</f>
        <v>0.3758096383999997</v>
      </c>
      <c r="O23" s="29">
        <f t="shared" si="8"/>
        <v>7.7698555596800016</v>
      </c>
      <c r="P23" s="29">
        <f t="shared" si="8"/>
        <v>1.3711509811199996</v>
      </c>
      <c r="Q23" s="27">
        <f t="shared" si="7"/>
        <v>1106.6938272256</v>
      </c>
      <c r="S23" s="27">
        <v>19</v>
      </c>
      <c r="T23" s="27">
        <f>(求节点(其他调用!$AA$8:$AA$27,其他调用!$AB$8:$AB$27,$S23+$E$4)*INDEX(其他调用!AG$8:AG$607,MATCH($S23+$E$4,其他调用!$AF$8:$AF$607,0)))*INDEX($Q$19:$Q$23,MATCH(T$4,$L$19:$L$23,0))</f>
        <v>59127.508289241829</v>
      </c>
      <c r="U23" s="27">
        <f>(求节点(其他调用!$AA$8:$AA$27,其他调用!$AB$8:$AB$27,$S23+$E$4)*INDEX(其他调用!AH$8:AH$607,MATCH($S23+$E$4,其他调用!$AF$8:$AF$607,0)))*INDEX($Q$19:$Q$23,MATCH(U$4,$L$19:$L$23,0))</f>
        <v>65094.325751927048</v>
      </c>
      <c r="V23" s="27">
        <f>(求节点(其他调用!$AA$8:$AA$27,其他调用!$AB$8:$AB$27,$S23+$E$4)*INDEX(其他调用!AI$8:AI$607,MATCH($S23+$E$4,其他调用!$AF$8:$AF$607,0)))*INDEX($Q$19:$Q$23,MATCH(V$4,$L$19:$L$23,0))</f>
        <v>5668.6134939368258</v>
      </c>
      <c r="W23" s="27">
        <f>(求节点(其他调用!$AA$8:$AA$27,其他调用!$AB$8:$AB$27,$S23+$E$4)*INDEX(其他调用!AJ$8:AJ$607,MATCH($S23+$E$4,其他调用!$AF$8:$AF$607,0)))*INDEX($Q$19:$Q$23,MATCH(W$4,$L$19:$L$23,0))</f>
        <v>1048.9005933932622</v>
      </c>
      <c r="X23" s="27">
        <f>(求节点(其他调用!$AA$8:$AA$27,其他调用!$AB$8:$AB$27,$S23+$E$4)*INDEX(其他调用!AK$8:AK$607,MATCH($S23+$E$4,其他调用!$AF$8:$AF$607,0)))*INDEX($Q$19:$Q$23,MATCH(X$4,$L$19:$L$23,0))</f>
        <v>303.49263233785427</v>
      </c>
      <c r="Y23" s="31">
        <f>SUM($T$5:X23)</f>
        <v>2493613.9744559</v>
      </c>
    </row>
    <row r="24" spans="2:25" x14ac:dyDescent="0.15">
      <c r="B24" s="70" t="s">
        <v>92</v>
      </c>
      <c r="C24" s="70"/>
      <c r="D24" s="27" t="s">
        <v>94</v>
      </c>
      <c r="E24" s="27" t="s">
        <v>96</v>
      </c>
      <c r="F24" s="27" t="s">
        <v>98</v>
      </c>
      <c r="G24" s="27" t="s">
        <v>100</v>
      </c>
      <c r="S24" s="27">
        <v>20</v>
      </c>
      <c r="T24" s="27">
        <f>(求节点(其他调用!$AA$8:$AA$27,其他调用!$AB$8:$AB$27,$S24+$E$4)*INDEX(其他调用!AG$8:AG$607,MATCH($S24+$E$4,其他调用!$AF$8:$AF$607,0)))*INDEX($Q$19:$Q$23,MATCH(T$4,$L$19:$L$23,0))</f>
        <v>59127.508289241829</v>
      </c>
      <c r="U24" s="27">
        <f>(求节点(其他调用!$AA$8:$AA$27,其他调用!$AB$8:$AB$27,$S24+$E$4)*INDEX(其他调用!AH$8:AH$607,MATCH($S24+$E$4,其他调用!$AF$8:$AF$607,0)))*INDEX($Q$19:$Q$23,MATCH(U$4,$L$19:$L$23,0))</f>
        <v>65094.325751927048</v>
      </c>
      <c r="V24" s="27">
        <f>(求节点(其他调用!$AA$8:$AA$27,其他调用!$AB$8:$AB$27,$S24+$E$4)*INDEX(其他调用!AI$8:AI$607,MATCH($S24+$E$4,其他调用!$AF$8:$AF$607,0)))*INDEX($Q$19:$Q$23,MATCH(V$4,$L$19:$L$23,0))</f>
        <v>5668.6134939368258</v>
      </c>
      <c r="W24" s="27">
        <f>(求节点(其他调用!$AA$8:$AA$27,其他调用!$AB$8:$AB$27,$S24+$E$4)*INDEX(其他调用!AJ$8:AJ$607,MATCH($S24+$E$4,其他调用!$AF$8:$AF$607,0)))*INDEX($Q$19:$Q$23,MATCH(W$4,$L$19:$L$23,0))</f>
        <v>1048.9005933932622</v>
      </c>
      <c r="X24" s="27">
        <f>(求节点(其他调用!$AA$8:$AA$27,其他调用!$AB$8:$AB$27,$S24+$E$4)*INDEX(其他调用!AK$8:AK$607,MATCH($S24+$E$4,其他调用!$AF$8:$AF$607,0)))*INDEX($Q$19:$Q$23,MATCH(X$4,$L$19:$L$23,0))</f>
        <v>303.49263233785427</v>
      </c>
      <c r="Y24" s="31">
        <f>SUM($T$5:X24)</f>
        <v>2624856.8152167369</v>
      </c>
    </row>
    <row r="25" spans="2:25" x14ac:dyDescent="0.15">
      <c r="B25" s="70" t="s">
        <v>101</v>
      </c>
      <c r="C25" s="70"/>
      <c r="D25" s="27">
        <v>2</v>
      </c>
      <c r="E25" s="27">
        <v>2</v>
      </c>
      <c r="F25" s="27">
        <v>2</v>
      </c>
      <c r="G25" s="27">
        <v>2</v>
      </c>
      <c r="S25" s="27">
        <v>21</v>
      </c>
      <c r="T25" s="27">
        <f>(求节点(其他调用!$AA$8:$AA$27,其他调用!$AB$8:$AB$27,$S25+$E$4)*INDEX(其他调用!AG$8:AG$607,MATCH($S25+$E$4,其他调用!$AF$8:$AF$607,0)))*INDEX($Q$19:$Q$23,MATCH(T$4,$L$19:$L$23,0))</f>
        <v>59127.508289241829</v>
      </c>
      <c r="U25" s="27">
        <f>(求节点(其他调用!$AA$8:$AA$27,其他调用!$AB$8:$AB$27,$S25+$E$4)*INDEX(其他调用!AH$8:AH$607,MATCH($S25+$E$4,其他调用!$AF$8:$AF$607,0)))*INDEX($Q$19:$Q$23,MATCH(U$4,$L$19:$L$23,0))</f>
        <v>65094.325751927048</v>
      </c>
      <c r="V25" s="27">
        <f>(求节点(其他调用!$AA$8:$AA$27,其他调用!$AB$8:$AB$27,$S25+$E$4)*INDEX(其他调用!AI$8:AI$607,MATCH($S25+$E$4,其他调用!$AF$8:$AF$607,0)))*INDEX($Q$19:$Q$23,MATCH(V$4,$L$19:$L$23,0))</f>
        <v>5668.6134939368258</v>
      </c>
      <c r="W25" s="27">
        <f>(求节点(其他调用!$AA$8:$AA$27,其他调用!$AB$8:$AB$27,$S25+$E$4)*INDEX(其他调用!AJ$8:AJ$607,MATCH($S25+$E$4,其他调用!$AF$8:$AF$607,0)))*INDEX($Q$19:$Q$23,MATCH(W$4,$L$19:$L$23,0))</f>
        <v>1048.9005933932622</v>
      </c>
      <c r="X25" s="27">
        <f>(求节点(其他调用!$AA$8:$AA$27,其他调用!$AB$8:$AB$27,$S25+$E$4)*INDEX(其他调用!AK$8:AK$607,MATCH($S25+$E$4,其他调用!$AF$8:$AF$607,0)))*INDEX($Q$19:$Q$23,MATCH(X$4,$L$19:$L$23,0))</f>
        <v>303.49263233785427</v>
      </c>
      <c r="Y25" s="31">
        <f>SUM($T$5:X25)</f>
        <v>2756099.6559775737</v>
      </c>
    </row>
    <row r="26" spans="2:25" x14ac:dyDescent="0.15">
      <c r="B26" s="70" t="s">
        <v>104</v>
      </c>
      <c r="C26" s="27">
        <v>110</v>
      </c>
      <c r="D26" s="27">
        <v>2</v>
      </c>
      <c r="E26" s="27">
        <v>2</v>
      </c>
      <c r="S26" s="27">
        <v>22</v>
      </c>
      <c r="T26" s="27">
        <f>(求节点(其他调用!$AA$8:$AA$27,其他调用!$AB$8:$AB$27,$S26+$E$4)*INDEX(其他调用!AG$8:AG$607,MATCH($S26+$E$4,其他调用!$AF$8:$AF$607,0)))*INDEX($Q$19:$Q$23,MATCH(T$4,$L$19:$L$23,0))</f>
        <v>59127.508289241829</v>
      </c>
      <c r="U26" s="27">
        <f>(求节点(其他调用!$AA$8:$AA$27,其他调用!$AB$8:$AB$27,$S26+$E$4)*INDEX(其他调用!AH$8:AH$607,MATCH($S26+$E$4,其他调用!$AF$8:$AF$607,0)))*INDEX($Q$19:$Q$23,MATCH(U$4,$L$19:$L$23,0))</f>
        <v>65094.325751927048</v>
      </c>
      <c r="V26" s="27">
        <f>(求节点(其他调用!$AA$8:$AA$27,其他调用!$AB$8:$AB$27,$S26+$E$4)*INDEX(其他调用!AI$8:AI$607,MATCH($S26+$E$4,其他调用!$AF$8:$AF$607,0)))*INDEX($Q$19:$Q$23,MATCH(V$4,$L$19:$L$23,0))</f>
        <v>5668.6134939368258</v>
      </c>
      <c r="W26" s="27">
        <f>(求节点(其他调用!$AA$8:$AA$27,其他调用!$AB$8:$AB$27,$S26+$E$4)*INDEX(其他调用!AJ$8:AJ$607,MATCH($S26+$E$4,其他调用!$AF$8:$AF$607,0)))*INDEX($Q$19:$Q$23,MATCH(W$4,$L$19:$L$23,0))</f>
        <v>1048.9005933932622</v>
      </c>
      <c r="X26" s="27">
        <f>(求节点(其他调用!$AA$8:$AA$27,其他调用!$AB$8:$AB$27,$S26+$E$4)*INDEX(其他调用!AK$8:AK$607,MATCH($S26+$E$4,其他调用!$AF$8:$AF$607,0)))*INDEX($Q$19:$Q$23,MATCH(X$4,$L$19:$L$23,0))</f>
        <v>303.49263233785427</v>
      </c>
      <c r="Y26" s="31">
        <f>SUM($T$5:X26)</f>
        <v>2887342.4967384106</v>
      </c>
    </row>
    <row r="27" spans="2:25" x14ac:dyDescent="0.15">
      <c r="B27" s="70"/>
      <c r="C27" s="27">
        <v>120</v>
      </c>
      <c r="F27" s="27">
        <v>2</v>
      </c>
      <c r="G27" s="27">
        <v>3</v>
      </c>
      <c r="S27" s="27">
        <v>23</v>
      </c>
      <c r="T27" s="27">
        <f>(求节点(其他调用!$AA$8:$AA$27,其他调用!$AB$8:$AB$27,$S27+$E$4)*INDEX(其他调用!AG$8:AG$607,MATCH($S27+$E$4,其他调用!$AF$8:$AF$607,0)))*INDEX($Q$19:$Q$23,MATCH(T$4,$L$19:$L$23,0))</f>
        <v>59127.508289241829</v>
      </c>
      <c r="U27" s="27">
        <f>(求节点(其他调用!$AA$8:$AA$27,其他调用!$AB$8:$AB$27,$S27+$E$4)*INDEX(其他调用!AH$8:AH$607,MATCH($S27+$E$4,其他调用!$AF$8:$AF$607,0)))*INDEX($Q$19:$Q$23,MATCH(U$4,$L$19:$L$23,0))</f>
        <v>65094.325751927048</v>
      </c>
      <c r="V27" s="27">
        <f>(求节点(其他调用!$AA$8:$AA$27,其他调用!$AB$8:$AB$27,$S27+$E$4)*INDEX(其他调用!AI$8:AI$607,MATCH($S27+$E$4,其他调用!$AF$8:$AF$607,0)))*INDEX($Q$19:$Q$23,MATCH(V$4,$L$19:$L$23,0))</f>
        <v>5668.6134939368258</v>
      </c>
      <c r="W27" s="27">
        <f>(求节点(其他调用!$AA$8:$AA$27,其他调用!$AB$8:$AB$27,$S27+$E$4)*INDEX(其他调用!AJ$8:AJ$607,MATCH($S27+$E$4,其他调用!$AF$8:$AF$607,0)))*INDEX($Q$19:$Q$23,MATCH(W$4,$L$19:$L$23,0))</f>
        <v>1048.9005933932622</v>
      </c>
      <c r="X27" s="27">
        <f>(求节点(其他调用!$AA$8:$AA$27,其他调用!$AB$8:$AB$27,$S27+$E$4)*INDEX(其他调用!AK$8:AK$607,MATCH($S27+$E$4,其他调用!$AF$8:$AF$607,0)))*INDEX($Q$19:$Q$23,MATCH(X$4,$L$19:$L$23,0))</f>
        <v>303.49263233785427</v>
      </c>
      <c r="Y27" s="31">
        <f>SUM($T$5:X27)</f>
        <v>3018585.3374992474</v>
      </c>
    </row>
    <row r="28" spans="2:25" x14ac:dyDescent="0.15">
      <c r="B28" s="70" t="s">
        <v>103</v>
      </c>
      <c r="C28" s="70"/>
      <c r="D28" s="27">
        <v>2</v>
      </c>
      <c r="E28" s="27">
        <v>2</v>
      </c>
      <c r="F28" s="27">
        <v>2</v>
      </c>
      <c r="G28" s="27">
        <v>3</v>
      </c>
      <c r="S28" s="27">
        <v>24</v>
      </c>
      <c r="T28" s="27">
        <f>(求节点(其他调用!$AA$8:$AA$27,其他调用!$AB$8:$AB$27,$S28+$E$4)*INDEX(其他调用!AG$8:AG$607,MATCH($S28+$E$4,其他调用!$AF$8:$AF$607,0)))*INDEX($Q$19:$Q$23,MATCH(T$4,$L$19:$L$23,0))</f>
        <v>59127.508289241829</v>
      </c>
      <c r="U28" s="27">
        <f>(求节点(其他调用!$AA$8:$AA$27,其他调用!$AB$8:$AB$27,$S28+$E$4)*INDEX(其他调用!AH$8:AH$607,MATCH($S28+$E$4,其他调用!$AF$8:$AF$607,0)))*INDEX($Q$19:$Q$23,MATCH(U$4,$L$19:$L$23,0))</f>
        <v>65094.325751927048</v>
      </c>
      <c r="V28" s="27">
        <f>(求节点(其他调用!$AA$8:$AA$27,其他调用!$AB$8:$AB$27,$S28+$E$4)*INDEX(其他调用!AI$8:AI$607,MATCH($S28+$E$4,其他调用!$AF$8:$AF$607,0)))*INDEX($Q$19:$Q$23,MATCH(V$4,$L$19:$L$23,0))</f>
        <v>5668.6134939368258</v>
      </c>
      <c r="W28" s="27">
        <f>(求节点(其他调用!$AA$8:$AA$27,其他调用!$AB$8:$AB$27,$S28+$E$4)*INDEX(其他调用!AJ$8:AJ$607,MATCH($S28+$E$4,其他调用!$AF$8:$AF$607,0)))*INDEX($Q$19:$Q$23,MATCH(W$4,$L$19:$L$23,0))</f>
        <v>1048.9005933932622</v>
      </c>
      <c r="X28" s="27">
        <f>(求节点(其他调用!$AA$8:$AA$27,其他调用!$AB$8:$AB$27,$S28+$E$4)*INDEX(其他调用!AK$8:AK$607,MATCH($S28+$E$4,其他调用!$AF$8:$AF$607,0)))*INDEX($Q$19:$Q$23,MATCH(X$4,$L$19:$L$23,0))</f>
        <v>303.49263233785427</v>
      </c>
      <c r="Y28" s="31">
        <f>SUM($T$5:X28)</f>
        <v>3149828.1782600842</v>
      </c>
    </row>
    <row r="29" spans="2:25" x14ac:dyDescent="0.15">
      <c r="S29" s="27">
        <v>25</v>
      </c>
      <c r="T29" s="27">
        <f>(求节点(其他调用!$AA$8:$AA$27,其他调用!$AB$8:$AB$27,$S29+$E$4)*INDEX(其他调用!AG$8:AG$607,MATCH($S29+$E$4,其他调用!$AF$8:$AF$607,0)))*INDEX($Q$19:$Q$23,MATCH(T$4,$L$19:$L$23,0))</f>
        <v>59127.508289241829</v>
      </c>
      <c r="U29" s="27">
        <f>(求节点(其他调用!$AA$8:$AA$27,其他调用!$AB$8:$AB$27,$S29+$E$4)*INDEX(其他调用!AH$8:AH$607,MATCH($S29+$E$4,其他调用!$AF$8:$AF$607,0)))*INDEX($Q$19:$Q$23,MATCH(U$4,$L$19:$L$23,0))</f>
        <v>65094.325751927048</v>
      </c>
      <c r="V29" s="27">
        <f>(求节点(其他调用!$AA$8:$AA$27,其他调用!$AB$8:$AB$27,$S29+$E$4)*INDEX(其他调用!AI$8:AI$607,MATCH($S29+$E$4,其他调用!$AF$8:$AF$607,0)))*INDEX($Q$19:$Q$23,MATCH(V$4,$L$19:$L$23,0))</f>
        <v>5668.6134939368258</v>
      </c>
      <c r="W29" s="27">
        <f>(求节点(其他调用!$AA$8:$AA$27,其他调用!$AB$8:$AB$27,$S29+$E$4)*INDEX(其他调用!AJ$8:AJ$607,MATCH($S29+$E$4,其他调用!$AF$8:$AF$607,0)))*INDEX($Q$19:$Q$23,MATCH(W$4,$L$19:$L$23,0))</f>
        <v>1048.9005933932622</v>
      </c>
      <c r="X29" s="27">
        <f>(求节点(其他调用!$AA$8:$AA$27,其他调用!$AB$8:$AB$27,$S29+$E$4)*INDEX(其他调用!AK$8:AK$607,MATCH($S29+$E$4,其他调用!$AF$8:$AF$607,0)))*INDEX($Q$19:$Q$23,MATCH(X$4,$L$19:$L$23,0))</f>
        <v>303.49263233785427</v>
      </c>
      <c r="Y29" s="31">
        <f>SUM($T$5:X29)</f>
        <v>3281071.0190209211</v>
      </c>
    </row>
    <row r="30" spans="2:25" x14ac:dyDescent="0.15">
      <c r="S30" s="27">
        <v>26</v>
      </c>
      <c r="T30" s="27">
        <f>(求节点(其他调用!$AA$8:$AA$27,其他调用!$AB$8:$AB$27,$S30+$E$4)*INDEX(其他调用!AG$8:AG$607,MATCH($S30+$E$4,其他调用!$AF$8:$AF$607,0)))*INDEX($Q$19:$Q$23,MATCH(T$4,$L$19:$L$23,0))</f>
        <v>59127.508289241829</v>
      </c>
      <c r="U30" s="27">
        <f>(求节点(其他调用!$AA$8:$AA$27,其他调用!$AB$8:$AB$27,$S30+$E$4)*INDEX(其他调用!AH$8:AH$607,MATCH($S30+$E$4,其他调用!$AF$8:$AF$607,0)))*INDEX($Q$19:$Q$23,MATCH(U$4,$L$19:$L$23,0))</f>
        <v>65094.325751927048</v>
      </c>
      <c r="V30" s="27">
        <f>(求节点(其他调用!$AA$8:$AA$27,其他调用!$AB$8:$AB$27,$S30+$E$4)*INDEX(其他调用!AI$8:AI$607,MATCH($S30+$E$4,其他调用!$AF$8:$AF$607,0)))*INDEX($Q$19:$Q$23,MATCH(V$4,$L$19:$L$23,0))</f>
        <v>5668.6134939368258</v>
      </c>
      <c r="W30" s="27">
        <f>(求节点(其他调用!$AA$8:$AA$27,其他调用!$AB$8:$AB$27,$S30+$E$4)*INDEX(其他调用!AJ$8:AJ$607,MATCH($S30+$E$4,其他调用!$AF$8:$AF$607,0)))*INDEX($Q$19:$Q$23,MATCH(W$4,$L$19:$L$23,0))</f>
        <v>1048.9005933932622</v>
      </c>
      <c r="X30" s="27">
        <f>(求节点(其他调用!$AA$8:$AA$27,其他调用!$AB$8:$AB$27,$S30+$E$4)*INDEX(其他调用!AK$8:AK$607,MATCH($S30+$E$4,其他调用!$AF$8:$AF$607,0)))*INDEX($Q$19:$Q$23,MATCH(X$4,$L$19:$L$23,0))</f>
        <v>303.49263233785427</v>
      </c>
      <c r="Y30" s="31">
        <f>SUM($T$5:X30)</f>
        <v>3412313.8597817579</v>
      </c>
    </row>
    <row r="31" spans="2:25" x14ac:dyDescent="0.15">
      <c r="C31" s="25" t="s">
        <v>125</v>
      </c>
      <c r="D31" s="27" t="s">
        <v>126</v>
      </c>
      <c r="S31" s="27">
        <v>27</v>
      </c>
      <c r="T31" s="27">
        <f>(求节点(其他调用!$AA$8:$AA$27,其他调用!$AB$8:$AB$27,$S31+$E$4)*INDEX(其他调用!AG$8:AG$607,MATCH($S31+$E$4,其他调用!$AF$8:$AF$607,0)))*INDEX($Q$19:$Q$23,MATCH(T$4,$L$19:$L$23,0))</f>
        <v>59127.508289241829</v>
      </c>
      <c r="U31" s="27">
        <f>(求节点(其他调用!$AA$8:$AA$27,其他调用!$AB$8:$AB$27,$S31+$E$4)*INDEX(其他调用!AH$8:AH$607,MATCH($S31+$E$4,其他调用!$AF$8:$AF$607,0)))*INDEX($Q$19:$Q$23,MATCH(U$4,$L$19:$L$23,0))</f>
        <v>65094.325751927048</v>
      </c>
      <c r="V31" s="27">
        <f>(求节点(其他调用!$AA$8:$AA$27,其他调用!$AB$8:$AB$27,$S31+$E$4)*INDEX(其他调用!AI$8:AI$607,MATCH($S31+$E$4,其他调用!$AF$8:$AF$607,0)))*INDEX($Q$19:$Q$23,MATCH(V$4,$L$19:$L$23,0))</f>
        <v>5668.6134939368258</v>
      </c>
      <c r="W31" s="27">
        <f>(求节点(其他调用!$AA$8:$AA$27,其他调用!$AB$8:$AB$27,$S31+$E$4)*INDEX(其他调用!AJ$8:AJ$607,MATCH($S31+$E$4,其他调用!$AF$8:$AF$607,0)))*INDEX($Q$19:$Q$23,MATCH(W$4,$L$19:$L$23,0))</f>
        <v>1048.9005933932622</v>
      </c>
      <c r="X31" s="27">
        <f>(求节点(其他调用!$AA$8:$AA$27,其他调用!$AB$8:$AB$27,$S31+$E$4)*INDEX(其他调用!AK$8:AK$607,MATCH($S31+$E$4,其他调用!$AF$8:$AF$607,0)))*INDEX($Q$19:$Q$23,MATCH(X$4,$L$19:$L$23,0))</f>
        <v>303.49263233785427</v>
      </c>
      <c r="Y31" s="31">
        <f>SUM($T$5:X31)</f>
        <v>3543556.7005425948</v>
      </c>
    </row>
    <row r="32" spans="2:25" x14ac:dyDescent="0.15">
      <c r="C32" s="27">
        <v>1</v>
      </c>
      <c r="D32" s="27">
        <v>0</v>
      </c>
      <c r="S32" s="27">
        <v>28</v>
      </c>
      <c r="T32" s="27">
        <f>(求节点(其他调用!$AA$8:$AA$27,其他调用!$AB$8:$AB$27,$S32+$E$4)*INDEX(其他调用!AG$8:AG$607,MATCH($S32+$E$4,其他调用!$AF$8:$AF$607,0)))*INDEX($Q$19:$Q$23,MATCH(T$4,$L$19:$L$23,0))</f>
        <v>59127.508289241829</v>
      </c>
      <c r="U32" s="27">
        <f>(求节点(其他调用!$AA$8:$AA$27,其他调用!$AB$8:$AB$27,$S32+$E$4)*INDEX(其他调用!AH$8:AH$607,MATCH($S32+$E$4,其他调用!$AF$8:$AF$607,0)))*INDEX($Q$19:$Q$23,MATCH(U$4,$L$19:$L$23,0))</f>
        <v>65094.325751927048</v>
      </c>
      <c r="V32" s="27">
        <f>(求节点(其他调用!$AA$8:$AA$27,其他调用!$AB$8:$AB$27,$S32+$E$4)*INDEX(其他调用!AI$8:AI$607,MATCH($S32+$E$4,其他调用!$AF$8:$AF$607,0)))*INDEX($Q$19:$Q$23,MATCH(V$4,$L$19:$L$23,0))</f>
        <v>5668.6134939368258</v>
      </c>
      <c r="W32" s="27">
        <f>(求节点(其他调用!$AA$8:$AA$27,其他调用!$AB$8:$AB$27,$S32+$E$4)*INDEX(其他调用!AJ$8:AJ$607,MATCH($S32+$E$4,其他调用!$AF$8:$AF$607,0)))*INDEX($Q$19:$Q$23,MATCH(W$4,$L$19:$L$23,0))</f>
        <v>1048.9005933932622</v>
      </c>
      <c r="X32" s="27">
        <f>(求节点(其他调用!$AA$8:$AA$27,其他调用!$AB$8:$AB$27,$S32+$E$4)*INDEX(其他调用!AK$8:AK$607,MATCH($S32+$E$4,其他调用!$AF$8:$AF$607,0)))*INDEX($Q$19:$Q$23,MATCH(X$4,$L$19:$L$23,0))</f>
        <v>303.49263233785427</v>
      </c>
      <c r="Y32" s="31">
        <f>SUM($T$5:X32)</f>
        <v>3674799.5413034316</v>
      </c>
    </row>
    <row r="33" spans="3:25" x14ac:dyDescent="0.15">
      <c r="C33" s="27">
        <v>2</v>
      </c>
      <c r="D33" s="27">
        <v>0</v>
      </c>
      <c r="S33" s="27">
        <v>29</v>
      </c>
      <c r="T33" s="27">
        <f>(求节点(其他调用!$AA$8:$AA$27,其他调用!$AB$8:$AB$27,$S33+$E$4)*INDEX(其他调用!AG$8:AG$607,MATCH($S33+$E$4,其他调用!$AF$8:$AF$607,0)))*INDEX($Q$19:$Q$23,MATCH(T$4,$L$19:$L$23,0))</f>
        <v>59127.508289241829</v>
      </c>
      <c r="U33" s="27">
        <f>(求节点(其他调用!$AA$8:$AA$27,其他调用!$AB$8:$AB$27,$S33+$E$4)*INDEX(其他调用!AH$8:AH$607,MATCH($S33+$E$4,其他调用!$AF$8:$AF$607,0)))*INDEX($Q$19:$Q$23,MATCH(U$4,$L$19:$L$23,0))</f>
        <v>65094.325751927048</v>
      </c>
      <c r="V33" s="27">
        <f>(求节点(其他调用!$AA$8:$AA$27,其他调用!$AB$8:$AB$27,$S33+$E$4)*INDEX(其他调用!AI$8:AI$607,MATCH($S33+$E$4,其他调用!$AF$8:$AF$607,0)))*INDEX($Q$19:$Q$23,MATCH(V$4,$L$19:$L$23,0))</f>
        <v>5668.6134939368258</v>
      </c>
      <c r="W33" s="27">
        <f>(求节点(其他调用!$AA$8:$AA$27,其他调用!$AB$8:$AB$27,$S33+$E$4)*INDEX(其他调用!AJ$8:AJ$607,MATCH($S33+$E$4,其他调用!$AF$8:$AF$607,0)))*INDEX($Q$19:$Q$23,MATCH(W$4,$L$19:$L$23,0))</f>
        <v>1048.9005933932622</v>
      </c>
      <c r="X33" s="27">
        <f>(求节点(其他调用!$AA$8:$AA$27,其他调用!$AB$8:$AB$27,$S33+$E$4)*INDEX(其他调用!AK$8:AK$607,MATCH($S33+$E$4,其他调用!$AF$8:$AF$607,0)))*INDEX($Q$19:$Q$23,MATCH(X$4,$L$19:$L$23,0))</f>
        <v>303.49263233785427</v>
      </c>
      <c r="Y33" s="31">
        <f>SUM($T$5:X33)</f>
        <v>3806042.3820642685</v>
      </c>
    </row>
    <row r="34" spans="3:25" x14ac:dyDescent="0.15">
      <c r="C34" s="27">
        <v>3</v>
      </c>
      <c r="D34" s="27">
        <v>20</v>
      </c>
      <c r="S34" s="27">
        <v>30</v>
      </c>
      <c r="T34" s="27">
        <f>(求节点(其他调用!$AA$8:$AA$27,其他调用!$AB$8:$AB$27,$S34+$E$4)*INDEX(其他调用!AG$8:AG$607,MATCH($S34+$E$4,其他调用!$AF$8:$AF$607,0)))*INDEX($Q$19:$Q$23,MATCH(T$4,$L$19:$L$23,0))</f>
        <v>59127.508289241829</v>
      </c>
      <c r="U34" s="27">
        <f>(求节点(其他调用!$AA$8:$AA$27,其他调用!$AB$8:$AB$27,$S34+$E$4)*INDEX(其他调用!AH$8:AH$607,MATCH($S34+$E$4,其他调用!$AF$8:$AF$607,0)))*INDEX($Q$19:$Q$23,MATCH(U$4,$L$19:$L$23,0))</f>
        <v>65094.325751927048</v>
      </c>
      <c r="V34" s="27">
        <f>(求节点(其他调用!$AA$8:$AA$27,其他调用!$AB$8:$AB$27,$S34+$E$4)*INDEX(其他调用!AI$8:AI$607,MATCH($S34+$E$4,其他调用!$AF$8:$AF$607,0)))*INDEX($Q$19:$Q$23,MATCH(V$4,$L$19:$L$23,0))</f>
        <v>5668.6134939368258</v>
      </c>
      <c r="W34" s="27">
        <f>(求节点(其他调用!$AA$8:$AA$27,其他调用!$AB$8:$AB$27,$S34+$E$4)*INDEX(其他调用!AJ$8:AJ$607,MATCH($S34+$E$4,其他调用!$AF$8:$AF$607,0)))*INDEX($Q$19:$Q$23,MATCH(W$4,$L$19:$L$23,0))</f>
        <v>1048.9005933932622</v>
      </c>
      <c r="X34" s="27">
        <f>(求节点(其他调用!$AA$8:$AA$27,其他调用!$AB$8:$AB$27,$S34+$E$4)*INDEX(其他调用!AK$8:AK$607,MATCH($S34+$E$4,其他调用!$AF$8:$AF$607,0)))*INDEX($Q$19:$Q$23,MATCH(X$4,$L$19:$L$23,0))</f>
        <v>303.49263233785427</v>
      </c>
      <c r="Y34" s="31">
        <f>SUM($T$5:X34)</f>
        <v>3937285.2228251053</v>
      </c>
    </row>
    <row r="35" spans="3:25" x14ac:dyDescent="0.15">
      <c r="C35" s="27">
        <v>4</v>
      </c>
      <c r="D35" s="27">
        <v>20</v>
      </c>
      <c r="S35" s="27">
        <v>31</v>
      </c>
      <c r="T35" s="27">
        <f>(求节点(其他调用!$AA$8:$AA$27,其他调用!$AB$8:$AB$27,$S35+$E$4)*INDEX(其他调用!AG$8:AG$607,MATCH($S35+$E$4,其他调用!$AF$8:$AF$607,0)))*INDEX($Q$19:$Q$23,MATCH(T$4,$L$19:$L$23,0))</f>
        <v>59127.508289241829</v>
      </c>
      <c r="U35" s="27">
        <f>(求节点(其他调用!$AA$8:$AA$27,其他调用!$AB$8:$AB$27,$S35+$E$4)*INDEX(其他调用!AH$8:AH$607,MATCH($S35+$E$4,其他调用!$AF$8:$AF$607,0)))*INDEX($Q$19:$Q$23,MATCH(U$4,$L$19:$L$23,0))</f>
        <v>65094.325751927048</v>
      </c>
      <c r="V35" s="27">
        <f>(求节点(其他调用!$AA$8:$AA$27,其他调用!$AB$8:$AB$27,$S35+$E$4)*INDEX(其他调用!AI$8:AI$607,MATCH($S35+$E$4,其他调用!$AF$8:$AF$607,0)))*INDEX($Q$19:$Q$23,MATCH(V$4,$L$19:$L$23,0))</f>
        <v>5668.6134939368258</v>
      </c>
      <c r="W35" s="27">
        <f>(求节点(其他调用!$AA$8:$AA$27,其他调用!$AB$8:$AB$27,$S35+$E$4)*INDEX(其他调用!AJ$8:AJ$607,MATCH($S35+$E$4,其他调用!$AF$8:$AF$607,0)))*INDEX($Q$19:$Q$23,MATCH(W$4,$L$19:$L$23,0))</f>
        <v>1048.9005933932622</v>
      </c>
      <c r="X35" s="27">
        <f>(求节点(其他调用!$AA$8:$AA$27,其他调用!$AB$8:$AB$27,$S35+$E$4)*INDEX(其他调用!AK$8:AK$607,MATCH($S35+$E$4,其他调用!$AF$8:$AF$607,0)))*INDEX($Q$19:$Q$23,MATCH(X$4,$L$19:$L$23,0))</f>
        <v>303.49263233785427</v>
      </c>
      <c r="Y35" s="31">
        <f>SUM($T$5:X35)</f>
        <v>4068528.0635859421</v>
      </c>
    </row>
    <row r="36" spans="3:25" x14ac:dyDescent="0.15">
      <c r="C36" s="27">
        <v>5</v>
      </c>
      <c r="D36" s="27">
        <v>30</v>
      </c>
      <c r="S36" s="27">
        <v>32</v>
      </c>
      <c r="T36" s="27">
        <f>(求节点(其他调用!$AA$8:$AA$27,其他调用!$AB$8:$AB$27,$S36+$E$4)*INDEX(其他调用!AG$8:AG$607,MATCH($S36+$E$4,其他调用!$AF$8:$AF$607,0)))*INDEX($Q$19:$Q$23,MATCH(T$4,$L$19:$L$23,0))</f>
        <v>59127.508289241829</v>
      </c>
      <c r="U36" s="27">
        <f>(求节点(其他调用!$AA$8:$AA$27,其他调用!$AB$8:$AB$27,$S36+$E$4)*INDEX(其他调用!AH$8:AH$607,MATCH($S36+$E$4,其他调用!$AF$8:$AF$607,0)))*INDEX($Q$19:$Q$23,MATCH(U$4,$L$19:$L$23,0))</f>
        <v>65094.325751927048</v>
      </c>
      <c r="V36" s="27">
        <f>(求节点(其他调用!$AA$8:$AA$27,其他调用!$AB$8:$AB$27,$S36+$E$4)*INDEX(其他调用!AI$8:AI$607,MATCH($S36+$E$4,其他调用!$AF$8:$AF$607,0)))*INDEX($Q$19:$Q$23,MATCH(V$4,$L$19:$L$23,0))</f>
        <v>5668.6134939368258</v>
      </c>
      <c r="W36" s="27">
        <f>(求节点(其他调用!$AA$8:$AA$27,其他调用!$AB$8:$AB$27,$S36+$E$4)*INDEX(其他调用!AJ$8:AJ$607,MATCH($S36+$E$4,其他调用!$AF$8:$AF$607,0)))*INDEX($Q$19:$Q$23,MATCH(W$4,$L$19:$L$23,0))</f>
        <v>1048.9005933932622</v>
      </c>
      <c r="X36" s="27">
        <f>(求节点(其他调用!$AA$8:$AA$27,其他调用!$AB$8:$AB$27,$S36+$E$4)*INDEX(其他调用!AK$8:AK$607,MATCH($S36+$E$4,其他调用!$AF$8:$AF$607,0)))*INDEX($Q$19:$Q$23,MATCH(X$4,$L$19:$L$23,0))</f>
        <v>303.49263233785427</v>
      </c>
      <c r="Y36" s="31">
        <f>SUM($T$5:X36)</f>
        <v>4199770.904346779</v>
      </c>
    </row>
    <row r="37" spans="3:25" x14ac:dyDescent="0.15">
      <c r="C37" s="27">
        <v>6</v>
      </c>
      <c r="D37" s="27">
        <v>30</v>
      </c>
      <c r="S37" s="27">
        <v>33</v>
      </c>
      <c r="T37" s="27">
        <f>(求节点(其他调用!$AA$8:$AA$27,其他调用!$AB$8:$AB$27,$S37+$E$4)*INDEX(其他调用!AG$8:AG$607,MATCH($S37+$E$4,其他调用!$AF$8:$AF$607,0)))*INDEX($Q$19:$Q$23,MATCH(T$4,$L$19:$L$23,0))</f>
        <v>59127.508289241829</v>
      </c>
      <c r="U37" s="27">
        <f>(求节点(其他调用!$AA$8:$AA$27,其他调用!$AB$8:$AB$27,$S37+$E$4)*INDEX(其他调用!AH$8:AH$607,MATCH($S37+$E$4,其他调用!$AF$8:$AF$607,0)))*INDEX($Q$19:$Q$23,MATCH(U$4,$L$19:$L$23,0))</f>
        <v>65094.325751927048</v>
      </c>
      <c r="V37" s="27">
        <f>(求节点(其他调用!$AA$8:$AA$27,其他调用!$AB$8:$AB$27,$S37+$E$4)*INDEX(其他调用!AI$8:AI$607,MATCH($S37+$E$4,其他调用!$AF$8:$AF$607,0)))*INDEX($Q$19:$Q$23,MATCH(V$4,$L$19:$L$23,0))</f>
        <v>5668.6134939368258</v>
      </c>
      <c r="W37" s="27">
        <f>(求节点(其他调用!$AA$8:$AA$27,其他调用!$AB$8:$AB$27,$S37+$E$4)*INDEX(其他调用!AJ$8:AJ$607,MATCH($S37+$E$4,其他调用!$AF$8:$AF$607,0)))*INDEX($Q$19:$Q$23,MATCH(W$4,$L$19:$L$23,0))</f>
        <v>1048.9005933932622</v>
      </c>
      <c r="X37" s="27">
        <f>(求节点(其他调用!$AA$8:$AA$27,其他调用!$AB$8:$AB$27,$S37+$E$4)*INDEX(其他调用!AK$8:AK$607,MATCH($S37+$E$4,其他调用!$AF$8:$AF$607,0)))*INDEX($Q$19:$Q$23,MATCH(X$4,$L$19:$L$23,0))</f>
        <v>303.49263233785427</v>
      </c>
      <c r="Y37" s="31">
        <f>SUM($T$5:X37)</f>
        <v>4331013.7451076163</v>
      </c>
    </row>
    <row r="38" spans="3:25" x14ac:dyDescent="0.15">
      <c r="C38" s="27">
        <v>7</v>
      </c>
      <c r="D38" s="27">
        <v>50</v>
      </c>
      <c r="S38" s="27">
        <v>34</v>
      </c>
      <c r="T38" s="27">
        <f>(求节点(其他调用!$AA$8:$AA$27,其他调用!$AB$8:$AB$27,$S38+$E$4)*INDEX(其他调用!AG$8:AG$607,MATCH($S38+$E$4,其他调用!$AF$8:$AF$607,0)))*INDEX($Q$19:$Q$23,MATCH(T$4,$L$19:$L$23,0))</f>
        <v>59127.508289241829</v>
      </c>
      <c r="U38" s="27">
        <f>(求节点(其他调用!$AA$8:$AA$27,其他调用!$AB$8:$AB$27,$S38+$E$4)*INDEX(其他调用!AH$8:AH$607,MATCH($S38+$E$4,其他调用!$AF$8:$AF$607,0)))*INDEX($Q$19:$Q$23,MATCH(U$4,$L$19:$L$23,0))</f>
        <v>65094.325751927048</v>
      </c>
      <c r="V38" s="27">
        <f>(求节点(其他调用!$AA$8:$AA$27,其他调用!$AB$8:$AB$27,$S38+$E$4)*INDEX(其他调用!AI$8:AI$607,MATCH($S38+$E$4,其他调用!$AF$8:$AF$607,0)))*INDEX($Q$19:$Q$23,MATCH(V$4,$L$19:$L$23,0))</f>
        <v>5668.6134939368258</v>
      </c>
      <c r="W38" s="27">
        <f>(求节点(其他调用!$AA$8:$AA$27,其他调用!$AB$8:$AB$27,$S38+$E$4)*INDEX(其他调用!AJ$8:AJ$607,MATCH($S38+$E$4,其他调用!$AF$8:$AF$607,0)))*INDEX($Q$19:$Q$23,MATCH(W$4,$L$19:$L$23,0))</f>
        <v>1048.9005933932622</v>
      </c>
      <c r="X38" s="27">
        <f>(求节点(其他调用!$AA$8:$AA$27,其他调用!$AB$8:$AB$27,$S38+$E$4)*INDEX(其他调用!AK$8:AK$607,MATCH($S38+$E$4,其他调用!$AF$8:$AF$607,0)))*INDEX($Q$19:$Q$23,MATCH(X$4,$L$19:$L$23,0))</f>
        <v>303.49263233785427</v>
      </c>
      <c r="Y38" s="31">
        <f>SUM($T$5:X38)</f>
        <v>4462256.5858684536</v>
      </c>
    </row>
    <row r="39" spans="3:25" x14ac:dyDescent="0.15">
      <c r="C39" s="27">
        <v>8</v>
      </c>
      <c r="D39" s="27">
        <v>50</v>
      </c>
      <c r="S39" s="27">
        <v>35</v>
      </c>
      <c r="T39" s="27">
        <f>(求节点(其他调用!$AA$8:$AA$27,其他调用!$AB$8:$AB$27,$S39+$E$4)*INDEX(其他调用!AG$8:AG$607,MATCH($S39+$E$4,其他调用!$AF$8:$AF$607,0)))*INDEX($Q$19:$Q$23,MATCH(T$4,$L$19:$L$23,0))</f>
        <v>59127.508289241829</v>
      </c>
      <c r="U39" s="27">
        <f>(求节点(其他调用!$AA$8:$AA$27,其他调用!$AB$8:$AB$27,$S39+$E$4)*INDEX(其他调用!AH$8:AH$607,MATCH($S39+$E$4,其他调用!$AF$8:$AF$607,0)))*INDEX($Q$19:$Q$23,MATCH(U$4,$L$19:$L$23,0))</f>
        <v>65094.325751927048</v>
      </c>
      <c r="V39" s="27">
        <f>(求节点(其他调用!$AA$8:$AA$27,其他调用!$AB$8:$AB$27,$S39+$E$4)*INDEX(其他调用!AI$8:AI$607,MATCH($S39+$E$4,其他调用!$AF$8:$AF$607,0)))*INDEX($Q$19:$Q$23,MATCH(V$4,$L$19:$L$23,0))</f>
        <v>5668.6134939368258</v>
      </c>
      <c r="W39" s="27">
        <f>(求节点(其他调用!$AA$8:$AA$27,其他调用!$AB$8:$AB$27,$S39+$E$4)*INDEX(其他调用!AJ$8:AJ$607,MATCH($S39+$E$4,其他调用!$AF$8:$AF$607,0)))*INDEX($Q$19:$Q$23,MATCH(W$4,$L$19:$L$23,0))</f>
        <v>1048.9005933932622</v>
      </c>
      <c r="X39" s="27">
        <f>(求节点(其他调用!$AA$8:$AA$27,其他调用!$AB$8:$AB$27,$S39+$E$4)*INDEX(其他调用!AK$8:AK$607,MATCH($S39+$E$4,其他调用!$AF$8:$AF$607,0)))*INDEX($Q$19:$Q$23,MATCH(X$4,$L$19:$L$23,0))</f>
        <v>303.49263233785427</v>
      </c>
      <c r="Y39" s="31">
        <f>SUM($T$5:X39)</f>
        <v>4593499.4266292909</v>
      </c>
    </row>
    <row r="40" spans="3:25" x14ac:dyDescent="0.15">
      <c r="C40" s="27">
        <v>9</v>
      </c>
      <c r="D40" s="27">
        <v>100</v>
      </c>
      <c r="S40" s="27">
        <v>36</v>
      </c>
      <c r="T40" s="27">
        <f>(求节点(其他调用!$AA$8:$AA$27,其他调用!$AB$8:$AB$27,$S40+$E$4)*INDEX(其他调用!AG$8:AG$607,MATCH($S40+$E$4,其他调用!$AF$8:$AF$607,0)))*INDEX($Q$19:$Q$23,MATCH(T$4,$L$19:$L$23,0))</f>
        <v>59127.508289241829</v>
      </c>
      <c r="U40" s="27">
        <f>(求节点(其他调用!$AA$8:$AA$27,其他调用!$AB$8:$AB$27,$S40+$E$4)*INDEX(其他调用!AH$8:AH$607,MATCH($S40+$E$4,其他调用!$AF$8:$AF$607,0)))*INDEX($Q$19:$Q$23,MATCH(U$4,$L$19:$L$23,0))</f>
        <v>65094.325751927048</v>
      </c>
      <c r="V40" s="27">
        <f>(求节点(其他调用!$AA$8:$AA$27,其他调用!$AB$8:$AB$27,$S40+$E$4)*INDEX(其他调用!AI$8:AI$607,MATCH($S40+$E$4,其他调用!$AF$8:$AF$607,0)))*INDEX($Q$19:$Q$23,MATCH(V$4,$L$19:$L$23,0))</f>
        <v>5668.6134939368258</v>
      </c>
      <c r="W40" s="27">
        <f>(求节点(其他调用!$AA$8:$AA$27,其他调用!$AB$8:$AB$27,$S40+$E$4)*INDEX(其他调用!AJ$8:AJ$607,MATCH($S40+$E$4,其他调用!$AF$8:$AF$607,0)))*INDEX($Q$19:$Q$23,MATCH(W$4,$L$19:$L$23,0))</f>
        <v>1048.9005933932622</v>
      </c>
      <c r="X40" s="27">
        <f>(求节点(其他调用!$AA$8:$AA$27,其他调用!$AB$8:$AB$27,$S40+$E$4)*INDEX(其他调用!AK$8:AK$607,MATCH($S40+$E$4,其他调用!$AF$8:$AF$607,0)))*INDEX($Q$19:$Q$23,MATCH(X$4,$L$19:$L$23,0))</f>
        <v>303.49263233785427</v>
      </c>
      <c r="Y40" s="31">
        <f>SUM($T$5:X40)</f>
        <v>4724742.2673901282</v>
      </c>
    </row>
    <row r="41" spans="3:25" x14ac:dyDescent="0.15">
      <c r="C41" s="27">
        <v>10</v>
      </c>
      <c r="D41" s="27">
        <v>100</v>
      </c>
      <c r="S41" s="27">
        <v>37</v>
      </c>
      <c r="T41" s="27">
        <f>(求节点(其他调用!$AA$8:$AA$27,其他调用!$AB$8:$AB$27,$S41+$E$4)*INDEX(其他调用!AG$8:AG$607,MATCH($S41+$E$4,其他调用!$AF$8:$AF$607,0)))*INDEX($Q$19:$Q$23,MATCH(T$4,$L$19:$L$23,0))</f>
        <v>59127.508289241829</v>
      </c>
      <c r="U41" s="27">
        <f>(求节点(其他调用!$AA$8:$AA$27,其他调用!$AB$8:$AB$27,$S41+$E$4)*INDEX(其他调用!AH$8:AH$607,MATCH($S41+$E$4,其他调用!$AF$8:$AF$607,0)))*INDEX($Q$19:$Q$23,MATCH(U$4,$L$19:$L$23,0))</f>
        <v>65094.325751927048</v>
      </c>
      <c r="V41" s="27">
        <f>(求节点(其他调用!$AA$8:$AA$27,其他调用!$AB$8:$AB$27,$S41+$E$4)*INDEX(其他调用!AI$8:AI$607,MATCH($S41+$E$4,其他调用!$AF$8:$AF$607,0)))*INDEX($Q$19:$Q$23,MATCH(V$4,$L$19:$L$23,0))</f>
        <v>5668.6134939368258</v>
      </c>
      <c r="W41" s="27">
        <f>(求节点(其他调用!$AA$8:$AA$27,其他调用!$AB$8:$AB$27,$S41+$E$4)*INDEX(其他调用!AJ$8:AJ$607,MATCH($S41+$E$4,其他调用!$AF$8:$AF$607,0)))*INDEX($Q$19:$Q$23,MATCH(W$4,$L$19:$L$23,0))</f>
        <v>1048.9005933932622</v>
      </c>
      <c r="X41" s="27">
        <f>(求节点(其他调用!$AA$8:$AA$27,其他调用!$AB$8:$AB$27,$S41+$E$4)*INDEX(其他调用!AK$8:AK$607,MATCH($S41+$E$4,其他调用!$AF$8:$AF$607,0)))*INDEX($Q$19:$Q$23,MATCH(X$4,$L$19:$L$23,0))</f>
        <v>303.49263233785427</v>
      </c>
      <c r="Y41" s="31">
        <f>SUM($T$5:X41)</f>
        <v>4855985.1081509655</v>
      </c>
    </row>
    <row r="42" spans="3:25" x14ac:dyDescent="0.15">
      <c r="S42" s="27">
        <v>38</v>
      </c>
      <c r="T42" s="27">
        <f>(求节点(其他调用!$AA$8:$AA$27,其他调用!$AB$8:$AB$27,$S42+$E$4)*INDEX(其他调用!AG$8:AG$607,MATCH($S42+$E$4,其他调用!$AF$8:$AF$607,0)))*INDEX($Q$19:$Q$23,MATCH(T$4,$L$19:$L$23,0))</f>
        <v>59127.508289241829</v>
      </c>
      <c r="U42" s="27">
        <f>(求节点(其他调用!$AA$8:$AA$27,其他调用!$AB$8:$AB$27,$S42+$E$4)*INDEX(其他调用!AH$8:AH$607,MATCH($S42+$E$4,其他调用!$AF$8:$AF$607,0)))*INDEX($Q$19:$Q$23,MATCH(U$4,$L$19:$L$23,0))</f>
        <v>65094.325751927048</v>
      </c>
      <c r="V42" s="27">
        <f>(求节点(其他调用!$AA$8:$AA$27,其他调用!$AB$8:$AB$27,$S42+$E$4)*INDEX(其他调用!AI$8:AI$607,MATCH($S42+$E$4,其他调用!$AF$8:$AF$607,0)))*INDEX($Q$19:$Q$23,MATCH(V$4,$L$19:$L$23,0))</f>
        <v>5668.6134939368258</v>
      </c>
      <c r="W42" s="27">
        <f>(求节点(其他调用!$AA$8:$AA$27,其他调用!$AB$8:$AB$27,$S42+$E$4)*INDEX(其他调用!AJ$8:AJ$607,MATCH($S42+$E$4,其他调用!$AF$8:$AF$607,0)))*INDEX($Q$19:$Q$23,MATCH(W$4,$L$19:$L$23,0))</f>
        <v>1048.9005933932622</v>
      </c>
      <c r="X42" s="27">
        <f>(求节点(其他调用!$AA$8:$AA$27,其他调用!$AB$8:$AB$27,$S42+$E$4)*INDEX(其他调用!AK$8:AK$607,MATCH($S42+$E$4,其他调用!$AF$8:$AF$607,0)))*INDEX($Q$19:$Q$23,MATCH(X$4,$L$19:$L$23,0))</f>
        <v>303.49263233785427</v>
      </c>
      <c r="Y42" s="31">
        <f>SUM($T$5:X42)</f>
        <v>4987227.9489118028</v>
      </c>
    </row>
    <row r="43" spans="3:25" x14ac:dyDescent="0.15">
      <c r="S43" s="27">
        <v>39</v>
      </c>
      <c r="T43" s="27">
        <f>(求节点(其他调用!$AA$8:$AA$27,其他调用!$AB$8:$AB$27,$S43+$E$4)*INDEX(其他调用!AG$8:AG$607,MATCH($S43+$E$4,其他调用!$AF$8:$AF$607,0)))*INDEX($Q$19:$Q$23,MATCH(T$4,$L$19:$L$23,0))</f>
        <v>59127.508289241829</v>
      </c>
      <c r="U43" s="27">
        <f>(求节点(其他调用!$AA$8:$AA$27,其他调用!$AB$8:$AB$27,$S43+$E$4)*INDEX(其他调用!AH$8:AH$607,MATCH($S43+$E$4,其他调用!$AF$8:$AF$607,0)))*INDEX($Q$19:$Q$23,MATCH(U$4,$L$19:$L$23,0))</f>
        <v>65094.325751927048</v>
      </c>
      <c r="V43" s="27">
        <f>(求节点(其他调用!$AA$8:$AA$27,其他调用!$AB$8:$AB$27,$S43+$E$4)*INDEX(其他调用!AI$8:AI$607,MATCH($S43+$E$4,其他调用!$AF$8:$AF$607,0)))*INDEX($Q$19:$Q$23,MATCH(V$4,$L$19:$L$23,0))</f>
        <v>5668.6134939368258</v>
      </c>
      <c r="W43" s="27">
        <f>(求节点(其他调用!$AA$8:$AA$27,其他调用!$AB$8:$AB$27,$S43+$E$4)*INDEX(其他调用!AJ$8:AJ$607,MATCH($S43+$E$4,其他调用!$AF$8:$AF$607,0)))*INDEX($Q$19:$Q$23,MATCH(W$4,$L$19:$L$23,0))</f>
        <v>1048.9005933932622</v>
      </c>
      <c r="X43" s="27">
        <f>(求节点(其他调用!$AA$8:$AA$27,其他调用!$AB$8:$AB$27,$S43+$E$4)*INDEX(其他调用!AK$8:AK$607,MATCH($S43+$E$4,其他调用!$AF$8:$AF$607,0)))*INDEX($Q$19:$Q$23,MATCH(X$4,$L$19:$L$23,0))</f>
        <v>303.49263233785427</v>
      </c>
      <c r="Y43" s="31">
        <f>SUM($T$5:X43)</f>
        <v>5118470.7896726402</v>
      </c>
    </row>
    <row r="44" spans="3:25" x14ac:dyDescent="0.15">
      <c r="S44" s="27">
        <v>40</v>
      </c>
      <c r="T44" s="27">
        <f>(求节点(其他调用!$AA$8:$AA$27,其他调用!$AB$8:$AB$27,$S44+$E$4)*INDEX(其他调用!AG$8:AG$607,MATCH($S44+$E$4,其他调用!$AF$8:$AF$607,0)))*INDEX($Q$19:$Q$23,MATCH(T$4,$L$19:$L$23,0))</f>
        <v>59127.508289241829</v>
      </c>
      <c r="U44" s="27">
        <f>(求节点(其他调用!$AA$8:$AA$27,其他调用!$AB$8:$AB$27,$S44+$E$4)*INDEX(其他调用!AH$8:AH$607,MATCH($S44+$E$4,其他调用!$AF$8:$AF$607,0)))*INDEX($Q$19:$Q$23,MATCH(U$4,$L$19:$L$23,0))</f>
        <v>65094.325751927048</v>
      </c>
      <c r="V44" s="27">
        <f>(求节点(其他调用!$AA$8:$AA$27,其他调用!$AB$8:$AB$27,$S44+$E$4)*INDEX(其他调用!AI$8:AI$607,MATCH($S44+$E$4,其他调用!$AF$8:$AF$607,0)))*INDEX($Q$19:$Q$23,MATCH(V$4,$L$19:$L$23,0))</f>
        <v>5668.6134939368258</v>
      </c>
      <c r="W44" s="27">
        <f>(求节点(其他调用!$AA$8:$AA$27,其他调用!$AB$8:$AB$27,$S44+$E$4)*INDEX(其他调用!AJ$8:AJ$607,MATCH($S44+$E$4,其他调用!$AF$8:$AF$607,0)))*INDEX($Q$19:$Q$23,MATCH(W$4,$L$19:$L$23,0))</f>
        <v>1048.9005933932622</v>
      </c>
      <c r="X44" s="27">
        <f>(求节点(其他调用!$AA$8:$AA$27,其他调用!$AB$8:$AB$27,$S44+$E$4)*INDEX(其他调用!AK$8:AK$607,MATCH($S44+$E$4,其他调用!$AF$8:$AF$607,0)))*INDEX($Q$19:$Q$23,MATCH(X$4,$L$19:$L$23,0))</f>
        <v>303.49263233785427</v>
      </c>
      <c r="Y44" s="31">
        <f>SUM($T$5:X44)</f>
        <v>5249713.6304334775</v>
      </c>
    </row>
    <row r="45" spans="3:25" x14ac:dyDescent="0.15">
      <c r="S45" s="27">
        <v>41</v>
      </c>
      <c r="T45" s="27">
        <f>(求节点(其他调用!$AA$8:$AA$27,其他调用!$AB$8:$AB$27,$S45+$E$4)*INDEX(其他调用!AG$8:AG$607,MATCH($S45+$E$4,其他调用!$AF$8:$AF$607,0)))*INDEX($Q$19:$Q$23,MATCH(T$4,$L$19:$L$23,0))</f>
        <v>59127.508289241829</v>
      </c>
      <c r="U45" s="27">
        <f>(求节点(其他调用!$AA$8:$AA$27,其他调用!$AB$8:$AB$27,$S45+$E$4)*INDEX(其他调用!AH$8:AH$607,MATCH($S45+$E$4,其他调用!$AF$8:$AF$607,0)))*INDEX($Q$19:$Q$23,MATCH(U$4,$L$19:$L$23,0))</f>
        <v>65094.325751927048</v>
      </c>
      <c r="V45" s="27">
        <f>(求节点(其他调用!$AA$8:$AA$27,其他调用!$AB$8:$AB$27,$S45+$E$4)*INDEX(其他调用!AI$8:AI$607,MATCH($S45+$E$4,其他调用!$AF$8:$AF$607,0)))*INDEX($Q$19:$Q$23,MATCH(V$4,$L$19:$L$23,0))</f>
        <v>5668.6134939368258</v>
      </c>
      <c r="W45" s="27">
        <f>(求节点(其他调用!$AA$8:$AA$27,其他调用!$AB$8:$AB$27,$S45+$E$4)*INDEX(其他调用!AJ$8:AJ$607,MATCH($S45+$E$4,其他调用!$AF$8:$AF$607,0)))*INDEX($Q$19:$Q$23,MATCH(W$4,$L$19:$L$23,0))</f>
        <v>1048.9005933932622</v>
      </c>
      <c r="X45" s="27">
        <f>(求节点(其他调用!$AA$8:$AA$27,其他调用!$AB$8:$AB$27,$S45+$E$4)*INDEX(其他调用!AK$8:AK$607,MATCH($S45+$E$4,其他调用!$AF$8:$AF$607,0)))*INDEX($Q$19:$Q$23,MATCH(X$4,$L$19:$L$23,0))</f>
        <v>303.49263233785427</v>
      </c>
      <c r="Y45" s="31">
        <f>SUM($T$5:X45)</f>
        <v>5380956.4711943148</v>
      </c>
    </row>
    <row r="46" spans="3:25" x14ac:dyDescent="0.15">
      <c r="S46" s="27">
        <v>42</v>
      </c>
      <c r="T46" s="27">
        <f>(求节点(其他调用!$AA$8:$AA$27,其他调用!$AB$8:$AB$27,$S46+$E$4)*INDEX(其他调用!AG$8:AG$607,MATCH($S46+$E$4,其他调用!$AF$8:$AF$607,0)))*INDEX($Q$19:$Q$23,MATCH(T$4,$L$19:$L$23,0))</f>
        <v>59127.508289241829</v>
      </c>
      <c r="U46" s="27">
        <f>(求节点(其他调用!$AA$8:$AA$27,其他调用!$AB$8:$AB$27,$S46+$E$4)*INDEX(其他调用!AH$8:AH$607,MATCH($S46+$E$4,其他调用!$AF$8:$AF$607,0)))*INDEX($Q$19:$Q$23,MATCH(U$4,$L$19:$L$23,0))</f>
        <v>65094.325751927048</v>
      </c>
      <c r="V46" s="27">
        <f>(求节点(其他调用!$AA$8:$AA$27,其他调用!$AB$8:$AB$27,$S46+$E$4)*INDEX(其他调用!AI$8:AI$607,MATCH($S46+$E$4,其他调用!$AF$8:$AF$607,0)))*INDEX($Q$19:$Q$23,MATCH(V$4,$L$19:$L$23,0))</f>
        <v>5668.6134939368258</v>
      </c>
      <c r="W46" s="27">
        <f>(求节点(其他调用!$AA$8:$AA$27,其他调用!$AB$8:$AB$27,$S46+$E$4)*INDEX(其他调用!AJ$8:AJ$607,MATCH($S46+$E$4,其他调用!$AF$8:$AF$607,0)))*INDEX($Q$19:$Q$23,MATCH(W$4,$L$19:$L$23,0))</f>
        <v>1048.9005933932622</v>
      </c>
      <c r="X46" s="27">
        <f>(求节点(其他调用!$AA$8:$AA$27,其他调用!$AB$8:$AB$27,$S46+$E$4)*INDEX(其他调用!AK$8:AK$607,MATCH($S46+$E$4,其他调用!$AF$8:$AF$607,0)))*INDEX($Q$19:$Q$23,MATCH(X$4,$L$19:$L$23,0))</f>
        <v>303.49263233785427</v>
      </c>
      <c r="Y46" s="31">
        <f>SUM($T$5:X46)</f>
        <v>5512199.3119551521</v>
      </c>
    </row>
    <row r="47" spans="3:25" x14ac:dyDescent="0.15">
      <c r="S47" s="27">
        <v>43</v>
      </c>
      <c r="T47" s="27">
        <f>(求节点(其他调用!$AA$8:$AA$27,其他调用!$AB$8:$AB$27,$S47+$E$4)*INDEX(其他调用!AG$8:AG$607,MATCH($S47+$E$4,其他调用!$AF$8:$AF$607,0)))*INDEX($Q$19:$Q$23,MATCH(T$4,$L$19:$L$23,0))</f>
        <v>59127.508289241829</v>
      </c>
      <c r="U47" s="27">
        <f>(求节点(其他调用!$AA$8:$AA$27,其他调用!$AB$8:$AB$27,$S47+$E$4)*INDEX(其他调用!AH$8:AH$607,MATCH($S47+$E$4,其他调用!$AF$8:$AF$607,0)))*INDEX($Q$19:$Q$23,MATCH(U$4,$L$19:$L$23,0))</f>
        <v>65094.325751927048</v>
      </c>
      <c r="V47" s="27">
        <f>(求节点(其他调用!$AA$8:$AA$27,其他调用!$AB$8:$AB$27,$S47+$E$4)*INDEX(其他调用!AI$8:AI$607,MATCH($S47+$E$4,其他调用!$AF$8:$AF$607,0)))*INDEX($Q$19:$Q$23,MATCH(V$4,$L$19:$L$23,0))</f>
        <v>5668.6134939368258</v>
      </c>
      <c r="W47" s="27">
        <f>(求节点(其他调用!$AA$8:$AA$27,其他调用!$AB$8:$AB$27,$S47+$E$4)*INDEX(其他调用!AJ$8:AJ$607,MATCH($S47+$E$4,其他调用!$AF$8:$AF$607,0)))*INDEX($Q$19:$Q$23,MATCH(W$4,$L$19:$L$23,0))</f>
        <v>1048.9005933932622</v>
      </c>
      <c r="X47" s="27">
        <f>(求节点(其他调用!$AA$8:$AA$27,其他调用!$AB$8:$AB$27,$S47+$E$4)*INDEX(其他调用!AK$8:AK$607,MATCH($S47+$E$4,其他调用!$AF$8:$AF$607,0)))*INDEX($Q$19:$Q$23,MATCH(X$4,$L$19:$L$23,0))</f>
        <v>303.49263233785427</v>
      </c>
      <c r="Y47" s="31">
        <f>SUM($T$5:X47)</f>
        <v>5643442.1527159894</v>
      </c>
    </row>
    <row r="48" spans="3:25" x14ac:dyDescent="0.15">
      <c r="S48" s="27">
        <v>44</v>
      </c>
      <c r="T48" s="27">
        <f>(求节点(其他调用!$AA$8:$AA$27,其他调用!$AB$8:$AB$27,$S48+$E$4)*INDEX(其他调用!AG$8:AG$607,MATCH($S48+$E$4,其他调用!$AF$8:$AF$607,0)))*INDEX($Q$19:$Q$23,MATCH(T$4,$L$19:$L$23,0))</f>
        <v>59127.508289241829</v>
      </c>
      <c r="U48" s="27">
        <f>(求节点(其他调用!$AA$8:$AA$27,其他调用!$AB$8:$AB$27,$S48+$E$4)*INDEX(其他调用!AH$8:AH$607,MATCH($S48+$E$4,其他调用!$AF$8:$AF$607,0)))*INDEX($Q$19:$Q$23,MATCH(U$4,$L$19:$L$23,0))</f>
        <v>65094.325751927048</v>
      </c>
      <c r="V48" s="27">
        <f>(求节点(其他调用!$AA$8:$AA$27,其他调用!$AB$8:$AB$27,$S48+$E$4)*INDEX(其他调用!AI$8:AI$607,MATCH($S48+$E$4,其他调用!$AF$8:$AF$607,0)))*INDEX($Q$19:$Q$23,MATCH(V$4,$L$19:$L$23,0))</f>
        <v>5668.6134939368258</v>
      </c>
      <c r="W48" s="27">
        <f>(求节点(其他调用!$AA$8:$AA$27,其他调用!$AB$8:$AB$27,$S48+$E$4)*INDEX(其他调用!AJ$8:AJ$607,MATCH($S48+$E$4,其他调用!$AF$8:$AF$607,0)))*INDEX($Q$19:$Q$23,MATCH(W$4,$L$19:$L$23,0))</f>
        <v>1048.9005933932622</v>
      </c>
      <c r="X48" s="27">
        <f>(求节点(其他调用!$AA$8:$AA$27,其他调用!$AB$8:$AB$27,$S48+$E$4)*INDEX(其他调用!AK$8:AK$607,MATCH($S48+$E$4,其他调用!$AF$8:$AF$607,0)))*INDEX($Q$19:$Q$23,MATCH(X$4,$L$19:$L$23,0))</f>
        <v>303.49263233785427</v>
      </c>
      <c r="Y48" s="31">
        <f>SUM($T$5:X48)</f>
        <v>5774684.9934768267</v>
      </c>
    </row>
    <row r="49" spans="19:25" x14ac:dyDescent="0.15">
      <c r="S49" s="27">
        <v>45</v>
      </c>
      <c r="T49" s="27">
        <f>(求节点(其他调用!$AA$8:$AA$27,其他调用!$AB$8:$AB$27,$S49+$E$4)*INDEX(其他调用!AG$8:AG$607,MATCH($S49+$E$4,其他调用!$AF$8:$AF$607,0)))*INDEX($Q$19:$Q$23,MATCH(T$4,$L$19:$L$23,0))</f>
        <v>59127.508289241829</v>
      </c>
      <c r="U49" s="27">
        <f>(求节点(其他调用!$AA$8:$AA$27,其他调用!$AB$8:$AB$27,$S49+$E$4)*INDEX(其他调用!AH$8:AH$607,MATCH($S49+$E$4,其他调用!$AF$8:$AF$607,0)))*INDEX($Q$19:$Q$23,MATCH(U$4,$L$19:$L$23,0))</f>
        <v>65094.325751927048</v>
      </c>
      <c r="V49" s="27">
        <f>(求节点(其他调用!$AA$8:$AA$27,其他调用!$AB$8:$AB$27,$S49+$E$4)*INDEX(其他调用!AI$8:AI$607,MATCH($S49+$E$4,其他调用!$AF$8:$AF$607,0)))*INDEX($Q$19:$Q$23,MATCH(V$4,$L$19:$L$23,0))</f>
        <v>5668.6134939368258</v>
      </c>
      <c r="W49" s="27">
        <f>(求节点(其他调用!$AA$8:$AA$27,其他调用!$AB$8:$AB$27,$S49+$E$4)*INDEX(其他调用!AJ$8:AJ$607,MATCH($S49+$E$4,其他调用!$AF$8:$AF$607,0)))*INDEX($Q$19:$Q$23,MATCH(W$4,$L$19:$L$23,0))</f>
        <v>1048.9005933932622</v>
      </c>
      <c r="X49" s="27">
        <f>(求节点(其他调用!$AA$8:$AA$27,其他调用!$AB$8:$AB$27,$S49+$E$4)*INDEX(其他调用!AK$8:AK$607,MATCH($S49+$E$4,其他调用!$AF$8:$AF$607,0)))*INDEX($Q$19:$Q$23,MATCH(X$4,$L$19:$L$23,0))</f>
        <v>303.49263233785427</v>
      </c>
      <c r="Y49" s="31">
        <f>SUM($T$5:X49)</f>
        <v>5905927.834237664</v>
      </c>
    </row>
    <row r="50" spans="19:25" x14ac:dyDescent="0.15">
      <c r="S50" s="27">
        <v>46</v>
      </c>
      <c r="T50" s="27">
        <f>(求节点(其他调用!$AA$8:$AA$27,其他调用!$AB$8:$AB$27,$S50+$E$4)*INDEX(其他调用!AG$8:AG$607,MATCH($S50+$E$4,其他调用!$AF$8:$AF$607,0)))*INDEX($Q$19:$Q$23,MATCH(T$4,$L$19:$L$23,0))</f>
        <v>59127.508289241829</v>
      </c>
      <c r="U50" s="27">
        <f>(求节点(其他调用!$AA$8:$AA$27,其他调用!$AB$8:$AB$27,$S50+$E$4)*INDEX(其他调用!AH$8:AH$607,MATCH($S50+$E$4,其他调用!$AF$8:$AF$607,0)))*INDEX($Q$19:$Q$23,MATCH(U$4,$L$19:$L$23,0))</f>
        <v>65094.325751927048</v>
      </c>
      <c r="V50" s="27">
        <f>(求节点(其他调用!$AA$8:$AA$27,其他调用!$AB$8:$AB$27,$S50+$E$4)*INDEX(其他调用!AI$8:AI$607,MATCH($S50+$E$4,其他调用!$AF$8:$AF$607,0)))*INDEX($Q$19:$Q$23,MATCH(V$4,$L$19:$L$23,0))</f>
        <v>5668.6134939368258</v>
      </c>
      <c r="W50" s="27">
        <f>(求节点(其他调用!$AA$8:$AA$27,其他调用!$AB$8:$AB$27,$S50+$E$4)*INDEX(其他调用!AJ$8:AJ$607,MATCH($S50+$E$4,其他调用!$AF$8:$AF$607,0)))*INDEX($Q$19:$Q$23,MATCH(W$4,$L$19:$L$23,0))</f>
        <v>1048.9005933932622</v>
      </c>
      <c r="X50" s="27">
        <f>(求节点(其他调用!$AA$8:$AA$27,其他调用!$AB$8:$AB$27,$S50+$E$4)*INDEX(其他调用!AK$8:AK$607,MATCH($S50+$E$4,其他调用!$AF$8:$AF$607,0)))*INDEX($Q$19:$Q$23,MATCH(X$4,$L$19:$L$23,0))</f>
        <v>303.49263233785427</v>
      </c>
      <c r="Y50" s="31">
        <f>SUM($T$5:X50)</f>
        <v>6037170.6749985013</v>
      </c>
    </row>
    <row r="51" spans="19:25" x14ac:dyDescent="0.15">
      <c r="S51" s="27">
        <v>47</v>
      </c>
      <c r="T51" s="27">
        <f>(求节点(其他调用!$AA$8:$AA$27,其他调用!$AB$8:$AB$27,$S51+$E$4)*INDEX(其他调用!AG$8:AG$607,MATCH($S51+$E$4,其他调用!$AF$8:$AF$607,0)))*INDEX($Q$19:$Q$23,MATCH(T$4,$L$19:$L$23,0))</f>
        <v>59127.508289241829</v>
      </c>
      <c r="U51" s="27">
        <f>(求节点(其他调用!$AA$8:$AA$27,其他调用!$AB$8:$AB$27,$S51+$E$4)*INDEX(其他调用!AH$8:AH$607,MATCH($S51+$E$4,其他调用!$AF$8:$AF$607,0)))*INDEX($Q$19:$Q$23,MATCH(U$4,$L$19:$L$23,0))</f>
        <v>65094.325751927048</v>
      </c>
      <c r="V51" s="27">
        <f>(求节点(其他调用!$AA$8:$AA$27,其他调用!$AB$8:$AB$27,$S51+$E$4)*INDEX(其他调用!AI$8:AI$607,MATCH($S51+$E$4,其他调用!$AF$8:$AF$607,0)))*INDEX($Q$19:$Q$23,MATCH(V$4,$L$19:$L$23,0))</f>
        <v>5668.6134939368258</v>
      </c>
      <c r="W51" s="27">
        <f>(求节点(其他调用!$AA$8:$AA$27,其他调用!$AB$8:$AB$27,$S51+$E$4)*INDEX(其他调用!AJ$8:AJ$607,MATCH($S51+$E$4,其他调用!$AF$8:$AF$607,0)))*INDEX($Q$19:$Q$23,MATCH(W$4,$L$19:$L$23,0))</f>
        <v>1048.9005933932622</v>
      </c>
      <c r="X51" s="27">
        <f>(求节点(其他调用!$AA$8:$AA$27,其他调用!$AB$8:$AB$27,$S51+$E$4)*INDEX(其他调用!AK$8:AK$607,MATCH($S51+$E$4,其他调用!$AF$8:$AF$607,0)))*INDEX($Q$19:$Q$23,MATCH(X$4,$L$19:$L$23,0))</f>
        <v>303.49263233785427</v>
      </c>
      <c r="Y51" s="31">
        <f>SUM($T$5:X51)</f>
        <v>6168413.5157593386</v>
      </c>
    </row>
    <row r="52" spans="19:25" x14ac:dyDescent="0.15">
      <c r="S52" s="27">
        <v>48</v>
      </c>
      <c r="T52" s="27">
        <f>(求节点(其他调用!$AA$8:$AA$27,其他调用!$AB$8:$AB$27,$S52+$E$4)*INDEX(其他调用!AG$8:AG$607,MATCH($S52+$E$4,其他调用!$AF$8:$AF$607,0)))*INDEX($Q$19:$Q$23,MATCH(T$4,$L$19:$L$23,0))</f>
        <v>59127.508289241829</v>
      </c>
      <c r="U52" s="27">
        <f>(求节点(其他调用!$AA$8:$AA$27,其他调用!$AB$8:$AB$27,$S52+$E$4)*INDEX(其他调用!AH$8:AH$607,MATCH($S52+$E$4,其他调用!$AF$8:$AF$607,0)))*INDEX($Q$19:$Q$23,MATCH(U$4,$L$19:$L$23,0))</f>
        <v>65094.325751927048</v>
      </c>
      <c r="V52" s="27">
        <f>(求节点(其他调用!$AA$8:$AA$27,其他调用!$AB$8:$AB$27,$S52+$E$4)*INDEX(其他调用!AI$8:AI$607,MATCH($S52+$E$4,其他调用!$AF$8:$AF$607,0)))*INDEX($Q$19:$Q$23,MATCH(V$4,$L$19:$L$23,0))</f>
        <v>5668.6134939368258</v>
      </c>
      <c r="W52" s="27">
        <f>(求节点(其他调用!$AA$8:$AA$27,其他调用!$AB$8:$AB$27,$S52+$E$4)*INDEX(其他调用!AJ$8:AJ$607,MATCH($S52+$E$4,其他调用!$AF$8:$AF$607,0)))*INDEX($Q$19:$Q$23,MATCH(W$4,$L$19:$L$23,0))</f>
        <v>1048.9005933932622</v>
      </c>
      <c r="X52" s="27">
        <f>(求节点(其他调用!$AA$8:$AA$27,其他调用!$AB$8:$AB$27,$S52+$E$4)*INDEX(其他调用!AK$8:AK$607,MATCH($S52+$E$4,其他调用!$AF$8:$AF$607,0)))*INDEX($Q$19:$Q$23,MATCH(X$4,$L$19:$L$23,0))</f>
        <v>303.49263233785427</v>
      </c>
      <c r="Y52" s="31">
        <f>SUM($T$5:X52)</f>
        <v>6299656.3565201759</v>
      </c>
    </row>
    <row r="53" spans="19:25" x14ac:dyDescent="0.15">
      <c r="S53" s="27">
        <v>49</v>
      </c>
      <c r="T53" s="27">
        <f>(求节点(其他调用!$AA$8:$AA$27,其他调用!$AB$8:$AB$27,$S53+$E$4)*INDEX(其他调用!AG$8:AG$607,MATCH($S53+$E$4,其他调用!$AF$8:$AF$607,0)))*INDEX($Q$19:$Q$23,MATCH(T$4,$L$19:$L$23,0))</f>
        <v>59127.508289241829</v>
      </c>
      <c r="U53" s="27">
        <f>(求节点(其他调用!$AA$8:$AA$27,其他调用!$AB$8:$AB$27,$S53+$E$4)*INDEX(其他调用!AH$8:AH$607,MATCH($S53+$E$4,其他调用!$AF$8:$AF$607,0)))*INDEX($Q$19:$Q$23,MATCH(U$4,$L$19:$L$23,0))</f>
        <v>65094.325751927048</v>
      </c>
      <c r="V53" s="27">
        <f>(求节点(其他调用!$AA$8:$AA$27,其他调用!$AB$8:$AB$27,$S53+$E$4)*INDEX(其他调用!AI$8:AI$607,MATCH($S53+$E$4,其他调用!$AF$8:$AF$607,0)))*INDEX($Q$19:$Q$23,MATCH(V$4,$L$19:$L$23,0))</f>
        <v>5668.6134939368258</v>
      </c>
      <c r="W53" s="27">
        <f>(求节点(其他调用!$AA$8:$AA$27,其他调用!$AB$8:$AB$27,$S53+$E$4)*INDEX(其他调用!AJ$8:AJ$607,MATCH($S53+$E$4,其他调用!$AF$8:$AF$607,0)))*INDEX($Q$19:$Q$23,MATCH(W$4,$L$19:$L$23,0))</f>
        <v>1048.9005933932622</v>
      </c>
      <c r="X53" s="27">
        <f>(求节点(其他调用!$AA$8:$AA$27,其他调用!$AB$8:$AB$27,$S53+$E$4)*INDEX(其他调用!AK$8:AK$607,MATCH($S53+$E$4,其他调用!$AF$8:$AF$607,0)))*INDEX($Q$19:$Q$23,MATCH(X$4,$L$19:$L$23,0))</f>
        <v>303.49263233785427</v>
      </c>
      <c r="Y53" s="31">
        <f>SUM($T$5:X53)</f>
        <v>6430899.1972810132</v>
      </c>
    </row>
    <row r="54" spans="19:25" x14ac:dyDescent="0.15">
      <c r="S54" s="27">
        <v>50</v>
      </c>
      <c r="T54" s="27">
        <f>(求节点(其他调用!$AA$8:$AA$27,其他调用!$AB$8:$AB$27,$S54+$E$4)*INDEX(其他调用!AG$8:AG$607,MATCH($S54+$E$4,其他调用!$AF$8:$AF$607,0)))*INDEX($Q$19:$Q$23,MATCH(T$4,$L$19:$L$23,0))</f>
        <v>59127.508289241829</v>
      </c>
      <c r="U54" s="27">
        <f>(求节点(其他调用!$AA$8:$AA$27,其他调用!$AB$8:$AB$27,$S54+$E$4)*INDEX(其他调用!AH$8:AH$607,MATCH($S54+$E$4,其他调用!$AF$8:$AF$607,0)))*INDEX($Q$19:$Q$23,MATCH(U$4,$L$19:$L$23,0))</f>
        <v>65094.325751927048</v>
      </c>
      <c r="V54" s="27">
        <f>(求节点(其他调用!$AA$8:$AA$27,其他调用!$AB$8:$AB$27,$S54+$E$4)*INDEX(其他调用!AI$8:AI$607,MATCH($S54+$E$4,其他调用!$AF$8:$AF$607,0)))*INDEX($Q$19:$Q$23,MATCH(V$4,$L$19:$L$23,0))</f>
        <v>5668.6134939368258</v>
      </c>
      <c r="W54" s="27">
        <f>(求节点(其他调用!$AA$8:$AA$27,其他调用!$AB$8:$AB$27,$S54+$E$4)*INDEX(其他调用!AJ$8:AJ$607,MATCH($S54+$E$4,其他调用!$AF$8:$AF$607,0)))*INDEX($Q$19:$Q$23,MATCH(W$4,$L$19:$L$23,0))</f>
        <v>1048.9005933932622</v>
      </c>
      <c r="X54" s="27">
        <f>(求节点(其他调用!$AA$8:$AA$27,其他调用!$AB$8:$AB$27,$S54+$E$4)*INDEX(其他调用!AK$8:AK$607,MATCH($S54+$E$4,其他调用!$AF$8:$AF$607,0)))*INDEX($Q$19:$Q$23,MATCH(X$4,$L$19:$L$23,0))</f>
        <v>303.49263233785427</v>
      </c>
      <c r="Y54" s="31">
        <f>SUM($T$5:X54)</f>
        <v>6562142.0380418506</v>
      </c>
    </row>
    <row r="55" spans="19:25" x14ac:dyDescent="0.15">
      <c r="S55" s="27">
        <v>51</v>
      </c>
      <c r="T55" s="27">
        <f>(求节点(其他调用!$AA$8:$AA$27,其他调用!$AB$8:$AB$27,$S55+$E$4)*INDEX(其他调用!AG$8:AG$607,MATCH($S55+$E$4,其他调用!$AF$8:$AF$607,0)))*INDEX($Q$19:$Q$23,MATCH(T$4,$L$19:$L$23,0))</f>
        <v>59127.508289241829</v>
      </c>
      <c r="U55" s="27">
        <f>(求节点(其他调用!$AA$8:$AA$27,其他调用!$AB$8:$AB$27,$S55+$E$4)*INDEX(其他调用!AH$8:AH$607,MATCH($S55+$E$4,其他调用!$AF$8:$AF$607,0)))*INDEX($Q$19:$Q$23,MATCH(U$4,$L$19:$L$23,0))</f>
        <v>65094.325751927048</v>
      </c>
      <c r="V55" s="27">
        <f>(求节点(其他调用!$AA$8:$AA$27,其他调用!$AB$8:$AB$27,$S55+$E$4)*INDEX(其他调用!AI$8:AI$607,MATCH($S55+$E$4,其他调用!$AF$8:$AF$607,0)))*INDEX($Q$19:$Q$23,MATCH(V$4,$L$19:$L$23,0))</f>
        <v>5668.6134939368258</v>
      </c>
      <c r="W55" s="27">
        <f>(求节点(其他调用!$AA$8:$AA$27,其他调用!$AB$8:$AB$27,$S55+$E$4)*INDEX(其他调用!AJ$8:AJ$607,MATCH($S55+$E$4,其他调用!$AF$8:$AF$607,0)))*INDEX($Q$19:$Q$23,MATCH(W$4,$L$19:$L$23,0))</f>
        <v>1048.9005933932622</v>
      </c>
      <c r="X55" s="27">
        <f>(求节点(其他调用!$AA$8:$AA$27,其他调用!$AB$8:$AB$27,$S55+$E$4)*INDEX(其他调用!AK$8:AK$607,MATCH($S55+$E$4,其他调用!$AF$8:$AF$607,0)))*INDEX($Q$19:$Q$23,MATCH(X$4,$L$19:$L$23,0))</f>
        <v>303.49263233785427</v>
      </c>
      <c r="Y55" s="31">
        <f>SUM($T$5:X55)</f>
        <v>6693384.8788026879</v>
      </c>
    </row>
    <row r="56" spans="19:25" x14ac:dyDescent="0.15">
      <c r="S56" s="27">
        <v>52</v>
      </c>
      <c r="T56" s="27">
        <f>(求节点(其他调用!$AA$8:$AA$27,其他调用!$AB$8:$AB$27,$S56+$E$4)*INDEX(其他调用!AG$8:AG$607,MATCH($S56+$E$4,其他调用!$AF$8:$AF$607,0)))*INDEX($Q$19:$Q$23,MATCH(T$4,$L$19:$L$23,0))</f>
        <v>59127.508289241829</v>
      </c>
      <c r="U56" s="27">
        <f>(求节点(其他调用!$AA$8:$AA$27,其他调用!$AB$8:$AB$27,$S56+$E$4)*INDEX(其他调用!AH$8:AH$607,MATCH($S56+$E$4,其他调用!$AF$8:$AF$607,0)))*INDEX($Q$19:$Q$23,MATCH(U$4,$L$19:$L$23,0))</f>
        <v>65094.325751927048</v>
      </c>
      <c r="V56" s="27">
        <f>(求节点(其他调用!$AA$8:$AA$27,其他调用!$AB$8:$AB$27,$S56+$E$4)*INDEX(其他调用!AI$8:AI$607,MATCH($S56+$E$4,其他调用!$AF$8:$AF$607,0)))*INDEX($Q$19:$Q$23,MATCH(V$4,$L$19:$L$23,0))</f>
        <v>5668.6134939368258</v>
      </c>
      <c r="W56" s="27">
        <f>(求节点(其他调用!$AA$8:$AA$27,其他调用!$AB$8:$AB$27,$S56+$E$4)*INDEX(其他调用!AJ$8:AJ$607,MATCH($S56+$E$4,其他调用!$AF$8:$AF$607,0)))*INDEX($Q$19:$Q$23,MATCH(W$4,$L$19:$L$23,0))</f>
        <v>1048.9005933932622</v>
      </c>
      <c r="X56" s="27">
        <f>(求节点(其他调用!$AA$8:$AA$27,其他调用!$AB$8:$AB$27,$S56+$E$4)*INDEX(其他调用!AK$8:AK$607,MATCH($S56+$E$4,其他调用!$AF$8:$AF$607,0)))*INDEX($Q$19:$Q$23,MATCH(X$4,$L$19:$L$23,0))</f>
        <v>303.49263233785427</v>
      </c>
      <c r="Y56" s="31">
        <f>SUM($T$5:X56)</f>
        <v>6824627.7195635252</v>
      </c>
    </row>
    <row r="57" spans="19:25" x14ac:dyDescent="0.15">
      <c r="S57" s="27">
        <v>53</v>
      </c>
      <c r="T57" s="27">
        <f>(求节点(其他调用!$AA$8:$AA$27,其他调用!$AB$8:$AB$27,$S57+$E$4)*INDEX(其他调用!AG$8:AG$607,MATCH($S57+$E$4,其他调用!$AF$8:$AF$607,0)))*INDEX($Q$19:$Q$23,MATCH(T$4,$L$19:$L$23,0))</f>
        <v>59127.508289241829</v>
      </c>
      <c r="U57" s="27">
        <f>(求节点(其他调用!$AA$8:$AA$27,其他调用!$AB$8:$AB$27,$S57+$E$4)*INDEX(其他调用!AH$8:AH$607,MATCH($S57+$E$4,其他调用!$AF$8:$AF$607,0)))*INDEX($Q$19:$Q$23,MATCH(U$4,$L$19:$L$23,0))</f>
        <v>65094.325751927048</v>
      </c>
      <c r="V57" s="27">
        <f>(求节点(其他调用!$AA$8:$AA$27,其他调用!$AB$8:$AB$27,$S57+$E$4)*INDEX(其他调用!AI$8:AI$607,MATCH($S57+$E$4,其他调用!$AF$8:$AF$607,0)))*INDEX($Q$19:$Q$23,MATCH(V$4,$L$19:$L$23,0))</f>
        <v>5668.6134939368258</v>
      </c>
      <c r="W57" s="27">
        <f>(求节点(其他调用!$AA$8:$AA$27,其他调用!$AB$8:$AB$27,$S57+$E$4)*INDEX(其他调用!AJ$8:AJ$607,MATCH($S57+$E$4,其他调用!$AF$8:$AF$607,0)))*INDEX($Q$19:$Q$23,MATCH(W$4,$L$19:$L$23,0))</f>
        <v>1048.9005933932622</v>
      </c>
      <c r="X57" s="27">
        <f>(求节点(其他调用!$AA$8:$AA$27,其他调用!$AB$8:$AB$27,$S57+$E$4)*INDEX(其他调用!AK$8:AK$607,MATCH($S57+$E$4,其他调用!$AF$8:$AF$607,0)))*INDEX($Q$19:$Q$23,MATCH(X$4,$L$19:$L$23,0))</f>
        <v>303.49263233785427</v>
      </c>
      <c r="Y57" s="31">
        <f>SUM($T$5:X57)</f>
        <v>6955870.5603243625</v>
      </c>
    </row>
    <row r="58" spans="19:25" x14ac:dyDescent="0.15">
      <c r="S58" s="27">
        <v>54</v>
      </c>
      <c r="T58" s="27">
        <f>(求节点(其他调用!$AA$8:$AA$27,其他调用!$AB$8:$AB$27,$S58+$E$4)*INDEX(其他调用!AG$8:AG$607,MATCH($S58+$E$4,其他调用!$AF$8:$AF$607,0)))*INDEX($Q$19:$Q$23,MATCH(T$4,$L$19:$L$23,0))</f>
        <v>59127.508289241829</v>
      </c>
      <c r="U58" s="27">
        <f>(求节点(其他调用!$AA$8:$AA$27,其他调用!$AB$8:$AB$27,$S58+$E$4)*INDEX(其他调用!AH$8:AH$607,MATCH($S58+$E$4,其他调用!$AF$8:$AF$607,0)))*INDEX($Q$19:$Q$23,MATCH(U$4,$L$19:$L$23,0))</f>
        <v>65094.325751927048</v>
      </c>
      <c r="V58" s="27">
        <f>(求节点(其他调用!$AA$8:$AA$27,其他调用!$AB$8:$AB$27,$S58+$E$4)*INDEX(其他调用!AI$8:AI$607,MATCH($S58+$E$4,其他调用!$AF$8:$AF$607,0)))*INDEX($Q$19:$Q$23,MATCH(V$4,$L$19:$L$23,0))</f>
        <v>5668.6134939368258</v>
      </c>
      <c r="W58" s="27">
        <f>(求节点(其他调用!$AA$8:$AA$27,其他调用!$AB$8:$AB$27,$S58+$E$4)*INDEX(其他调用!AJ$8:AJ$607,MATCH($S58+$E$4,其他调用!$AF$8:$AF$607,0)))*INDEX($Q$19:$Q$23,MATCH(W$4,$L$19:$L$23,0))</f>
        <v>1048.9005933932622</v>
      </c>
      <c r="X58" s="27">
        <f>(求节点(其他调用!$AA$8:$AA$27,其他调用!$AB$8:$AB$27,$S58+$E$4)*INDEX(其他调用!AK$8:AK$607,MATCH($S58+$E$4,其他调用!$AF$8:$AF$607,0)))*INDEX($Q$19:$Q$23,MATCH(X$4,$L$19:$L$23,0))</f>
        <v>303.49263233785427</v>
      </c>
      <c r="Y58" s="31">
        <f>SUM($T$5:X58)</f>
        <v>7087113.4010851998</v>
      </c>
    </row>
    <row r="59" spans="19:25" x14ac:dyDescent="0.15">
      <c r="S59" s="27">
        <v>55</v>
      </c>
      <c r="T59" s="27">
        <f>(求节点(其他调用!$AA$8:$AA$27,其他调用!$AB$8:$AB$27,$S59+$E$4)*INDEX(其他调用!AG$8:AG$607,MATCH($S59+$E$4,其他调用!$AF$8:$AF$607,0)))*INDEX($Q$19:$Q$23,MATCH(T$4,$L$19:$L$23,0))</f>
        <v>59127.508289241829</v>
      </c>
      <c r="U59" s="27">
        <f>(求节点(其他调用!$AA$8:$AA$27,其他调用!$AB$8:$AB$27,$S59+$E$4)*INDEX(其他调用!AH$8:AH$607,MATCH($S59+$E$4,其他调用!$AF$8:$AF$607,0)))*INDEX($Q$19:$Q$23,MATCH(U$4,$L$19:$L$23,0))</f>
        <v>65094.325751927048</v>
      </c>
      <c r="V59" s="27">
        <f>(求节点(其他调用!$AA$8:$AA$27,其他调用!$AB$8:$AB$27,$S59+$E$4)*INDEX(其他调用!AI$8:AI$607,MATCH($S59+$E$4,其他调用!$AF$8:$AF$607,0)))*INDEX($Q$19:$Q$23,MATCH(V$4,$L$19:$L$23,0))</f>
        <v>5668.6134939368258</v>
      </c>
      <c r="W59" s="27">
        <f>(求节点(其他调用!$AA$8:$AA$27,其他调用!$AB$8:$AB$27,$S59+$E$4)*INDEX(其他调用!AJ$8:AJ$607,MATCH($S59+$E$4,其他调用!$AF$8:$AF$607,0)))*INDEX($Q$19:$Q$23,MATCH(W$4,$L$19:$L$23,0))</f>
        <v>1048.9005933932622</v>
      </c>
      <c r="X59" s="27">
        <f>(求节点(其他调用!$AA$8:$AA$27,其他调用!$AB$8:$AB$27,$S59+$E$4)*INDEX(其他调用!AK$8:AK$607,MATCH($S59+$E$4,其他调用!$AF$8:$AF$607,0)))*INDEX($Q$19:$Q$23,MATCH(X$4,$L$19:$L$23,0))</f>
        <v>303.49263233785427</v>
      </c>
      <c r="Y59" s="31">
        <f>SUM($T$5:X59)</f>
        <v>7218356.2418460371</v>
      </c>
    </row>
    <row r="60" spans="19:25" x14ac:dyDescent="0.15">
      <c r="S60" s="27">
        <v>56</v>
      </c>
      <c r="T60" s="27">
        <f>(求节点(其他调用!$AA$8:$AA$27,其他调用!$AB$8:$AB$27,$S60+$E$4)*INDEX(其他调用!AG$8:AG$607,MATCH($S60+$E$4,其他调用!$AF$8:$AF$607,0)))*INDEX($Q$19:$Q$23,MATCH(T$4,$L$19:$L$23,0))</f>
        <v>59127.508289241829</v>
      </c>
      <c r="U60" s="27">
        <f>(求节点(其他调用!$AA$8:$AA$27,其他调用!$AB$8:$AB$27,$S60+$E$4)*INDEX(其他调用!AH$8:AH$607,MATCH($S60+$E$4,其他调用!$AF$8:$AF$607,0)))*INDEX($Q$19:$Q$23,MATCH(U$4,$L$19:$L$23,0))</f>
        <v>65094.325751927048</v>
      </c>
      <c r="V60" s="27">
        <f>(求节点(其他调用!$AA$8:$AA$27,其他调用!$AB$8:$AB$27,$S60+$E$4)*INDEX(其他调用!AI$8:AI$607,MATCH($S60+$E$4,其他调用!$AF$8:$AF$607,0)))*INDEX($Q$19:$Q$23,MATCH(V$4,$L$19:$L$23,0))</f>
        <v>5668.6134939368258</v>
      </c>
      <c r="W60" s="27">
        <f>(求节点(其他调用!$AA$8:$AA$27,其他调用!$AB$8:$AB$27,$S60+$E$4)*INDEX(其他调用!AJ$8:AJ$607,MATCH($S60+$E$4,其他调用!$AF$8:$AF$607,0)))*INDEX($Q$19:$Q$23,MATCH(W$4,$L$19:$L$23,0))</f>
        <v>1048.9005933932622</v>
      </c>
      <c r="X60" s="27">
        <f>(求节点(其他调用!$AA$8:$AA$27,其他调用!$AB$8:$AB$27,$S60+$E$4)*INDEX(其他调用!AK$8:AK$607,MATCH($S60+$E$4,其他调用!$AF$8:$AF$607,0)))*INDEX($Q$19:$Q$23,MATCH(X$4,$L$19:$L$23,0))</f>
        <v>303.49263233785427</v>
      </c>
      <c r="Y60" s="31">
        <f>SUM($T$5:X60)</f>
        <v>7349599.0826068744</v>
      </c>
    </row>
    <row r="61" spans="19:25" x14ac:dyDescent="0.15">
      <c r="S61" s="27">
        <v>57</v>
      </c>
      <c r="T61" s="27">
        <f>(求节点(其他调用!$AA$8:$AA$27,其他调用!$AB$8:$AB$27,$S61+$E$4)*INDEX(其他调用!AG$8:AG$607,MATCH($S61+$E$4,其他调用!$AF$8:$AF$607,0)))*INDEX($Q$19:$Q$23,MATCH(T$4,$L$19:$L$23,0))</f>
        <v>59127.508289241829</v>
      </c>
      <c r="U61" s="27">
        <f>(求节点(其他调用!$AA$8:$AA$27,其他调用!$AB$8:$AB$27,$S61+$E$4)*INDEX(其他调用!AH$8:AH$607,MATCH($S61+$E$4,其他调用!$AF$8:$AF$607,0)))*INDEX($Q$19:$Q$23,MATCH(U$4,$L$19:$L$23,0))</f>
        <v>65094.325751927048</v>
      </c>
      <c r="V61" s="27">
        <f>(求节点(其他调用!$AA$8:$AA$27,其他调用!$AB$8:$AB$27,$S61+$E$4)*INDEX(其他调用!AI$8:AI$607,MATCH($S61+$E$4,其他调用!$AF$8:$AF$607,0)))*INDEX($Q$19:$Q$23,MATCH(V$4,$L$19:$L$23,0))</f>
        <v>5668.6134939368258</v>
      </c>
      <c r="W61" s="27">
        <f>(求节点(其他调用!$AA$8:$AA$27,其他调用!$AB$8:$AB$27,$S61+$E$4)*INDEX(其他调用!AJ$8:AJ$607,MATCH($S61+$E$4,其他调用!$AF$8:$AF$607,0)))*INDEX($Q$19:$Q$23,MATCH(W$4,$L$19:$L$23,0))</f>
        <v>1048.9005933932622</v>
      </c>
      <c r="X61" s="27">
        <f>(求节点(其他调用!$AA$8:$AA$27,其他调用!$AB$8:$AB$27,$S61+$E$4)*INDEX(其他调用!AK$8:AK$607,MATCH($S61+$E$4,其他调用!$AF$8:$AF$607,0)))*INDEX($Q$19:$Q$23,MATCH(X$4,$L$19:$L$23,0))</f>
        <v>303.49263233785427</v>
      </c>
      <c r="Y61" s="31">
        <f>SUM($T$5:X61)</f>
        <v>7480841.9233677117</v>
      </c>
    </row>
    <row r="62" spans="19:25" x14ac:dyDescent="0.15">
      <c r="S62" s="27">
        <v>58</v>
      </c>
      <c r="T62" s="27">
        <f>(求节点(其他调用!$AA$8:$AA$27,其他调用!$AB$8:$AB$27,$S62+$E$4)*INDEX(其他调用!AG$8:AG$607,MATCH($S62+$E$4,其他调用!$AF$8:$AF$607,0)))*INDEX($Q$19:$Q$23,MATCH(T$4,$L$19:$L$23,0))</f>
        <v>59127.508289241829</v>
      </c>
      <c r="U62" s="27">
        <f>(求节点(其他调用!$AA$8:$AA$27,其他调用!$AB$8:$AB$27,$S62+$E$4)*INDEX(其他调用!AH$8:AH$607,MATCH($S62+$E$4,其他调用!$AF$8:$AF$607,0)))*INDEX($Q$19:$Q$23,MATCH(U$4,$L$19:$L$23,0))</f>
        <v>65094.325751927048</v>
      </c>
      <c r="V62" s="27">
        <f>(求节点(其他调用!$AA$8:$AA$27,其他调用!$AB$8:$AB$27,$S62+$E$4)*INDEX(其他调用!AI$8:AI$607,MATCH($S62+$E$4,其他调用!$AF$8:$AF$607,0)))*INDEX($Q$19:$Q$23,MATCH(V$4,$L$19:$L$23,0))</f>
        <v>5668.6134939368258</v>
      </c>
      <c r="W62" s="27">
        <f>(求节点(其他调用!$AA$8:$AA$27,其他调用!$AB$8:$AB$27,$S62+$E$4)*INDEX(其他调用!AJ$8:AJ$607,MATCH($S62+$E$4,其他调用!$AF$8:$AF$607,0)))*INDEX($Q$19:$Q$23,MATCH(W$4,$L$19:$L$23,0))</f>
        <v>1048.9005933932622</v>
      </c>
      <c r="X62" s="27">
        <f>(求节点(其他调用!$AA$8:$AA$27,其他调用!$AB$8:$AB$27,$S62+$E$4)*INDEX(其他调用!AK$8:AK$607,MATCH($S62+$E$4,其他调用!$AF$8:$AF$607,0)))*INDEX($Q$19:$Q$23,MATCH(X$4,$L$19:$L$23,0))</f>
        <v>303.49263233785427</v>
      </c>
      <c r="Y62" s="31">
        <f>SUM($T$5:X62)</f>
        <v>7612084.764128549</v>
      </c>
    </row>
    <row r="63" spans="19:25" x14ac:dyDescent="0.15">
      <c r="S63" s="27">
        <v>59</v>
      </c>
      <c r="T63" s="27">
        <f>(求节点(其他调用!$AA$8:$AA$27,其他调用!$AB$8:$AB$27,$S63+$E$4)*INDEX(其他调用!AG$8:AG$607,MATCH($S63+$E$4,其他调用!$AF$8:$AF$607,0)))*INDEX($Q$19:$Q$23,MATCH(T$4,$L$19:$L$23,0))</f>
        <v>59127.508289241829</v>
      </c>
      <c r="U63" s="27">
        <f>(求节点(其他调用!$AA$8:$AA$27,其他调用!$AB$8:$AB$27,$S63+$E$4)*INDEX(其他调用!AH$8:AH$607,MATCH($S63+$E$4,其他调用!$AF$8:$AF$607,0)))*INDEX($Q$19:$Q$23,MATCH(U$4,$L$19:$L$23,0))</f>
        <v>65094.325751927048</v>
      </c>
      <c r="V63" s="27">
        <f>(求节点(其他调用!$AA$8:$AA$27,其他调用!$AB$8:$AB$27,$S63+$E$4)*INDEX(其他调用!AI$8:AI$607,MATCH($S63+$E$4,其他调用!$AF$8:$AF$607,0)))*INDEX($Q$19:$Q$23,MATCH(V$4,$L$19:$L$23,0))</f>
        <v>5668.6134939368258</v>
      </c>
      <c r="W63" s="27">
        <f>(求节点(其他调用!$AA$8:$AA$27,其他调用!$AB$8:$AB$27,$S63+$E$4)*INDEX(其他调用!AJ$8:AJ$607,MATCH($S63+$E$4,其他调用!$AF$8:$AF$607,0)))*INDEX($Q$19:$Q$23,MATCH(W$4,$L$19:$L$23,0))</f>
        <v>1048.9005933932622</v>
      </c>
      <c r="X63" s="27">
        <f>(求节点(其他调用!$AA$8:$AA$27,其他调用!$AB$8:$AB$27,$S63+$E$4)*INDEX(其他调用!AK$8:AK$607,MATCH($S63+$E$4,其他调用!$AF$8:$AF$607,0)))*INDEX($Q$19:$Q$23,MATCH(X$4,$L$19:$L$23,0))</f>
        <v>303.49263233785427</v>
      </c>
      <c r="Y63" s="31">
        <f>SUM($T$5:X63)</f>
        <v>7743327.6048893863</v>
      </c>
    </row>
    <row r="64" spans="19:25" x14ac:dyDescent="0.15">
      <c r="S64" s="27">
        <v>60</v>
      </c>
      <c r="T64" s="27">
        <f>(求节点(其他调用!$AA$8:$AA$27,其他调用!$AB$8:$AB$27,$S64+$E$4)*INDEX(其他调用!AG$8:AG$607,MATCH($S64+$E$4,其他调用!$AF$8:$AF$607,0)))*INDEX($Q$19:$Q$23,MATCH(T$4,$L$19:$L$23,0))</f>
        <v>59127.508289241829</v>
      </c>
      <c r="U64" s="27">
        <f>(求节点(其他调用!$AA$8:$AA$27,其他调用!$AB$8:$AB$27,$S64+$E$4)*INDEX(其他调用!AH$8:AH$607,MATCH($S64+$E$4,其他调用!$AF$8:$AF$607,0)))*INDEX($Q$19:$Q$23,MATCH(U$4,$L$19:$L$23,0))</f>
        <v>65094.325751927048</v>
      </c>
      <c r="V64" s="27">
        <f>(求节点(其他调用!$AA$8:$AA$27,其他调用!$AB$8:$AB$27,$S64+$E$4)*INDEX(其他调用!AI$8:AI$607,MATCH($S64+$E$4,其他调用!$AF$8:$AF$607,0)))*INDEX($Q$19:$Q$23,MATCH(V$4,$L$19:$L$23,0))</f>
        <v>5668.6134939368258</v>
      </c>
      <c r="W64" s="27">
        <f>(求节点(其他调用!$AA$8:$AA$27,其他调用!$AB$8:$AB$27,$S64+$E$4)*INDEX(其他调用!AJ$8:AJ$607,MATCH($S64+$E$4,其他调用!$AF$8:$AF$607,0)))*INDEX($Q$19:$Q$23,MATCH(W$4,$L$19:$L$23,0))</f>
        <v>1048.9005933932622</v>
      </c>
      <c r="X64" s="27">
        <f>(求节点(其他调用!$AA$8:$AA$27,其他调用!$AB$8:$AB$27,$S64+$E$4)*INDEX(其他调用!AK$8:AK$607,MATCH($S64+$E$4,其他调用!$AF$8:$AF$607,0)))*INDEX($Q$19:$Q$23,MATCH(X$4,$L$19:$L$23,0))</f>
        <v>303.49263233785427</v>
      </c>
      <c r="Y64" s="31">
        <f>SUM($T$5:X64)</f>
        <v>7874570.4456502236</v>
      </c>
    </row>
    <row r="65" spans="19:25" x14ac:dyDescent="0.15">
      <c r="S65" s="27">
        <v>61</v>
      </c>
      <c r="T65" s="27">
        <f>(求节点(其他调用!$AA$8:$AA$27,其他调用!$AB$8:$AB$27,$S65+$E$4)*INDEX(其他调用!AG$8:AG$607,MATCH($S65+$E$4,其他调用!$AF$8:$AF$607,0)))*INDEX($Q$19:$Q$23,MATCH(T$4,$L$19:$L$23,0))</f>
        <v>59127.508289241829</v>
      </c>
      <c r="U65" s="27">
        <f>(求节点(其他调用!$AA$8:$AA$27,其他调用!$AB$8:$AB$27,$S65+$E$4)*INDEX(其他调用!AH$8:AH$607,MATCH($S65+$E$4,其他调用!$AF$8:$AF$607,0)))*INDEX($Q$19:$Q$23,MATCH(U$4,$L$19:$L$23,0))</f>
        <v>65094.325751927048</v>
      </c>
      <c r="V65" s="27">
        <f>(求节点(其他调用!$AA$8:$AA$27,其他调用!$AB$8:$AB$27,$S65+$E$4)*INDEX(其他调用!AI$8:AI$607,MATCH($S65+$E$4,其他调用!$AF$8:$AF$607,0)))*INDEX($Q$19:$Q$23,MATCH(V$4,$L$19:$L$23,0))</f>
        <v>5668.6134939368258</v>
      </c>
      <c r="W65" s="27">
        <f>(求节点(其他调用!$AA$8:$AA$27,其他调用!$AB$8:$AB$27,$S65+$E$4)*INDEX(其他调用!AJ$8:AJ$607,MATCH($S65+$E$4,其他调用!$AF$8:$AF$607,0)))*INDEX($Q$19:$Q$23,MATCH(W$4,$L$19:$L$23,0))</f>
        <v>1048.9005933932622</v>
      </c>
      <c r="X65" s="27">
        <f>(求节点(其他调用!$AA$8:$AA$27,其他调用!$AB$8:$AB$27,$S65+$E$4)*INDEX(其他调用!AK$8:AK$607,MATCH($S65+$E$4,其他调用!$AF$8:$AF$607,0)))*INDEX($Q$19:$Q$23,MATCH(X$4,$L$19:$L$23,0))</f>
        <v>303.49263233785427</v>
      </c>
      <c r="Y65" s="31">
        <f>SUM($T$5:X65)</f>
        <v>8005813.286411061</v>
      </c>
    </row>
    <row r="66" spans="19:25" x14ac:dyDescent="0.15">
      <c r="S66" s="27">
        <v>62</v>
      </c>
      <c r="T66" s="27">
        <f>(求节点(其他调用!$AA$8:$AA$27,其他调用!$AB$8:$AB$27,$S66+$E$4)*INDEX(其他调用!AG$8:AG$607,MATCH($S66+$E$4,其他调用!$AF$8:$AF$607,0)))*INDEX($Q$19:$Q$23,MATCH(T$4,$L$19:$L$23,0))</f>
        <v>59127.508289241829</v>
      </c>
      <c r="U66" s="27">
        <f>(求节点(其他调用!$AA$8:$AA$27,其他调用!$AB$8:$AB$27,$S66+$E$4)*INDEX(其他调用!AH$8:AH$607,MATCH($S66+$E$4,其他调用!$AF$8:$AF$607,0)))*INDEX($Q$19:$Q$23,MATCH(U$4,$L$19:$L$23,0))</f>
        <v>65094.325751927048</v>
      </c>
      <c r="V66" s="27">
        <f>(求节点(其他调用!$AA$8:$AA$27,其他调用!$AB$8:$AB$27,$S66+$E$4)*INDEX(其他调用!AI$8:AI$607,MATCH($S66+$E$4,其他调用!$AF$8:$AF$607,0)))*INDEX($Q$19:$Q$23,MATCH(V$4,$L$19:$L$23,0))</f>
        <v>5668.6134939368258</v>
      </c>
      <c r="W66" s="27">
        <f>(求节点(其他调用!$AA$8:$AA$27,其他调用!$AB$8:$AB$27,$S66+$E$4)*INDEX(其他调用!AJ$8:AJ$607,MATCH($S66+$E$4,其他调用!$AF$8:$AF$607,0)))*INDEX($Q$19:$Q$23,MATCH(W$4,$L$19:$L$23,0))</f>
        <v>1048.9005933932622</v>
      </c>
      <c r="X66" s="27">
        <f>(求节点(其他调用!$AA$8:$AA$27,其他调用!$AB$8:$AB$27,$S66+$E$4)*INDEX(其他调用!AK$8:AK$607,MATCH($S66+$E$4,其他调用!$AF$8:$AF$607,0)))*INDEX($Q$19:$Q$23,MATCH(X$4,$L$19:$L$23,0))</f>
        <v>303.49263233785427</v>
      </c>
      <c r="Y66" s="31">
        <f>SUM($T$5:X66)</f>
        <v>8137056.1271718983</v>
      </c>
    </row>
    <row r="67" spans="19:25" x14ac:dyDescent="0.15">
      <c r="S67" s="27">
        <v>63</v>
      </c>
      <c r="T67" s="27">
        <f>(求节点(其他调用!$AA$8:$AA$27,其他调用!$AB$8:$AB$27,$S67+$E$4)*INDEX(其他调用!AG$8:AG$607,MATCH($S67+$E$4,其他调用!$AF$8:$AF$607,0)))*INDEX($Q$19:$Q$23,MATCH(T$4,$L$19:$L$23,0))</f>
        <v>59127.508289241829</v>
      </c>
      <c r="U67" s="27">
        <f>(求节点(其他调用!$AA$8:$AA$27,其他调用!$AB$8:$AB$27,$S67+$E$4)*INDEX(其他调用!AH$8:AH$607,MATCH($S67+$E$4,其他调用!$AF$8:$AF$607,0)))*INDEX($Q$19:$Q$23,MATCH(U$4,$L$19:$L$23,0))</f>
        <v>65094.325751927048</v>
      </c>
      <c r="V67" s="27">
        <f>(求节点(其他调用!$AA$8:$AA$27,其他调用!$AB$8:$AB$27,$S67+$E$4)*INDEX(其他调用!AI$8:AI$607,MATCH($S67+$E$4,其他调用!$AF$8:$AF$607,0)))*INDEX($Q$19:$Q$23,MATCH(V$4,$L$19:$L$23,0))</f>
        <v>5668.6134939368258</v>
      </c>
      <c r="W67" s="27">
        <f>(求节点(其他调用!$AA$8:$AA$27,其他调用!$AB$8:$AB$27,$S67+$E$4)*INDEX(其他调用!AJ$8:AJ$607,MATCH($S67+$E$4,其他调用!$AF$8:$AF$607,0)))*INDEX($Q$19:$Q$23,MATCH(W$4,$L$19:$L$23,0))</f>
        <v>1048.9005933932622</v>
      </c>
      <c r="X67" s="27">
        <f>(求节点(其他调用!$AA$8:$AA$27,其他调用!$AB$8:$AB$27,$S67+$E$4)*INDEX(其他调用!AK$8:AK$607,MATCH($S67+$E$4,其他调用!$AF$8:$AF$607,0)))*INDEX($Q$19:$Q$23,MATCH(X$4,$L$19:$L$23,0))</f>
        <v>303.49263233785427</v>
      </c>
      <c r="Y67" s="31">
        <f>SUM($T$5:X67)</f>
        <v>8268298.9679327356</v>
      </c>
    </row>
    <row r="68" spans="19:25" x14ac:dyDescent="0.15">
      <c r="S68" s="27">
        <v>64</v>
      </c>
      <c r="T68" s="27">
        <f>(求节点(其他调用!$AA$8:$AA$27,其他调用!$AB$8:$AB$27,$S68+$E$4)*INDEX(其他调用!AG$8:AG$607,MATCH($S68+$E$4,其他调用!$AF$8:$AF$607,0)))*INDEX($Q$19:$Q$23,MATCH(T$4,$L$19:$L$23,0))</f>
        <v>59127.508289241829</v>
      </c>
      <c r="U68" s="27">
        <f>(求节点(其他调用!$AA$8:$AA$27,其他调用!$AB$8:$AB$27,$S68+$E$4)*INDEX(其他调用!AH$8:AH$607,MATCH($S68+$E$4,其他调用!$AF$8:$AF$607,0)))*INDEX($Q$19:$Q$23,MATCH(U$4,$L$19:$L$23,0))</f>
        <v>65094.325751927048</v>
      </c>
      <c r="V68" s="27">
        <f>(求节点(其他调用!$AA$8:$AA$27,其他调用!$AB$8:$AB$27,$S68+$E$4)*INDEX(其他调用!AI$8:AI$607,MATCH($S68+$E$4,其他调用!$AF$8:$AF$607,0)))*INDEX($Q$19:$Q$23,MATCH(V$4,$L$19:$L$23,0))</f>
        <v>5668.6134939368258</v>
      </c>
      <c r="W68" s="27">
        <f>(求节点(其他调用!$AA$8:$AA$27,其他调用!$AB$8:$AB$27,$S68+$E$4)*INDEX(其他调用!AJ$8:AJ$607,MATCH($S68+$E$4,其他调用!$AF$8:$AF$607,0)))*INDEX($Q$19:$Q$23,MATCH(W$4,$L$19:$L$23,0))</f>
        <v>1048.9005933932622</v>
      </c>
      <c r="X68" s="27">
        <f>(求节点(其他调用!$AA$8:$AA$27,其他调用!$AB$8:$AB$27,$S68+$E$4)*INDEX(其他调用!AK$8:AK$607,MATCH($S68+$E$4,其他调用!$AF$8:$AF$607,0)))*INDEX($Q$19:$Q$23,MATCH(X$4,$L$19:$L$23,0))</f>
        <v>303.49263233785427</v>
      </c>
      <c r="Y68" s="31">
        <f>SUM($T$5:X68)</f>
        <v>8399541.8086935729</v>
      </c>
    </row>
    <row r="69" spans="19:25" x14ac:dyDescent="0.15">
      <c r="S69" s="27">
        <v>65</v>
      </c>
      <c r="T69" s="27">
        <f>(求节点(其他调用!$AA$8:$AA$27,其他调用!$AB$8:$AB$27,$S69+$E$4)*INDEX(其他调用!AG$8:AG$607,MATCH($S69+$E$4,其他调用!$AF$8:$AF$607,0)))*INDEX($Q$19:$Q$23,MATCH(T$4,$L$19:$L$23,0))</f>
        <v>59127.508289241829</v>
      </c>
      <c r="U69" s="27">
        <f>(求节点(其他调用!$AA$8:$AA$27,其他调用!$AB$8:$AB$27,$S69+$E$4)*INDEX(其他调用!AH$8:AH$607,MATCH($S69+$E$4,其他调用!$AF$8:$AF$607,0)))*INDEX($Q$19:$Q$23,MATCH(U$4,$L$19:$L$23,0))</f>
        <v>65094.325751927048</v>
      </c>
      <c r="V69" s="27">
        <f>(求节点(其他调用!$AA$8:$AA$27,其他调用!$AB$8:$AB$27,$S69+$E$4)*INDEX(其他调用!AI$8:AI$607,MATCH($S69+$E$4,其他调用!$AF$8:$AF$607,0)))*INDEX($Q$19:$Q$23,MATCH(V$4,$L$19:$L$23,0))</f>
        <v>5668.6134939368258</v>
      </c>
      <c r="W69" s="27">
        <f>(求节点(其他调用!$AA$8:$AA$27,其他调用!$AB$8:$AB$27,$S69+$E$4)*INDEX(其他调用!AJ$8:AJ$607,MATCH($S69+$E$4,其他调用!$AF$8:$AF$607,0)))*INDEX($Q$19:$Q$23,MATCH(W$4,$L$19:$L$23,0))</f>
        <v>1048.9005933932622</v>
      </c>
      <c r="X69" s="27">
        <f>(求节点(其他调用!$AA$8:$AA$27,其他调用!$AB$8:$AB$27,$S69+$E$4)*INDEX(其他调用!AK$8:AK$607,MATCH($S69+$E$4,其他调用!$AF$8:$AF$607,0)))*INDEX($Q$19:$Q$23,MATCH(X$4,$L$19:$L$23,0))</f>
        <v>303.49263233785427</v>
      </c>
      <c r="Y69" s="31">
        <f>SUM($T$5:X69)</f>
        <v>8530784.6494544093</v>
      </c>
    </row>
    <row r="70" spans="19:25" x14ac:dyDescent="0.15">
      <c r="S70" s="27">
        <v>66</v>
      </c>
      <c r="T70" s="27">
        <f>(求节点(其他调用!$AA$8:$AA$27,其他调用!$AB$8:$AB$27,$S70+$E$4)*INDEX(其他调用!AG$8:AG$607,MATCH($S70+$E$4,其他调用!$AF$8:$AF$607,0)))*INDEX($Q$19:$Q$23,MATCH(T$4,$L$19:$L$23,0))</f>
        <v>59127.508289241829</v>
      </c>
      <c r="U70" s="27">
        <f>(求节点(其他调用!$AA$8:$AA$27,其他调用!$AB$8:$AB$27,$S70+$E$4)*INDEX(其他调用!AH$8:AH$607,MATCH($S70+$E$4,其他调用!$AF$8:$AF$607,0)))*INDEX($Q$19:$Q$23,MATCH(U$4,$L$19:$L$23,0))</f>
        <v>65094.325751927048</v>
      </c>
      <c r="V70" s="27">
        <f>(求节点(其他调用!$AA$8:$AA$27,其他调用!$AB$8:$AB$27,$S70+$E$4)*INDEX(其他调用!AI$8:AI$607,MATCH($S70+$E$4,其他调用!$AF$8:$AF$607,0)))*INDEX($Q$19:$Q$23,MATCH(V$4,$L$19:$L$23,0))</f>
        <v>5668.6134939368258</v>
      </c>
      <c r="W70" s="27">
        <f>(求节点(其他调用!$AA$8:$AA$27,其他调用!$AB$8:$AB$27,$S70+$E$4)*INDEX(其他调用!AJ$8:AJ$607,MATCH($S70+$E$4,其他调用!$AF$8:$AF$607,0)))*INDEX($Q$19:$Q$23,MATCH(W$4,$L$19:$L$23,0))</f>
        <v>1048.9005933932622</v>
      </c>
      <c r="X70" s="27">
        <f>(求节点(其他调用!$AA$8:$AA$27,其他调用!$AB$8:$AB$27,$S70+$E$4)*INDEX(其他调用!AK$8:AK$607,MATCH($S70+$E$4,其他调用!$AF$8:$AF$607,0)))*INDEX($Q$19:$Q$23,MATCH(X$4,$L$19:$L$23,0))</f>
        <v>303.49263233785427</v>
      </c>
      <c r="Y70" s="31">
        <f>SUM($T$5:X70)</f>
        <v>8662027.4902152456</v>
      </c>
    </row>
    <row r="71" spans="19:25" x14ac:dyDescent="0.15">
      <c r="S71" s="27">
        <v>67</v>
      </c>
      <c r="T71" s="27">
        <f>(求节点(其他调用!$AA$8:$AA$27,其他调用!$AB$8:$AB$27,$S71+$E$4)*INDEX(其他调用!AG$8:AG$607,MATCH($S71+$E$4,其他调用!$AF$8:$AF$607,0)))*INDEX($Q$19:$Q$23,MATCH(T$4,$L$19:$L$23,0))</f>
        <v>59127.508289241829</v>
      </c>
      <c r="U71" s="27">
        <f>(求节点(其他调用!$AA$8:$AA$27,其他调用!$AB$8:$AB$27,$S71+$E$4)*INDEX(其他调用!AH$8:AH$607,MATCH($S71+$E$4,其他调用!$AF$8:$AF$607,0)))*INDEX($Q$19:$Q$23,MATCH(U$4,$L$19:$L$23,0))</f>
        <v>65094.325751927048</v>
      </c>
      <c r="V71" s="27">
        <f>(求节点(其他调用!$AA$8:$AA$27,其他调用!$AB$8:$AB$27,$S71+$E$4)*INDEX(其他调用!AI$8:AI$607,MATCH($S71+$E$4,其他调用!$AF$8:$AF$607,0)))*INDEX($Q$19:$Q$23,MATCH(V$4,$L$19:$L$23,0))</f>
        <v>5668.6134939368258</v>
      </c>
      <c r="W71" s="27">
        <f>(求节点(其他调用!$AA$8:$AA$27,其他调用!$AB$8:$AB$27,$S71+$E$4)*INDEX(其他调用!AJ$8:AJ$607,MATCH($S71+$E$4,其他调用!$AF$8:$AF$607,0)))*INDEX($Q$19:$Q$23,MATCH(W$4,$L$19:$L$23,0))</f>
        <v>1048.9005933932622</v>
      </c>
      <c r="X71" s="27">
        <f>(求节点(其他调用!$AA$8:$AA$27,其他调用!$AB$8:$AB$27,$S71+$E$4)*INDEX(其他调用!AK$8:AK$607,MATCH($S71+$E$4,其他调用!$AF$8:$AF$607,0)))*INDEX($Q$19:$Q$23,MATCH(X$4,$L$19:$L$23,0))</f>
        <v>303.49263233785427</v>
      </c>
      <c r="Y71" s="31">
        <f>SUM($T$5:X71)</f>
        <v>8793270.330976082</v>
      </c>
    </row>
    <row r="72" spans="19:25" x14ac:dyDescent="0.15">
      <c r="S72" s="27">
        <v>68</v>
      </c>
      <c r="T72" s="27">
        <f>(求节点(其他调用!$AA$8:$AA$27,其他调用!$AB$8:$AB$27,$S72+$E$4)*INDEX(其他调用!AG$8:AG$607,MATCH($S72+$E$4,其他调用!$AF$8:$AF$607,0)))*INDEX($Q$19:$Q$23,MATCH(T$4,$L$19:$L$23,0))</f>
        <v>59127.508289241829</v>
      </c>
      <c r="U72" s="27">
        <f>(求节点(其他调用!$AA$8:$AA$27,其他调用!$AB$8:$AB$27,$S72+$E$4)*INDEX(其他调用!AH$8:AH$607,MATCH($S72+$E$4,其他调用!$AF$8:$AF$607,0)))*INDEX($Q$19:$Q$23,MATCH(U$4,$L$19:$L$23,0))</f>
        <v>65094.325751927048</v>
      </c>
      <c r="V72" s="27">
        <f>(求节点(其他调用!$AA$8:$AA$27,其他调用!$AB$8:$AB$27,$S72+$E$4)*INDEX(其他调用!AI$8:AI$607,MATCH($S72+$E$4,其他调用!$AF$8:$AF$607,0)))*INDEX($Q$19:$Q$23,MATCH(V$4,$L$19:$L$23,0))</f>
        <v>5668.6134939368258</v>
      </c>
      <c r="W72" s="27">
        <f>(求节点(其他调用!$AA$8:$AA$27,其他调用!$AB$8:$AB$27,$S72+$E$4)*INDEX(其他调用!AJ$8:AJ$607,MATCH($S72+$E$4,其他调用!$AF$8:$AF$607,0)))*INDEX($Q$19:$Q$23,MATCH(W$4,$L$19:$L$23,0))</f>
        <v>1048.9005933932622</v>
      </c>
      <c r="X72" s="27">
        <f>(求节点(其他调用!$AA$8:$AA$27,其他调用!$AB$8:$AB$27,$S72+$E$4)*INDEX(其他调用!AK$8:AK$607,MATCH($S72+$E$4,其他调用!$AF$8:$AF$607,0)))*INDEX($Q$19:$Q$23,MATCH(X$4,$L$19:$L$23,0))</f>
        <v>303.49263233785427</v>
      </c>
      <c r="Y72" s="31">
        <f>SUM($T$5:X72)</f>
        <v>8924513.1717369184</v>
      </c>
    </row>
    <row r="73" spans="19:25" x14ac:dyDescent="0.15">
      <c r="S73" s="27">
        <v>69</v>
      </c>
      <c r="T73" s="27">
        <f>(求节点(其他调用!$AA$8:$AA$27,其他调用!$AB$8:$AB$27,$S73+$E$4)*INDEX(其他调用!AG$8:AG$607,MATCH($S73+$E$4,其他调用!$AF$8:$AF$607,0)))*INDEX($Q$19:$Q$23,MATCH(T$4,$L$19:$L$23,0))</f>
        <v>59127.508289241829</v>
      </c>
      <c r="U73" s="27">
        <f>(求节点(其他调用!$AA$8:$AA$27,其他调用!$AB$8:$AB$27,$S73+$E$4)*INDEX(其他调用!AH$8:AH$607,MATCH($S73+$E$4,其他调用!$AF$8:$AF$607,0)))*INDEX($Q$19:$Q$23,MATCH(U$4,$L$19:$L$23,0))</f>
        <v>65094.325751927048</v>
      </c>
      <c r="V73" s="27">
        <f>(求节点(其他调用!$AA$8:$AA$27,其他调用!$AB$8:$AB$27,$S73+$E$4)*INDEX(其他调用!AI$8:AI$607,MATCH($S73+$E$4,其他调用!$AF$8:$AF$607,0)))*INDEX($Q$19:$Q$23,MATCH(V$4,$L$19:$L$23,0))</f>
        <v>5668.6134939368258</v>
      </c>
      <c r="W73" s="27">
        <f>(求节点(其他调用!$AA$8:$AA$27,其他调用!$AB$8:$AB$27,$S73+$E$4)*INDEX(其他调用!AJ$8:AJ$607,MATCH($S73+$E$4,其他调用!$AF$8:$AF$607,0)))*INDEX($Q$19:$Q$23,MATCH(W$4,$L$19:$L$23,0))</f>
        <v>1048.9005933932622</v>
      </c>
      <c r="X73" s="27">
        <f>(求节点(其他调用!$AA$8:$AA$27,其他调用!$AB$8:$AB$27,$S73+$E$4)*INDEX(其他调用!AK$8:AK$607,MATCH($S73+$E$4,其他调用!$AF$8:$AF$607,0)))*INDEX($Q$19:$Q$23,MATCH(X$4,$L$19:$L$23,0))</f>
        <v>303.49263233785427</v>
      </c>
      <c r="Y73" s="31">
        <f>SUM($T$5:X73)</f>
        <v>9055756.0124977548</v>
      </c>
    </row>
    <row r="74" spans="19:25" x14ac:dyDescent="0.15">
      <c r="S74" s="27">
        <v>70</v>
      </c>
      <c r="T74" s="27">
        <f>(求节点(其他调用!$AA$8:$AA$27,其他调用!$AB$8:$AB$27,$S74+$E$4)*INDEX(其他调用!AG$8:AG$607,MATCH($S74+$E$4,其他调用!$AF$8:$AF$607,0)))*INDEX($Q$19:$Q$23,MATCH(T$4,$L$19:$L$23,0))</f>
        <v>59127.508289241829</v>
      </c>
      <c r="U74" s="27">
        <f>(求节点(其他调用!$AA$8:$AA$27,其他调用!$AB$8:$AB$27,$S74+$E$4)*INDEX(其他调用!AH$8:AH$607,MATCH($S74+$E$4,其他调用!$AF$8:$AF$607,0)))*INDEX($Q$19:$Q$23,MATCH(U$4,$L$19:$L$23,0))</f>
        <v>65094.325751927048</v>
      </c>
      <c r="V74" s="27">
        <f>(求节点(其他调用!$AA$8:$AA$27,其他调用!$AB$8:$AB$27,$S74+$E$4)*INDEX(其他调用!AI$8:AI$607,MATCH($S74+$E$4,其他调用!$AF$8:$AF$607,0)))*INDEX($Q$19:$Q$23,MATCH(V$4,$L$19:$L$23,0))</f>
        <v>5668.6134939368258</v>
      </c>
      <c r="W74" s="27">
        <f>(求节点(其他调用!$AA$8:$AA$27,其他调用!$AB$8:$AB$27,$S74+$E$4)*INDEX(其他调用!AJ$8:AJ$607,MATCH($S74+$E$4,其他调用!$AF$8:$AF$607,0)))*INDEX($Q$19:$Q$23,MATCH(W$4,$L$19:$L$23,0))</f>
        <v>1048.9005933932622</v>
      </c>
      <c r="X74" s="27">
        <f>(求节点(其他调用!$AA$8:$AA$27,其他调用!$AB$8:$AB$27,$S74+$E$4)*INDEX(其他调用!AK$8:AK$607,MATCH($S74+$E$4,其他调用!$AF$8:$AF$607,0)))*INDEX($Q$19:$Q$23,MATCH(X$4,$L$19:$L$23,0))</f>
        <v>303.49263233785427</v>
      </c>
      <c r="Y74" s="31">
        <f>SUM($T$5:X74)</f>
        <v>9186998.8532585911</v>
      </c>
    </row>
    <row r="75" spans="19:25" x14ac:dyDescent="0.15">
      <c r="S75" s="27">
        <v>71</v>
      </c>
      <c r="T75" s="27">
        <f>(求节点(其他调用!$AA$8:$AA$27,其他调用!$AB$8:$AB$27,$S75+$E$4)*INDEX(其他调用!AG$8:AG$607,MATCH($S75+$E$4,其他调用!$AF$8:$AF$607,0)))*INDEX($Q$19:$Q$23,MATCH(T$4,$L$19:$L$23,0))</f>
        <v>59127.508289241829</v>
      </c>
      <c r="U75" s="27">
        <f>(求节点(其他调用!$AA$8:$AA$27,其他调用!$AB$8:$AB$27,$S75+$E$4)*INDEX(其他调用!AH$8:AH$607,MATCH($S75+$E$4,其他调用!$AF$8:$AF$607,0)))*INDEX($Q$19:$Q$23,MATCH(U$4,$L$19:$L$23,0))</f>
        <v>65094.325751927048</v>
      </c>
      <c r="V75" s="27">
        <f>(求节点(其他调用!$AA$8:$AA$27,其他调用!$AB$8:$AB$27,$S75+$E$4)*INDEX(其他调用!AI$8:AI$607,MATCH($S75+$E$4,其他调用!$AF$8:$AF$607,0)))*INDEX($Q$19:$Q$23,MATCH(V$4,$L$19:$L$23,0))</f>
        <v>5668.6134939368258</v>
      </c>
      <c r="W75" s="27">
        <f>(求节点(其他调用!$AA$8:$AA$27,其他调用!$AB$8:$AB$27,$S75+$E$4)*INDEX(其他调用!AJ$8:AJ$607,MATCH($S75+$E$4,其他调用!$AF$8:$AF$607,0)))*INDEX($Q$19:$Q$23,MATCH(W$4,$L$19:$L$23,0))</f>
        <v>1048.9005933932622</v>
      </c>
      <c r="X75" s="27">
        <f>(求节点(其他调用!$AA$8:$AA$27,其他调用!$AB$8:$AB$27,$S75+$E$4)*INDEX(其他调用!AK$8:AK$607,MATCH($S75+$E$4,其他调用!$AF$8:$AF$607,0)))*INDEX($Q$19:$Q$23,MATCH(X$4,$L$19:$L$23,0))</f>
        <v>303.49263233785427</v>
      </c>
      <c r="Y75" s="31">
        <f>SUM($T$5:X75)</f>
        <v>9318241.6940194275</v>
      </c>
    </row>
    <row r="76" spans="19:25" x14ac:dyDescent="0.15">
      <c r="S76" s="27">
        <v>72</v>
      </c>
      <c r="T76" s="27">
        <f>(求节点(其他调用!$AA$8:$AA$27,其他调用!$AB$8:$AB$27,$S76+$E$4)*INDEX(其他调用!AG$8:AG$607,MATCH($S76+$E$4,其他调用!$AF$8:$AF$607,0)))*INDEX($Q$19:$Q$23,MATCH(T$4,$L$19:$L$23,0))</f>
        <v>59127.508289241829</v>
      </c>
      <c r="U76" s="27">
        <f>(求节点(其他调用!$AA$8:$AA$27,其他调用!$AB$8:$AB$27,$S76+$E$4)*INDEX(其他调用!AH$8:AH$607,MATCH($S76+$E$4,其他调用!$AF$8:$AF$607,0)))*INDEX($Q$19:$Q$23,MATCH(U$4,$L$19:$L$23,0))</f>
        <v>65094.325751927048</v>
      </c>
      <c r="V76" s="27">
        <f>(求节点(其他调用!$AA$8:$AA$27,其他调用!$AB$8:$AB$27,$S76+$E$4)*INDEX(其他调用!AI$8:AI$607,MATCH($S76+$E$4,其他调用!$AF$8:$AF$607,0)))*INDEX($Q$19:$Q$23,MATCH(V$4,$L$19:$L$23,0))</f>
        <v>5668.6134939368258</v>
      </c>
      <c r="W76" s="27">
        <f>(求节点(其他调用!$AA$8:$AA$27,其他调用!$AB$8:$AB$27,$S76+$E$4)*INDEX(其他调用!AJ$8:AJ$607,MATCH($S76+$E$4,其他调用!$AF$8:$AF$607,0)))*INDEX($Q$19:$Q$23,MATCH(W$4,$L$19:$L$23,0))</f>
        <v>1048.9005933932622</v>
      </c>
      <c r="X76" s="27">
        <f>(求节点(其他调用!$AA$8:$AA$27,其他调用!$AB$8:$AB$27,$S76+$E$4)*INDEX(其他调用!AK$8:AK$607,MATCH($S76+$E$4,其他调用!$AF$8:$AF$607,0)))*INDEX($Q$19:$Q$23,MATCH(X$4,$L$19:$L$23,0))</f>
        <v>303.49263233785427</v>
      </c>
      <c r="Y76" s="31">
        <f>SUM($T$5:X76)</f>
        <v>9449484.5347802639</v>
      </c>
    </row>
    <row r="77" spans="19:25" x14ac:dyDescent="0.15">
      <c r="S77" s="27">
        <v>73</v>
      </c>
      <c r="T77" s="27">
        <f>(求节点(其他调用!$AA$8:$AA$27,其他调用!$AB$8:$AB$27,$S77+$E$4)*INDEX(其他调用!AG$8:AG$607,MATCH($S77+$E$4,其他调用!$AF$8:$AF$607,0)))*INDEX($Q$19:$Q$23,MATCH(T$4,$L$19:$L$23,0))</f>
        <v>59127.508289241829</v>
      </c>
      <c r="U77" s="27">
        <f>(求节点(其他调用!$AA$8:$AA$27,其他调用!$AB$8:$AB$27,$S77+$E$4)*INDEX(其他调用!AH$8:AH$607,MATCH($S77+$E$4,其他调用!$AF$8:$AF$607,0)))*INDEX($Q$19:$Q$23,MATCH(U$4,$L$19:$L$23,0))</f>
        <v>65094.325751927048</v>
      </c>
      <c r="V77" s="27">
        <f>(求节点(其他调用!$AA$8:$AA$27,其他调用!$AB$8:$AB$27,$S77+$E$4)*INDEX(其他调用!AI$8:AI$607,MATCH($S77+$E$4,其他调用!$AF$8:$AF$607,0)))*INDEX($Q$19:$Q$23,MATCH(V$4,$L$19:$L$23,0))</f>
        <v>5668.6134939368258</v>
      </c>
      <c r="W77" s="27">
        <f>(求节点(其他调用!$AA$8:$AA$27,其他调用!$AB$8:$AB$27,$S77+$E$4)*INDEX(其他调用!AJ$8:AJ$607,MATCH($S77+$E$4,其他调用!$AF$8:$AF$607,0)))*INDEX($Q$19:$Q$23,MATCH(W$4,$L$19:$L$23,0))</f>
        <v>1048.9005933932622</v>
      </c>
      <c r="X77" s="27">
        <f>(求节点(其他调用!$AA$8:$AA$27,其他调用!$AB$8:$AB$27,$S77+$E$4)*INDEX(其他调用!AK$8:AK$607,MATCH($S77+$E$4,其他调用!$AF$8:$AF$607,0)))*INDEX($Q$19:$Q$23,MATCH(X$4,$L$19:$L$23,0))</f>
        <v>303.49263233785427</v>
      </c>
      <c r="Y77" s="31">
        <f>SUM($T$5:X77)</f>
        <v>9580727.3755411003</v>
      </c>
    </row>
    <row r="78" spans="19:25" x14ac:dyDescent="0.15">
      <c r="S78" s="27">
        <v>74</v>
      </c>
      <c r="T78" s="27">
        <f>(求节点(其他调用!$AA$8:$AA$27,其他调用!$AB$8:$AB$27,$S78+$E$4)*INDEX(其他调用!AG$8:AG$607,MATCH($S78+$E$4,其他调用!$AF$8:$AF$607,0)))*INDEX($Q$19:$Q$23,MATCH(T$4,$L$19:$L$23,0))</f>
        <v>59127.508289241829</v>
      </c>
      <c r="U78" s="27">
        <f>(求节点(其他调用!$AA$8:$AA$27,其他调用!$AB$8:$AB$27,$S78+$E$4)*INDEX(其他调用!AH$8:AH$607,MATCH($S78+$E$4,其他调用!$AF$8:$AF$607,0)))*INDEX($Q$19:$Q$23,MATCH(U$4,$L$19:$L$23,0))</f>
        <v>65094.325751927048</v>
      </c>
      <c r="V78" s="27">
        <f>(求节点(其他调用!$AA$8:$AA$27,其他调用!$AB$8:$AB$27,$S78+$E$4)*INDEX(其他调用!AI$8:AI$607,MATCH($S78+$E$4,其他调用!$AF$8:$AF$607,0)))*INDEX($Q$19:$Q$23,MATCH(V$4,$L$19:$L$23,0))</f>
        <v>5668.6134939368258</v>
      </c>
      <c r="W78" s="27">
        <f>(求节点(其他调用!$AA$8:$AA$27,其他调用!$AB$8:$AB$27,$S78+$E$4)*INDEX(其他调用!AJ$8:AJ$607,MATCH($S78+$E$4,其他调用!$AF$8:$AF$607,0)))*INDEX($Q$19:$Q$23,MATCH(W$4,$L$19:$L$23,0))</f>
        <v>1048.9005933932622</v>
      </c>
      <c r="X78" s="27">
        <f>(求节点(其他调用!$AA$8:$AA$27,其他调用!$AB$8:$AB$27,$S78+$E$4)*INDEX(其他调用!AK$8:AK$607,MATCH($S78+$E$4,其他调用!$AF$8:$AF$607,0)))*INDEX($Q$19:$Q$23,MATCH(X$4,$L$19:$L$23,0))</f>
        <v>303.49263233785427</v>
      </c>
      <c r="Y78" s="31">
        <f>SUM($T$5:X78)</f>
        <v>9711970.2163019367</v>
      </c>
    </row>
    <row r="79" spans="19:25" x14ac:dyDescent="0.15">
      <c r="S79" s="27">
        <v>75</v>
      </c>
      <c r="T79" s="27">
        <f>(求节点(其他调用!$AA$8:$AA$27,其他调用!$AB$8:$AB$27,$S79+$E$4)*INDEX(其他调用!AG$8:AG$607,MATCH($S79+$E$4,其他调用!$AF$8:$AF$607,0)))*INDEX($Q$19:$Q$23,MATCH(T$4,$L$19:$L$23,0))</f>
        <v>59127.508289241829</v>
      </c>
      <c r="U79" s="27">
        <f>(求节点(其他调用!$AA$8:$AA$27,其他调用!$AB$8:$AB$27,$S79+$E$4)*INDEX(其他调用!AH$8:AH$607,MATCH($S79+$E$4,其他调用!$AF$8:$AF$607,0)))*INDEX($Q$19:$Q$23,MATCH(U$4,$L$19:$L$23,0))</f>
        <v>65094.325751927048</v>
      </c>
      <c r="V79" s="27">
        <f>(求节点(其他调用!$AA$8:$AA$27,其他调用!$AB$8:$AB$27,$S79+$E$4)*INDEX(其他调用!AI$8:AI$607,MATCH($S79+$E$4,其他调用!$AF$8:$AF$607,0)))*INDEX($Q$19:$Q$23,MATCH(V$4,$L$19:$L$23,0))</f>
        <v>5668.6134939368258</v>
      </c>
      <c r="W79" s="27">
        <f>(求节点(其他调用!$AA$8:$AA$27,其他调用!$AB$8:$AB$27,$S79+$E$4)*INDEX(其他调用!AJ$8:AJ$607,MATCH($S79+$E$4,其他调用!$AF$8:$AF$607,0)))*INDEX($Q$19:$Q$23,MATCH(W$4,$L$19:$L$23,0))</f>
        <v>1048.9005933932622</v>
      </c>
      <c r="X79" s="27">
        <f>(求节点(其他调用!$AA$8:$AA$27,其他调用!$AB$8:$AB$27,$S79+$E$4)*INDEX(其他调用!AK$8:AK$607,MATCH($S79+$E$4,其他调用!$AF$8:$AF$607,0)))*INDEX($Q$19:$Q$23,MATCH(X$4,$L$19:$L$23,0))</f>
        <v>303.49263233785427</v>
      </c>
      <c r="Y79" s="31">
        <f>SUM($T$5:X79)</f>
        <v>9843213.057062773</v>
      </c>
    </row>
    <row r="80" spans="19:25" x14ac:dyDescent="0.15">
      <c r="S80" s="27">
        <v>76</v>
      </c>
      <c r="T80" s="27">
        <f>(求节点(其他调用!$AA$8:$AA$27,其他调用!$AB$8:$AB$27,$S80+$E$4)*INDEX(其他调用!AG$8:AG$607,MATCH($S80+$E$4,其他调用!$AF$8:$AF$607,0)))*INDEX($Q$19:$Q$23,MATCH(T$4,$L$19:$L$23,0))</f>
        <v>59127.508289241829</v>
      </c>
      <c r="U80" s="27">
        <f>(求节点(其他调用!$AA$8:$AA$27,其他调用!$AB$8:$AB$27,$S80+$E$4)*INDEX(其他调用!AH$8:AH$607,MATCH($S80+$E$4,其他调用!$AF$8:$AF$607,0)))*INDEX($Q$19:$Q$23,MATCH(U$4,$L$19:$L$23,0))</f>
        <v>65094.325751927048</v>
      </c>
      <c r="V80" s="27">
        <f>(求节点(其他调用!$AA$8:$AA$27,其他调用!$AB$8:$AB$27,$S80+$E$4)*INDEX(其他调用!AI$8:AI$607,MATCH($S80+$E$4,其他调用!$AF$8:$AF$607,0)))*INDEX($Q$19:$Q$23,MATCH(V$4,$L$19:$L$23,0))</f>
        <v>5668.6134939368258</v>
      </c>
      <c r="W80" s="27">
        <f>(求节点(其他调用!$AA$8:$AA$27,其他调用!$AB$8:$AB$27,$S80+$E$4)*INDEX(其他调用!AJ$8:AJ$607,MATCH($S80+$E$4,其他调用!$AF$8:$AF$607,0)))*INDEX($Q$19:$Q$23,MATCH(W$4,$L$19:$L$23,0))</f>
        <v>1048.9005933932622</v>
      </c>
      <c r="X80" s="27">
        <f>(求节点(其他调用!$AA$8:$AA$27,其他调用!$AB$8:$AB$27,$S80+$E$4)*INDEX(其他调用!AK$8:AK$607,MATCH($S80+$E$4,其他调用!$AF$8:$AF$607,0)))*INDEX($Q$19:$Q$23,MATCH(X$4,$L$19:$L$23,0))</f>
        <v>303.49263233785427</v>
      </c>
      <c r="Y80" s="31">
        <f>SUM($T$5:X80)</f>
        <v>9974455.8978236094</v>
      </c>
    </row>
    <row r="81" spans="19:25" x14ac:dyDescent="0.15">
      <c r="S81" s="27">
        <v>77</v>
      </c>
      <c r="T81" s="27">
        <f>(求节点(其他调用!$AA$8:$AA$27,其他调用!$AB$8:$AB$27,$S81+$E$4)*INDEX(其他调用!AG$8:AG$607,MATCH($S81+$E$4,其他调用!$AF$8:$AF$607,0)))*INDEX($Q$19:$Q$23,MATCH(T$4,$L$19:$L$23,0))</f>
        <v>59127.508289241829</v>
      </c>
      <c r="U81" s="27">
        <f>(求节点(其他调用!$AA$8:$AA$27,其他调用!$AB$8:$AB$27,$S81+$E$4)*INDEX(其他调用!AH$8:AH$607,MATCH($S81+$E$4,其他调用!$AF$8:$AF$607,0)))*INDEX($Q$19:$Q$23,MATCH(U$4,$L$19:$L$23,0))</f>
        <v>65094.325751927048</v>
      </c>
      <c r="V81" s="27">
        <f>(求节点(其他调用!$AA$8:$AA$27,其他调用!$AB$8:$AB$27,$S81+$E$4)*INDEX(其他调用!AI$8:AI$607,MATCH($S81+$E$4,其他调用!$AF$8:$AF$607,0)))*INDEX($Q$19:$Q$23,MATCH(V$4,$L$19:$L$23,0))</f>
        <v>5668.6134939368258</v>
      </c>
      <c r="W81" s="27">
        <f>(求节点(其他调用!$AA$8:$AA$27,其他调用!$AB$8:$AB$27,$S81+$E$4)*INDEX(其他调用!AJ$8:AJ$607,MATCH($S81+$E$4,其他调用!$AF$8:$AF$607,0)))*INDEX($Q$19:$Q$23,MATCH(W$4,$L$19:$L$23,0))</f>
        <v>1048.9005933932622</v>
      </c>
      <c r="X81" s="27">
        <f>(求节点(其他调用!$AA$8:$AA$27,其他调用!$AB$8:$AB$27,$S81+$E$4)*INDEX(其他调用!AK$8:AK$607,MATCH($S81+$E$4,其他调用!$AF$8:$AF$607,0)))*INDEX($Q$19:$Q$23,MATCH(X$4,$L$19:$L$23,0))</f>
        <v>303.49263233785427</v>
      </c>
      <c r="Y81" s="31">
        <f>SUM($T$5:X81)</f>
        <v>10105698.738584446</v>
      </c>
    </row>
    <row r="82" spans="19:25" x14ac:dyDescent="0.15">
      <c r="S82" s="27">
        <v>78</v>
      </c>
      <c r="T82" s="27">
        <f>(求节点(其他调用!$AA$8:$AA$27,其他调用!$AB$8:$AB$27,$S82+$E$4)*INDEX(其他调用!AG$8:AG$607,MATCH($S82+$E$4,其他调用!$AF$8:$AF$607,0)))*INDEX($Q$19:$Q$23,MATCH(T$4,$L$19:$L$23,0))</f>
        <v>59127.508289241829</v>
      </c>
      <c r="U82" s="27">
        <f>(求节点(其他调用!$AA$8:$AA$27,其他调用!$AB$8:$AB$27,$S82+$E$4)*INDEX(其他调用!AH$8:AH$607,MATCH($S82+$E$4,其他调用!$AF$8:$AF$607,0)))*INDEX($Q$19:$Q$23,MATCH(U$4,$L$19:$L$23,0))</f>
        <v>65094.325751927048</v>
      </c>
      <c r="V82" s="27">
        <f>(求节点(其他调用!$AA$8:$AA$27,其他调用!$AB$8:$AB$27,$S82+$E$4)*INDEX(其他调用!AI$8:AI$607,MATCH($S82+$E$4,其他调用!$AF$8:$AF$607,0)))*INDEX($Q$19:$Q$23,MATCH(V$4,$L$19:$L$23,0))</f>
        <v>5668.6134939368258</v>
      </c>
      <c r="W82" s="27">
        <f>(求节点(其他调用!$AA$8:$AA$27,其他调用!$AB$8:$AB$27,$S82+$E$4)*INDEX(其他调用!AJ$8:AJ$607,MATCH($S82+$E$4,其他调用!$AF$8:$AF$607,0)))*INDEX($Q$19:$Q$23,MATCH(W$4,$L$19:$L$23,0))</f>
        <v>1048.9005933932622</v>
      </c>
      <c r="X82" s="27">
        <f>(求节点(其他调用!$AA$8:$AA$27,其他调用!$AB$8:$AB$27,$S82+$E$4)*INDEX(其他调用!AK$8:AK$607,MATCH($S82+$E$4,其他调用!$AF$8:$AF$607,0)))*INDEX($Q$19:$Q$23,MATCH(X$4,$L$19:$L$23,0))</f>
        <v>303.49263233785427</v>
      </c>
      <c r="Y82" s="31">
        <f>SUM($T$5:X82)</f>
        <v>10236941.579345282</v>
      </c>
    </row>
    <row r="83" spans="19:25" x14ac:dyDescent="0.15">
      <c r="S83" s="27">
        <v>79</v>
      </c>
      <c r="T83" s="27">
        <f>(求节点(其他调用!$AA$8:$AA$27,其他调用!$AB$8:$AB$27,$S83+$E$4)*INDEX(其他调用!AG$8:AG$607,MATCH($S83+$E$4,其他调用!$AF$8:$AF$607,0)))*INDEX($Q$19:$Q$23,MATCH(T$4,$L$19:$L$23,0))</f>
        <v>59127.508289241829</v>
      </c>
      <c r="U83" s="27">
        <f>(求节点(其他调用!$AA$8:$AA$27,其他调用!$AB$8:$AB$27,$S83+$E$4)*INDEX(其他调用!AH$8:AH$607,MATCH($S83+$E$4,其他调用!$AF$8:$AF$607,0)))*INDEX($Q$19:$Q$23,MATCH(U$4,$L$19:$L$23,0))</f>
        <v>65094.325751927048</v>
      </c>
      <c r="V83" s="27">
        <f>(求节点(其他调用!$AA$8:$AA$27,其他调用!$AB$8:$AB$27,$S83+$E$4)*INDEX(其他调用!AI$8:AI$607,MATCH($S83+$E$4,其他调用!$AF$8:$AF$607,0)))*INDEX($Q$19:$Q$23,MATCH(V$4,$L$19:$L$23,0))</f>
        <v>5668.6134939368258</v>
      </c>
      <c r="W83" s="27">
        <f>(求节点(其他调用!$AA$8:$AA$27,其他调用!$AB$8:$AB$27,$S83+$E$4)*INDEX(其他调用!AJ$8:AJ$607,MATCH($S83+$E$4,其他调用!$AF$8:$AF$607,0)))*INDEX($Q$19:$Q$23,MATCH(W$4,$L$19:$L$23,0))</f>
        <v>1048.9005933932622</v>
      </c>
      <c r="X83" s="27">
        <f>(求节点(其他调用!$AA$8:$AA$27,其他调用!$AB$8:$AB$27,$S83+$E$4)*INDEX(其他调用!AK$8:AK$607,MATCH($S83+$E$4,其他调用!$AF$8:$AF$607,0)))*INDEX($Q$19:$Q$23,MATCH(X$4,$L$19:$L$23,0))</f>
        <v>303.49263233785427</v>
      </c>
      <c r="Y83" s="31">
        <f>SUM($T$5:X83)</f>
        <v>10368184.420106119</v>
      </c>
    </row>
    <row r="84" spans="19:25" x14ac:dyDescent="0.15">
      <c r="S84" s="27">
        <v>80</v>
      </c>
      <c r="T84" s="27">
        <f>(求节点(其他调用!$AA$8:$AA$27,其他调用!$AB$8:$AB$27,$S84+$E$4)*INDEX(其他调用!AG$8:AG$607,MATCH($S84+$E$4,其他调用!$AF$8:$AF$607,0)))*INDEX($Q$19:$Q$23,MATCH(T$4,$L$19:$L$23,0))</f>
        <v>59127.508289241829</v>
      </c>
      <c r="U84" s="27">
        <f>(求节点(其他调用!$AA$8:$AA$27,其他调用!$AB$8:$AB$27,$S84+$E$4)*INDEX(其他调用!AH$8:AH$607,MATCH($S84+$E$4,其他调用!$AF$8:$AF$607,0)))*INDEX($Q$19:$Q$23,MATCH(U$4,$L$19:$L$23,0))</f>
        <v>65094.325751927048</v>
      </c>
      <c r="V84" s="27">
        <f>(求节点(其他调用!$AA$8:$AA$27,其他调用!$AB$8:$AB$27,$S84+$E$4)*INDEX(其他调用!AI$8:AI$607,MATCH($S84+$E$4,其他调用!$AF$8:$AF$607,0)))*INDEX($Q$19:$Q$23,MATCH(V$4,$L$19:$L$23,0))</f>
        <v>5668.6134939368258</v>
      </c>
      <c r="W84" s="27">
        <f>(求节点(其他调用!$AA$8:$AA$27,其他调用!$AB$8:$AB$27,$S84+$E$4)*INDEX(其他调用!AJ$8:AJ$607,MATCH($S84+$E$4,其他调用!$AF$8:$AF$607,0)))*INDEX($Q$19:$Q$23,MATCH(W$4,$L$19:$L$23,0))</f>
        <v>1048.9005933932622</v>
      </c>
      <c r="X84" s="27">
        <f>(求节点(其他调用!$AA$8:$AA$27,其他调用!$AB$8:$AB$27,$S84+$E$4)*INDEX(其他调用!AK$8:AK$607,MATCH($S84+$E$4,其他调用!$AF$8:$AF$607,0)))*INDEX($Q$19:$Q$23,MATCH(X$4,$L$19:$L$23,0))</f>
        <v>303.49263233785427</v>
      </c>
      <c r="Y84" s="31">
        <f>SUM($T$5:X84)</f>
        <v>10499427.260866955</v>
      </c>
    </row>
    <row r="85" spans="19:25" x14ac:dyDescent="0.15">
      <c r="S85" s="27">
        <v>81</v>
      </c>
      <c r="T85" s="27">
        <f>(求节点(其他调用!$AA$8:$AA$27,其他调用!$AB$8:$AB$27,$S85+$E$4)*INDEX(其他调用!AG$8:AG$607,MATCH($S85+$E$4,其他调用!$AF$8:$AF$607,0)))*INDEX($Q$19:$Q$23,MATCH(T$4,$L$19:$L$23,0))</f>
        <v>59127.508289241829</v>
      </c>
      <c r="U85" s="27">
        <f>(求节点(其他调用!$AA$8:$AA$27,其他调用!$AB$8:$AB$27,$S85+$E$4)*INDEX(其他调用!AH$8:AH$607,MATCH($S85+$E$4,其他调用!$AF$8:$AF$607,0)))*INDEX($Q$19:$Q$23,MATCH(U$4,$L$19:$L$23,0))</f>
        <v>65094.325751927048</v>
      </c>
      <c r="V85" s="27">
        <f>(求节点(其他调用!$AA$8:$AA$27,其他调用!$AB$8:$AB$27,$S85+$E$4)*INDEX(其他调用!AI$8:AI$607,MATCH($S85+$E$4,其他调用!$AF$8:$AF$607,0)))*INDEX($Q$19:$Q$23,MATCH(V$4,$L$19:$L$23,0))</f>
        <v>5668.6134939368258</v>
      </c>
      <c r="W85" s="27">
        <f>(求节点(其他调用!$AA$8:$AA$27,其他调用!$AB$8:$AB$27,$S85+$E$4)*INDEX(其他调用!AJ$8:AJ$607,MATCH($S85+$E$4,其他调用!$AF$8:$AF$607,0)))*INDEX($Q$19:$Q$23,MATCH(W$4,$L$19:$L$23,0))</f>
        <v>1048.9005933932622</v>
      </c>
      <c r="X85" s="27">
        <f>(求节点(其他调用!$AA$8:$AA$27,其他调用!$AB$8:$AB$27,$S85+$E$4)*INDEX(其他调用!AK$8:AK$607,MATCH($S85+$E$4,其他调用!$AF$8:$AF$607,0)))*INDEX($Q$19:$Q$23,MATCH(X$4,$L$19:$L$23,0))</f>
        <v>303.49263233785427</v>
      </c>
      <c r="Y85" s="31">
        <f>SUM($T$5:X85)</f>
        <v>10630670.101627791</v>
      </c>
    </row>
    <row r="86" spans="19:25" x14ac:dyDescent="0.15">
      <c r="S86" s="27">
        <v>82</v>
      </c>
      <c r="T86" s="27">
        <f>(求节点(其他调用!$AA$8:$AA$27,其他调用!$AB$8:$AB$27,$S86+$E$4)*INDEX(其他调用!AG$8:AG$607,MATCH($S86+$E$4,其他调用!$AF$8:$AF$607,0)))*INDEX($Q$19:$Q$23,MATCH(T$4,$L$19:$L$23,0))</f>
        <v>59127.508289241829</v>
      </c>
      <c r="U86" s="27">
        <f>(求节点(其他调用!$AA$8:$AA$27,其他调用!$AB$8:$AB$27,$S86+$E$4)*INDEX(其他调用!AH$8:AH$607,MATCH($S86+$E$4,其他调用!$AF$8:$AF$607,0)))*INDEX($Q$19:$Q$23,MATCH(U$4,$L$19:$L$23,0))</f>
        <v>65094.325751927048</v>
      </c>
      <c r="V86" s="27">
        <f>(求节点(其他调用!$AA$8:$AA$27,其他调用!$AB$8:$AB$27,$S86+$E$4)*INDEX(其他调用!AI$8:AI$607,MATCH($S86+$E$4,其他调用!$AF$8:$AF$607,0)))*INDEX($Q$19:$Q$23,MATCH(V$4,$L$19:$L$23,0))</f>
        <v>5668.6134939368258</v>
      </c>
      <c r="W86" s="27">
        <f>(求节点(其他调用!$AA$8:$AA$27,其他调用!$AB$8:$AB$27,$S86+$E$4)*INDEX(其他调用!AJ$8:AJ$607,MATCH($S86+$E$4,其他调用!$AF$8:$AF$607,0)))*INDEX($Q$19:$Q$23,MATCH(W$4,$L$19:$L$23,0))</f>
        <v>1048.9005933932622</v>
      </c>
      <c r="X86" s="27">
        <f>(求节点(其他调用!$AA$8:$AA$27,其他调用!$AB$8:$AB$27,$S86+$E$4)*INDEX(其他调用!AK$8:AK$607,MATCH($S86+$E$4,其他调用!$AF$8:$AF$607,0)))*INDEX($Q$19:$Q$23,MATCH(X$4,$L$19:$L$23,0))</f>
        <v>303.49263233785427</v>
      </c>
      <c r="Y86" s="31">
        <f>SUM($T$5:X86)</f>
        <v>10761912.942388628</v>
      </c>
    </row>
    <row r="87" spans="19:25" x14ac:dyDescent="0.15">
      <c r="S87" s="27">
        <v>83</v>
      </c>
      <c r="T87" s="27">
        <f>(求节点(其他调用!$AA$8:$AA$27,其他调用!$AB$8:$AB$27,$S87+$E$4)*INDEX(其他调用!AG$8:AG$607,MATCH($S87+$E$4,其他调用!$AF$8:$AF$607,0)))*INDEX($Q$19:$Q$23,MATCH(T$4,$L$19:$L$23,0))</f>
        <v>59127.508289241829</v>
      </c>
      <c r="U87" s="27">
        <f>(求节点(其他调用!$AA$8:$AA$27,其他调用!$AB$8:$AB$27,$S87+$E$4)*INDEX(其他调用!AH$8:AH$607,MATCH($S87+$E$4,其他调用!$AF$8:$AF$607,0)))*INDEX($Q$19:$Q$23,MATCH(U$4,$L$19:$L$23,0))</f>
        <v>65094.325751927048</v>
      </c>
      <c r="V87" s="27">
        <f>(求节点(其他调用!$AA$8:$AA$27,其他调用!$AB$8:$AB$27,$S87+$E$4)*INDEX(其他调用!AI$8:AI$607,MATCH($S87+$E$4,其他调用!$AF$8:$AF$607,0)))*INDEX($Q$19:$Q$23,MATCH(V$4,$L$19:$L$23,0))</f>
        <v>5668.6134939368258</v>
      </c>
      <c r="W87" s="27">
        <f>(求节点(其他调用!$AA$8:$AA$27,其他调用!$AB$8:$AB$27,$S87+$E$4)*INDEX(其他调用!AJ$8:AJ$607,MATCH($S87+$E$4,其他调用!$AF$8:$AF$607,0)))*INDEX($Q$19:$Q$23,MATCH(W$4,$L$19:$L$23,0))</f>
        <v>1048.9005933932622</v>
      </c>
      <c r="X87" s="27">
        <f>(求节点(其他调用!$AA$8:$AA$27,其他调用!$AB$8:$AB$27,$S87+$E$4)*INDEX(其他调用!AK$8:AK$607,MATCH($S87+$E$4,其他调用!$AF$8:$AF$607,0)))*INDEX($Q$19:$Q$23,MATCH(X$4,$L$19:$L$23,0))</f>
        <v>303.49263233785427</v>
      </c>
      <c r="Y87" s="31">
        <f>SUM($T$5:X87)</f>
        <v>10893155.783149464</v>
      </c>
    </row>
    <row r="88" spans="19:25" x14ac:dyDescent="0.15">
      <c r="S88" s="27">
        <v>84</v>
      </c>
      <c r="T88" s="27">
        <f>(求节点(其他调用!$AA$8:$AA$27,其他调用!$AB$8:$AB$27,$S88+$E$4)*INDEX(其他调用!AG$8:AG$607,MATCH($S88+$E$4,其他调用!$AF$8:$AF$607,0)))*INDEX($Q$19:$Q$23,MATCH(T$4,$L$19:$L$23,0))</f>
        <v>59127.508289241829</v>
      </c>
      <c r="U88" s="27">
        <f>(求节点(其他调用!$AA$8:$AA$27,其他调用!$AB$8:$AB$27,$S88+$E$4)*INDEX(其他调用!AH$8:AH$607,MATCH($S88+$E$4,其他调用!$AF$8:$AF$607,0)))*INDEX($Q$19:$Q$23,MATCH(U$4,$L$19:$L$23,0))</f>
        <v>65094.325751927048</v>
      </c>
      <c r="V88" s="27">
        <f>(求节点(其他调用!$AA$8:$AA$27,其他调用!$AB$8:$AB$27,$S88+$E$4)*INDEX(其他调用!AI$8:AI$607,MATCH($S88+$E$4,其他调用!$AF$8:$AF$607,0)))*INDEX($Q$19:$Q$23,MATCH(V$4,$L$19:$L$23,0))</f>
        <v>5668.6134939368258</v>
      </c>
      <c r="W88" s="27">
        <f>(求节点(其他调用!$AA$8:$AA$27,其他调用!$AB$8:$AB$27,$S88+$E$4)*INDEX(其他调用!AJ$8:AJ$607,MATCH($S88+$E$4,其他调用!$AF$8:$AF$607,0)))*INDEX($Q$19:$Q$23,MATCH(W$4,$L$19:$L$23,0))</f>
        <v>1048.9005933932622</v>
      </c>
      <c r="X88" s="27">
        <f>(求节点(其他调用!$AA$8:$AA$27,其他调用!$AB$8:$AB$27,$S88+$E$4)*INDEX(其他调用!AK$8:AK$607,MATCH($S88+$E$4,其他调用!$AF$8:$AF$607,0)))*INDEX($Q$19:$Q$23,MATCH(X$4,$L$19:$L$23,0))</f>
        <v>303.49263233785427</v>
      </c>
      <c r="Y88" s="31">
        <f>SUM($T$5:X88)</f>
        <v>11024398.6239103</v>
      </c>
    </row>
    <row r="89" spans="19:25" x14ac:dyDescent="0.15">
      <c r="S89" s="27">
        <v>85</v>
      </c>
      <c r="T89" s="27">
        <f>(求节点(其他调用!$AA$8:$AA$27,其他调用!$AB$8:$AB$27,$S89+$E$4)*INDEX(其他调用!AG$8:AG$607,MATCH($S89+$E$4,其他调用!$AF$8:$AF$607,0)))*INDEX($Q$19:$Q$23,MATCH(T$4,$L$19:$L$23,0))</f>
        <v>59127.508289241829</v>
      </c>
      <c r="U89" s="27">
        <f>(求节点(其他调用!$AA$8:$AA$27,其他调用!$AB$8:$AB$27,$S89+$E$4)*INDEX(其他调用!AH$8:AH$607,MATCH($S89+$E$4,其他调用!$AF$8:$AF$607,0)))*INDEX($Q$19:$Q$23,MATCH(U$4,$L$19:$L$23,0))</f>
        <v>65094.325751927048</v>
      </c>
      <c r="V89" s="27">
        <f>(求节点(其他调用!$AA$8:$AA$27,其他调用!$AB$8:$AB$27,$S89+$E$4)*INDEX(其他调用!AI$8:AI$607,MATCH($S89+$E$4,其他调用!$AF$8:$AF$607,0)))*INDEX($Q$19:$Q$23,MATCH(V$4,$L$19:$L$23,0))</f>
        <v>5668.6134939368258</v>
      </c>
      <c r="W89" s="27">
        <f>(求节点(其他调用!$AA$8:$AA$27,其他调用!$AB$8:$AB$27,$S89+$E$4)*INDEX(其他调用!AJ$8:AJ$607,MATCH($S89+$E$4,其他调用!$AF$8:$AF$607,0)))*INDEX($Q$19:$Q$23,MATCH(W$4,$L$19:$L$23,0))</f>
        <v>1048.9005933932622</v>
      </c>
      <c r="X89" s="27">
        <f>(求节点(其他调用!$AA$8:$AA$27,其他调用!$AB$8:$AB$27,$S89+$E$4)*INDEX(其他调用!AK$8:AK$607,MATCH($S89+$E$4,其他调用!$AF$8:$AF$607,0)))*INDEX($Q$19:$Q$23,MATCH(X$4,$L$19:$L$23,0))</f>
        <v>303.49263233785427</v>
      </c>
      <c r="Y89" s="31">
        <f>SUM($T$5:X89)</f>
        <v>11155641.464671137</v>
      </c>
    </row>
    <row r="90" spans="19:25" x14ac:dyDescent="0.15">
      <c r="S90" s="27">
        <v>86</v>
      </c>
      <c r="T90" s="27">
        <f>(求节点(其他调用!$AA$8:$AA$27,其他调用!$AB$8:$AB$27,$S90+$E$4)*INDEX(其他调用!AG$8:AG$607,MATCH($S90+$E$4,其他调用!$AF$8:$AF$607,0)))*INDEX($Q$19:$Q$23,MATCH(T$4,$L$19:$L$23,0))</f>
        <v>59127.508289241829</v>
      </c>
      <c r="U90" s="27">
        <f>(求节点(其他调用!$AA$8:$AA$27,其他调用!$AB$8:$AB$27,$S90+$E$4)*INDEX(其他调用!AH$8:AH$607,MATCH($S90+$E$4,其他调用!$AF$8:$AF$607,0)))*INDEX($Q$19:$Q$23,MATCH(U$4,$L$19:$L$23,0))</f>
        <v>65094.325751927048</v>
      </c>
      <c r="V90" s="27">
        <f>(求节点(其他调用!$AA$8:$AA$27,其他调用!$AB$8:$AB$27,$S90+$E$4)*INDEX(其他调用!AI$8:AI$607,MATCH($S90+$E$4,其他调用!$AF$8:$AF$607,0)))*INDEX($Q$19:$Q$23,MATCH(V$4,$L$19:$L$23,0))</f>
        <v>5668.6134939368258</v>
      </c>
      <c r="W90" s="27">
        <f>(求节点(其他调用!$AA$8:$AA$27,其他调用!$AB$8:$AB$27,$S90+$E$4)*INDEX(其他调用!AJ$8:AJ$607,MATCH($S90+$E$4,其他调用!$AF$8:$AF$607,0)))*INDEX($Q$19:$Q$23,MATCH(W$4,$L$19:$L$23,0))</f>
        <v>1048.9005933932622</v>
      </c>
      <c r="X90" s="27">
        <f>(求节点(其他调用!$AA$8:$AA$27,其他调用!$AB$8:$AB$27,$S90+$E$4)*INDEX(其他调用!AK$8:AK$607,MATCH($S90+$E$4,其他调用!$AF$8:$AF$607,0)))*INDEX($Q$19:$Q$23,MATCH(X$4,$L$19:$L$23,0))</f>
        <v>303.49263233785427</v>
      </c>
      <c r="Y90" s="31">
        <f>SUM($T$5:X90)</f>
        <v>11286884.305431973</v>
      </c>
    </row>
    <row r="91" spans="19:25" x14ac:dyDescent="0.15">
      <c r="S91" s="27">
        <v>87</v>
      </c>
      <c r="T91" s="27">
        <f>(求节点(其他调用!$AA$8:$AA$27,其他调用!$AB$8:$AB$27,$S91+$E$4)*INDEX(其他调用!AG$8:AG$607,MATCH($S91+$E$4,其他调用!$AF$8:$AF$607,0)))*INDEX($Q$19:$Q$23,MATCH(T$4,$L$19:$L$23,0))</f>
        <v>59127.508289241829</v>
      </c>
      <c r="U91" s="27">
        <f>(求节点(其他调用!$AA$8:$AA$27,其他调用!$AB$8:$AB$27,$S91+$E$4)*INDEX(其他调用!AH$8:AH$607,MATCH($S91+$E$4,其他调用!$AF$8:$AF$607,0)))*INDEX($Q$19:$Q$23,MATCH(U$4,$L$19:$L$23,0))</f>
        <v>65094.325751927048</v>
      </c>
      <c r="V91" s="27">
        <f>(求节点(其他调用!$AA$8:$AA$27,其他调用!$AB$8:$AB$27,$S91+$E$4)*INDEX(其他调用!AI$8:AI$607,MATCH($S91+$E$4,其他调用!$AF$8:$AF$607,0)))*INDEX($Q$19:$Q$23,MATCH(V$4,$L$19:$L$23,0))</f>
        <v>5668.6134939368258</v>
      </c>
      <c r="W91" s="27">
        <f>(求节点(其他调用!$AA$8:$AA$27,其他调用!$AB$8:$AB$27,$S91+$E$4)*INDEX(其他调用!AJ$8:AJ$607,MATCH($S91+$E$4,其他调用!$AF$8:$AF$607,0)))*INDEX($Q$19:$Q$23,MATCH(W$4,$L$19:$L$23,0))</f>
        <v>1048.9005933932622</v>
      </c>
      <c r="X91" s="27">
        <f>(求节点(其他调用!$AA$8:$AA$27,其他调用!$AB$8:$AB$27,$S91+$E$4)*INDEX(其他调用!AK$8:AK$607,MATCH($S91+$E$4,其他调用!$AF$8:$AF$607,0)))*INDEX($Q$19:$Q$23,MATCH(X$4,$L$19:$L$23,0))</f>
        <v>303.49263233785427</v>
      </c>
      <c r="Y91" s="31">
        <f>SUM($T$5:X91)</f>
        <v>11418127.14619281</v>
      </c>
    </row>
    <row r="92" spans="19:25" x14ac:dyDescent="0.15">
      <c r="S92" s="27">
        <v>88</v>
      </c>
      <c r="T92" s="27">
        <f>(求节点(其他调用!$AA$8:$AA$27,其他调用!$AB$8:$AB$27,$S92+$E$4)*INDEX(其他调用!AG$8:AG$607,MATCH($S92+$E$4,其他调用!$AF$8:$AF$607,0)))*INDEX($Q$19:$Q$23,MATCH(T$4,$L$19:$L$23,0))</f>
        <v>59127.508289241829</v>
      </c>
      <c r="U92" s="27">
        <f>(求节点(其他调用!$AA$8:$AA$27,其他调用!$AB$8:$AB$27,$S92+$E$4)*INDEX(其他调用!AH$8:AH$607,MATCH($S92+$E$4,其他调用!$AF$8:$AF$607,0)))*INDEX($Q$19:$Q$23,MATCH(U$4,$L$19:$L$23,0))</f>
        <v>65094.325751927048</v>
      </c>
      <c r="V92" s="27">
        <f>(求节点(其他调用!$AA$8:$AA$27,其他调用!$AB$8:$AB$27,$S92+$E$4)*INDEX(其他调用!AI$8:AI$607,MATCH($S92+$E$4,其他调用!$AF$8:$AF$607,0)))*INDEX($Q$19:$Q$23,MATCH(V$4,$L$19:$L$23,0))</f>
        <v>5668.6134939368258</v>
      </c>
      <c r="W92" s="27">
        <f>(求节点(其他调用!$AA$8:$AA$27,其他调用!$AB$8:$AB$27,$S92+$E$4)*INDEX(其他调用!AJ$8:AJ$607,MATCH($S92+$E$4,其他调用!$AF$8:$AF$607,0)))*INDEX($Q$19:$Q$23,MATCH(W$4,$L$19:$L$23,0))</f>
        <v>1048.9005933932622</v>
      </c>
      <c r="X92" s="27">
        <f>(求节点(其他调用!$AA$8:$AA$27,其他调用!$AB$8:$AB$27,$S92+$E$4)*INDEX(其他调用!AK$8:AK$607,MATCH($S92+$E$4,其他调用!$AF$8:$AF$607,0)))*INDEX($Q$19:$Q$23,MATCH(X$4,$L$19:$L$23,0))</f>
        <v>303.49263233785427</v>
      </c>
      <c r="Y92" s="31">
        <f>SUM($T$5:X92)</f>
        <v>11549369.986953646</v>
      </c>
    </row>
    <row r="93" spans="19:25" x14ac:dyDescent="0.15">
      <c r="S93" s="27">
        <v>89</v>
      </c>
      <c r="T93" s="27">
        <f>(求节点(其他调用!$AA$8:$AA$27,其他调用!$AB$8:$AB$27,$S93+$E$4)*INDEX(其他调用!AG$8:AG$607,MATCH($S93+$E$4,其他调用!$AF$8:$AF$607,0)))*INDEX($Q$19:$Q$23,MATCH(T$4,$L$19:$L$23,0))</f>
        <v>59127.508289241829</v>
      </c>
      <c r="U93" s="27">
        <f>(求节点(其他调用!$AA$8:$AA$27,其他调用!$AB$8:$AB$27,$S93+$E$4)*INDEX(其他调用!AH$8:AH$607,MATCH($S93+$E$4,其他调用!$AF$8:$AF$607,0)))*INDEX($Q$19:$Q$23,MATCH(U$4,$L$19:$L$23,0))</f>
        <v>65094.325751927048</v>
      </c>
      <c r="V93" s="27">
        <f>(求节点(其他调用!$AA$8:$AA$27,其他调用!$AB$8:$AB$27,$S93+$E$4)*INDEX(其他调用!AI$8:AI$607,MATCH($S93+$E$4,其他调用!$AF$8:$AF$607,0)))*INDEX($Q$19:$Q$23,MATCH(V$4,$L$19:$L$23,0))</f>
        <v>5668.6134939368258</v>
      </c>
      <c r="W93" s="27">
        <f>(求节点(其他调用!$AA$8:$AA$27,其他调用!$AB$8:$AB$27,$S93+$E$4)*INDEX(其他调用!AJ$8:AJ$607,MATCH($S93+$E$4,其他调用!$AF$8:$AF$607,0)))*INDEX($Q$19:$Q$23,MATCH(W$4,$L$19:$L$23,0))</f>
        <v>1048.9005933932622</v>
      </c>
      <c r="X93" s="27">
        <f>(求节点(其他调用!$AA$8:$AA$27,其他调用!$AB$8:$AB$27,$S93+$E$4)*INDEX(其他调用!AK$8:AK$607,MATCH($S93+$E$4,其他调用!$AF$8:$AF$607,0)))*INDEX($Q$19:$Q$23,MATCH(X$4,$L$19:$L$23,0))</f>
        <v>303.49263233785427</v>
      </c>
      <c r="Y93" s="31">
        <f>SUM($T$5:X93)</f>
        <v>11680612.827714482</v>
      </c>
    </row>
    <row r="94" spans="19:25" x14ac:dyDescent="0.15">
      <c r="S94" s="27">
        <v>90</v>
      </c>
      <c r="T94" s="27">
        <f>(求节点(其他调用!$AA$8:$AA$27,其他调用!$AB$8:$AB$27,$S94+$E$4)*INDEX(其他调用!AG$8:AG$607,MATCH($S94+$E$4,其他调用!$AF$8:$AF$607,0)))*INDEX($Q$19:$Q$23,MATCH(T$4,$L$19:$L$23,0))</f>
        <v>59127.508289241829</v>
      </c>
      <c r="U94" s="27">
        <f>(求节点(其他调用!$AA$8:$AA$27,其他调用!$AB$8:$AB$27,$S94+$E$4)*INDEX(其他调用!AH$8:AH$607,MATCH($S94+$E$4,其他调用!$AF$8:$AF$607,0)))*INDEX($Q$19:$Q$23,MATCH(U$4,$L$19:$L$23,0))</f>
        <v>65094.325751927048</v>
      </c>
      <c r="V94" s="27">
        <f>(求节点(其他调用!$AA$8:$AA$27,其他调用!$AB$8:$AB$27,$S94+$E$4)*INDEX(其他调用!AI$8:AI$607,MATCH($S94+$E$4,其他调用!$AF$8:$AF$607,0)))*INDEX($Q$19:$Q$23,MATCH(V$4,$L$19:$L$23,0))</f>
        <v>5668.6134939368258</v>
      </c>
      <c r="W94" s="27">
        <f>(求节点(其他调用!$AA$8:$AA$27,其他调用!$AB$8:$AB$27,$S94+$E$4)*INDEX(其他调用!AJ$8:AJ$607,MATCH($S94+$E$4,其他调用!$AF$8:$AF$607,0)))*INDEX($Q$19:$Q$23,MATCH(W$4,$L$19:$L$23,0))</f>
        <v>1048.9005933932622</v>
      </c>
      <c r="X94" s="27">
        <f>(求节点(其他调用!$AA$8:$AA$27,其他调用!$AB$8:$AB$27,$S94+$E$4)*INDEX(其他调用!AK$8:AK$607,MATCH($S94+$E$4,其他调用!$AF$8:$AF$607,0)))*INDEX($Q$19:$Q$23,MATCH(X$4,$L$19:$L$23,0))</f>
        <v>303.49263233785427</v>
      </c>
      <c r="Y94" s="31">
        <f>SUM($T$5:X94)</f>
        <v>11811855.668475319</v>
      </c>
    </row>
    <row r="95" spans="19:25" x14ac:dyDescent="0.15">
      <c r="S95" s="27">
        <v>91</v>
      </c>
      <c r="T95" s="27">
        <f>(求节点(其他调用!$AA$8:$AA$27,其他调用!$AB$8:$AB$27,$S95+$E$4)*INDEX(其他调用!AG$8:AG$607,MATCH($S95+$E$4,其他调用!$AF$8:$AF$607,0)))*INDEX($Q$19:$Q$23,MATCH(T$4,$L$19:$L$23,0))</f>
        <v>59127.508289241829</v>
      </c>
      <c r="U95" s="27">
        <f>(求节点(其他调用!$AA$8:$AA$27,其他调用!$AB$8:$AB$27,$S95+$E$4)*INDEX(其他调用!AH$8:AH$607,MATCH($S95+$E$4,其他调用!$AF$8:$AF$607,0)))*INDEX($Q$19:$Q$23,MATCH(U$4,$L$19:$L$23,0))</f>
        <v>65094.325751927048</v>
      </c>
      <c r="V95" s="27">
        <f>(求节点(其他调用!$AA$8:$AA$27,其他调用!$AB$8:$AB$27,$S95+$E$4)*INDEX(其他调用!AI$8:AI$607,MATCH($S95+$E$4,其他调用!$AF$8:$AF$607,0)))*INDEX($Q$19:$Q$23,MATCH(V$4,$L$19:$L$23,0))</f>
        <v>5668.6134939368258</v>
      </c>
      <c r="W95" s="27">
        <f>(求节点(其他调用!$AA$8:$AA$27,其他调用!$AB$8:$AB$27,$S95+$E$4)*INDEX(其他调用!AJ$8:AJ$607,MATCH($S95+$E$4,其他调用!$AF$8:$AF$607,0)))*INDEX($Q$19:$Q$23,MATCH(W$4,$L$19:$L$23,0))</f>
        <v>1048.9005933932622</v>
      </c>
      <c r="X95" s="27">
        <f>(求节点(其他调用!$AA$8:$AA$27,其他调用!$AB$8:$AB$27,$S95+$E$4)*INDEX(其他调用!AK$8:AK$607,MATCH($S95+$E$4,其他调用!$AF$8:$AF$607,0)))*INDEX($Q$19:$Q$23,MATCH(X$4,$L$19:$L$23,0))</f>
        <v>303.49263233785427</v>
      </c>
      <c r="Y95" s="31">
        <f>SUM($T$5:X95)</f>
        <v>11943098.509236155</v>
      </c>
    </row>
    <row r="96" spans="19:25" x14ac:dyDescent="0.15">
      <c r="S96" s="27">
        <v>92</v>
      </c>
      <c r="T96" s="27">
        <f>(求节点(其他调用!$AA$8:$AA$27,其他调用!$AB$8:$AB$27,$S96+$E$4)*INDEX(其他调用!AG$8:AG$607,MATCH($S96+$E$4,其他调用!$AF$8:$AF$607,0)))*INDEX($Q$19:$Q$23,MATCH(T$4,$L$19:$L$23,0))</f>
        <v>59127.508289241829</v>
      </c>
      <c r="U96" s="27">
        <f>(求节点(其他调用!$AA$8:$AA$27,其他调用!$AB$8:$AB$27,$S96+$E$4)*INDEX(其他调用!AH$8:AH$607,MATCH($S96+$E$4,其他调用!$AF$8:$AF$607,0)))*INDEX($Q$19:$Q$23,MATCH(U$4,$L$19:$L$23,0))</f>
        <v>65094.325751927048</v>
      </c>
      <c r="V96" s="27">
        <f>(求节点(其他调用!$AA$8:$AA$27,其他调用!$AB$8:$AB$27,$S96+$E$4)*INDEX(其他调用!AI$8:AI$607,MATCH($S96+$E$4,其他调用!$AF$8:$AF$607,0)))*INDEX($Q$19:$Q$23,MATCH(V$4,$L$19:$L$23,0))</f>
        <v>5668.6134939368258</v>
      </c>
      <c r="W96" s="27">
        <f>(求节点(其他调用!$AA$8:$AA$27,其他调用!$AB$8:$AB$27,$S96+$E$4)*INDEX(其他调用!AJ$8:AJ$607,MATCH($S96+$E$4,其他调用!$AF$8:$AF$607,0)))*INDEX($Q$19:$Q$23,MATCH(W$4,$L$19:$L$23,0))</f>
        <v>1048.9005933932622</v>
      </c>
      <c r="X96" s="27">
        <f>(求节点(其他调用!$AA$8:$AA$27,其他调用!$AB$8:$AB$27,$S96+$E$4)*INDEX(其他调用!AK$8:AK$607,MATCH($S96+$E$4,其他调用!$AF$8:$AF$607,0)))*INDEX($Q$19:$Q$23,MATCH(X$4,$L$19:$L$23,0))</f>
        <v>303.49263233785427</v>
      </c>
      <c r="Y96" s="31">
        <f>SUM($T$5:X96)</f>
        <v>12074341.349996991</v>
      </c>
    </row>
    <row r="97" spans="19:25" x14ac:dyDescent="0.15">
      <c r="S97" s="27">
        <v>93</v>
      </c>
      <c r="T97" s="27">
        <f>(求节点(其他调用!$AA$8:$AA$27,其他调用!$AB$8:$AB$27,$S97+$E$4)*INDEX(其他调用!AG$8:AG$607,MATCH($S97+$E$4,其他调用!$AF$8:$AF$607,0)))*INDEX($Q$19:$Q$23,MATCH(T$4,$L$19:$L$23,0))</f>
        <v>59127.508289241829</v>
      </c>
      <c r="U97" s="27">
        <f>(求节点(其他调用!$AA$8:$AA$27,其他调用!$AB$8:$AB$27,$S97+$E$4)*INDEX(其他调用!AH$8:AH$607,MATCH($S97+$E$4,其他调用!$AF$8:$AF$607,0)))*INDEX($Q$19:$Q$23,MATCH(U$4,$L$19:$L$23,0))</f>
        <v>65094.325751927048</v>
      </c>
      <c r="V97" s="27">
        <f>(求节点(其他调用!$AA$8:$AA$27,其他调用!$AB$8:$AB$27,$S97+$E$4)*INDEX(其他调用!AI$8:AI$607,MATCH($S97+$E$4,其他调用!$AF$8:$AF$607,0)))*INDEX($Q$19:$Q$23,MATCH(V$4,$L$19:$L$23,0))</f>
        <v>5668.6134939368258</v>
      </c>
      <c r="W97" s="27">
        <f>(求节点(其他调用!$AA$8:$AA$27,其他调用!$AB$8:$AB$27,$S97+$E$4)*INDEX(其他调用!AJ$8:AJ$607,MATCH($S97+$E$4,其他调用!$AF$8:$AF$607,0)))*INDEX($Q$19:$Q$23,MATCH(W$4,$L$19:$L$23,0))</f>
        <v>1048.9005933932622</v>
      </c>
      <c r="X97" s="27">
        <f>(求节点(其他调用!$AA$8:$AA$27,其他调用!$AB$8:$AB$27,$S97+$E$4)*INDEX(其他调用!AK$8:AK$607,MATCH($S97+$E$4,其他调用!$AF$8:$AF$607,0)))*INDEX($Q$19:$Q$23,MATCH(X$4,$L$19:$L$23,0))</f>
        <v>303.49263233785427</v>
      </c>
      <c r="Y97" s="31">
        <f>SUM($T$5:X97)</f>
        <v>12205584.190757828</v>
      </c>
    </row>
    <row r="98" spans="19:25" x14ac:dyDescent="0.15">
      <c r="S98" s="27">
        <v>94</v>
      </c>
      <c r="T98" s="27">
        <f>(求节点(其他调用!$AA$8:$AA$27,其他调用!$AB$8:$AB$27,$S98+$E$4)*INDEX(其他调用!AG$8:AG$607,MATCH($S98+$E$4,其他调用!$AF$8:$AF$607,0)))*INDEX($Q$19:$Q$23,MATCH(T$4,$L$19:$L$23,0))</f>
        <v>59127.508289241829</v>
      </c>
      <c r="U98" s="27">
        <f>(求节点(其他调用!$AA$8:$AA$27,其他调用!$AB$8:$AB$27,$S98+$E$4)*INDEX(其他调用!AH$8:AH$607,MATCH($S98+$E$4,其他调用!$AF$8:$AF$607,0)))*INDEX($Q$19:$Q$23,MATCH(U$4,$L$19:$L$23,0))</f>
        <v>65094.325751927048</v>
      </c>
      <c r="V98" s="27">
        <f>(求节点(其他调用!$AA$8:$AA$27,其他调用!$AB$8:$AB$27,$S98+$E$4)*INDEX(其他调用!AI$8:AI$607,MATCH($S98+$E$4,其他调用!$AF$8:$AF$607,0)))*INDEX($Q$19:$Q$23,MATCH(V$4,$L$19:$L$23,0))</f>
        <v>5668.6134939368258</v>
      </c>
      <c r="W98" s="27">
        <f>(求节点(其他调用!$AA$8:$AA$27,其他调用!$AB$8:$AB$27,$S98+$E$4)*INDEX(其他调用!AJ$8:AJ$607,MATCH($S98+$E$4,其他调用!$AF$8:$AF$607,0)))*INDEX($Q$19:$Q$23,MATCH(W$4,$L$19:$L$23,0))</f>
        <v>1048.9005933932622</v>
      </c>
      <c r="X98" s="27">
        <f>(求节点(其他调用!$AA$8:$AA$27,其他调用!$AB$8:$AB$27,$S98+$E$4)*INDEX(其他调用!AK$8:AK$607,MATCH($S98+$E$4,其他调用!$AF$8:$AF$607,0)))*INDEX($Q$19:$Q$23,MATCH(X$4,$L$19:$L$23,0))</f>
        <v>303.49263233785427</v>
      </c>
      <c r="Y98" s="31">
        <f>SUM($T$5:X98)</f>
        <v>12336827.031518664</v>
      </c>
    </row>
    <row r="99" spans="19:25" x14ac:dyDescent="0.15">
      <c r="S99" s="27">
        <v>95</v>
      </c>
      <c r="T99" s="27">
        <f>(求节点(其他调用!$AA$8:$AA$27,其他调用!$AB$8:$AB$27,$S99+$E$4)*INDEX(其他调用!AG$8:AG$607,MATCH($S99+$E$4,其他调用!$AF$8:$AF$607,0)))*INDEX($Q$19:$Q$23,MATCH(T$4,$L$19:$L$23,0))</f>
        <v>59127.508289241829</v>
      </c>
      <c r="U99" s="27">
        <f>(求节点(其他调用!$AA$8:$AA$27,其他调用!$AB$8:$AB$27,$S99+$E$4)*INDEX(其他调用!AH$8:AH$607,MATCH($S99+$E$4,其他调用!$AF$8:$AF$607,0)))*INDEX($Q$19:$Q$23,MATCH(U$4,$L$19:$L$23,0))</f>
        <v>65094.325751927048</v>
      </c>
      <c r="V99" s="27">
        <f>(求节点(其他调用!$AA$8:$AA$27,其他调用!$AB$8:$AB$27,$S99+$E$4)*INDEX(其他调用!AI$8:AI$607,MATCH($S99+$E$4,其他调用!$AF$8:$AF$607,0)))*INDEX($Q$19:$Q$23,MATCH(V$4,$L$19:$L$23,0))</f>
        <v>5668.6134939368258</v>
      </c>
      <c r="W99" s="27">
        <f>(求节点(其他调用!$AA$8:$AA$27,其他调用!$AB$8:$AB$27,$S99+$E$4)*INDEX(其他调用!AJ$8:AJ$607,MATCH($S99+$E$4,其他调用!$AF$8:$AF$607,0)))*INDEX($Q$19:$Q$23,MATCH(W$4,$L$19:$L$23,0))</f>
        <v>1048.9005933932622</v>
      </c>
      <c r="X99" s="27">
        <f>(求节点(其他调用!$AA$8:$AA$27,其他调用!$AB$8:$AB$27,$S99+$E$4)*INDEX(其他调用!AK$8:AK$607,MATCH($S99+$E$4,其他调用!$AF$8:$AF$607,0)))*INDEX($Q$19:$Q$23,MATCH(X$4,$L$19:$L$23,0))</f>
        <v>303.49263233785427</v>
      </c>
      <c r="Y99" s="31">
        <f>SUM($T$5:X99)</f>
        <v>12468069.872279501</v>
      </c>
    </row>
    <row r="100" spans="19:25" x14ac:dyDescent="0.15">
      <c r="S100" s="27">
        <v>96</v>
      </c>
      <c r="T100" s="27">
        <f>(求节点(其他调用!$AA$8:$AA$27,其他调用!$AB$8:$AB$27,$S100+$E$4)*INDEX(其他调用!AG$8:AG$607,MATCH($S100+$E$4,其他调用!$AF$8:$AF$607,0)))*INDEX($Q$19:$Q$23,MATCH(T$4,$L$19:$L$23,0))</f>
        <v>59127.508289241829</v>
      </c>
      <c r="U100" s="27">
        <f>(求节点(其他调用!$AA$8:$AA$27,其他调用!$AB$8:$AB$27,$S100+$E$4)*INDEX(其他调用!AH$8:AH$607,MATCH($S100+$E$4,其他调用!$AF$8:$AF$607,0)))*INDEX($Q$19:$Q$23,MATCH(U$4,$L$19:$L$23,0))</f>
        <v>65094.325751927048</v>
      </c>
      <c r="V100" s="27">
        <f>(求节点(其他调用!$AA$8:$AA$27,其他调用!$AB$8:$AB$27,$S100+$E$4)*INDEX(其他调用!AI$8:AI$607,MATCH($S100+$E$4,其他调用!$AF$8:$AF$607,0)))*INDEX($Q$19:$Q$23,MATCH(V$4,$L$19:$L$23,0))</f>
        <v>5668.6134939368258</v>
      </c>
      <c r="W100" s="27">
        <f>(求节点(其他调用!$AA$8:$AA$27,其他调用!$AB$8:$AB$27,$S100+$E$4)*INDEX(其他调用!AJ$8:AJ$607,MATCH($S100+$E$4,其他调用!$AF$8:$AF$607,0)))*INDEX($Q$19:$Q$23,MATCH(W$4,$L$19:$L$23,0))</f>
        <v>1048.9005933932622</v>
      </c>
      <c r="X100" s="27">
        <f>(求节点(其他调用!$AA$8:$AA$27,其他调用!$AB$8:$AB$27,$S100+$E$4)*INDEX(其他调用!AK$8:AK$607,MATCH($S100+$E$4,其他调用!$AF$8:$AF$607,0)))*INDEX($Q$19:$Q$23,MATCH(X$4,$L$19:$L$23,0))</f>
        <v>303.49263233785427</v>
      </c>
      <c r="Y100" s="31">
        <f>SUM($T$5:X100)</f>
        <v>12599312.713040337</v>
      </c>
    </row>
    <row r="101" spans="19:25" x14ac:dyDescent="0.15">
      <c r="S101" s="27">
        <v>97</v>
      </c>
      <c r="T101" s="27">
        <f>(求节点(其他调用!$AA$8:$AA$27,其他调用!$AB$8:$AB$27,$S101+$E$4)*INDEX(其他调用!AG$8:AG$607,MATCH($S101+$E$4,其他调用!$AF$8:$AF$607,0)))*INDEX($Q$19:$Q$23,MATCH(T$4,$L$19:$L$23,0))</f>
        <v>59127.508289241829</v>
      </c>
      <c r="U101" s="27">
        <f>(求节点(其他调用!$AA$8:$AA$27,其他调用!$AB$8:$AB$27,$S101+$E$4)*INDEX(其他调用!AH$8:AH$607,MATCH($S101+$E$4,其他调用!$AF$8:$AF$607,0)))*INDEX($Q$19:$Q$23,MATCH(U$4,$L$19:$L$23,0))</f>
        <v>65094.325751927048</v>
      </c>
      <c r="V101" s="27">
        <f>(求节点(其他调用!$AA$8:$AA$27,其他调用!$AB$8:$AB$27,$S101+$E$4)*INDEX(其他调用!AI$8:AI$607,MATCH($S101+$E$4,其他调用!$AF$8:$AF$607,0)))*INDEX($Q$19:$Q$23,MATCH(V$4,$L$19:$L$23,0))</f>
        <v>5668.6134939368258</v>
      </c>
      <c r="W101" s="27">
        <f>(求节点(其他调用!$AA$8:$AA$27,其他调用!$AB$8:$AB$27,$S101+$E$4)*INDEX(其他调用!AJ$8:AJ$607,MATCH($S101+$E$4,其他调用!$AF$8:$AF$607,0)))*INDEX($Q$19:$Q$23,MATCH(W$4,$L$19:$L$23,0))</f>
        <v>1048.9005933932622</v>
      </c>
      <c r="X101" s="27">
        <f>(求节点(其他调用!$AA$8:$AA$27,其他调用!$AB$8:$AB$27,$S101+$E$4)*INDEX(其他调用!AK$8:AK$607,MATCH($S101+$E$4,其他调用!$AF$8:$AF$607,0)))*INDEX($Q$19:$Q$23,MATCH(X$4,$L$19:$L$23,0))</f>
        <v>303.49263233785427</v>
      </c>
      <c r="Y101" s="31">
        <f>SUM($T$5:X101)</f>
        <v>12730555.553801173</v>
      </c>
    </row>
    <row r="102" spans="19:25" x14ac:dyDescent="0.15">
      <c r="S102" s="27">
        <v>98</v>
      </c>
      <c r="T102" s="27">
        <f>(求节点(其他调用!$AA$8:$AA$27,其他调用!$AB$8:$AB$27,$S102+$E$4)*INDEX(其他调用!AG$8:AG$607,MATCH($S102+$E$4,其他调用!$AF$8:$AF$607,0)))*INDEX($Q$19:$Q$23,MATCH(T$4,$L$19:$L$23,0))</f>
        <v>59127.508289241829</v>
      </c>
      <c r="U102" s="27">
        <f>(求节点(其他调用!$AA$8:$AA$27,其他调用!$AB$8:$AB$27,$S102+$E$4)*INDEX(其他调用!AH$8:AH$607,MATCH($S102+$E$4,其他调用!$AF$8:$AF$607,0)))*INDEX($Q$19:$Q$23,MATCH(U$4,$L$19:$L$23,0))</f>
        <v>65094.325751927048</v>
      </c>
      <c r="V102" s="27">
        <f>(求节点(其他调用!$AA$8:$AA$27,其他调用!$AB$8:$AB$27,$S102+$E$4)*INDEX(其他调用!AI$8:AI$607,MATCH($S102+$E$4,其他调用!$AF$8:$AF$607,0)))*INDEX($Q$19:$Q$23,MATCH(V$4,$L$19:$L$23,0))</f>
        <v>5668.6134939368258</v>
      </c>
      <c r="W102" s="27">
        <f>(求节点(其他调用!$AA$8:$AA$27,其他调用!$AB$8:$AB$27,$S102+$E$4)*INDEX(其他调用!AJ$8:AJ$607,MATCH($S102+$E$4,其他调用!$AF$8:$AF$607,0)))*INDEX($Q$19:$Q$23,MATCH(W$4,$L$19:$L$23,0))</f>
        <v>1048.9005933932622</v>
      </c>
      <c r="X102" s="27">
        <f>(求节点(其他调用!$AA$8:$AA$27,其他调用!$AB$8:$AB$27,$S102+$E$4)*INDEX(其他调用!AK$8:AK$607,MATCH($S102+$E$4,其他调用!$AF$8:$AF$607,0)))*INDEX($Q$19:$Q$23,MATCH(X$4,$L$19:$L$23,0))</f>
        <v>303.49263233785427</v>
      </c>
      <c r="Y102" s="31">
        <f>SUM($T$5:X102)</f>
        <v>12861798.39456201</v>
      </c>
    </row>
    <row r="103" spans="19:25" x14ac:dyDescent="0.15">
      <c r="S103" s="27">
        <v>99</v>
      </c>
      <c r="T103" s="27">
        <f>(求节点(其他调用!$AA$8:$AA$27,其他调用!$AB$8:$AB$27,$S103+$E$4)*INDEX(其他调用!AG$8:AG$607,MATCH($S103+$E$4,其他调用!$AF$8:$AF$607,0)))*INDEX($Q$19:$Q$23,MATCH(T$4,$L$19:$L$23,0))</f>
        <v>59127.508289241829</v>
      </c>
      <c r="U103" s="27">
        <f>(求节点(其他调用!$AA$8:$AA$27,其他调用!$AB$8:$AB$27,$S103+$E$4)*INDEX(其他调用!AH$8:AH$607,MATCH($S103+$E$4,其他调用!$AF$8:$AF$607,0)))*INDEX($Q$19:$Q$23,MATCH(U$4,$L$19:$L$23,0))</f>
        <v>65094.325751927048</v>
      </c>
      <c r="V103" s="27">
        <f>(求节点(其他调用!$AA$8:$AA$27,其他调用!$AB$8:$AB$27,$S103+$E$4)*INDEX(其他调用!AI$8:AI$607,MATCH($S103+$E$4,其他调用!$AF$8:$AF$607,0)))*INDEX($Q$19:$Q$23,MATCH(V$4,$L$19:$L$23,0))</f>
        <v>5668.6134939368258</v>
      </c>
      <c r="W103" s="27">
        <f>(求节点(其他调用!$AA$8:$AA$27,其他调用!$AB$8:$AB$27,$S103+$E$4)*INDEX(其他调用!AJ$8:AJ$607,MATCH($S103+$E$4,其他调用!$AF$8:$AF$607,0)))*INDEX($Q$19:$Q$23,MATCH(W$4,$L$19:$L$23,0))</f>
        <v>1048.9005933932622</v>
      </c>
      <c r="X103" s="27">
        <f>(求节点(其他调用!$AA$8:$AA$27,其他调用!$AB$8:$AB$27,$S103+$E$4)*INDEX(其他调用!AK$8:AK$607,MATCH($S103+$E$4,其他调用!$AF$8:$AF$607,0)))*INDEX($Q$19:$Q$23,MATCH(X$4,$L$19:$L$23,0))</f>
        <v>303.49263233785427</v>
      </c>
      <c r="Y103" s="31">
        <f>SUM($T$5:X103)</f>
        <v>12993041.235322846</v>
      </c>
    </row>
    <row r="104" spans="19:25" x14ac:dyDescent="0.15">
      <c r="S104" s="27">
        <v>100</v>
      </c>
      <c r="T104" s="27">
        <f>(求节点(其他调用!$AA$8:$AA$27,其他调用!$AB$8:$AB$27,$S104+$E$4)*INDEX(其他调用!AG$8:AG$607,MATCH($S104+$E$4,其他调用!$AF$8:$AF$607,0)))*INDEX($Q$19:$Q$23,MATCH(T$4,$L$19:$L$23,0))</f>
        <v>59127.508289241829</v>
      </c>
      <c r="U104" s="27">
        <f>(求节点(其他调用!$AA$8:$AA$27,其他调用!$AB$8:$AB$27,$S104+$E$4)*INDEX(其他调用!AH$8:AH$607,MATCH($S104+$E$4,其他调用!$AF$8:$AF$607,0)))*INDEX($Q$19:$Q$23,MATCH(U$4,$L$19:$L$23,0))</f>
        <v>65094.325751927048</v>
      </c>
      <c r="V104" s="27">
        <f>(求节点(其他调用!$AA$8:$AA$27,其他调用!$AB$8:$AB$27,$S104+$E$4)*INDEX(其他调用!AI$8:AI$607,MATCH($S104+$E$4,其他调用!$AF$8:$AF$607,0)))*INDEX($Q$19:$Q$23,MATCH(V$4,$L$19:$L$23,0))</f>
        <v>5668.6134939368258</v>
      </c>
      <c r="W104" s="27">
        <f>(求节点(其他调用!$AA$8:$AA$27,其他调用!$AB$8:$AB$27,$S104+$E$4)*INDEX(其他调用!AJ$8:AJ$607,MATCH($S104+$E$4,其他调用!$AF$8:$AF$607,0)))*INDEX($Q$19:$Q$23,MATCH(W$4,$L$19:$L$23,0))</f>
        <v>1048.9005933932622</v>
      </c>
      <c r="X104" s="27">
        <f>(求节点(其他调用!$AA$8:$AA$27,其他调用!$AB$8:$AB$27,$S104+$E$4)*INDEX(其他调用!AK$8:AK$607,MATCH($S104+$E$4,其他调用!$AF$8:$AF$607,0)))*INDEX($Q$19:$Q$23,MATCH(X$4,$L$19:$L$23,0))</f>
        <v>303.49263233785427</v>
      </c>
      <c r="Y104" s="31">
        <f>SUM($T$5:X104)</f>
        <v>13124284.076083682</v>
      </c>
    </row>
  </sheetData>
  <mergeCells count="17">
    <mergeCell ref="B17:G17"/>
    <mergeCell ref="B9:C9"/>
    <mergeCell ref="B10:C10"/>
    <mergeCell ref="B12:C12"/>
    <mergeCell ref="T3:X3"/>
    <mergeCell ref="B11:C11"/>
    <mergeCell ref="B6:C6"/>
    <mergeCell ref="B13:C13"/>
    <mergeCell ref="B14:C14"/>
    <mergeCell ref="B28:C28"/>
    <mergeCell ref="B24:C24"/>
    <mergeCell ref="B23:G23"/>
    <mergeCell ref="B18:C18"/>
    <mergeCell ref="B20:C20"/>
    <mergeCell ref="B25:C25"/>
    <mergeCell ref="B19:C19"/>
    <mergeCell ref="B26:B2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0A66D-51BD-44CB-857D-3351FC22C278}">
  <dimension ref="A1:AI122"/>
  <sheetViews>
    <sheetView workbookViewId="0">
      <selection activeCell="K27" sqref="K27:P27"/>
    </sheetView>
  </sheetViews>
  <sheetFormatPr defaultColWidth="6.625" defaultRowHeight="11.25" x14ac:dyDescent="0.15"/>
  <cols>
    <col min="1" max="7" width="6.625" style="16"/>
    <col min="8" max="8" width="6.625" style="21"/>
    <col min="9" max="9" width="6.625" style="18"/>
    <col min="10" max="11" width="6.625" style="16"/>
    <col min="12" max="12" width="6.625" style="21"/>
    <col min="13" max="13" width="6.625" style="16"/>
    <col min="14" max="15" width="6.625" style="21"/>
    <col min="16" max="16" width="10.5" style="16" bestFit="1" customWidth="1"/>
    <col min="17" max="17" width="6.625" style="16"/>
    <col min="18" max="18" width="6.625" style="18"/>
    <col min="19" max="19" width="6.625" style="47"/>
    <col min="20" max="20" width="6.625" style="32"/>
    <col min="21" max="21" width="10.5" style="32" bestFit="1" customWidth="1"/>
    <col min="22" max="23" width="6.625" style="32"/>
    <col min="24" max="24" width="6.625" style="18"/>
    <col min="25" max="25" width="6.625" style="16"/>
    <col min="26" max="26" width="10.25" style="16" customWidth="1"/>
    <col min="27" max="27" width="17.25" style="21" bestFit="1" customWidth="1"/>
    <col min="28" max="28" width="8.25" style="16" customWidth="1"/>
    <col min="29" max="29" width="8.25" style="21" customWidth="1"/>
    <col min="30" max="30" width="6.625" style="16"/>
    <col min="31" max="31" width="17" style="16" customWidth="1"/>
    <col min="32" max="16384" width="6.625" style="16"/>
  </cols>
  <sheetData>
    <row r="1" spans="1:33" s="20" customFormat="1" x14ac:dyDescent="0.15">
      <c r="A1" s="20" t="s">
        <v>155</v>
      </c>
      <c r="I1" s="57"/>
      <c r="J1" s="20" t="s">
        <v>164</v>
      </c>
      <c r="R1" s="57"/>
      <c r="S1" s="20" t="s">
        <v>268</v>
      </c>
      <c r="X1" s="57"/>
      <c r="Y1" s="20" t="s">
        <v>181</v>
      </c>
    </row>
    <row r="2" spans="1:33" x14ac:dyDescent="0.15">
      <c r="A2" s="20" t="s">
        <v>159</v>
      </c>
    </row>
    <row r="3" spans="1:33" x14ac:dyDescent="0.15">
      <c r="B3" s="72" t="s">
        <v>156</v>
      </c>
      <c r="C3" s="72"/>
      <c r="D3" s="72"/>
      <c r="E3" s="72"/>
      <c r="F3" s="72"/>
    </row>
    <row r="4" spans="1:33" x14ac:dyDescent="0.15">
      <c r="A4" s="35"/>
      <c r="B4" s="72"/>
      <c r="C4" s="72"/>
      <c r="D4" s="72"/>
      <c r="E4" s="72"/>
      <c r="F4" s="72"/>
      <c r="N4" s="68" t="s">
        <v>213</v>
      </c>
      <c r="O4" s="68"/>
      <c r="P4" s="32" t="s">
        <v>215</v>
      </c>
    </row>
    <row r="5" spans="1:33" ht="11.25" customHeight="1" x14ac:dyDescent="0.15">
      <c r="A5" s="35"/>
      <c r="B5" s="72"/>
      <c r="C5" s="72"/>
      <c r="D5" s="72"/>
      <c r="E5" s="72"/>
      <c r="F5" s="72"/>
      <c r="K5" s="69" t="s">
        <v>165</v>
      </c>
      <c r="L5" s="69" t="s">
        <v>163</v>
      </c>
      <c r="M5" s="69" t="s">
        <v>162</v>
      </c>
      <c r="N5" s="21" t="s">
        <v>216</v>
      </c>
      <c r="O5" s="33" t="s">
        <v>217</v>
      </c>
      <c r="P5" s="33" t="s">
        <v>217</v>
      </c>
      <c r="T5" s="32" t="s">
        <v>60</v>
      </c>
      <c r="U5" s="32" t="s">
        <v>219</v>
      </c>
      <c r="Z5" s="38" t="s">
        <v>193</v>
      </c>
      <c r="AA5" s="39" t="s">
        <v>190</v>
      </c>
      <c r="AB5" s="39" t="s">
        <v>194</v>
      </c>
      <c r="AC5" s="39" t="s">
        <v>195</v>
      </c>
      <c r="AD5" s="39" t="s">
        <v>191</v>
      </c>
      <c r="AE5" s="39" t="s">
        <v>192</v>
      </c>
    </row>
    <row r="6" spans="1:33" x14ac:dyDescent="0.15">
      <c r="A6" s="35"/>
      <c r="B6" s="72"/>
      <c r="C6" s="72"/>
      <c r="D6" s="72"/>
      <c r="E6" s="72"/>
      <c r="F6" s="72"/>
      <c r="K6" s="69"/>
      <c r="L6" s="69"/>
      <c r="M6" s="69"/>
      <c r="N6" s="42" t="s">
        <v>214</v>
      </c>
      <c r="O6" s="22" t="s">
        <v>218</v>
      </c>
      <c r="P6" s="22" t="s">
        <v>266</v>
      </c>
      <c r="T6" s="32">
        <v>1</v>
      </c>
      <c r="U6" s="32">
        <f t="shared" ref="U6:U37" si="0">MAX($T6-$C$9+1,0)*$D$22</f>
        <v>0</v>
      </c>
      <c r="Z6" s="40" t="s">
        <v>170</v>
      </c>
      <c r="AA6" s="41" t="s">
        <v>158</v>
      </c>
      <c r="AB6" s="41">
        <v>50</v>
      </c>
      <c r="AC6" s="50">
        <v>100</v>
      </c>
      <c r="AD6" s="41">
        <f>IF(AB6="","",INDEX(道具信息!$K:$K,MATCH($AA6,道具信息!$D:$D,0))*AB6)</f>
        <v>50</v>
      </c>
      <c r="AE6" s="41">
        <f>SUMPRODUCT(AC6:AC20/SUM(AC6:AC20),AD6:AD20)</f>
        <v>21.52</v>
      </c>
      <c r="AG6" s="16">
        <f>AD6*AC6/10000</f>
        <v>0.5</v>
      </c>
    </row>
    <row r="7" spans="1:33" x14ac:dyDescent="0.15">
      <c r="A7" s="20" t="s">
        <v>160</v>
      </c>
      <c r="C7" s="34">
        <v>6</v>
      </c>
      <c r="D7" s="20" t="s">
        <v>179</v>
      </c>
      <c r="K7" s="16">
        <v>1</v>
      </c>
      <c r="L7" s="21">
        <v>50000</v>
      </c>
      <c r="M7" s="16">
        <v>50000</v>
      </c>
      <c r="N7" s="33" t="s">
        <v>170</v>
      </c>
      <c r="O7" s="21">
        <v>50</v>
      </c>
      <c r="P7" s="16">
        <v>80</v>
      </c>
      <c r="T7" s="32">
        <v>2</v>
      </c>
      <c r="U7" s="32">
        <f t="shared" si="0"/>
        <v>0</v>
      </c>
      <c r="Z7" s="41"/>
      <c r="AA7" s="41" t="s">
        <v>158</v>
      </c>
      <c r="AB7" s="41">
        <v>10</v>
      </c>
      <c r="AC7" s="50">
        <v>900</v>
      </c>
      <c r="AD7" s="50">
        <f>IF(AB7="","",INDEX(道具信息!$K:$K,MATCH($AA7,道具信息!$D:$D,0))*AB7)</f>
        <v>10</v>
      </c>
      <c r="AE7" s="41"/>
      <c r="AF7" s="21"/>
      <c r="AG7" s="32">
        <f t="shared" ref="AG7:AG17" si="1">AD7*AC7/10000</f>
        <v>0.9</v>
      </c>
    </row>
    <row r="8" spans="1:33" x14ac:dyDescent="0.15">
      <c r="A8" s="20" t="s">
        <v>161</v>
      </c>
      <c r="K8" s="16">
        <v>2</v>
      </c>
      <c r="L8" s="13">
        <f>L7</f>
        <v>50000</v>
      </c>
      <c r="M8" s="13">
        <f>M7</f>
        <v>50000</v>
      </c>
      <c r="N8" s="33" t="s">
        <v>171</v>
      </c>
      <c r="O8" s="47">
        <v>50</v>
      </c>
      <c r="P8" s="16">
        <v>100</v>
      </c>
      <c r="T8" s="32">
        <v>3</v>
      </c>
      <c r="U8" s="32">
        <f t="shared" si="0"/>
        <v>0</v>
      </c>
      <c r="Z8" s="41"/>
      <c r="AA8" s="41" t="s">
        <v>197</v>
      </c>
      <c r="AB8" s="41">
        <v>1</v>
      </c>
      <c r="AC8" s="50">
        <v>100</v>
      </c>
      <c r="AD8" s="50">
        <f>IF(AB8="","",INDEX(道具信息!$K:$K,MATCH($AA8,道具信息!$D:$D,0))*AB8)</f>
        <v>240</v>
      </c>
      <c r="AE8" s="41"/>
      <c r="AF8" s="21"/>
      <c r="AG8" s="32">
        <f t="shared" si="1"/>
        <v>2.4</v>
      </c>
    </row>
    <row r="9" spans="1:33" x14ac:dyDescent="0.15">
      <c r="A9" s="20" t="s">
        <v>180</v>
      </c>
      <c r="C9" s="34">
        <v>8</v>
      </c>
      <c r="D9" s="20" t="s">
        <v>237</v>
      </c>
      <c r="K9" s="16">
        <v>3</v>
      </c>
      <c r="L9" s="13">
        <f t="shared" ref="L9:L13" si="2">L8</f>
        <v>50000</v>
      </c>
      <c r="M9" s="13">
        <f t="shared" ref="M9:M13" si="3">M8</f>
        <v>50000</v>
      </c>
      <c r="N9" s="33" t="s">
        <v>172</v>
      </c>
      <c r="O9" s="47">
        <v>50</v>
      </c>
      <c r="P9" s="47">
        <v>120</v>
      </c>
      <c r="Q9" s="21"/>
      <c r="T9" s="32">
        <v>4</v>
      </c>
      <c r="U9" s="32">
        <f t="shared" si="0"/>
        <v>0</v>
      </c>
      <c r="Z9" s="41"/>
      <c r="AA9" s="41" t="s">
        <v>169</v>
      </c>
      <c r="AB9" s="41">
        <v>1</v>
      </c>
      <c r="AC9" s="50">
        <v>100</v>
      </c>
      <c r="AD9" s="50">
        <f>IF(AB9="","",INDEX(道具信息!$K:$K,MATCH($AA9,道具信息!$D:$D,0))*AB9)</f>
        <v>300</v>
      </c>
      <c r="AE9" s="41"/>
      <c r="AF9" s="21"/>
      <c r="AG9" s="32">
        <f t="shared" si="1"/>
        <v>3</v>
      </c>
    </row>
    <row r="10" spans="1:33" x14ac:dyDescent="0.15">
      <c r="A10" s="20" t="s">
        <v>173</v>
      </c>
      <c r="K10" s="16">
        <v>4</v>
      </c>
      <c r="L10" s="13">
        <f t="shared" si="2"/>
        <v>50000</v>
      </c>
      <c r="M10" s="13">
        <f t="shared" si="3"/>
        <v>50000</v>
      </c>
      <c r="N10" s="33" t="s">
        <v>175</v>
      </c>
      <c r="O10" s="47">
        <v>50</v>
      </c>
      <c r="P10" s="47">
        <v>140</v>
      </c>
      <c r="Q10" s="21"/>
      <c r="T10" s="32">
        <v>5</v>
      </c>
      <c r="U10" s="32">
        <f t="shared" si="0"/>
        <v>0</v>
      </c>
      <c r="Z10" s="41"/>
      <c r="AA10" s="41" t="s">
        <v>199</v>
      </c>
      <c r="AB10" s="41">
        <v>1</v>
      </c>
      <c r="AC10" s="50">
        <v>1500</v>
      </c>
      <c r="AD10" s="50">
        <f>IF(AB10="","",INDEX(道具信息!$K:$K,MATCH($AA10,道具信息!$D:$D,0))*AB10)</f>
        <v>8</v>
      </c>
      <c r="AE10" s="41"/>
      <c r="AF10" s="21"/>
      <c r="AG10" s="32">
        <f t="shared" si="1"/>
        <v>1.2</v>
      </c>
    </row>
    <row r="11" spans="1:33" x14ac:dyDescent="0.15">
      <c r="B11" s="71" t="s">
        <v>166</v>
      </c>
      <c r="C11" s="71"/>
      <c r="D11" s="71"/>
      <c r="E11" s="71"/>
      <c r="F11" s="71"/>
      <c r="K11" s="16">
        <v>5</v>
      </c>
      <c r="L11" s="13">
        <f t="shared" si="2"/>
        <v>50000</v>
      </c>
      <c r="M11" s="13">
        <f t="shared" si="3"/>
        <v>50000</v>
      </c>
      <c r="N11" s="33" t="s">
        <v>176</v>
      </c>
      <c r="O11" s="47">
        <v>50</v>
      </c>
      <c r="P11" s="47">
        <v>160</v>
      </c>
      <c r="Q11" s="21"/>
      <c r="T11" s="32">
        <v>6</v>
      </c>
      <c r="U11" s="32">
        <f t="shared" si="0"/>
        <v>0</v>
      </c>
      <c r="Z11" s="41"/>
      <c r="AA11" s="41" t="s">
        <v>204</v>
      </c>
      <c r="AB11" s="41">
        <v>1</v>
      </c>
      <c r="AC11" s="50">
        <v>500</v>
      </c>
      <c r="AD11" s="50">
        <f>IF(AB11="","",INDEX(道具信息!$K:$K,MATCH($AA11,道具信息!$D:$D,0))*AB11)</f>
        <v>72</v>
      </c>
      <c r="AE11" s="41"/>
      <c r="AF11" s="21"/>
      <c r="AG11" s="32">
        <f t="shared" si="1"/>
        <v>3.6</v>
      </c>
    </row>
    <row r="12" spans="1:33" x14ac:dyDescent="0.15">
      <c r="A12" s="35"/>
      <c r="B12" s="71"/>
      <c r="C12" s="71"/>
      <c r="D12" s="71"/>
      <c r="E12" s="71"/>
      <c r="F12" s="71"/>
      <c r="K12" s="16">
        <v>6</v>
      </c>
      <c r="L12" s="13">
        <f t="shared" si="2"/>
        <v>50000</v>
      </c>
      <c r="M12" s="13">
        <f t="shared" si="3"/>
        <v>50000</v>
      </c>
      <c r="N12" s="33" t="s">
        <v>177</v>
      </c>
      <c r="O12" s="47">
        <v>50</v>
      </c>
      <c r="P12" s="47">
        <v>180</v>
      </c>
      <c r="Q12" s="21"/>
      <c r="T12" s="32">
        <v>7</v>
      </c>
      <c r="U12" s="32">
        <f t="shared" si="0"/>
        <v>0</v>
      </c>
      <c r="Z12" s="41"/>
      <c r="AA12" s="41" t="s">
        <v>205</v>
      </c>
      <c r="AB12" s="41">
        <v>1</v>
      </c>
      <c r="AC12" s="50">
        <v>800</v>
      </c>
      <c r="AD12" s="50">
        <f>IF(AB12="","",INDEX(道具信息!$K:$K,MATCH($AA12,道具信息!$D:$D,0))*AB12)</f>
        <v>36</v>
      </c>
      <c r="AE12" s="41"/>
      <c r="AF12" s="21"/>
      <c r="AG12" s="32">
        <f t="shared" si="1"/>
        <v>2.88</v>
      </c>
    </row>
    <row r="13" spans="1:33" x14ac:dyDescent="0.15">
      <c r="A13" s="35"/>
      <c r="B13" s="71"/>
      <c r="C13" s="71"/>
      <c r="D13" s="71"/>
      <c r="E13" s="71"/>
      <c r="F13" s="71"/>
      <c r="K13" s="16">
        <v>7</v>
      </c>
      <c r="L13" s="13">
        <f t="shared" si="2"/>
        <v>50000</v>
      </c>
      <c r="M13" s="13">
        <f t="shared" si="3"/>
        <v>50000</v>
      </c>
      <c r="N13" s="33" t="s">
        <v>178</v>
      </c>
      <c r="O13" s="47">
        <v>50</v>
      </c>
      <c r="P13" s="47">
        <v>200</v>
      </c>
      <c r="Q13" s="21"/>
      <c r="T13" s="32">
        <v>8</v>
      </c>
      <c r="U13" s="32">
        <f t="shared" si="0"/>
        <v>50000</v>
      </c>
      <c r="Z13" s="41"/>
      <c r="AA13" s="41" t="s">
        <v>203</v>
      </c>
      <c r="AB13" s="41">
        <v>2</v>
      </c>
      <c r="AC13" s="50">
        <v>2500</v>
      </c>
      <c r="AD13" s="50">
        <f>IF(AB13="","",INDEX(道具信息!$K:$K,MATCH($AA13,道具信息!$D:$D,0))*AB13)</f>
        <v>12</v>
      </c>
      <c r="AE13" s="41"/>
      <c r="AF13" s="21"/>
      <c r="AG13" s="32">
        <f t="shared" si="1"/>
        <v>3</v>
      </c>
    </row>
    <row r="14" spans="1:33" x14ac:dyDescent="0.15">
      <c r="A14" s="20" t="s">
        <v>174</v>
      </c>
      <c r="T14" s="32">
        <v>9</v>
      </c>
      <c r="U14" s="32">
        <f t="shared" si="0"/>
        <v>100000</v>
      </c>
      <c r="Z14" s="41"/>
      <c r="AA14" s="41" t="s">
        <v>201</v>
      </c>
      <c r="AB14" s="41">
        <v>1</v>
      </c>
      <c r="AC14" s="50">
        <v>500</v>
      </c>
      <c r="AD14" s="50">
        <f>IF(AB14="","",INDEX(道具信息!$K:$K,MATCH($AA14,道具信息!$D:$D,0))*AB14)</f>
        <v>50</v>
      </c>
      <c r="AE14" s="41"/>
      <c r="AF14" s="21"/>
      <c r="AG14" s="32">
        <f t="shared" si="1"/>
        <v>2.5</v>
      </c>
    </row>
    <row r="15" spans="1:33" x14ac:dyDescent="0.15">
      <c r="B15" s="49" t="s">
        <v>167</v>
      </c>
      <c r="C15" s="55">
        <v>0.3</v>
      </c>
      <c r="P15" s="47"/>
      <c r="T15" s="32">
        <v>10</v>
      </c>
      <c r="U15" s="32">
        <f t="shared" si="0"/>
        <v>150000</v>
      </c>
      <c r="Z15" s="41"/>
      <c r="AA15" s="41" t="s">
        <v>196</v>
      </c>
      <c r="AB15" s="41">
        <v>100</v>
      </c>
      <c r="AC15" s="50">
        <v>800</v>
      </c>
      <c r="AD15" s="50">
        <f>IF(AB15="","",INDEX(道具信息!$K:$K,MATCH($AA15,道具信息!$D:$D,0))*AB15)</f>
        <v>10</v>
      </c>
      <c r="AE15" s="41"/>
      <c r="AF15" s="21"/>
      <c r="AG15" s="32">
        <f t="shared" si="1"/>
        <v>0.8</v>
      </c>
    </row>
    <row r="16" spans="1:33" x14ac:dyDescent="0.15">
      <c r="B16" s="49" t="s">
        <v>168</v>
      </c>
      <c r="C16" s="55">
        <v>0.5</v>
      </c>
      <c r="T16" s="32">
        <v>11</v>
      </c>
      <c r="U16" s="32">
        <f t="shared" si="0"/>
        <v>200000</v>
      </c>
      <c r="Z16" s="41"/>
      <c r="AA16" s="41" t="s">
        <v>196</v>
      </c>
      <c r="AB16" s="41">
        <v>50</v>
      </c>
      <c r="AC16" s="50">
        <v>1000</v>
      </c>
      <c r="AD16" s="50">
        <f>IF(AB16="","",INDEX(道具信息!$K:$K,MATCH($AA16,道具信息!$D:$D,0))*AB16)</f>
        <v>5</v>
      </c>
      <c r="AE16" s="41"/>
      <c r="AF16" s="21"/>
      <c r="AG16" s="32">
        <f t="shared" si="1"/>
        <v>0.5</v>
      </c>
    </row>
    <row r="17" spans="1:33" x14ac:dyDescent="0.15">
      <c r="A17" s="20" t="s">
        <v>264</v>
      </c>
      <c r="B17" s="47"/>
      <c r="C17" s="47"/>
      <c r="D17" s="47"/>
      <c r="E17" s="47"/>
      <c r="F17" s="47"/>
      <c r="G17" s="47"/>
      <c r="H17" s="47"/>
      <c r="T17" s="32">
        <v>12</v>
      </c>
      <c r="U17" s="32">
        <f t="shared" si="0"/>
        <v>250000</v>
      </c>
      <c r="Z17" s="41"/>
      <c r="AA17" s="41" t="s">
        <v>196</v>
      </c>
      <c r="AB17" s="41">
        <v>20</v>
      </c>
      <c r="AC17" s="50">
        <v>1200</v>
      </c>
      <c r="AD17" s="50">
        <f>IF(AB17="","",INDEX(道具信息!$K:$K,MATCH($AA17,道具信息!$D:$D,0))*AB17)</f>
        <v>2</v>
      </c>
      <c r="AE17" s="41"/>
      <c r="AF17" s="21"/>
      <c r="AG17" s="32">
        <f t="shared" si="1"/>
        <v>0.24</v>
      </c>
    </row>
    <row r="18" spans="1:33" x14ac:dyDescent="0.15">
      <c r="A18" s="47"/>
      <c r="B18" s="49" t="s">
        <v>263</v>
      </c>
      <c r="C18" s="49" t="s">
        <v>260</v>
      </c>
      <c r="D18" s="49" t="s">
        <v>261</v>
      </c>
      <c r="E18" s="49" t="s">
        <v>262</v>
      </c>
      <c r="F18" s="47"/>
      <c r="G18" s="47"/>
      <c r="H18" s="47"/>
      <c r="N18" s="32"/>
      <c r="T18" s="32">
        <v>13</v>
      </c>
      <c r="U18" s="32">
        <f t="shared" si="0"/>
        <v>300000</v>
      </c>
      <c r="Z18" s="41"/>
      <c r="AA18" s="41"/>
      <c r="AB18" s="41"/>
      <c r="AC18" s="41"/>
      <c r="AD18" s="50" t="str">
        <f>IF(AB18="","",INDEX(道具信息!$K:$K,MATCH($AA18,道具信息!$D:$D,0))*AB18)</f>
        <v/>
      </c>
      <c r="AE18" s="41"/>
    </row>
    <row r="19" spans="1:33" ht="11.25" customHeight="1" x14ac:dyDescent="0.15">
      <c r="A19" s="47"/>
      <c r="B19" s="49">
        <v>3</v>
      </c>
      <c r="C19" s="56">
        <v>0.6</v>
      </c>
      <c r="D19" s="56">
        <v>0.3</v>
      </c>
      <c r="E19" s="56">
        <v>0.1</v>
      </c>
      <c r="F19" s="47"/>
      <c r="G19" s="47"/>
      <c r="H19" s="47"/>
      <c r="L19" s="32"/>
      <c r="M19" s="32"/>
      <c r="N19" s="32"/>
      <c r="O19" s="32"/>
      <c r="P19" s="32"/>
      <c r="Q19" s="32"/>
      <c r="T19" s="32">
        <v>14</v>
      </c>
      <c r="U19" s="32">
        <f t="shared" si="0"/>
        <v>350000</v>
      </c>
      <c r="Z19" s="41"/>
      <c r="AA19" s="41"/>
      <c r="AB19" s="41"/>
      <c r="AC19" s="41"/>
      <c r="AD19" s="50" t="str">
        <f>IF(AB19="","",INDEX(道具信息!$K:$K,MATCH($AA19,道具信息!$D:$D,0))*AB19)</f>
        <v/>
      </c>
      <c r="AE19" s="41"/>
    </row>
    <row r="20" spans="1:33" x14ac:dyDescent="0.15">
      <c r="A20" s="47"/>
      <c r="B20" s="49">
        <v>2</v>
      </c>
      <c r="C20" s="56">
        <v>0.65</v>
      </c>
      <c r="D20" s="56">
        <v>0.35</v>
      </c>
      <c r="E20" s="49"/>
      <c r="F20" s="47"/>
      <c r="G20" s="47"/>
      <c r="H20" s="47"/>
      <c r="L20" s="32"/>
      <c r="M20" s="32"/>
      <c r="N20" s="32"/>
      <c r="O20" s="32"/>
      <c r="P20" s="32"/>
      <c r="Q20" s="32"/>
      <c r="T20" s="32">
        <v>15</v>
      </c>
      <c r="U20" s="32">
        <f t="shared" si="0"/>
        <v>400000</v>
      </c>
      <c r="Z20" s="41"/>
      <c r="AA20" s="41"/>
      <c r="AB20" s="41"/>
      <c r="AC20" s="41"/>
      <c r="AD20" s="50" t="str">
        <f>IF(AB20="","",INDEX(道具信息!$K:$K,MATCH($AA20,道具信息!$D:$D,0))*AB20)</f>
        <v/>
      </c>
      <c r="AE20" s="41"/>
      <c r="AF20" s="16">
        <f>SUM(AC6:AC20)</f>
        <v>10000</v>
      </c>
    </row>
    <row r="21" spans="1:33" x14ac:dyDescent="0.15">
      <c r="A21" s="47"/>
      <c r="B21" s="49">
        <v>1</v>
      </c>
      <c r="C21" s="56">
        <v>1</v>
      </c>
      <c r="D21" s="49"/>
      <c r="E21" s="49"/>
      <c r="F21" s="47"/>
      <c r="G21" s="47"/>
      <c r="H21" s="47"/>
      <c r="L21" s="32"/>
      <c r="M21" s="32"/>
      <c r="N21" s="32"/>
      <c r="O21" s="32"/>
      <c r="P21" s="32"/>
      <c r="Q21" s="32"/>
      <c r="T21" s="32">
        <v>16</v>
      </c>
      <c r="U21" s="32">
        <f t="shared" si="0"/>
        <v>450000</v>
      </c>
      <c r="Z21" s="38" t="s">
        <v>193</v>
      </c>
      <c r="AA21" s="39" t="s">
        <v>190</v>
      </c>
      <c r="AB21" s="39" t="s">
        <v>194</v>
      </c>
      <c r="AC21" s="39" t="s">
        <v>195</v>
      </c>
      <c r="AD21" s="39" t="s">
        <v>191</v>
      </c>
      <c r="AE21" s="39" t="s">
        <v>192</v>
      </c>
      <c r="AF21" s="21"/>
    </row>
    <row r="22" spans="1:33" x14ac:dyDescent="0.15">
      <c r="A22" s="20" t="s">
        <v>255</v>
      </c>
      <c r="D22" s="34">
        <v>50000</v>
      </c>
      <c r="L22" s="32"/>
      <c r="M22" s="32"/>
      <c r="N22" s="32"/>
      <c r="O22" s="32"/>
      <c r="P22" s="32"/>
      <c r="Q22" s="32"/>
      <c r="T22" s="32">
        <v>17</v>
      </c>
      <c r="U22" s="32">
        <f t="shared" si="0"/>
        <v>500000</v>
      </c>
      <c r="Z22" s="40" t="s">
        <v>171</v>
      </c>
      <c r="AA22" s="41" t="s">
        <v>206</v>
      </c>
      <c r="AB22" s="41">
        <v>80</v>
      </c>
      <c r="AC22" s="50">
        <v>100</v>
      </c>
      <c r="AD22" s="50">
        <f>IF(AB22="","",INDEX(道具信息!$K:$K,MATCH($AA22,道具信息!$D:$D,0))*AB22)</f>
        <v>80</v>
      </c>
      <c r="AE22" s="41">
        <f>SUMPRODUCT(AC22:AC36/SUM(AC22:AC36),AD22:AD36)</f>
        <v>24.3</v>
      </c>
      <c r="AF22" s="21"/>
      <c r="AG22" s="32">
        <f>AD22*AC22/10000</f>
        <v>0.8</v>
      </c>
    </row>
    <row r="23" spans="1:33" x14ac:dyDescent="0.15">
      <c r="A23" s="20" t="s">
        <v>256</v>
      </c>
      <c r="F23" s="34">
        <v>3</v>
      </c>
      <c r="G23" s="21"/>
      <c r="L23" s="32"/>
      <c r="M23" s="32"/>
      <c r="N23" s="32"/>
      <c r="O23" s="32"/>
      <c r="P23" s="32"/>
      <c r="Q23" s="32"/>
      <c r="T23" s="32">
        <v>18</v>
      </c>
      <c r="U23" s="32">
        <f t="shared" si="0"/>
        <v>550000</v>
      </c>
      <c r="Z23" s="41"/>
      <c r="AA23" s="41" t="s">
        <v>206</v>
      </c>
      <c r="AB23" s="41">
        <v>20</v>
      </c>
      <c r="AC23" s="50">
        <v>900</v>
      </c>
      <c r="AD23" s="50">
        <f>IF(AB23="","",INDEX(道具信息!$K:$K,MATCH($AA23,道具信息!$D:$D,0))*AB23)</f>
        <v>20</v>
      </c>
      <c r="AE23" s="41"/>
      <c r="AF23" s="21"/>
      <c r="AG23" s="32">
        <f t="shared" ref="AG23:AG33" si="4">AD23*AC23/10000</f>
        <v>1.8</v>
      </c>
    </row>
    <row r="24" spans="1:33" x14ac:dyDescent="0.15">
      <c r="A24" s="20" t="s">
        <v>257</v>
      </c>
      <c r="D24" s="47"/>
      <c r="E24" s="47"/>
      <c r="F24" s="47"/>
      <c r="G24" s="47"/>
      <c r="L24" s="32"/>
      <c r="M24" s="32"/>
      <c r="N24" s="32"/>
      <c r="O24" s="32"/>
      <c r="P24" s="32"/>
      <c r="Q24" s="32"/>
      <c r="T24" s="32">
        <v>19</v>
      </c>
      <c r="U24" s="32">
        <f t="shared" si="0"/>
        <v>600000</v>
      </c>
      <c r="Z24" s="41"/>
      <c r="AA24" s="41" t="s">
        <v>207</v>
      </c>
      <c r="AB24" s="41">
        <v>1</v>
      </c>
      <c r="AC24" s="50">
        <v>100</v>
      </c>
      <c r="AD24" s="50">
        <f>IF(AB24="","",INDEX(道具信息!$K:$K,MATCH($AA24,道具信息!$D:$D,0))*AB24)</f>
        <v>240</v>
      </c>
      <c r="AE24" s="41"/>
      <c r="AF24" s="21"/>
      <c r="AG24" s="32">
        <f t="shared" si="4"/>
        <v>2.4</v>
      </c>
    </row>
    <row r="25" spans="1:33" x14ac:dyDescent="0.15">
      <c r="B25" s="49" t="s">
        <v>251</v>
      </c>
      <c r="C25" s="49" t="s">
        <v>252</v>
      </c>
      <c r="D25" s="47"/>
      <c r="E25" s="47"/>
      <c r="F25" s="47"/>
      <c r="G25" s="47"/>
      <c r="L25" s="32"/>
      <c r="M25" s="32"/>
      <c r="N25" s="32"/>
      <c r="O25" s="32"/>
      <c r="P25" s="32"/>
      <c r="Q25" s="32"/>
      <c r="T25" s="32">
        <v>20</v>
      </c>
      <c r="U25" s="32">
        <f t="shared" si="0"/>
        <v>650000</v>
      </c>
      <c r="Z25" s="41"/>
      <c r="AA25" s="41" t="s">
        <v>208</v>
      </c>
      <c r="AB25" s="41">
        <v>1</v>
      </c>
      <c r="AC25" s="50">
        <v>100</v>
      </c>
      <c r="AD25" s="50">
        <f>IF(AB25="","",INDEX(道具信息!$K:$K,MATCH($AA25,道具信息!$D:$D,0))*AB25)</f>
        <v>300</v>
      </c>
      <c r="AE25" s="41"/>
      <c r="AF25" s="21"/>
      <c r="AG25" s="32">
        <f t="shared" si="4"/>
        <v>3</v>
      </c>
    </row>
    <row r="26" spans="1:33" x14ac:dyDescent="0.15">
      <c r="B26" s="49" t="s">
        <v>253</v>
      </c>
      <c r="C26" s="54">
        <f>ROUNDUP(1/(SUM($C$15:$C$16)/2),0)</f>
        <v>3</v>
      </c>
      <c r="D26" s="47"/>
      <c r="E26" s="47"/>
      <c r="F26" s="47"/>
      <c r="G26" s="47"/>
      <c r="L26" s="32"/>
      <c r="M26" s="32"/>
      <c r="N26" s="32"/>
      <c r="O26" s="32"/>
      <c r="P26" s="32" t="s">
        <v>267</v>
      </c>
      <c r="Q26" s="32"/>
      <c r="T26" s="32">
        <v>21</v>
      </c>
      <c r="U26" s="32">
        <f t="shared" si="0"/>
        <v>700000</v>
      </c>
      <c r="Z26" s="41"/>
      <c r="AA26" s="41" t="s">
        <v>198</v>
      </c>
      <c r="AB26" s="41">
        <v>2</v>
      </c>
      <c r="AC26" s="50">
        <v>1500</v>
      </c>
      <c r="AD26" s="50">
        <f>IF(AB26="","",INDEX(道具信息!$K:$K,MATCH($AA26,道具信息!$D:$D,0))*AB26)</f>
        <v>16</v>
      </c>
      <c r="AE26" s="41"/>
      <c r="AF26" s="21"/>
      <c r="AG26" s="32">
        <f t="shared" si="4"/>
        <v>2.4</v>
      </c>
    </row>
    <row r="27" spans="1:33" x14ac:dyDescent="0.15">
      <c r="B27" s="49" t="s">
        <v>254</v>
      </c>
      <c r="C27" s="54">
        <f>ROUNDUP(1/(SUM($C$15:$C$16)/2),0)</f>
        <v>3</v>
      </c>
      <c r="D27" s="47"/>
      <c r="E27" s="47"/>
      <c r="F27" s="47"/>
      <c r="G27" s="47"/>
      <c r="L27" s="32"/>
      <c r="M27" s="32"/>
      <c r="N27" s="32"/>
      <c r="O27" s="32"/>
      <c r="P27" s="32"/>
      <c r="Q27" s="32"/>
      <c r="T27" s="32">
        <v>22</v>
      </c>
      <c r="U27" s="32">
        <f t="shared" si="0"/>
        <v>750000</v>
      </c>
      <c r="Z27" s="41"/>
      <c r="AA27" s="41" t="s">
        <v>204</v>
      </c>
      <c r="AB27" s="41">
        <v>1</v>
      </c>
      <c r="AC27" s="50">
        <v>500</v>
      </c>
      <c r="AD27" s="50">
        <f>IF(AB27="","",INDEX(道具信息!$K:$K,MATCH($AA27,道具信息!$D:$D,0))*AB27)</f>
        <v>72</v>
      </c>
      <c r="AE27" s="41"/>
      <c r="AF27" s="21"/>
      <c r="AG27" s="32">
        <f t="shared" si="4"/>
        <v>3.6</v>
      </c>
    </row>
    <row r="28" spans="1:33" x14ac:dyDescent="0.15">
      <c r="A28" s="20" t="s">
        <v>258</v>
      </c>
      <c r="C28" s="34">
        <v>2</v>
      </c>
      <c r="D28" s="20" t="s">
        <v>265</v>
      </c>
      <c r="G28" s="21"/>
      <c r="L28" s="32"/>
      <c r="M28" s="32"/>
      <c r="N28" s="32"/>
      <c r="O28" s="32"/>
      <c r="P28" s="32"/>
      <c r="Q28" s="32"/>
      <c r="T28" s="32">
        <v>23</v>
      </c>
      <c r="U28" s="32">
        <f t="shared" si="0"/>
        <v>800000</v>
      </c>
      <c r="Z28" s="41"/>
      <c r="AA28" s="41" t="s">
        <v>205</v>
      </c>
      <c r="AB28" s="41">
        <v>1</v>
      </c>
      <c r="AC28" s="50">
        <v>800</v>
      </c>
      <c r="AD28" s="50">
        <f>IF(AB28="","",INDEX(道具信息!$K:$K,MATCH($AA28,道具信息!$D:$D,0))*AB28)</f>
        <v>36</v>
      </c>
      <c r="AE28" s="41"/>
      <c r="AF28" s="21"/>
      <c r="AG28" s="32">
        <f t="shared" si="4"/>
        <v>2.88</v>
      </c>
    </row>
    <row r="29" spans="1:33" x14ac:dyDescent="0.15">
      <c r="A29" s="20" t="s">
        <v>259</v>
      </c>
      <c r="D29" s="32"/>
      <c r="E29" s="32"/>
      <c r="G29" s="21"/>
      <c r="L29" s="32"/>
      <c r="M29" s="32"/>
      <c r="N29" s="32"/>
      <c r="O29" s="32"/>
      <c r="P29" s="32"/>
      <c r="Q29" s="32"/>
      <c r="T29" s="32">
        <v>24</v>
      </c>
      <c r="U29" s="32">
        <f t="shared" si="0"/>
        <v>850000</v>
      </c>
      <c r="Z29" s="41"/>
      <c r="AA29" s="41" t="s">
        <v>202</v>
      </c>
      <c r="AB29" s="41">
        <v>2</v>
      </c>
      <c r="AC29" s="50">
        <v>2500</v>
      </c>
      <c r="AD29" s="50">
        <f>IF(AB29="","",INDEX(道具信息!$K:$K,MATCH($AA29,道具信息!$D:$D,0))*AB29)</f>
        <v>12</v>
      </c>
      <c r="AE29" s="41"/>
      <c r="AF29" s="21"/>
      <c r="AG29" s="32">
        <f t="shared" si="4"/>
        <v>3</v>
      </c>
    </row>
    <row r="30" spans="1:33" x14ac:dyDescent="0.15">
      <c r="B30" s="41" t="s">
        <v>232</v>
      </c>
      <c r="C30" s="71" t="s">
        <v>212</v>
      </c>
      <c r="D30" s="71"/>
      <c r="E30" s="71"/>
      <c r="F30" s="71"/>
      <c r="G30" s="21"/>
      <c r="L30" s="32"/>
      <c r="M30" s="32"/>
      <c r="N30" s="32"/>
      <c r="O30" s="32"/>
      <c r="P30" s="32"/>
      <c r="Q30" s="32"/>
      <c r="T30" s="32">
        <v>25</v>
      </c>
      <c r="U30" s="32">
        <f t="shared" si="0"/>
        <v>900000</v>
      </c>
      <c r="Z30" s="41"/>
      <c r="AA30" s="41" t="s">
        <v>200</v>
      </c>
      <c r="AB30" s="41">
        <v>1</v>
      </c>
      <c r="AC30" s="50">
        <v>500</v>
      </c>
      <c r="AD30" s="50">
        <f>IF(AB30="","",INDEX(道具信息!$K:$K,MATCH($AA30,道具信息!$D:$D,0))*AB30)</f>
        <v>50</v>
      </c>
      <c r="AE30" s="41"/>
      <c r="AF30" s="21"/>
      <c r="AG30" s="32">
        <f t="shared" si="4"/>
        <v>2.5</v>
      </c>
    </row>
    <row r="31" spans="1:33" x14ac:dyDescent="0.15">
      <c r="B31" s="41">
        <v>5</v>
      </c>
      <c r="C31" s="71" t="s">
        <v>210</v>
      </c>
      <c r="D31" s="71"/>
      <c r="E31" s="71"/>
      <c r="F31" s="71"/>
      <c r="G31" s="21"/>
      <c r="L31" s="32"/>
      <c r="M31" s="32"/>
      <c r="N31" s="32"/>
      <c r="O31" s="32"/>
      <c r="P31" s="32"/>
      <c r="Q31" s="32"/>
      <c r="T31" s="32">
        <v>26</v>
      </c>
      <c r="U31" s="32">
        <f t="shared" si="0"/>
        <v>950000</v>
      </c>
      <c r="Z31" s="41"/>
      <c r="AA31" s="41" t="s">
        <v>209</v>
      </c>
      <c r="AB31" s="41">
        <v>120</v>
      </c>
      <c r="AC31" s="50">
        <v>800</v>
      </c>
      <c r="AD31" s="50">
        <f>IF(AB31="","",INDEX(道具信息!$K:$K,MATCH($AA31,道具信息!$D:$D,0))*AB31)</f>
        <v>12</v>
      </c>
      <c r="AE31" s="41"/>
      <c r="AF31" s="21"/>
      <c r="AG31" s="32">
        <f t="shared" si="4"/>
        <v>0.96</v>
      </c>
    </row>
    <row r="32" spans="1:33" x14ac:dyDescent="0.15">
      <c r="B32" s="41">
        <v>8</v>
      </c>
      <c r="C32" s="71" t="s">
        <v>211</v>
      </c>
      <c r="D32" s="71"/>
      <c r="E32" s="71"/>
      <c r="F32" s="71"/>
      <c r="L32" s="32"/>
      <c r="M32" s="32"/>
      <c r="N32" s="32"/>
      <c r="O32" s="32"/>
      <c r="P32" s="32"/>
      <c r="Q32" s="32"/>
      <c r="T32" s="32">
        <v>27</v>
      </c>
      <c r="U32" s="32">
        <f t="shared" si="0"/>
        <v>1000000</v>
      </c>
      <c r="Z32" s="41"/>
      <c r="AA32" s="41" t="s">
        <v>209</v>
      </c>
      <c r="AB32" s="41">
        <v>60</v>
      </c>
      <c r="AC32" s="50">
        <v>1000</v>
      </c>
      <c r="AD32" s="50">
        <f>IF(AB32="","",INDEX(道具信息!$K:$K,MATCH($AA32,道具信息!$D:$D,0))*AB32)</f>
        <v>6</v>
      </c>
      <c r="AE32" s="41"/>
      <c r="AF32" s="21"/>
      <c r="AG32" s="32">
        <f t="shared" si="4"/>
        <v>0.6</v>
      </c>
    </row>
    <row r="33" spans="1:34" x14ac:dyDescent="0.15">
      <c r="B33" s="41">
        <v>10</v>
      </c>
      <c r="C33" s="71"/>
      <c r="D33" s="71"/>
      <c r="E33" s="71"/>
      <c r="F33" s="71"/>
      <c r="N33" s="32"/>
      <c r="O33" s="32"/>
      <c r="P33" s="32"/>
      <c r="Q33" s="32"/>
      <c r="T33" s="32">
        <v>28</v>
      </c>
      <c r="U33" s="32">
        <f t="shared" si="0"/>
        <v>1050000</v>
      </c>
      <c r="Z33" s="41"/>
      <c r="AA33" s="41" t="s">
        <v>209</v>
      </c>
      <c r="AB33" s="41">
        <v>30</v>
      </c>
      <c r="AC33" s="50">
        <v>1200</v>
      </c>
      <c r="AD33" s="50">
        <f>IF(AB33="","",INDEX(道具信息!$K:$K,MATCH($AA33,道具信息!$D:$D,0))*AB33)</f>
        <v>3</v>
      </c>
      <c r="AE33" s="41"/>
      <c r="AF33" s="21"/>
      <c r="AG33" s="32">
        <f t="shared" si="4"/>
        <v>0.36</v>
      </c>
    </row>
    <row r="34" spans="1:34" x14ac:dyDescent="0.15">
      <c r="B34" s="41">
        <v>14</v>
      </c>
      <c r="C34" s="71"/>
      <c r="D34" s="71"/>
      <c r="E34" s="71"/>
      <c r="F34" s="71"/>
      <c r="N34" s="32"/>
      <c r="O34" s="32"/>
      <c r="P34" s="32"/>
      <c r="Q34" s="32"/>
      <c r="T34" s="32">
        <v>29</v>
      </c>
      <c r="U34" s="32">
        <f t="shared" si="0"/>
        <v>1100000</v>
      </c>
      <c r="Z34" s="41"/>
      <c r="AA34" s="41"/>
      <c r="AB34" s="41"/>
      <c r="AC34" s="41"/>
      <c r="AD34" s="50" t="str">
        <f>IF(AB34="","",INDEX(道具信息!$K:$K,MATCH($AA34,道具信息!$D:$D,0))*AB34)</f>
        <v/>
      </c>
      <c r="AE34" s="41"/>
      <c r="AF34" s="21"/>
    </row>
    <row r="35" spans="1:34" x14ac:dyDescent="0.15">
      <c r="B35" s="41">
        <v>16</v>
      </c>
      <c r="C35" s="71"/>
      <c r="D35" s="71"/>
      <c r="E35" s="71"/>
      <c r="F35" s="71"/>
      <c r="N35" s="32"/>
      <c r="O35" s="32"/>
      <c r="P35" s="32"/>
      <c r="Q35" s="32"/>
      <c r="T35" s="32">
        <v>30</v>
      </c>
      <c r="U35" s="32">
        <f t="shared" si="0"/>
        <v>1150000</v>
      </c>
      <c r="Z35" s="41"/>
      <c r="AA35" s="41"/>
      <c r="AB35" s="41"/>
      <c r="AC35" s="41"/>
      <c r="AD35" s="50" t="str">
        <f>IF(AB35="","",INDEX(道具信息!$K:$K,MATCH($AA35,道具信息!$D:$D,0))*AB35)</f>
        <v/>
      </c>
      <c r="AE35" s="41"/>
      <c r="AF35" s="21"/>
    </row>
    <row r="36" spans="1:34" x14ac:dyDescent="0.15">
      <c r="B36" s="41">
        <v>22</v>
      </c>
      <c r="C36" s="71"/>
      <c r="D36" s="71"/>
      <c r="E36" s="71"/>
      <c r="F36" s="71"/>
      <c r="N36" s="32"/>
      <c r="O36" s="32"/>
      <c r="P36" s="32"/>
      <c r="Q36" s="32"/>
      <c r="T36" s="32">
        <v>31</v>
      </c>
      <c r="U36" s="32">
        <f t="shared" si="0"/>
        <v>1200000</v>
      </c>
      <c r="Z36" s="41"/>
      <c r="AA36" s="41"/>
      <c r="AB36" s="41"/>
      <c r="AC36" s="41"/>
      <c r="AD36" s="50" t="str">
        <f>IF(AB36="","",INDEX(道具信息!$K:$K,MATCH($AA36,道具信息!$D:$D,0))*AB36)</f>
        <v/>
      </c>
      <c r="AE36" s="41"/>
      <c r="AF36" s="21">
        <f t="shared" ref="AF36" si="5">SUM(AC22:AC36)</f>
        <v>10000</v>
      </c>
    </row>
    <row r="37" spans="1:34" x14ac:dyDescent="0.15">
      <c r="A37" s="20" t="s">
        <v>272</v>
      </c>
      <c r="E37" s="61">
        <v>0.5</v>
      </c>
      <c r="N37" s="32"/>
      <c r="O37" s="32"/>
      <c r="P37" s="32"/>
      <c r="Q37" s="32"/>
      <c r="T37" s="32">
        <v>32</v>
      </c>
      <c r="U37" s="32">
        <f t="shared" si="0"/>
        <v>1250000</v>
      </c>
      <c r="Z37" s="38" t="s">
        <v>193</v>
      </c>
      <c r="AA37" s="39" t="s">
        <v>190</v>
      </c>
      <c r="AB37" s="39" t="s">
        <v>194</v>
      </c>
      <c r="AC37" s="39" t="s">
        <v>195</v>
      </c>
      <c r="AD37" s="39" t="s">
        <v>191</v>
      </c>
      <c r="AE37" s="39" t="s">
        <v>192</v>
      </c>
      <c r="AF37" s="21"/>
    </row>
    <row r="38" spans="1:34" x14ac:dyDescent="0.15">
      <c r="T38" s="32">
        <v>33</v>
      </c>
      <c r="U38" s="32">
        <f t="shared" ref="U38:U69" si="6">MAX($T38-$C$9+1,0)*$D$22</f>
        <v>1300000</v>
      </c>
      <c r="Z38" s="40" t="s">
        <v>172</v>
      </c>
      <c r="AA38" s="41" t="s">
        <v>158</v>
      </c>
      <c r="AB38" s="41">
        <v>100</v>
      </c>
      <c r="AC38" s="50">
        <v>100</v>
      </c>
      <c r="AD38" s="50">
        <f>IF(AB38="","",INDEX(道具信息!$K:$K,MATCH($AA38,道具信息!$D:$D,0))*AB38)</f>
        <v>100</v>
      </c>
      <c r="AE38" s="41">
        <f>SUMPRODUCT(AC38:AC52/SUM(AC38:AC52),AD38:AD52)</f>
        <v>31.16</v>
      </c>
      <c r="AF38" s="21"/>
      <c r="AG38" s="32">
        <f>AD38*AC38/10000</f>
        <v>1</v>
      </c>
    </row>
    <row r="39" spans="1:34" x14ac:dyDescent="0.15">
      <c r="T39" s="32">
        <v>34</v>
      </c>
      <c r="U39" s="32">
        <f t="shared" si="6"/>
        <v>1350000</v>
      </c>
      <c r="Z39" s="41"/>
      <c r="AA39" s="41" t="s">
        <v>158</v>
      </c>
      <c r="AB39" s="41">
        <v>30</v>
      </c>
      <c r="AC39" s="50">
        <v>900</v>
      </c>
      <c r="AD39" s="50">
        <f>IF(AB39="","",INDEX(道具信息!$K:$K,MATCH($AA39,道具信息!$D:$D,0))*AB39)</f>
        <v>30</v>
      </c>
      <c r="AE39" s="41"/>
      <c r="AF39" s="21"/>
      <c r="AG39" s="32">
        <f t="shared" ref="AG39:AG49" si="7">AD39*AC39/10000</f>
        <v>2.7</v>
      </c>
    </row>
    <row r="40" spans="1:34" x14ac:dyDescent="0.15">
      <c r="T40" s="32">
        <v>35</v>
      </c>
      <c r="U40" s="32">
        <f t="shared" si="6"/>
        <v>1400000</v>
      </c>
      <c r="Z40" s="41"/>
      <c r="AA40" s="41" t="s">
        <v>197</v>
      </c>
      <c r="AB40" s="41">
        <v>1</v>
      </c>
      <c r="AC40" s="50">
        <v>100</v>
      </c>
      <c r="AD40" s="50">
        <f>IF(AB40="","",INDEX(道具信息!$K:$K,MATCH($AA40,道具信息!$D:$D,0))*AB40)</f>
        <v>240</v>
      </c>
      <c r="AE40" s="41"/>
      <c r="AF40" s="21"/>
      <c r="AG40" s="32">
        <f t="shared" si="7"/>
        <v>2.4</v>
      </c>
    </row>
    <row r="41" spans="1:34" x14ac:dyDescent="0.15">
      <c r="C41" s="47"/>
      <c r="T41" s="32">
        <v>36</v>
      </c>
      <c r="U41" s="32">
        <f t="shared" si="6"/>
        <v>1450000</v>
      </c>
      <c r="Z41" s="41"/>
      <c r="AA41" s="41" t="s">
        <v>169</v>
      </c>
      <c r="AB41" s="41">
        <v>1</v>
      </c>
      <c r="AC41" s="50">
        <v>100</v>
      </c>
      <c r="AD41" s="50">
        <f>IF(AB41="","",INDEX(道具信息!$K:$K,MATCH($AA41,道具信息!$D:$D,0))*AB41)</f>
        <v>300</v>
      </c>
      <c r="AE41" s="41"/>
      <c r="AF41" s="21"/>
      <c r="AG41" s="32">
        <f t="shared" si="7"/>
        <v>3</v>
      </c>
    </row>
    <row r="42" spans="1:34" x14ac:dyDescent="0.15">
      <c r="T42" s="32">
        <v>37</v>
      </c>
      <c r="U42" s="32">
        <f t="shared" si="6"/>
        <v>1500000</v>
      </c>
      <c r="Z42" s="41"/>
      <c r="AA42" s="41" t="s">
        <v>199</v>
      </c>
      <c r="AB42" s="41">
        <v>3</v>
      </c>
      <c r="AC42" s="50">
        <v>1500</v>
      </c>
      <c r="AD42" s="50">
        <f>IF(AB42="","",INDEX(道具信息!$K:$K,MATCH($AA42,道具信息!$D:$D,0))*AB42)</f>
        <v>24</v>
      </c>
      <c r="AE42" s="41"/>
      <c r="AF42" s="21"/>
      <c r="AG42" s="32">
        <f t="shared" si="7"/>
        <v>3.6</v>
      </c>
    </row>
    <row r="43" spans="1:34" x14ac:dyDescent="0.15">
      <c r="T43" s="32">
        <v>38</v>
      </c>
      <c r="U43" s="32">
        <f t="shared" si="6"/>
        <v>1550000</v>
      </c>
      <c r="Z43" s="41"/>
      <c r="AA43" s="41" t="s">
        <v>204</v>
      </c>
      <c r="AB43" s="41">
        <v>1</v>
      </c>
      <c r="AC43" s="50">
        <v>500</v>
      </c>
      <c r="AD43" s="50">
        <f>IF(AB43="","",INDEX(道具信息!$K:$K,MATCH($AA43,道具信息!$D:$D,0))*AB43)</f>
        <v>72</v>
      </c>
      <c r="AE43" s="41"/>
      <c r="AF43" s="21"/>
      <c r="AG43" s="32">
        <f t="shared" si="7"/>
        <v>3.6</v>
      </c>
    </row>
    <row r="44" spans="1:34" x14ac:dyDescent="0.15">
      <c r="T44" s="32">
        <v>39</v>
      </c>
      <c r="U44" s="32">
        <f t="shared" si="6"/>
        <v>1600000</v>
      </c>
      <c r="Z44" s="41"/>
      <c r="AA44" s="41" t="s">
        <v>205</v>
      </c>
      <c r="AB44" s="41">
        <v>1</v>
      </c>
      <c r="AC44" s="50">
        <v>800</v>
      </c>
      <c r="AD44" s="50">
        <f>IF(AB44="","",INDEX(道具信息!$K:$K,MATCH($AA44,道具信息!$D:$D,0))*AB44)</f>
        <v>36</v>
      </c>
      <c r="AE44" s="41"/>
      <c r="AF44" s="21"/>
      <c r="AG44" s="32">
        <f t="shared" si="7"/>
        <v>2.88</v>
      </c>
    </row>
    <row r="45" spans="1:34" x14ac:dyDescent="0.15">
      <c r="T45" s="32">
        <v>40</v>
      </c>
      <c r="U45" s="32">
        <f t="shared" si="6"/>
        <v>1650000</v>
      </c>
      <c r="Z45" s="41"/>
      <c r="AA45" s="41" t="s">
        <v>203</v>
      </c>
      <c r="AB45" s="41">
        <v>3</v>
      </c>
      <c r="AC45" s="50">
        <v>2500</v>
      </c>
      <c r="AD45" s="50">
        <f>IF(AB45="","",INDEX(道具信息!$K:$K,MATCH($AA45,道具信息!$D:$D,0))*AB45)</f>
        <v>18</v>
      </c>
      <c r="AE45" s="41"/>
      <c r="AF45" s="21"/>
      <c r="AG45" s="32">
        <f t="shared" si="7"/>
        <v>4.5</v>
      </c>
    </row>
    <row r="46" spans="1:34" x14ac:dyDescent="0.15">
      <c r="T46" s="32">
        <v>41</v>
      </c>
      <c r="U46" s="32">
        <f t="shared" si="6"/>
        <v>1700000</v>
      </c>
      <c r="Z46" s="41"/>
      <c r="AA46" s="41" t="s">
        <v>201</v>
      </c>
      <c r="AB46" s="41">
        <v>2</v>
      </c>
      <c r="AC46" s="50">
        <v>500</v>
      </c>
      <c r="AD46" s="50">
        <f>IF(AB46="","",INDEX(道具信息!$K:$K,MATCH($AA46,道具信息!$D:$D,0))*AB46)</f>
        <v>100</v>
      </c>
      <c r="AE46" s="41"/>
      <c r="AF46" s="21"/>
      <c r="AG46" s="32">
        <f t="shared" si="7"/>
        <v>5</v>
      </c>
    </row>
    <row r="47" spans="1:34" x14ac:dyDescent="0.15">
      <c r="T47" s="32">
        <v>42</v>
      </c>
      <c r="U47" s="32">
        <f t="shared" si="6"/>
        <v>1750000</v>
      </c>
      <c r="Z47" s="41"/>
      <c r="AA47" s="41" t="s">
        <v>196</v>
      </c>
      <c r="AB47" s="41">
        <v>150</v>
      </c>
      <c r="AC47" s="50">
        <v>800</v>
      </c>
      <c r="AD47" s="50">
        <f>IF(AB47="","",INDEX(道具信息!$K:$K,MATCH($AA47,道具信息!$D:$D,0))*AB47)</f>
        <v>15</v>
      </c>
      <c r="AE47" s="41"/>
      <c r="AF47" s="21"/>
      <c r="AG47" s="32">
        <f t="shared" si="7"/>
        <v>1.2</v>
      </c>
      <c r="AH47" s="21"/>
    </row>
    <row r="48" spans="1:34" x14ac:dyDescent="0.15">
      <c r="T48" s="32">
        <v>43</v>
      </c>
      <c r="U48" s="32">
        <f t="shared" si="6"/>
        <v>1800000</v>
      </c>
      <c r="Z48" s="41"/>
      <c r="AA48" s="41" t="s">
        <v>196</v>
      </c>
      <c r="AB48" s="41">
        <v>80</v>
      </c>
      <c r="AC48" s="50">
        <v>1000</v>
      </c>
      <c r="AD48" s="50">
        <f>IF(AB48="","",INDEX(道具信息!$K:$K,MATCH($AA48,道具信息!$D:$D,0))*AB48)</f>
        <v>8</v>
      </c>
      <c r="AE48" s="41"/>
      <c r="AF48" s="21"/>
      <c r="AG48" s="32">
        <f t="shared" si="7"/>
        <v>0.8</v>
      </c>
    </row>
    <row r="49" spans="20:33" x14ac:dyDescent="0.15">
      <c r="T49" s="32">
        <v>44</v>
      </c>
      <c r="U49" s="32">
        <f t="shared" si="6"/>
        <v>1850000</v>
      </c>
      <c r="Z49" s="41"/>
      <c r="AA49" s="41" t="s">
        <v>196</v>
      </c>
      <c r="AB49" s="41">
        <v>40</v>
      </c>
      <c r="AC49" s="50">
        <v>1200</v>
      </c>
      <c r="AD49" s="50">
        <f>IF(AB49="","",INDEX(道具信息!$K:$K,MATCH($AA49,道具信息!$D:$D,0))*AB49)</f>
        <v>4</v>
      </c>
      <c r="AE49" s="41"/>
      <c r="AF49" s="21"/>
      <c r="AG49" s="32">
        <f t="shared" si="7"/>
        <v>0.48</v>
      </c>
    </row>
    <row r="50" spans="20:33" x14ac:dyDescent="0.15">
      <c r="T50" s="32">
        <v>45</v>
      </c>
      <c r="U50" s="32">
        <f t="shared" si="6"/>
        <v>1900000</v>
      </c>
      <c r="Z50" s="41"/>
      <c r="AA50" s="41"/>
      <c r="AB50" s="41"/>
      <c r="AC50" s="41"/>
      <c r="AD50" s="50" t="str">
        <f>IF(AB50="","",INDEX(道具信息!$K:$K,MATCH($AA50,道具信息!$D:$D,0))*AB50)</f>
        <v/>
      </c>
      <c r="AE50" s="41"/>
      <c r="AF50" s="21"/>
    </row>
    <row r="51" spans="20:33" x14ac:dyDescent="0.15">
      <c r="T51" s="32">
        <v>46</v>
      </c>
      <c r="U51" s="32">
        <f t="shared" si="6"/>
        <v>1950000</v>
      </c>
      <c r="Z51" s="41"/>
      <c r="AA51" s="41"/>
      <c r="AB51" s="41"/>
      <c r="AC51" s="41"/>
      <c r="AD51" s="50" t="str">
        <f>IF(AB51="","",INDEX(道具信息!$K:$K,MATCH($AA51,道具信息!$D:$D,0))*AB51)</f>
        <v/>
      </c>
      <c r="AE51" s="41"/>
      <c r="AF51" s="21"/>
    </row>
    <row r="52" spans="20:33" x14ac:dyDescent="0.15">
      <c r="T52" s="32">
        <v>47</v>
      </c>
      <c r="U52" s="32">
        <f t="shared" si="6"/>
        <v>2000000</v>
      </c>
      <c r="Z52" s="41"/>
      <c r="AA52" s="41"/>
      <c r="AB52" s="41"/>
      <c r="AC52" s="41"/>
      <c r="AD52" s="50" t="str">
        <f>IF(AB52="","",INDEX(道具信息!$K:$K,MATCH($AA52,道具信息!$D:$D,0))*AB52)</f>
        <v/>
      </c>
      <c r="AE52" s="41"/>
      <c r="AF52" s="21">
        <f t="shared" ref="AF52" si="8">SUM(AC38:AC52)</f>
        <v>10000</v>
      </c>
    </row>
    <row r="53" spans="20:33" x14ac:dyDescent="0.15">
      <c r="T53" s="32">
        <v>48</v>
      </c>
      <c r="U53" s="32">
        <f t="shared" si="6"/>
        <v>2050000</v>
      </c>
      <c r="Z53" s="38" t="s">
        <v>193</v>
      </c>
      <c r="AA53" s="39" t="s">
        <v>190</v>
      </c>
      <c r="AB53" s="39" t="s">
        <v>194</v>
      </c>
      <c r="AC53" s="39" t="s">
        <v>195</v>
      </c>
      <c r="AD53" s="39" t="s">
        <v>191</v>
      </c>
      <c r="AE53" s="39" t="s">
        <v>192</v>
      </c>
      <c r="AF53" s="21"/>
    </row>
    <row r="54" spans="20:33" x14ac:dyDescent="0.15">
      <c r="T54" s="32">
        <v>49</v>
      </c>
      <c r="U54" s="32">
        <f t="shared" si="6"/>
        <v>2100000</v>
      </c>
      <c r="Z54" s="40" t="s">
        <v>175</v>
      </c>
      <c r="AA54" s="41" t="s">
        <v>158</v>
      </c>
      <c r="AB54" s="41">
        <v>150</v>
      </c>
      <c r="AC54" s="50">
        <v>100</v>
      </c>
      <c r="AD54" s="50">
        <f>IF(AB54="","",INDEX(道具信息!$K:$K,MATCH($AA54,道具信息!$D:$D,0))*AB54)</f>
        <v>150</v>
      </c>
      <c r="AE54" s="41">
        <f>SUMPRODUCT(AC54:AC68/SUM(AC54:AC68),AD54:AD68)</f>
        <v>42.08</v>
      </c>
      <c r="AF54" s="21"/>
      <c r="AG54" s="32">
        <f>AD54*AC54/10000</f>
        <v>1.5</v>
      </c>
    </row>
    <row r="55" spans="20:33" x14ac:dyDescent="0.15">
      <c r="T55" s="32">
        <v>50</v>
      </c>
      <c r="U55" s="32">
        <f t="shared" si="6"/>
        <v>2150000</v>
      </c>
      <c r="Z55" s="41"/>
      <c r="AA55" s="41" t="s">
        <v>158</v>
      </c>
      <c r="AB55" s="41">
        <v>50</v>
      </c>
      <c r="AC55" s="50">
        <v>900</v>
      </c>
      <c r="AD55" s="50">
        <f>IF(AB55="","",INDEX(道具信息!$K:$K,MATCH($AA55,道具信息!$D:$D,0))*AB55)</f>
        <v>50</v>
      </c>
      <c r="AE55" s="41"/>
      <c r="AF55" s="21"/>
      <c r="AG55" s="32">
        <f t="shared" ref="AG55:AG65" si="9">AD55*AC55/10000</f>
        <v>4.5</v>
      </c>
    </row>
    <row r="56" spans="20:33" x14ac:dyDescent="0.15">
      <c r="T56" s="32">
        <v>51</v>
      </c>
      <c r="U56" s="32">
        <f t="shared" si="6"/>
        <v>2200000</v>
      </c>
      <c r="Z56" s="41"/>
      <c r="AA56" s="41" t="s">
        <v>197</v>
      </c>
      <c r="AB56" s="41">
        <v>1</v>
      </c>
      <c r="AC56" s="50">
        <v>100</v>
      </c>
      <c r="AD56" s="50">
        <f>IF(AB56="","",INDEX(道具信息!$K:$K,MATCH($AA56,道具信息!$D:$D,0))*AB56)</f>
        <v>240</v>
      </c>
      <c r="AE56" s="41"/>
      <c r="AF56" s="21"/>
      <c r="AG56" s="32">
        <f t="shared" si="9"/>
        <v>2.4</v>
      </c>
    </row>
    <row r="57" spans="20:33" x14ac:dyDescent="0.15">
      <c r="T57" s="32">
        <v>52</v>
      </c>
      <c r="U57" s="32">
        <f t="shared" si="6"/>
        <v>2250000</v>
      </c>
      <c r="Z57" s="41"/>
      <c r="AA57" s="41" t="s">
        <v>169</v>
      </c>
      <c r="AB57" s="41">
        <v>1</v>
      </c>
      <c r="AC57" s="50">
        <v>100</v>
      </c>
      <c r="AD57" s="50">
        <f>IF(AB57="","",INDEX(道具信息!$K:$K,MATCH($AA57,道具信息!$D:$D,0))*AB57)</f>
        <v>300</v>
      </c>
      <c r="AE57" s="41"/>
      <c r="AF57" s="21"/>
      <c r="AG57" s="32">
        <f t="shared" si="9"/>
        <v>3</v>
      </c>
    </row>
    <row r="58" spans="20:33" x14ac:dyDescent="0.15">
      <c r="T58" s="32">
        <v>53</v>
      </c>
      <c r="U58" s="32">
        <f t="shared" si="6"/>
        <v>2300000</v>
      </c>
      <c r="Z58" s="41"/>
      <c r="AA58" s="41" t="s">
        <v>199</v>
      </c>
      <c r="AB58" s="41">
        <v>5</v>
      </c>
      <c r="AC58" s="50">
        <v>1500</v>
      </c>
      <c r="AD58" s="50">
        <f>IF(AB58="","",INDEX(道具信息!$K:$K,MATCH($AA58,道具信息!$D:$D,0))*AB58)</f>
        <v>40</v>
      </c>
      <c r="AE58" s="41"/>
      <c r="AF58" s="21"/>
      <c r="AG58" s="32">
        <f t="shared" si="9"/>
        <v>6</v>
      </c>
    </row>
    <row r="59" spans="20:33" x14ac:dyDescent="0.15">
      <c r="T59" s="32">
        <v>54</v>
      </c>
      <c r="U59" s="32">
        <f t="shared" si="6"/>
        <v>2350000</v>
      </c>
      <c r="Z59" s="41"/>
      <c r="AA59" s="41" t="s">
        <v>204</v>
      </c>
      <c r="AB59" s="41">
        <v>1</v>
      </c>
      <c r="AC59" s="50">
        <v>500</v>
      </c>
      <c r="AD59" s="50">
        <f>IF(AB59="","",INDEX(道具信息!$K:$K,MATCH($AA59,道具信息!$D:$D,0))*AB59)</f>
        <v>72</v>
      </c>
      <c r="AE59" s="41"/>
      <c r="AF59" s="21"/>
      <c r="AG59" s="32">
        <f t="shared" si="9"/>
        <v>3.6</v>
      </c>
    </row>
    <row r="60" spans="20:33" x14ac:dyDescent="0.15">
      <c r="T60" s="32">
        <v>55</v>
      </c>
      <c r="U60" s="32">
        <f t="shared" si="6"/>
        <v>2400000</v>
      </c>
      <c r="Z60" s="41"/>
      <c r="AA60" s="41" t="s">
        <v>205</v>
      </c>
      <c r="AB60" s="41">
        <v>1</v>
      </c>
      <c r="AC60" s="50">
        <v>800</v>
      </c>
      <c r="AD60" s="50">
        <f>IF(AB60="","",INDEX(道具信息!$K:$K,MATCH($AA60,道具信息!$D:$D,0))*AB60)</f>
        <v>36</v>
      </c>
      <c r="AE60" s="41"/>
      <c r="AF60" s="21"/>
      <c r="AG60" s="32">
        <f t="shared" si="9"/>
        <v>2.88</v>
      </c>
    </row>
    <row r="61" spans="20:33" x14ac:dyDescent="0.15">
      <c r="T61" s="32">
        <v>56</v>
      </c>
      <c r="U61" s="32">
        <f t="shared" si="6"/>
        <v>2450000</v>
      </c>
      <c r="Z61" s="41"/>
      <c r="AA61" s="41" t="s">
        <v>203</v>
      </c>
      <c r="AB61" s="41">
        <v>5</v>
      </c>
      <c r="AC61" s="50">
        <v>2500</v>
      </c>
      <c r="AD61" s="50">
        <f>IF(AB61="","",INDEX(道具信息!$K:$K,MATCH($AA61,道具信息!$D:$D,0))*AB61)</f>
        <v>30</v>
      </c>
      <c r="AE61" s="41"/>
      <c r="AF61" s="21"/>
      <c r="AG61" s="32">
        <f t="shared" si="9"/>
        <v>7.5</v>
      </c>
    </row>
    <row r="62" spans="20:33" x14ac:dyDescent="0.15">
      <c r="T62" s="32">
        <v>57</v>
      </c>
      <c r="U62" s="32">
        <f t="shared" si="6"/>
        <v>2500000</v>
      </c>
      <c r="Z62" s="41"/>
      <c r="AA62" s="41" t="s">
        <v>201</v>
      </c>
      <c r="AB62" s="41">
        <v>3</v>
      </c>
      <c r="AC62" s="50">
        <v>500</v>
      </c>
      <c r="AD62" s="50">
        <f>IF(AB62="","",INDEX(道具信息!$K:$K,MATCH($AA62,道具信息!$D:$D,0))*AB62)</f>
        <v>150</v>
      </c>
      <c r="AE62" s="41"/>
      <c r="AF62" s="21"/>
      <c r="AG62" s="32">
        <f t="shared" si="9"/>
        <v>7.5</v>
      </c>
    </row>
    <row r="63" spans="20:33" x14ac:dyDescent="0.15">
      <c r="T63" s="32">
        <v>58</v>
      </c>
      <c r="U63" s="32">
        <f t="shared" si="6"/>
        <v>2550000</v>
      </c>
      <c r="Z63" s="41"/>
      <c r="AA63" s="41" t="s">
        <v>196</v>
      </c>
      <c r="AB63" s="41">
        <v>200</v>
      </c>
      <c r="AC63" s="50">
        <v>800</v>
      </c>
      <c r="AD63" s="50">
        <f>IF(AB63="","",INDEX(道具信息!$K:$K,MATCH($AA63,道具信息!$D:$D,0))*AB63)</f>
        <v>20</v>
      </c>
      <c r="AE63" s="41"/>
      <c r="AF63" s="21"/>
      <c r="AG63" s="32">
        <f t="shared" si="9"/>
        <v>1.6</v>
      </c>
    </row>
    <row r="64" spans="20:33" x14ac:dyDescent="0.15">
      <c r="T64" s="32">
        <v>59</v>
      </c>
      <c r="U64" s="32">
        <f t="shared" si="6"/>
        <v>2600000</v>
      </c>
      <c r="Z64" s="41"/>
      <c r="AA64" s="41" t="s">
        <v>196</v>
      </c>
      <c r="AB64" s="41">
        <v>100</v>
      </c>
      <c r="AC64" s="50">
        <v>1000</v>
      </c>
      <c r="AD64" s="50">
        <f>IF(AB64="","",INDEX(道具信息!$K:$K,MATCH($AA64,道具信息!$D:$D,0))*AB64)</f>
        <v>10</v>
      </c>
      <c r="AE64" s="41"/>
      <c r="AF64" s="21"/>
      <c r="AG64" s="32">
        <f t="shared" si="9"/>
        <v>1</v>
      </c>
    </row>
    <row r="65" spans="20:33" x14ac:dyDescent="0.15">
      <c r="T65" s="32">
        <v>60</v>
      </c>
      <c r="U65" s="32">
        <f t="shared" si="6"/>
        <v>2650000</v>
      </c>
      <c r="Z65" s="41"/>
      <c r="AA65" s="41" t="s">
        <v>196</v>
      </c>
      <c r="AB65" s="41">
        <v>50</v>
      </c>
      <c r="AC65" s="50">
        <v>1200</v>
      </c>
      <c r="AD65" s="50">
        <f>IF(AB65="","",INDEX(道具信息!$K:$K,MATCH($AA65,道具信息!$D:$D,0))*AB65)</f>
        <v>5</v>
      </c>
      <c r="AE65" s="41"/>
      <c r="AF65" s="21"/>
      <c r="AG65" s="32">
        <f t="shared" si="9"/>
        <v>0.6</v>
      </c>
    </row>
    <row r="66" spans="20:33" x14ac:dyDescent="0.15">
      <c r="T66" s="32">
        <v>61</v>
      </c>
      <c r="U66" s="32">
        <f t="shared" si="6"/>
        <v>2700000</v>
      </c>
      <c r="Z66" s="41"/>
      <c r="AA66" s="41"/>
      <c r="AB66" s="41"/>
      <c r="AC66" s="41"/>
      <c r="AD66" s="50" t="str">
        <f>IF(AB66="","",INDEX(道具信息!$K:$K,MATCH($AA66,道具信息!$D:$D,0))*AB66)</f>
        <v/>
      </c>
      <c r="AE66" s="41"/>
      <c r="AF66" s="21"/>
    </row>
    <row r="67" spans="20:33" x14ac:dyDescent="0.15">
      <c r="T67" s="32">
        <v>62</v>
      </c>
      <c r="U67" s="32">
        <f t="shared" si="6"/>
        <v>2750000</v>
      </c>
      <c r="Z67" s="41"/>
      <c r="AA67" s="41"/>
      <c r="AB67" s="41"/>
      <c r="AC67" s="41"/>
      <c r="AD67" s="50" t="str">
        <f>IF(AB67="","",INDEX(道具信息!$K:$K,MATCH($AA67,道具信息!$D:$D,0))*AB67)</f>
        <v/>
      </c>
      <c r="AE67" s="41"/>
      <c r="AF67" s="21"/>
    </row>
    <row r="68" spans="20:33" x14ac:dyDescent="0.15">
      <c r="T68" s="32">
        <v>63</v>
      </c>
      <c r="U68" s="32">
        <f t="shared" si="6"/>
        <v>2800000</v>
      </c>
      <c r="Z68" s="41"/>
      <c r="AA68" s="41"/>
      <c r="AB68" s="41"/>
      <c r="AC68" s="41"/>
      <c r="AD68" s="50" t="str">
        <f>IF(AB68="","",INDEX(道具信息!$K:$K,MATCH($AA68,道具信息!$D:$D,0))*AB68)</f>
        <v/>
      </c>
      <c r="AE68" s="41"/>
      <c r="AF68" s="21">
        <f t="shared" ref="AF68" si="10">SUM(AC54:AC68)</f>
        <v>10000</v>
      </c>
    </row>
    <row r="69" spans="20:33" x14ac:dyDescent="0.15">
      <c r="T69" s="32">
        <v>64</v>
      </c>
      <c r="U69" s="32">
        <f t="shared" si="6"/>
        <v>2850000</v>
      </c>
      <c r="Z69" s="38" t="s">
        <v>193</v>
      </c>
      <c r="AA69" s="39" t="s">
        <v>190</v>
      </c>
      <c r="AB69" s="39" t="s">
        <v>194</v>
      </c>
      <c r="AC69" s="39" t="s">
        <v>195</v>
      </c>
      <c r="AD69" s="39" t="s">
        <v>191</v>
      </c>
      <c r="AE69" s="39" t="s">
        <v>192</v>
      </c>
      <c r="AF69" s="21"/>
    </row>
    <row r="70" spans="20:33" x14ac:dyDescent="0.15">
      <c r="T70" s="32">
        <v>65</v>
      </c>
      <c r="U70" s="32">
        <f t="shared" ref="U70:U105" si="11">MAX($T70-$C$9+1,0)*$D$22</f>
        <v>2900000</v>
      </c>
      <c r="Z70" s="40" t="s">
        <v>176</v>
      </c>
      <c r="AA70" s="41" t="s">
        <v>158</v>
      </c>
      <c r="AB70" s="41">
        <v>200</v>
      </c>
      <c r="AC70" s="50">
        <v>100</v>
      </c>
      <c r="AD70" s="50">
        <f>IF(AB70="","",INDEX(道具信息!$K:$K,MATCH($AA70,道具信息!$D:$D,0))*AB70)</f>
        <v>200</v>
      </c>
      <c r="AE70" s="41">
        <f>SUMPRODUCT(AC70:AC84/SUM(AC70:AC84),AD70:AD84)</f>
        <v>54.140000000000008</v>
      </c>
      <c r="AF70" s="21"/>
      <c r="AG70" s="32">
        <f>AD70*AC70/10000</f>
        <v>2</v>
      </c>
    </row>
    <row r="71" spans="20:33" x14ac:dyDescent="0.15">
      <c r="T71" s="32">
        <v>66</v>
      </c>
      <c r="U71" s="32">
        <f t="shared" si="11"/>
        <v>2950000</v>
      </c>
      <c r="Z71" s="41"/>
      <c r="AA71" s="41" t="s">
        <v>158</v>
      </c>
      <c r="AB71" s="41">
        <v>80</v>
      </c>
      <c r="AC71" s="50">
        <v>900</v>
      </c>
      <c r="AD71" s="50">
        <f>IF(AB71="","",INDEX(道具信息!$K:$K,MATCH($AA71,道具信息!$D:$D,0))*AB71)</f>
        <v>80</v>
      </c>
      <c r="AE71" s="41"/>
      <c r="AF71" s="21"/>
      <c r="AG71" s="32">
        <f t="shared" ref="AG71:AG81" si="12">AD71*AC71/10000</f>
        <v>7.2</v>
      </c>
    </row>
    <row r="72" spans="20:33" x14ac:dyDescent="0.15">
      <c r="T72" s="32">
        <v>67</v>
      </c>
      <c r="U72" s="32">
        <f t="shared" si="11"/>
        <v>3000000</v>
      </c>
      <c r="Z72" s="41"/>
      <c r="AA72" s="41" t="s">
        <v>197</v>
      </c>
      <c r="AB72" s="41">
        <v>1</v>
      </c>
      <c r="AC72" s="50">
        <v>100</v>
      </c>
      <c r="AD72" s="50">
        <f>IF(AB72="","",INDEX(道具信息!$K:$K,MATCH($AA72,道具信息!$D:$D,0))*AB72)</f>
        <v>240</v>
      </c>
      <c r="AE72" s="41"/>
      <c r="AF72" s="21"/>
      <c r="AG72" s="32">
        <f t="shared" si="12"/>
        <v>2.4</v>
      </c>
    </row>
    <row r="73" spans="20:33" x14ac:dyDescent="0.15">
      <c r="T73" s="32">
        <v>68</v>
      </c>
      <c r="U73" s="32">
        <f t="shared" si="11"/>
        <v>3050000</v>
      </c>
      <c r="Z73" s="41"/>
      <c r="AA73" s="41" t="s">
        <v>169</v>
      </c>
      <c r="AB73" s="41">
        <v>1</v>
      </c>
      <c r="AC73" s="50">
        <v>100</v>
      </c>
      <c r="AD73" s="50">
        <f>IF(AB73="","",INDEX(道具信息!$K:$K,MATCH($AA73,道具信息!$D:$D,0))*AB73)</f>
        <v>300</v>
      </c>
      <c r="AE73" s="41"/>
      <c r="AF73" s="21"/>
      <c r="AG73" s="32">
        <f t="shared" si="12"/>
        <v>3</v>
      </c>
    </row>
    <row r="74" spans="20:33" x14ac:dyDescent="0.15">
      <c r="T74" s="32">
        <v>69</v>
      </c>
      <c r="U74" s="32">
        <f t="shared" si="11"/>
        <v>3100000</v>
      </c>
      <c r="Z74" s="41"/>
      <c r="AA74" s="41" t="s">
        <v>199</v>
      </c>
      <c r="AB74" s="41">
        <v>7</v>
      </c>
      <c r="AC74" s="50">
        <v>1500</v>
      </c>
      <c r="AD74" s="50">
        <f>IF(AB74="","",INDEX(道具信息!$K:$K,MATCH($AA74,道具信息!$D:$D,0))*AB74)</f>
        <v>56</v>
      </c>
      <c r="AE74" s="41"/>
      <c r="AF74" s="21"/>
      <c r="AG74" s="32">
        <f t="shared" si="12"/>
        <v>8.4</v>
      </c>
    </row>
    <row r="75" spans="20:33" x14ac:dyDescent="0.15">
      <c r="T75" s="32">
        <v>70</v>
      </c>
      <c r="U75" s="32">
        <f t="shared" si="11"/>
        <v>3150000</v>
      </c>
      <c r="Z75" s="41"/>
      <c r="AA75" s="41" t="s">
        <v>204</v>
      </c>
      <c r="AB75" s="41">
        <v>1</v>
      </c>
      <c r="AC75" s="50">
        <v>500</v>
      </c>
      <c r="AD75" s="50">
        <f>IF(AB75="","",INDEX(道具信息!$K:$K,MATCH($AA75,道具信息!$D:$D,0))*AB75)</f>
        <v>72</v>
      </c>
      <c r="AE75" s="41"/>
      <c r="AF75" s="21"/>
      <c r="AG75" s="32">
        <f t="shared" si="12"/>
        <v>3.6</v>
      </c>
    </row>
    <row r="76" spans="20:33" x14ac:dyDescent="0.15">
      <c r="T76" s="32">
        <v>71</v>
      </c>
      <c r="U76" s="32">
        <f t="shared" si="11"/>
        <v>3200000</v>
      </c>
      <c r="Z76" s="41"/>
      <c r="AA76" s="41" t="s">
        <v>205</v>
      </c>
      <c r="AB76" s="41">
        <v>1</v>
      </c>
      <c r="AC76" s="50">
        <v>800</v>
      </c>
      <c r="AD76" s="50">
        <f>IF(AB76="","",INDEX(道具信息!$K:$K,MATCH($AA76,道具信息!$D:$D,0))*AB76)</f>
        <v>36</v>
      </c>
      <c r="AE76" s="41"/>
      <c r="AF76" s="21"/>
      <c r="AG76" s="32">
        <f t="shared" si="12"/>
        <v>2.88</v>
      </c>
    </row>
    <row r="77" spans="20:33" x14ac:dyDescent="0.15">
      <c r="T77" s="32">
        <v>72</v>
      </c>
      <c r="U77" s="32">
        <f t="shared" si="11"/>
        <v>3250000</v>
      </c>
      <c r="Z77" s="41"/>
      <c r="AA77" s="41" t="s">
        <v>203</v>
      </c>
      <c r="AB77" s="41">
        <v>7</v>
      </c>
      <c r="AC77" s="50">
        <v>2500</v>
      </c>
      <c r="AD77" s="50">
        <f>IF(AB77="","",INDEX(道具信息!$K:$K,MATCH($AA77,道具信息!$D:$D,0))*AB77)</f>
        <v>42</v>
      </c>
      <c r="AE77" s="41"/>
      <c r="AF77" s="21"/>
      <c r="AG77" s="32">
        <f t="shared" si="12"/>
        <v>10.5</v>
      </c>
    </row>
    <row r="78" spans="20:33" x14ac:dyDescent="0.15">
      <c r="T78" s="32">
        <v>73</v>
      </c>
      <c r="U78" s="32">
        <f t="shared" si="11"/>
        <v>3300000</v>
      </c>
      <c r="Z78" s="41"/>
      <c r="AA78" s="41" t="s">
        <v>201</v>
      </c>
      <c r="AB78" s="41">
        <v>4</v>
      </c>
      <c r="AC78" s="50">
        <v>500</v>
      </c>
      <c r="AD78" s="50">
        <f>IF(AB78="","",INDEX(道具信息!$K:$K,MATCH($AA78,道具信息!$D:$D,0))*AB78)</f>
        <v>200</v>
      </c>
      <c r="AE78" s="41"/>
      <c r="AF78" s="21"/>
      <c r="AG78" s="32">
        <f t="shared" si="12"/>
        <v>10</v>
      </c>
    </row>
    <row r="79" spans="20:33" x14ac:dyDescent="0.15">
      <c r="T79" s="32">
        <v>74</v>
      </c>
      <c r="U79" s="32">
        <f t="shared" si="11"/>
        <v>3350000</v>
      </c>
      <c r="Z79" s="41"/>
      <c r="AA79" s="41" t="s">
        <v>196</v>
      </c>
      <c r="AB79" s="41">
        <v>250</v>
      </c>
      <c r="AC79" s="50">
        <v>800</v>
      </c>
      <c r="AD79" s="50">
        <f>IF(AB79="","",INDEX(道具信息!$K:$K,MATCH($AA79,道具信息!$D:$D,0))*AB79)</f>
        <v>25</v>
      </c>
      <c r="AE79" s="41"/>
      <c r="AF79" s="21"/>
      <c r="AG79" s="32">
        <f t="shared" si="12"/>
        <v>2</v>
      </c>
    </row>
    <row r="80" spans="20:33" x14ac:dyDescent="0.15">
      <c r="T80" s="32">
        <v>75</v>
      </c>
      <c r="U80" s="32">
        <f t="shared" si="11"/>
        <v>3400000</v>
      </c>
      <c r="Z80" s="41"/>
      <c r="AA80" s="41" t="s">
        <v>196</v>
      </c>
      <c r="AB80" s="41">
        <v>120</v>
      </c>
      <c r="AC80" s="50">
        <v>1000</v>
      </c>
      <c r="AD80" s="50">
        <f>IF(AB80="","",INDEX(道具信息!$K:$K,MATCH($AA80,道具信息!$D:$D,0))*AB80)</f>
        <v>12</v>
      </c>
      <c r="AE80" s="41"/>
      <c r="AF80" s="21"/>
      <c r="AG80" s="32">
        <f t="shared" si="12"/>
        <v>1.2</v>
      </c>
    </row>
    <row r="81" spans="20:35" x14ac:dyDescent="0.15">
      <c r="T81" s="32">
        <v>76</v>
      </c>
      <c r="U81" s="32">
        <f t="shared" si="11"/>
        <v>3450000</v>
      </c>
      <c r="Z81" s="41"/>
      <c r="AA81" s="41" t="s">
        <v>196</v>
      </c>
      <c r="AB81" s="41">
        <v>80</v>
      </c>
      <c r="AC81" s="50">
        <v>1200</v>
      </c>
      <c r="AD81" s="50">
        <f>IF(AB81="","",INDEX(道具信息!$K:$K,MATCH($AA81,道具信息!$D:$D,0))*AB81)</f>
        <v>8</v>
      </c>
      <c r="AE81" s="41"/>
      <c r="AF81" s="21"/>
      <c r="AG81" s="32">
        <f t="shared" si="12"/>
        <v>0.96</v>
      </c>
    </row>
    <row r="82" spans="20:35" x14ac:dyDescent="0.15">
      <c r="T82" s="32">
        <v>77</v>
      </c>
      <c r="U82" s="32">
        <f t="shared" si="11"/>
        <v>3500000</v>
      </c>
      <c r="Z82" s="41"/>
      <c r="AA82" s="41"/>
      <c r="AB82" s="41"/>
      <c r="AC82" s="41"/>
      <c r="AD82" s="50" t="str">
        <f>IF(AB82="","",INDEX(道具信息!$K:$K,MATCH($AA82,道具信息!$D:$D,0))*AB82)</f>
        <v/>
      </c>
      <c r="AE82" s="41"/>
      <c r="AF82" s="21"/>
    </row>
    <row r="83" spans="20:35" x14ac:dyDescent="0.15">
      <c r="T83" s="32">
        <v>78</v>
      </c>
      <c r="U83" s="32">
        <f t="shared" si="11"/>
        <v>3550000</v>
      </c>
      <c r="Z83" s="41"/>
      <c r="AA83" s="41"/>
      <c r="AB83" s="41"/>
      <c r="AC83" s="41"/>
      <c r="AD83" s="50" t="str">
        <f>IF(AB83="","",INDEX(道具信息!$K:$K,MATCH($AA83,道具信息!$D:$D,0))*AB83)</f>
        <v/>
      </c>
      <c r="AE83" s="41"/>
      <c r="AF83" s="21"/>
    </row>
    <row r="84" spans="20:35" x14ac:dyDescent="0.15">
      <c r="T84" s="32">
        <v>79</v>
      </c>
      <c r="U84" s="32">
        <f t="shared" si="11"/>
        <v>3600000</v>
      </c>
      <c r="Z84" s="41"/>
      <c r="AA84" s="41"/>
      <c r="AB84" s="41"/>
      <c r="AC84" s="41"/>
      <c r="AD84" s="50" t="str">
        <f>IF(AB84="","",INDEX(道具信息!$K:$K,MATCH($AA84,道具信息!$D:$D,0))*AB84)</f>
        <v/>
      </c>
      <c r="AE84" s="41"/>
      <c r="AF84" s="21">
        <f t="shared" ref="AF84" si="13">SUM(AC70:AC84)</f>
        <v>10000</v>
      </c>
    </row>
    <row r="85" spans="20:35" x14ac:dyDescent="0.15">
      <c r="T85" s="32">
        <v>80</v>
      </c>
      <c r="U85" s="32">
        <f t="shared" si="11"/>
        <v>3650000</v>
      </c>
      <c r="Z85" s="38" t="s">
        <v>193</v>
      </c>
      <c r="AA85" s="39" t="s">
        <v>190</v>
      </c>
      <c r="AB85" s="39" t="s">
        <v>194</v>
      </c>
      <c r="AC85" s="39" t="s">
        <v>195</v>
      </c>
      <c r="AD85" s="39" t="s">
        <v>191</v>
      </c>
      <c r="AE85" s="39" t="s">
        <v>192</v>
      </c>
      <c r="AF85" s="21"/>
    </row>
    <row r="86" spans="20:35" x14ac:dyDescent="0.15">
      <c r="T86" s="32">
        <v>81</v>
      </c>
      <c r="U86" s="32">
        <f t="shared" si="11"/>
        <v>3700000</v>
      </c>
      <c r="Z86" s="40" t="s">
        <v>177</v>
      </c>
      <c r="AA86" s="41" t="s">
        <v>158</v>
      </c>
      <c r="AB86" s="41">
        <v>300</v>
      </c>
      <c r="AC86" s="50">
        <v>100</v>
      </c>
      <c r="AD86" s="50">
        <f>IF(AB86="","",INDEX(道具信息!$K:$K,MATCH($AA86,道具信息!$D:$D,0))*AB86)</f>
        <v>300</v>
      </c>
      <c r="AE86" s="41">
        <f>SUMPRODUCT(AC86:AC100/SUM(AC86:AC100),AD86:AD100)</f>
        <v>63.080000000000005</v>
      </c>
      <c r="AF86" s="21"/>
      <c r="AG86" s="32">
        <f>AD86*AC86/10000</f>
        <v>3</v>
      </c>
    </row>
    <row r="87" spans="20:35" x14ac:dyDescent="0.15">
      <c r="T87" s="32">
        <v>82</v>
      </c>
      <c r="U87" s="32">
        <f t="shared" si="11"/>
        <v>3750000</v>
      </c>
      <c r="Z87" s="41"/>
      <c r="AA87" s="41" t="s">
        <v>158</v>
      </c>
      <c r="AB87" s="41">
        <v>100</v>
      </c>
      <c r="AC87" s="50">
        <v>900</v>
      </c>
      <c r="AD87" s="50">
        <f>IF(AB87="","",INDEX(道具信息!$K:$K,MATCH($AA87,道具信息!$D:$D,0))*AB87)</f>
        <v>100</v>
      </c>
      <c r="AE87" s="41"/>
      <c r="AF87" s="21"/>
      <c r="AG87" s="32">
        <f t="shared" ref="AG87:AG97" si="14">AD87*AC87/10000</f>
        <v>9</v>
      </c>
    </row>
    <row r="88" spans="20:35" x14ac:dyDescent="0.15">
      <c r="T88" s="32">
        <v>83</v>
      </c>
      <c r="U88" s="32">
        <f t="shared" si="11"/>
        <v>3800000</v>
      </c>
      <c r="Z88" s="41"/>
      <c r="AA88" s="41" t="s">
        <v>197</v>
      </c>
      <c r="AB88" s="41">
        <v>1</v>
      </c>
      <c r="AC88" s="50">
        <v>100</v>
      </c>
      <c r="AD88" s="50">
        <f>IF(AB88="","",INDEX(道具信息!$K:$K,MATCH($AA88,道具信息!$D:$D,0))*AB88)</f>
        <v>240</v>
      </c>
      <c r="AE88" s="41"/>
      <c r="AF88" s="21"/>
      <c r="AG88" s="32">
        <f t="shared" si="14"/>
        <v>2.4</v>
      </c>
    </row>
    <row r="89" spans="20:35" x14ac:dyDescent="0.15">
      <c r="T89" s="32">
        <v>84</v>
      </c>
      <c r="U89" s="32">
        <f t="shared" si="11"/>
        <v>3850000</v>
      </c>
      <c r="Z89" s="41"/>
      <c r="AA89" s="41" t="s">
        <v>169</v>
      </c>
      <c r="AB89" s="41">
        <v>1</v>
      </c>
      <c r="AC89" s="50">
        <v>100</v>
      </c>
      <c r="AD89" s="50">
        <f>IF(AB89="","",INDEX(道具信息!$K:$K,MATCH($AA89,道具信息!$D:$D,0))*AB89)</f>
        <v>300</v>
      </c>
      <c r="AE89" s="41"/>
      <c r="AF89" s="21"/>
      <c r="AG89" s="32">
        <f t="shared" si="14"/>
        <v>3</v>
      </c>
      <c r="AH89" s="21"/>
      <c r="AI89" s="21"/>
    </row>
    <row r="90" spans="20:35" x14ac:dyDescent="0.15">
      <c r="T90" s="32">
        <v>85</v>
      </c>
      <c r="U90" s="32">
        <f t="shared" si="11"/>
        <v>3900000</v>
      </c>
      <c r="Z90" s="41"/>
      <c r="AA90" s="41" t="s">
        <v>199</v>
      </c>
      <c r="AB90" s="41">
        <v>8</v>
      </c>
      <c r="AC90" s="50">
        <v>1500</v>
      </c>
      <c r="AD90" s="50">
        <f>IF(AB90="","",INDEX(道具信息!$K:$K,MATCH($AA90,道具信息!$D:$D,0))*AB90)</f>
        <v>64</v>
      </c>
      <c r="AE90" s="41"/>
      <c r="AF90" s="21"/>
      <c r="AG90" s="32">
        <f t="shared" si="14"/>
        <v>9.6</v>
      </c>
      <c r="AH90" s="21"/>
      <c r="AI90" s="21"/>
    </row>
    <row r="91" spans="20:35" x14ac:dyDescent="0.15">
      <c r="T91" s="32">
        <v>86</v>
      </c>
      <c r="U91" s="32">
        <f t="shared" si="11"/>
        <v>3950000</v>
      </c>
      <c r="Z91" s="41"/>
      <c r="AA91" s="41" t="s">
        <v>204</v>
      </c>
      <c r="AB91" s="41">
        <v>1</v>
      </c>
      <c r="AC91" s="50">
        <v>500</v>
      </c>
      <c r="AD91" s="50">
        <f>IF(AB91="","",INDEX(道具信息!$K:$K,MATCH($AA91,道具信息!$D:$D,0))*AB91)</f>
        <v>72</v>
      </c>
      <c r="AE91" s="41"/>
      <c r="AF91" s="21"/>
      <c r="AG91" s="32">
        <f t="shared" si="14"/>
        <v>3.6</v>
      </c>
      <c r="AH91" s="21"/>
      <c r="AI91" s="21"/>
    </row>
    <row r="92" spans="20:35" x14ac:dyDescent="0.15">
      <c r="T92" s="32">
        <v>87</v>
      </c>
      <c r="U92" s="32">
        <f t="shared" si="11"/>
        <v>4000000</v>
      </c>
      <c r="Z92" s="41"/>
      <c r="AA92" s="41" t="s">
        <v>205</v>
      </c>
      <c r="AB92" s="41">
        <v>1</v>
      </c>
      <c r="AC92" s="50">
        <v>800</v>
      </c>
      <c r="AD92" s="50">
        <f>IF(AB92="","",INDEX(道具信息!$K:$K,MATCH($AA92,道具信息!$D:$D,0))*AB92)</f>
        <v>36</v>
      </c>
      <c r="AE92" s="41"/>
      <c r="AF92" s="21"/>
      <c r="AG92" s="32">
        <f t="shared" si="14"/>
        <v>2.88</v>
      </c>
      <c r="AH92" s="21"/>
      <c r="AI92" s="21"/>
    </row>
    <row r="93" spans="20:35" x14ac:dyDescent="0.15">
      <c r="T93" s="32">
        <v>88</v>
      </c>
      <c r="U93" s="32">
        <f t="shared" si="11"/>
        <v>4050000</v>
      </c>
      <c r="Z93" s="41"/>
      <c r="AA93" s="41" t="s">
        <v>203</v>
      </c>
      <c r="AB93" s="41">
        <v>8</v>
      </c>
      <c r="AC93" s="50">
        <v>2500</v>
      </c>
      <c r="AD93" s="50">
        <f>IF(AB93="","",INDEX(道具信息!$K:$K,MATCH($AA93,道具信息!$D:$D,0))*AB93)</f>
        <v>48</v>
      </c>
      <c r="AE93" s="41"/>
      <c r="AF93" s="21"/>
      <c r="AG93" s="32">
        <f t="shared" si="14"/>
        <v>12</v>
      </c>
      <c r="AH93" s="21"/>
      <c r="AI93" s="21"/>
    </row>
    <row r="94" spans="20:35" x14ac:dyDescent="0.15">
      <c r="T94" s="32">
        <v>89</v>
      </c>
      <c r="U94" s="32">
        <f t="shared" si="11"/>
        <v>4100000</v>
      </c>
      <c r="Z94" s="41"/>
      <c r="AA94" s="41" t="s">
        <v>201</v>
      </c>
      <c r="AB94" s="41">
        <v>5</v>
      </c>
      <c r="AC94" s="50">
        <v>500</v>
      </c>
      <c r="AD94" s="50">
        <f>IF(AB94="","",INDEX(道具信息!$K:$K,MATCH($AA94,道具信息!$D:$D,0))*AB94)</f>
        <v>250</v>
      </c>
      <c r="AE94" s="41"/>
      <c r="AF94" s="21"/>
      <c r="AG94" s="32">
        <f t="shared" si="14"/>
        <v>12.5</v>
      </c>
      <c r="AH94" s="21"/>
      <c r="AI94" s="21"/>
    </row>
    <row r="95" spans="20:35" x14ac:dyDescent="0.15">
      <c r="T95" s="32">
        <v>90</v>
      </c>
      <c r="U95" s="32">
        <f t="shared" si="11"/>
        <v>4150000</v>
      </c>
      <c r="Z95" s="41"/>
      <c r="AA95" s="41" t="s">
        <v>196</v>
      </c>
      <c r="AB95" s="41">
        <v>300</v>
      </c>
      <c r="AC95" s="50">
        <v>800</v>
      </c>
      <c r="AD95" s="50">
        <f>IF(AB95="","",INDEX(道具信息!$K:$K,MATCH($AA95,道具信息!$D:$D,0))*AB95)</f>
        <v>30</v>
      </c>
      <c r="AE95" s="41"/>
      <c r="AF95" s="21"/>
      <c r="AG95" s="32">
        <f t="shared" si="14"/>
        <v>2.4</v>
      </c>
      <c r="AH95" s="21"/>
      <c r="AI95" s="21"/>
    </row>
    <row r="96" spans="20:35" x14ac:dyDescent="0.15">
      <c r="T96" s="32">
        <v>91</v>
      </c>
      <c r="U96" s="32">
        <f t="shared" si="11"/>
        <v>4200000</v>
      </c>
      <c r="Z96" s="41"/>
      <c r="AA96" s="41" t="s">
        <v>196</v>
      </c>
      <c r="AB96" s="41">
        <v>150</v>
      </c>
      <c r="AC96" s="50">
        <v>1000</v>
      </c>
      <c r="AD96" s="50">
        <f>IF(AB96="","",INDEX(道具信息!$K:$K,MATCH($AA96,道具信息!$D:$D,0))*AB96)</f>
        <v>15</v>
      </c>
      <c r="AE96" s="41"/>
      <c r="AF96" s="21"/>
      <c r="AG96" s="32">
        <f t="shared" si="14"/>
        <v>1.5</v>
      </c>
      <c r="AH96" s="21"/>
      <c r="AI96" s="21"/>
    </row>
    <row r="97" spans="20:35" x14ac:dyDescent="0.15">
      <c r="T97" s="32">
        <v>92</v>
      </c>
      <c r="U97" s="32">
        <f t="shared" si="11"/>
        <v>4250000</v>
      </c>
      <c r="Z97" s="41"/>
      <c r="AA97" s="41" t="s">
        <v>196</v>
      </c>
      <c r="AB97" s="41">
        <v>100</v>
      </c>
      <c r="AC97" s="50">
        <v>1200</v>
      </c>
      <c r="AD97" s="50">
        <f>IF(AB97="","",INDEX(道具信息!$K:$K,MATCH($AA97,道具信息!$D:$D,0))*AB97)</f>
        <v>10</v>
      </c>
      <c r="AE97" s="41"/>
      <c r="AF97" s="21"/>
      <c r="AG97" s="32">
        <f t="shared" si="14"/>
        <v>1.2</v>
      </c>
      <c r="AH97" s="21"/>
      <c r="AI97" s="21"/>
    </row>
    <row r="98" spans="20:35" x14ac:dyDescent="0.15">
      <c r="T98" s="32">
        <v>93</v>
      </c>
      <c r="U98" s="32">
        <f t="shared" si="11"/>
        <v>4300000</v>
      </c>
      <c r="Z98" s="41"/>
      <c r="AA98" s="41"/>
      <c r="AB98" s="41"/>
      <c r="AC98" s="41"/>
      <c r="AD98" s="50" t="str">
        <f>IF(AB98="","",INDEX(道具信息!$K:$K,MATCH($AA98,道具信息!$D:$D,0))*AB98)</f>
        <v/>
      </c>
      <c r="AE98" s="41"/>
      <c r="AF98" s="21"/>
    </row>
    <row r="99" spans="20:35" x14ac:dyDescent="0.15">
      <c r="T99" s="32">
        <v>94</v>
      </c>
      <c r="U99" s="32">
        <f t="shared" si="11"/>
        <v>4350000</v>
      </c>
      <c r="Z99" s="41"/>
      <c r="AA99" s="41"/>
      <c r="AB99" s="41"/>
      <c r="AC99" s="41"/>
      <c r="AD99" s="50" t="str">
        <f>IF(AB99="","",INDEX(道具信息!$K:$K,MATCH($AA99,道具信息!$D:$D,0))*AB99)</f>
        <v/>
      </c>
      <c r="AE99" s="41"/>
      <c r="AF99" s="21"/>
    </row>
    <row r="100" spans="20:35" x14ac:dyDescent="0.15">
      <c r="T100" s="32">
        <v>95</v>
      </c>
      <c r="U100" s="32">
        <f t="shared" si="11"/>
        <v>4400000</v>
      </c>
      <c r="Z100" s="41"/>
      <c r="AA100" s="41"/>
      <c r="AB100" s="41"/>
      <c r="AC100" s="41"/>
      <c r="AD100" s="50" t="str">
        <f>IF(AB100="","",INDEX(道具信息!$K:$K,MATCH($AA100,道具信息!$D:$D,0))*AB100)</f>
        <v/>
      </c>
      <c r="AE100" s="41"/>
      <c r="AF100" s="21">
        <f t="shared" ref="AF100" si="15">SUM(AC86:AC100)</f>
        <v>10000</v>
      </c>
    </row>
    <row r="101" spans="20:35" x14ac:dyDescent="0.15">
      <c r="T101" s="32">
        <v>96</v>
      </c>
      <c r="U101" s="32">
        <f t="shared" si="11"/>
        <v>4450000</v>
      </c>
      <c r="Z101" s="38" t="s">
        <v>193</v>
      </c>
      <c r="AA101" s="39" t="s">
        <v>190</v>
      </c>
      <c r="AB101" s="39" t="s">
        <v>194</v>
      </c>
      <c r="AC101" s="39" t="s">
        <v>195</v>
      </c>
      <c r="AD101" s="39" t="s">
        <v>191</v>
      </c>
      <c r="AE101" s="39" t="s">
        <v>192</v>
      </c>
      <c r="AF101" s="21"/>
    </row>
    <row r="102" spans="20:35" x14ac:dyDescent="0.15">
      <c r="T102" s="32">
        <v>97</v>
      </c>
      <c r="U102" s="32">
        <f t="shared" si="11"/>
        <v>4500000</v>
      </c>
      <c r="Z102" s="40" t="s">
        <v>178</v>
      </c>
      <c r="AA102" s="41" t="s">
        <v>158</v>
      </c>
      <c r="AB102" s="41">
        <v>500</v>
      </c>
      <c r="AC102" s="50">
        <v>100</v>
      </c>
      <c r="AD102" s="50">
        <f>IF(AB102="","",INDEX(道具信息!$K:$K,MATCH($AA102,道具信息!$D:$D,0))*AB102)</f>
        <v>500</v>
      </c>
      <c r="AE102" s="41">
        <f>SUMPRODUCT(AC102:AC116/SUM(AC102:AC116),AD102:AD116)</f>
        <v>78.179999999999993</v>
      </c>
      <c r="AF102" s="21"/>
      <c r="AG102" s="32">
        <f>AD102*AC102/10000</f>
        <v>5</v>
      </c>
    </row>
    <row r="103" spans="20:35" x14ac:dyDescent="0.15">
      <c r="T103" s="32">
        <v>98</v>
      </c>
      <c r="U103" s="32">
        <f t="shared" si="11"/>
        <v>4550000</v>
      </c>
      <c r="Z103" s="41"/>
      <c r="AA103" s="41" t="s">
        <v>158</v>
      </c>
      <c r="AB103" s="41">
        <v>150</v>
      </c>
      <c r="AC103" s="50">
        <v>900</v>
      </c>
      <c r="AD103" s="50">
        <f>IF(AB103="","",INDEX(道具信息!$K:$K,MATCH($AA103,道具信息!$D:$D,0))*AB103)</f>
        <v>150</v>
      </c>
      <c r="AE103" s="41"/>
      <c r="AF103" s="21"/>
      <c r="AG103" s="32">
        <f t="shared" ref="AG103:AG113" si="16">AD103*AC103/10000</f>
        <v>13.5</v>
      </c>
    </row>
    <row r="104" spans="20:35" x14ac:dyDescent="0.15">
      <c r="T104" s="32">
        <v>99</v>
      </c>
      <c r="U104" s="32">
        <f t="shared" si="11"/>
        <v>4600000</v>
      </c>
      <c r="Z104" s="41"/>
      <c r="AA104" s="41" t="s">
        <v>197</v>
      </c>
      <c r="AB104" s="41">
        <v>1</v>
      </c>
      <c r="AC104" s="50">
        <v>100</v>
      </c>
      <c r="AD104" s="50">
        <f>IF(AB104="","",INDEX(道具信息!$K:$K,MATCH($AA104,道具信息!$D:$D,0))*AB104)</f>
        <v>240</v>
      </c>
      <c r="AE104" s="41"/>
      <c r="AF104" s="21"/>
      <c r="AG104" s="32">
        <f t="shared" si="16"/>
        <v>2.4</v>
      </c>
    </row>
    <row r="105" spans="20:35" x14ac:dyDescent="0.15">
      <c r="T105" s="32">
        <v>100</v>
      </c>
      <c r="U105" s="32">
        <f t="shared" si="11"/>
        <v>4650000</v>
      </c>
      <c r="Z105" s="41"/>
      <c r="AA105" s="41" t="s">
        <v>169</v>
      </c>
      <c r="AB105" s="41">
        <v>1</v>
      </c>
      <c r="AC105" s="50">
        <v>100</v>
      </c>
      <c r="AD105" s="50">
        <f>IF(AB105="","",INDEX(道具信息!$K:$K,MATCH($AA105,道具信息!$D:$D,0))*AB105)</f>
        <v>300</v>
      </c>
      <c r="AE105" s="41"/>
      <c r="AF105" s="21"/>
      <c r="AG105" s="32">
        <f t="shared" si="16"/>
        <v>3</v>
      </c>
    </row>
    <row r="106" spans="20:35" x14ac:dyDescent="0.15">
      <c r="Z106" s="41"/>
      <c r="AA106" s="41" t="s">
        <v>199</v>
      </c>
      <c r="AB106" s="41">
        <v>10</v>
      </c>
      <c r="AC106" s="50">
        <v>1500</v>
      </c>
      <c r="AD106" s="50">
        <f>IF(AB106="","",INDEX(道具信息!$K:$K,MATCH($AA106,道具信息!$D:$D,0))*AB106)</f>
        <v>80</v>
      </c>
      <c r="AE106" s="41"/>
      <c r="AF106" s="21"/>
      <c r="AG106" s="32">
        <f t="shared" si="16"/>
        <v>12</v>
      </c>
    </row>
    <row r="107" spans="20:35" x14ac:dyDescent="0.15">
      <c r="Z107" s="41"/>
      <c r="AA107" s="41" t="s">
        <v>204</v>
      </c>
      <c r="AB107" s="41">
        <v>1</v>
      </c>
      <c r="AC107" s="50">
        <v>500</v>
      </c>
      <c r="AD107" s="50">
        <f>IF(AB107="","",INDEX(道具信息!$K:$K,MATCH($AA107,道具信息!$D:$D,0))*AB107)</f>
        <v>72</v>
      </c>
      <c r="AE107" s="41"/>
      <c r="AF107" s="21"/>
      <c r="AG107" s="32">
        <f t="shared" si="16"/>
        <v>3.6</v>
      </c>
    </row>
    <row r="108" spans="20:35" x14ac:dyDescent="0.15">
      <c r="Z108" s="41"/>
      <c r="AA108" s="41" t="s">
        <v>205</v>
      </c>
      <c r="AB108" s="41">
        <v>1</v>
      </c>
      <c r="AC108" s="50">
        <v>800</v>
      </c>
      <c r="AD108" s="50">
        <f>IF(AB108="","",INDEX(道具信息!$K:$K,MATCH($AA108,道具信息!$D:$D,0))*AB108)</f>
        <v>36</v>
      </c>
      <c r="AE108" s="41"/>
      <c r="AF108" s="21"/>
      <c r="AG108" s="32">
        <f t="shared" si="16"/>
        <v>2.88</v>
      </c>
    </row>
    <row r="109" spans="20:35" x14ac:dyDescent="0.15">
      <c r="Z109" s="41"/>
      <c r="AA109" s="41" t="s">
        <v>203</v>
      </c>
      <c r="AB109" s="41">
        <v>10</v>
      </c>
      <c r="AC109" s="50">
        <v>2500</v>
      </c>
      <c r="AD109" s="50">
        <f>IF(AB109="","",INDEX(道具信息!$K:$K,MATCH($AA109,道具信息!$D:$D,0))*AB109)</f>
        <v>60</v>
      </c>
      <c r="AE109" s="41"/>
      <c r="AF109" s="21"/>
      <c r="AG109" s="32">
        <f t="shared" si="16"/>
        <v>15</v>
      </c>
    </row>
    <row r="110" spans="20:35" x14ac:dyDescent="0.15">
      <c r="Z110" s="41"/>
      <c r="AA110" s="41" t="s">
        <v>201</v>
      </c>
      <c r="AB110" s="41">
        <v>5</v>
      </c>
      <c r="AC110" s="50">
        <v>500</v>
      </c>
      <c r="AD110" s="50">
        <f>IF(AB110="","",INDEX(道具信息!$K:$K,MATCH($AA110,道具信息!$D:$D,0))*AB110)</f>
        <v>250</v>
      </c>
      <c r="AE110" s="41"/>
      <c r="AF110" s="21"/>
      <c r="AG110" s="32">
        <f t="shared" si="16"/>
        <v>12.5</v>
      </c>
    </row>
    <row r="111" spans="20:35" x14ac:dyDescent="0.15">
      <c r="Z111" s="41"/>
      <c r="AA111" s="41" t="s">
        <v>196</v>
      </c>
      <c r="AB111" s="41">
        <v>500</v>
      </c>
      <c r="AC111" s="50">
        <v>800</v>
      </c>
      <c r="AD111" s="50">
        <f>IF(AB111="","",INDEX(道具信息!$K:$K,MATCH($AA111,道具信息!$D:$D,0))*AB111)</f>
        <v>50</v>
      </c>
      <c r="AE111" s="41"/>
      <c r="AF111" s="21"/>
      <c r="AG111" s="32">
        <f t="shared" si="16"/>
        <v>4</v>
      </c>
    </row>
    <row r="112" spans="20:35" x14ac:dyDescent="0.15">
      <c r="Z112" s="41"/>
      <c r="AA112" s="41" t="s">
        <v>196</v>
      </c>
      <c r="AB112" s="41">
        <v>250</v>
      </c>
      <c r="AC112" s="50">
        <v>1000</v>
      </c>
      <c r="AD112" s="50">
        <f>IF(AB112="","",INDEX(道具信息!$K:$K,MATCH($AA112,道具信息!$D:$D,0))*AB112)</f>
        <v>25</v>
      </c>
      <c r="AE112" s="41"/>
      <c r="AF112" s="21"/>
      <c r="AG112" s="32">
        <f t="shared" si="16"/>
        <v>2.5</v>
      </c>
    </row>
    <row r="113" spans="26:35" x14ac:dyDescent="0.15">
      <c r="Z113" s="41"/>
      <c r="AA113" s="41" t="s">
        <v>196</v>
      </c>
      <c r="AB113" s="41">
        <v>150</v>
      </c>
      <c r="AC113" s="50">
        <v>1200</v>
      </c>
      <c r="AD113" s="50">
        <f>IF(AB113="","",INDEX(道具信息!$K:$K,MATCH($AA113,道具信息!$D:$D,0))*AB113)</f>
        <v>15</v>
      </c>
      <c r="AE113" s="41"/>
      <c r="AF113" s="21"/>
      <c r="AG113" s="32">
        <f t="shared" si="16"/>
        <v>1.8</v>
      </c>
    </row>
    <row r="114" spans="26:35" x14ac:dyDescent="0.15">
      <c r="Z114" s="41"/>
      <c r="AA114" s="41"/>
      <c r="AB114" s="41"/>
      <c r="AC114" s="41"/>
      <c r="AD114" s="50" t="str">
        <f>IF(AB114="","",INDEX(道具信息!$K:$K,MATCH($AA114,道具信息!$D:$D,0))*AB114)</f>
        <v/>
      </c>
      <c r="AE114" s="41"/>
      <c r="AF114" s="21"/>
    </row>
    <row r="115" spans="26:35" x14ac:dyDescent="0.15">
      <c r="Z115" s="41"/>
      <c r="AA115" s="41"/>
      <c r="AB115" s="41"/>
      <c r="AC115" s="41"/>
      <c r="AD115" s="50" t="str">
        <f>IF(AB115="","",INDEX(道具信息!$K:$K,MATCH($AA115,道具信息!$D:$D,0))*AB115)</f>
        <v/>
      </c>
      <c r="AE115" s="41"/>
      <c r="AF115" s="21"/>
    </row>
    <row r="116" spans="26:35" x14ac:dyDescent="0.15">
      <c r="Z116" s="41"/>
      <c r="AA116" s="41"/>
      <c r="AB116" s="41"/>
      <c r="AC116" s="41"/>
      <c r="AD116" s="50" t="str">
        <f>IF(AB116="","",INDEX(道具信息!$K:$K,MATCH($AA116,道具信息!$D:$D,0))*AB116)</f>
        <v/>
      </c>
      <c r="AE116" s="41"/>
      <c r="AF116" s="21">
        <f t="shared" ref="AF116" si="17">SUM(AC102:AC116)</f>
        <v>10000</v>
      </c>
    </row>
    <row r="117" spans="26:35" x14ac:dyDescent="0.15">
      <c r="Z117" s="21"/>
      <c r="AB117" s="21"/>
      <c r="AD117" s="21"/>
      <c r="AE117" s="21"/>
      <c r="AF117" s="21"/>
      <c r="AG117" s="21"/>
      <c r="AH117" s="21"/>
      <c r="AI117" s="21"/>
    </row>
    <row r="118" spans="26:35" x14ac:dyDescent="0.15">
      <c r="Z118" s="21"/>
      <c r="AB118" s="21"/>
      <c r="AD118" s="21"/>
      <c r="AE118" s="21"/>
      <c r="AF118" s="21"/>
      <c r="AG118" s="21"/>
      <c r="AH118" s="21"/>
      <c r="AI118" s="21"/>
    </row>
    <row r="119" spans="26:35" x14ac:dyDescent="0.15">
      <c r="Z119" s="21"/>
      <c r="AB119" s="21"/>
      <c r="AD119" s="21"/>
      <c r="AE119" s="21"/>
      <c r="AF119" s="21"/>
      <c r="AG119" s="21"/>
      <c r="AH119" s="21"/>
      <c r="AI119" s="21"/>
    </row>
    <row r="120" spans="26:35" x14ac:dyDescent="0.15">
      <c r="Z120" s="21"/>
      <c r="AB120" s="21"/>
      <c r="AD120" s="21"/>
      <c r="AE120" s="21"/>
      <c r="AF120" s="21"/>
      <c r="AG120" s="21"/>
      <c r="AH120" s="21"/>
      <c r="AI120" s="21"/>
    </row>
    <row r="121" spans="26:35" x14ac:dyDescent="0.15">
      <c r="Z121" s="21"/>
      <c r="AB121" s="21"/>
      <c r="AD121" s="21"/>
      <c r="AE121" s="21"/>
      <c r="AF121" s="21"/>
      <c r="AG121" s="21"/>
      <c r="AH121" s="21"/>
      <c r="AI121" s="21"/>
    </row>
    <row r="122" spans="26:35" x14ac:dyDescent="0.15">
      <c r="Z122" s="21"/>
      <c r="AB122" s="21"/>
      <c r="AD122" s="21"/>
      <c r="AE122" s="21"/>
      <c r="AF122" s="21"/>
      <c r="AG122" s="21"/>
      <c r="AH122" s="21"/>
      <c r="AI122" s="21"/>
    </row>
  </sheetData>
  <mergeCells count="9">
    <mergeCell ref="N4:O4"/>
    <mergeCell ref="C31:F31"/>
    <mergeCell ref="C32:F36"/>
    <mergeCell ref="C30:F30"/>
    <mergeCell ref="B11:F13"/>
    <mergeCell ref="B3:F6"/>
    <mergeCell ref="M5:M6"/>
    <mergeCell ref="K5:K6"/>
    <mergeCell ref="L5:L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C8B6-00DF-4D35-8DF2-77612C0EA98D}">
  <sheetPr>
    <tabColor rgb="FFFF0000"/>
  </sheetPr>
  <dimension ref="C3:Q1008"/>
  <sheetViews>
    <sheetView workbookViewId="0">
      <selection activeCell="E11" sqref="D11:E14"/>
    </sheetView>
  </sheetViews>
  <sheetFormatPr defaultColWidth="6.625" defaultRowHeight="11.25" x14ac:dyDescent="0.15"/>
  <cols>
    <col min="1" max="3" width="6.625" style="36"/>
    <col min="4" max="4" width="21" style="36" customWidth="1"/>
    <col min="5" max="11" width="6.625" style="36"/>
    <col min="12" max="12" width="45.375" style="36" customWidth="1"/>
    <col min="13" max="15" width="6.625" style="36"/>
    <col min="16" max="16" width="13" style="36" bestFit="1" customWidth="1"/>
    <col min="17" max="17" width="27" style="36" customWidth="1"/>
    <col min="18" max="16384" width="6.625" style="36"/>
  </cols>
  <sheetData>
    <row r="3" spans="3:17" x14ac:dyDescent="0.15">
      <c r="C3" s="36" t="s">
        <v>182</v>
      </c>
      <c r="D3" s="36" t="s">
        <v>183</v>
      </c>
      <c r="E3" s="36" t="s">
        <v>184</v>
      </c>
      <c r="F3" s="36" t="s">
        <v>185</v>
      </c>
      <c r="G3" s="36" t="s">
        <v>185</v>
      </c>
      <c r="H3" s="36" t="s">
        <v>185</v>
      </c>
      <c r="I3" s="36" t="s">
        <v>186</v>
      </c>
      <c r="J3" s="36" t="s">
        <v>186</v>
      </c>
      <c r="K3" s="36" t="s">
        <v>186</v>
      </c>
      <c r="L3" s="36" t="s">
        <v>187</v>
      </c>
      <c r="P3" s="36" t="s">
        <v>188</v>
      </c>
      <c r="Q3" s="36" t="s">
        <v>189</v>
      </c>
    </row>
    <row r="4" spans="3:17" x14ac:dyDescent="0.15">
      <c r="C4" s="37" t="str">
        <f>IF([3]道具信息!C4="","",[3]道具信息!C4)</f>
        <v/>
      </c>
      <c r="D4" s="37" t="str">
        <f>IF([3]道具信息!D4="","",[3]道具信息!D4)</f>
        <v>橙色指定武将</v>
      </c>
      <c r="E4" s="37">
        <f>IF([3]道具信息!E4="","",[3]道具信息!E4)</f>
        <v>4800</v>
      </c>
      <c r="F4" s="37">
        <f>IF([3]道具信息!F4="","",[3]道具信息!F4)</f>
        <v>1.2</v>
      </c>
      <c r="G4" s="37">
        <f>IF([3]道具信息!G4="","",[3]道具信息!G4)</f>
        <v>1</v>
      </c>
      <c r="H4" s="37">
        <f>IF([3]道具信息!H4="","",[3]道具信息!H4)</f>
        <v>1</v>
      </c>
      <c r="I4" s="37">
        <f>IF([3]道具信息!I4="","",[3]道具信息!I4)</f>
        <v>5760</v>
      </c>
      <c r="J4" s="37">
        <f>IF([3]道具信息!J4="","",[3]道具信息!J4)</f>
        <v>4800</v>
      </c>
      <c r="K4" s="37">
        <f>IF([3]道具信息!K4="","",[3]道具信息!K4)</f>
        <v>4800</v>
      </c>
      <c r="L4" s="37" t="str">
        <f>IF([3]道具信息!L4="","",[3]道具信息!L4)</f>
        <v>120武将</v>
      </c>
      <c r="M4" s="37" t="str">
        <f>IF([3]道具信息!M4="","",[3]道具信息!M4)</f>
        <v/>
      </c>
      <c r="N4" s="37"/>
      <c r="O4" s="37" t="str">
        <f>IF([3]道具信息!O4="","",[3]道具信息!O4)</f>
        <v/>
      </c>
      <c r="P4" s="37" t="str">
        <f>IF([3]道具信息!P4="","",[3]道具信息!P4)</f>
        <v>城建加速/天</v>
      </c>
      <c r="Q4" s="37">
        <f>IF([3]道具信息!Q4="","",[3]道具信息!Q4)</f>
        <v>6580.9143041563138</v>
      </c>
    </row>
    <row r="5" spans="3:17" x14ac:dyDescent="0.15">
      <c r="C5" s="37" t="str">
        <f>IF([3]道具信息!C5="","",[3]道具信息!C5)</f>
        <v/>
      </c>
      <c r="D5" s="37" t="str">
        <f>IF([3]道具信息!D5="","",[3]道具信息!D5)</f>
        <v>紫色指定武将</v>
      </c>
      <c r="E5" s="37">
        <f>IF([3]道具信息!E5="","",[3]道具信息!E5)</f>
        <v>540</v>
      </c>
      <c r="F5" s="37">
        <f>IF([3]道具信息!F5="","",[3]道具信息!F5)</f>
        <v>1.2</v>
      </c>
      <c r="G5" s="37">
        <f>IF([3]道具信息!G5="","",[3]道具信息!G5)</f>
        <v>1</v>
      </c>
      <c r="H5" s="37">
        <f>IF([3]道具信息!H5="","",[3]道具信息!H5)</f>
        <v>1</v>
      </c>
      <c r="I5" s="37">
        <f>IF([3]道具信息!I5="","",[3]道具信息!I5)</f>
        <v>648</v>
      </c>
      <c r="J5" s="37">
        <f>IF([3]道具信息!J5="","",[3]道具信息!J5)</f>
        <v>540</v>
      </c>
      <c r="K5" s="37">
        <f>IF([3]道具信息!K5="","",[3]道具信息!K5)</f>
        <v>540</v>
      </c>
      <c r="L5" s="37" t="str">
        <f>IF([3]道具信息!L5="","",[3]道具信息!L5)</f>
        <v>110武将</v>
      </c>
      <c r="M5" s="37" t="str">
        <f>IF([3]道具信息!M5="","",[3]道具信息!M5)</f>
        <v/>
      </c>
      <c r="N5" s="37"/>
      <c r="O5" s="37" t="str">
        <f>IF([3]道具信息!O5="","",[3]道具信息!O5)</f>
        <v/>
      </c>
      <c r="P5" s="37" t="str">
        <f>IF([3]道具信息!P5="","",[3]道具信息!P5)</f>
        <v>招募加速/天</v>
      </c>
      <c r="Q5" s="37">
        <f>IF([3]道具信息!Q5="","",[3]道具信息!Q5)</f>
        <v>1304.381932837668</v>
      </c>
    </row>
    <row r="6" spans="3:17" x14ac:dyDescent="0.15">
      <c r="C6" s="37" t="str">
        <f>IF([3]道具信息!C6="","",[3]道具信息!C6)</f>
        <v/>
      </c>
      <c r="D6" s="37" t="str">
        <f>IF([3]道具信息!D6="","",[3]道具信息!D6)</f>
        <v>125指定武将</v>
      </c>
      <c r="E6" s="37">
        <f>IF([3]道具信息!E6="","",[3]道具信息!E6)</f>
        <v>10800</v>
      </c>
      <c r="F6" s="37">
        <f>IF([3]道具信息!F6="","",[3]道具信息!F6)</f>
        <v>1.2</v>
      </c>
      <c r="G6" s="37">
        <f>IF([3]道具信息!G6="","",[3]道具信息!G6)</f>
        <v>1</v>
      </c>
      <c r="H6" s="37">
        <f>IF([3]道具信息!H6="","",[3]道具信息!H6)</f>
        <v>1</v>
      </c>
      <c r="I6" s="37">
        <f>IF([3]道具信息!I6="","",[3]道具信息!I6)</f>
        <v>12960</v>
      </c>
      <c r="J6" s="37">
        <f>IF([3]道具信息!J6="","",[3]道具信息!J6)</f>
        <v>10800</v>
      </c>
      <c r="K6" s="37">
        <f>IF([3]道具信息!K6="","",[3]道具信息!K6)</f>
        <v>10800</v>
      </c>
      <c r="L6" s="37" t="str">
        <f>IF([3]道具信息!L6="","",[3]道具信息!L6)</f>
        <v>125武将</v>
      </c>
      <c r="M6" s="37" t="str">
        <f>IF([3]道具信息!M6="","",[3]道具信息!M6)</f>
        <v/>
      </c>
      <c r="N6" s="37"/>
      <c r="O6" s="37" t="str">
        <f>IF([3]道具信息!O6="","",[3]道具信息!O6)</f>
        <v/>
      </c>
      <c r="P6" s="37" t="str">
        <f>IF([3]道具信息!P6="","",[3]道具信息!P6)</f>
        <v>治疗加速/天</v>
      </c>
      <c r="Q6" s="37">
        <f>IF([3]道具信息!Q6="","",[3]道具信息!Q6)</f>
        <v>526.56698383615992</v>
      </c>
    </row>
    <row r="7" spans="3:17" x14ac:dyDescent="0.15">
      <c r="C7" s="37" t="str">
        <f>IF([3]道具信息!C7="","",[3]道具信息!C7)</f>
        <v/>
      </c>
      <c r="D7" s="37" t="str">
        <f>IF([3]道具信息!D7="","",[3]道具信息!D7)</f>
        <v>橙+指定武将</v>
      </c>
      <c r="E7" s="37">
        <f>IF([3]道具信息!E7="","",[3]道具信息!E7)</f>
        <v>14400</v>
      </c>
      <c r="F7" s="37">
        <f>IF([3]道具信息!F7="","",[3]道具信息!F7)</f>
        <v>1.2</v>
      </c>
      <c r="G7" s="37">
        <f>IF([3]道具信息!G7="","",[3]道具信息!G7)</f>
        <v>1</v>
      </c>
      <c r="H7" s="37">
        <f>IF([3]道具信息!H7="","",[3]道具信息!H7)</f>
        <v>1</v>
      </c>
      <c r="I7" s="37">
        <f>IF([3]道具信息!I7="","",[3]道具信息!I7)</f>
        <v>17280</v>
      </c>
      <c r="J7" s="37">
        <f>IF([3]道具信息!J7="","",[3]道具信息!J7)</f>
        <v>14400</v>
      </c>
      <c r="K7" s="37">
        <f>IF([3]道具信息!K7="","",[3]道具信息!K7)</f>
        <v>14400</v>
      </c>
      <c r="L7" s="37" t="str">
        <f>IF([3]道具信息!L7="","",[3]道具信息!L7)</f>
        <v>130武将</v>
      </c>
      <c r="M7" s="37" t="str">
        <f>IF([3]道具信息!M7="","",[3]道具信息!M7)</f>
        <v/>
      </c>
      <c r="N7" s="37"/>
      <c r="O7" s="37" t="str">
        <f>IF([3]道具信息!O7="","",[3]道具信息!O7)</f>
        <v/>
      </c>
      <c r="P7" s="37" t="str">
        <f>IF([3]道具信息!P7="","",[3]道具信息!P7)</f>
        <v>训练加速/天</v>
      </c>
      <c r="Q7" s="37">
        <f>IF([3]道具信息!Q7="","",[3]道具信息!Q7)</f>
        <v>3919.2796718797345</v>
      </c>
    </row>
    <row r="8" spans="3:17" x14ac:dyDescent="0.15">
      <c r="C8" s="37" t="str">
        <f>IF([3]道具信息!C8="","",[3]道具信息!C8)</f>
        <v/>
      </c>
      <c r="D8" s="37" t="str">
        <f>IF([3]道具信息!D8="","",[3]道具信息!D8)</f>
        <v>125指定武将碎片</v>
      </c>
      <c r="E8" s="37">
        <f>IF([3]道具信息!E8="","",[3]道具信息!E8)</f>
        <v>360</v>
      </c>
      <c r="F8" s="37">
        <f>IF([3]道具信息!F8="","",[3]道具信息!F8)</f>
        <v>1.2</v>
      </c>
      <c r="G8" s="37">
        <f>IF([3]道具信息!G8="","",[3]道具信息!G8)</f>
        <v>1</v>
      </c>
      <c r="H8" s="37">
        <f>IF([3]道具信息!H8="","",[3]道具信息!H8)</f>
        <v>1</v>
      </c>
      <c r="I8" s="37">
        <f>IF([3]道具信息!I8="","",[3]道具信息!I8)</f>
        <v>432</v>
      </c>
      <c r="J8" s="37">
        <f>IF([3]道具信息!J8="","",[3]道具信息!J8)</f>
        <v>360</v>
      </c>
      <c r="K8" s="37">
        <f>IF([3]道具信息!K8="","",[3]道具信息!K8)</f>
        <v>360</v>
      </c>
      <c r="L8" s="37" t="str">
        <f>IF([3]道具信息!L8="","",[3]道具信息!L8)</f>
        <v>125武将碎片</v>
      </c>
      <c r="M8" s="37" t="str">
        <f>IF([3]道具信息!M8="","",[3]道具信息!M8)</f>
        <v/>
      </c>
      <c r="N8" s="37"/>
      <c r="O8" s="37" t="str">
        <f>IF([3]道具信息!O8="","",[3]道具信息!O8)</f>
        <v/>
      </c>
      <c r="P8" s="37" t="str">
        <f>IF([3]道具信息!P8="","",[3]道具信息!P8)</f>
        <v/>
      </c>
      <c r="Q8" s="37" t="str">
        <f>IF([3]道具信息!Q8="","",[3]道具信息!Q8)</f>
        <v/>
      </c>
    </row>
    <row r="9" spans="3:17" x14ac:dyDescent="0.15">
      <c r="C9" s="37" t="str">
        <f>IF([3]道具信息!C9="","",[3]道具信息!C9)</f>
        <v/>
      </c>
      <c r="D9" s="37" t="str">
        <f>IF([3]道具信息!D9="","",[3]道具信息!D9)</f>
        <v>橙+指定武将碎片</v>
      </c>
      <c r="E9" s="37">
        <f>IF([3]道具信息!E9="","",[3]道具信息!E9)</f>
        <v>480</v>
      </c>
      <c r="F9" s="37">
        <f>IF([3]道具信息!F9="","",[3]道具信息!F9)</f>
        <v>1.2</v>
      </c>
      <c r="G9" s="37">
        <f>IF([3]道具信息!G9="","",[3]道具信息!G9)</f>
        <v>1</v>
      </c>
      <c r="H9" s="37">
        <f>IF([3]道具信息!H9="","",[3]道具信息!H9)</f>
        <v>1</v>
      </c>
      <c r="I9" s="37">
        <f>IF([3]道具信息!I9="","",[3]道具信息!I9)</f>
        <v>576</v>
      </c>
      <c r="J9" s="37">
        <f>IF([3]道具信息!J9="","",[3]道具信息!J9)</f>
        <v>480</v>
      </c>
      <c r="K9" s="37">
        <f>IF([3]道具信息!K9="","",[3]道具信息!K9)</f>
        <v>480</v>
      </c>
      <c r="L9" s="37" t="str">
        <f>IF([3]道具信息!L9="","",[3]道具信息!L9)</f>
        <v>130武将碎片</v>
      </c>
      <c r="M9" s="37" t="str">
        <f>IF([3]道具信息!M9="","",[3]道具信息!M9)</f>
        <v/>
      </c>
      <c r="N9" s="37"/>
      <c r="O9" s="37" t="str">
        <f>IF([3]道具信息!O9="","",[3]道具信息!O9)</f>
        <v/>
      </c>
      <c r="P9" s="37" t="str">
        <f>IF([3]道具信息!P9="","",[3]道具信息!P9)</f>
        <v/>
      </c>
      <c r="Q9" s="37" t="str">
        <f>IF([3]道具信息!Q9="","",[3]道具信息!Q9)</f>
        <v/>
      </c>
    </row>
    <row r="10" spans="3:17" x14ac:dyDescent="0.15">
      <c r="C10" s="37" t="str">
        <f>IF([3]道具信息!C10="","",[3]道具信息!C10)</f>
        <v/>
      </c>
      <c r="D10" s="37" t="str">
        <f>IF([3]道具信息!D10="","",[3]道具信息!D10)</f>
        <v>黄金</v>
      </c>
      <c r="E10" s="37">
        <f>IF([3]道具信息!E10="","",[3]道具信息!E10)</f>
        <v>1</v>
      </c>
      <c r="F10" s="37">
        <f>IF([3]道具信息!F10="","",[3]道具信息!F10)</f>
        <v>1</v>
      </c>
      <c r="G10" s="37">
        <f>IF([3]道具信息!G10="","",[3]道具信息!G10)</f>
        <v>1</v>
      </c>
      <c r="H10" s="37">
        <f>IF([3]道具信息!H10="","",[3]道具信息!H10)</f>
        <v>1</v>
      </c>
      <c r="I10" s="37">
        <f>IF([3]道具信息!I10="","",[3]道具信息!I10)</f>
        <v>1</v>
      </c>
      <c r="J10" s="37">
        <f>IF([3]道具信息!J10="","",[3]道具信息!J10)</f>
        <v>1</v>
      </c>
      <c r="K10" s="37">
        <f>IF([3]道具信息!K10="","",[3]道具信息!K10)</f>
        <v>1</v>
      </c>
      <c r="L10" s="37" t="str">
        <f>IF([3]道具信息!L10="","",[3]道具信息!L10)</f>
        <v/>
      </c>
      <c r="M10" s="37" t="str">
        <f>IF([3]道具信息!M10="","",[3]道具信息!M10)</f>
        <v/>
      </c>
      <c r="N10" s="37"/>
      <c r="O10" s="37" t="str">
        <f>IF([3]道具信息!O10="","",[3]道具信息!O10)</f>
        <v/>
      </c>
      <c r="P10" s="37" t="str">
        <f>IF([3]道具信息!P10="","",[3]道具信息!P10)</f>
        <v>钻研加速/天</v>
      </c>
      <c r="Q10" s="37">
        <f>IF([3]道具信息!Q10="","",[3]道具信息!Q10)</f>
        <v>5493.5213862222308</v>
      </c>
    </row>
    <row r="11" spans="3:17" x14ac:dyDescent="0.15">
      <c r="C11" s="37" t="str">
        <f>IF([3]道具信息!C11="","",[3]道具信息!C11)</f>
        <v/>
      </c>
      <c r="D11" s="37" t="str">
        <f>IF([3]道具信息!D11="","",[3]道具信息!D11)</f>
        <v>粮食</v>
      </c>
      <c r="E11" s="37">
        <f>IF([3]道具信息!E11="","",[3]道具信息!E11)</f>
        <v>1.5532286312592918E-4</v>
      </c>
      <c r="F11" s="37">
        <f>IF([3]道具信息!F11="","",[3]道具信息!F11)</f>
        <v>1</v>
      </c>
      <c r="G11" s="37">
        <f>IF([3]道具信息!G11="","",[3]道具信息!G11)</f>
        <v>1</v>
      </c>
      <c r="H11" s="37">
        <f>IF([3]道具信息!H11="","",[3]道具信息!H11)</f>
        <v>1</v>
      </c>
      <c r="I11" s="37">
        <f>IF([3]道具信息!I11="","",[3]道具信息!I11)</f>
        <v>1.5532286312592918E-4</v>
      </c>
      <c r="J11" s="37">
        <f>IF([3]道具信息!J11="","",[3]道具信息!J11)</f>
        <v>1.5532286312592918E-4</v>
      </c>
      <c r="K11" s="37">
        <f>IF([3]道具信息!K11="","",[3]道具信息!K11)</f>
        <v>1.5532286312592918E-4</v>
      </c>
      <c r="L11" s="37" t="str">
        <f>IF([3]道具信息!L11="","",[3]道具信息!L11)</f>
        <v/>
      </c>
      <c r="M11" s="37" t="str">
        <f>IF([3]道具信息!M11="","",[3]道具信息!M11)</f>
        <v/>
      </c>
      <c r="N11" s="37"/>
      <c r="O11" s="37" t="str">
        <f>IF([3]道具信息!O11="","",[3]道具信息!O11)</f>
        <v/>
      </c>
      <c r="P11" s="37" t="str">
        <f>IF([3]道具信息!P11="","",[3]道具信息!P11)</f>
        <v>木材产出加速/天</v>
      </c>
      <c r="Q11" s="37">
        <f>IF([3]道具信息!Q11="","",[3]道具信息!Q11)</f>
        <v>159.10603085818101</v>
      </c>
    </row>
    <row r="12" spans="3:17" x14ac:dyDescent="0.15">
      <c r="C12" s="37" t="str">
        <f>IF([3]道具信息!C12="","",[3]道具信息!C12)</f>
        <v/>
      </c>
      <c r="D12" s="37" t="str">
        <f>IF([3]道具信息!D12="","",[3]道具信息!D12)</f>
        <v>木材</v>
      </c>
      <c r="E12" s="37">
        <f>IF([3]道具信息!E12="","",[3]道具信息!E12)</f>
        <v>1.5532286312592918E-4</v>
      </c>
      <c r="F12" s="37">
        <f>IF([3]道具信息!F12="","",[3]道具信息!F12)</f>
        <v>1</v>
      </c>
      <c r="G12" s="37">
        <f>IF([3]道具信息!G12="","",[3]道具信息!G12)</f>
        <v>1</v>
      </c>
      <c r="H12" s="37">
        <f>IF([3]道具信息!H12="","",[3]道具信息!H12)</f>
        <v>1</v>
      </c>
      <c r="I12" s="37">
        <f>IF([3]道具信息!I12="","",[3]道具信息!I12)</f>
        <v>1.5532286312592918E-4</v>
      </c>
      <c r="J12" s="37">
        <f>IF([3]道具信息!J12="","",[3]道具信息!J12)</f>
        <v>1.5532286312592918E-4</v>
      </c>
      <c r="K12" s="37">
        <f>IF([3]道具信息!K12="","",[3]道具信息!K12)</f>
        <v>1.5532286312592918E-4</v>
      </c>
      <c r="L12" s="37" t="str">
        <f>IF([3]道具信息!L12="","",[3]道具信息!L12)</f>
        <v/>
      </c>
      <c r="M12" s="37" t="str">
        <f>IF([3]道具信息!M12="","",[3]道具信息!M12)</f>
        <v/>
      </c>
      <c r="N12" s="37"/>
      <c r="O12" s="37" t="str">
        <f>IF([3]道具信息!O12="","",[3]道具信息!O12)</f>
        <v/>
      </c>
      <c r="P12" s="37" t="str">
        <f>IF([3]道具信息!P12="","",[3]道具信息!P12)</f>
        <v>石料产出加速/天</v>
      </c>
      <c r="Q12" s="37">
        <f>IF([3]道具信息!Q12="","",[3]道具信息!Q12)</f>
        <v>159.10603085818101</v>
      </c>
    </row>
    <row r="13" spans="3:17" x14ac:dyDescent="0.15">
      <c r="C13" s="37" t="str">
        <f>IF([3]道具信息!C13="","",[3]道具信息!C13)</f>
        <v/>
      </c>
      <c r="D13" s="37" t="str">
        <f>IF([3]道具信息!D13="","",[3]道具信息!D13)</f>
        <v>石料</v>
      </c>
      <c r="E13" s="37">
        <f>IF([3]道具信息!E13="","",[3]道具信息!E13)</f>
        <v>1.5532286312592918E-4</v>
      </c>
      <c r="F13" s="37">
        <f>IF([3]道具信息!F13="","",[3]道具信息!F13)</f>
        <v>1</v>
      </c>
      <c r="G13" s="37">
        <f>IF([3]道具信息!G13="","",[3]道具信息!G13)</f>
        <v>1</v>
      </c>
      <c r="H13" s="37">
        <f>IF([3]道具信息!H13="","",[3]道具信息!H13)</f>
        <v>1</v>
      </c>
      <c r="I13" s="37">
        <f>IF([3]道具信息!I13="","",[3]道具信息!I13)</f>
        <v>1.5532286312592918E-4</v>
      </c>
      <c r="J13" s="37">
        <f>IF([3]道具信息!J13="","",[3]道具信息!J13)</f>
        <v>1.5532286312592918E-4</v>
      </c>
      <c r="K13" s="37">
        <f>IF([3]道具信息!K13="","",[3]道具信息!K13)</f>
        <v>1.5532286312592918E-4</v>
      </c>
      <c r="L13" s="37" t="str">
        <f>IF([3]道具信息!L13="","",[3]道具信息!L13)</f>
        <v/>
      </c>
      <c r="M13" s="37" t="str">
        <f>IF([3]道具信息!M13="","",[3]道具信息!M13)</f>
        <v/>
      </c>
      <c r="N13" s="37"/>
      <c r="O13" s="37" t="str">
        <f>IF([3]道具信息!O13="","",[3]道具信息!O13)</f>
        <v/>
      </c>
      <c r="P13" s="37" t="str">
        <f>IF([3]道具信息!P13="","",[3]道具信息!P13)</f>
        <v>铜矿产出加速/天</v>
      </c>
      <c r="Q13" s="37">
        <f>IF([3]道具信息!Q13="","",[3]道具信息!Q13)</f>
        <v>159.10603085818101</v>
      </c>
    </row>
    <row r="14" spans="3:17" x14ac:dyDescent="0.15">
      <c r="C14" s="37" t="str">
        <f>IF([3]道具信息!C14="","",[3]道具信息!C14)</f>
        <v/>
      </c>
      <c r="D14" s="37" t="str">
        <f>IF([3]道具信息!D14="","",[3]道具信息!D14)</f>
        <v>铜矿</v>
      </c>
      <c r="E14" s="37">
        <f>IF([3]道具信息!E14="","",[3]道具信息!E14)</f>
        <v>1.5532286312592918E-4</v>
      </c>
      <c r="F14" s="37">
        <f>IF([3]道具信息!F14="","",[3]道具信息!F14)</f>
        <v>1</v>
      </c>
      <c r="G14" s="37">
        <f>IF([3]道具信息!G14="","",[3]道具信息!G14)</f>
        <v>1</v>
      </c>
      <c r="H14" s="37">
        <f>IF([3]道具信息!H14="","",[3]道具信息!H14)</f>
        <v>1</v>
      </c>
      <c r="I14" s="37">
        <f>IF([3]道具信息!I14="","",[3]道具信息!I14)</f>
        <v>1.5532286312592918E-4</v>
      </c>
      <c r="J14" s="37">
        <f>IF([3]道具信息!J14="","",[3]道具信息!J14)</f>
        <v>1.5532286312592918E-4</v>
      </c>
      <c r="K14" s="37">
        <f>IF([3]道具信息!K14="","",[3]道具信息!K14)</f>
        <v>1.5532286312592918E-4</v>
      </c>
      <c r="L14" s="37" t="str">
        <f>IF([3]道具信息!L14="","",[3]道具信息!L14)</f>
        <v/>
      </c>
      <c r="M14" s="37" t="str">
        <f>IF([3]道具信息!M14="","",[3]道具信息!M14)</f>
        <v/>
      </c>
      <c r="N14" s="37"/>
      <c r="O14" s="37" t="str">
        <f>IF([3]道具信息!O14="","",[3]道具信息!O14)</f>
        <v/>
      </c>
      <c r="P14" s="37" t="str">
        <f>IF([3]道具信息!P14="","",[3]道具信息!P14)</f>
        <v>粮食产出加速/天</v>
      </c>
      <c r="Q14" s="37">
        <f>IF([3]道具信息!Q14="","",[3]道具信息!Q14)</f>
        <v>159.10603085818101</v>
      </c>
    </row>
    <row r="15" spans="3:17" x14ac:dyDescent="0.15">
      <c r="C15" s="37" t="str">
        <f>IF([3]道具信息!C15="","",[3]道具信息!C15)</f>
        <v/>
      </c>
      <c r="D15" s="37" t="str">
        <f>IF([3]道具信息!D15="","",[3]道具信息!D15)</f>
        <v>铁矿</v>
      </c>
      <c r="E15" s="37">
        <f>IF([3]道具信息!E15="","",[3]道具信息!E15)</f>
        <v>3.5830021050108204E-4</v>
      </c>
      <c r="F15" s="37">
        <f>IF([3]道具信息!F15="","",[3]道具信息!F15)</f>
        <v>1</v>
      </c>
      <c r="G15" s="37">
        <f>IF([3]道具信息!G15="","",[3]道具信息!G15)</f>
        <v>1</v>
      </c>
      <c r="H15" s="37">
        <f>IF([3]道具信息!H15="","",[3]道具信息!H15)</f>
        <v>1</v>
      </c>
      <c r="I15" s="37">
        <f>IF([3]道具信息!I15="","",[3]道具信息!I15)</f>
        <v>3.5830021050108204E-4</v>
      </c>
      <c r="J15" s="37">
        <f>IF([3]道具信息!J15="","",[3]道具信息!J15)</f>
        <v>3.5830021050108204E-4</v>
      </c>
      <c r="K15" s="37">
        <f>IF([3]道具信息!K15="","",[3]道具信息!K15)</f>
        <v>3.5830021050108204E-4</v>
      </c>
      <c r="L15" s="37" t="str">
        <f>IF([3]道具信息!L15="","",[3]道具信息!L15)</f>
        <v/>
      </c>
      <c r="M15" s="37" t="str">
        <f>IF([3]道具信息!M15="","",[3]道具信息!M15)</f>
        <v/>
      </c>
      <c r="N15" s="37"/>
      <c r="O15" s="37" t="str">
        <f>IF([3]道具信息!O15="","",[3]道具信息!O15)</f>
        <v/>
      </c>
      <c r="P15" s="37" t="str">
        <f>IF([3]道具信息!P15="","",[3]道具信息!P15)</f>
        <v>铁矿产出加速/天</v>
      </c>
      <c r="Q15" s="37">
        <f>IF([3]道具信息!Q15="","",[3]道具信息!Q15)</f>
        <v>238.65904628727151</v>
      </c>
    </row>
    <row r="16" spans="3:17" x14ac:dyDescent="0.15">
      <c r="C16" s="37" t="str">
        <f>IF([3]道具信息!C16="","",[3]道具信息!C16)</f>
        <v/>
      </c>
      <c r="D16" s="37" t="str">
        <f>IF([3]道具信息!D16="","",[3]道具信息!D16)</f>
        <v>刀币</v>
      </c>
      <c r="E16" s="37">
        <f>IF([3]道具信息!E16="","",[3]道具信息!E16)</f>
        <v>1.5625000000000001E-3</v>
      </c>
      <c r="F16" s="37">
        <f>IF([3]道具信息!F16="","",[3]道具信息!F16)</f>
        <v>1</v>
      </c>
      <c r="G16" s="37">
        <f>IF([3]道具信息!G16="","",[3]道具信息!G16)</f>
        <v>1</v>
      </c>
      <c r="H16" s="37">
        <f>IF([3]道具信息!H16="","",[3]道具信息!H16)</f>
        <v>1</v>
      </c>
      <c r="I16" s="37">
        <f>IF([3]道具信息!I16="","",[3]道具信息!I16)</f>
        <v>1.5625000000000001E-3</v>
      </c>
      <c r="J16" s="37">
        <f>IF([3]道具信息!J16="","",[3]道具信息!J16)</f>
        <v>1.5625000000000001E-3</v>
      </c>
      <c r="K16" s="37">
        <f>IF([3]道具信息!K16="","",[3]道具信息!K16)</f>
        <v>1.5625000000000001E-3</v>
      </c>
      <c r="L16" s="37" t="str">
        <f>IF([3]道具信息!L16="","",[3]道具信息!L16)</f>
        <v/>
      </c>
      <c r="M16" s="37" t="str">
        <f>IF([3]道具信息!M16="","",[3]道具信息!M16)</f>
        <v/>
      </c>
      <c r="N16" s="37"/>
      <c r="O16" s="37" t="str">
        <f>IF([3]道具信息!O16="","",[3]道具信息!O16)</f>
        <v/>
      </c>
      <c r="P16" s="37" t="str">
        <f>IF([3]道具信息!P16="","",[3]道具信息!P16)</f>
        <v>刀币产出加速/天</v>
      </c>
      <c r="Q16" s="37">
        <f>IF([3]道具信息!Q16="","",[3]道具信息!Q16)</f>
        <v>364.00823995945541</v>
      </c>
    </row>
    <row r="17" spans="3:17" x14ac:dyDescent="0.15">
      <c r="C17" s="37" t="str">
        <f>IF([3]道具信息!C17="","",[3]道具信息!C17)</f>
        <v/>
      </c>
      <c r="D17" s="37" t="str">
        <f>IF([3]道具信息!D17="","",[3]道具信息!D17)</f>
        <v>玉珏</v>
      </c>
      <c r="E17" s="37">
        <f>IF([3]道具信息!E17="","",[3]道具信息!E17)</f>
        <v>1</v>
      </c>
      <c r="F17" s="37">
        <f>IF([3]道具信息!F17="","",[3]道具信息!F17)</f>
        <v>1</v>
      </c>
      <c r="G17" s="37">
        <f>IF([3]道具信息!G17="","",[3]道具信息!G17)</f>
        <v>1</v>
      </c>
      <c r="H17" s="37">
        <f>IF([3]道具信息!H17="","",[3]道具信息!H17)</f>
        <v>1</v>
      </c>
      <c r="I17" s="37">
        <f>IF([3]道具信息!I17="","",[3]道具信息!I17)</f>
        <v>1</v>
      </c>
      <c r="J17" s="37">
        <f>IF([3]道具信息!J17="","",[3]道具信息!J17)</f>
        <v>1</v>
      </c>
      <c r="K17" s="37">
        <f>IF([3]道具信息!K17="","",[3]道具信息!K17)</f>
        <v>1</v>
      </c>
      <c r="L17" s="37" t="str">
        <f>IF([3]道具信息!L17="","",[3]道具信息!L17)</f>
        <v/>
      </c>
      <c r="M17" s="37" t="str">
        <f>IF([3]道具信息!M17="","",[3]道具信息!M17)</f>
        <v/>
      </c>
      <c r="N17" s="37"/>
      <c r="O17" s="37" t="str">
        <f>IF([3]道具信息!O17="","",[3]道具信息!O17)</f>
        <v/>
      </c>
      <c r="P17" s="37" t="str">
        <f>IF([3]道具信息!P17="","",[3]道具信息!P17)</f>
        <v>木材采集加速/天</v>
      </c>
      <c r="Q17" s="37">
        <f>IF([3]道具信息!Q17="","",[3]道具信息!Q17)</f>
        <v>180.80790910307581</v>
      </c>
    </row>
    <row r="18" spans="3:17" x14ac:dyDescent="0.15">
      <c r="C18" s="37" t="str">
        <f>IF([3]道具信息!C18="","",[3]道具信息!C18)</f>
        <v/>
      </c>
      <c r="D18" s="37" t="str">
        <f>IF([3]道具信息!D18="","",[3]道具信息!D18)</f>
        <v>清剿令</v>
      </c>
      <c r="E18" s="37">
        <f>IF([3]道具信息!E18="","",[3]道具信息!E18)</f>
        <v>75</v>
      </c>
      <c r="F18" s="37">
        <f>IF([3]道具信息!F18="","",[3]道具信息!F18)</f>
        <v>1</v>
      </c>
      <c r="G18" s="37">
        <f>IF([3]道具信息!G18="","",[3]道具信息!G18)</f>
        <v>1</v>
      </c>
      <c r="H18" s="37">
        <f>IF([3]道具信息!H18="","",[3]道具信息!H18)</f>
        <v>1</v>
      </c>
      <c r="I18" s="37">
        <f>IF([3]道具信息!I18="","",[3]道具信息!I18)</f>
        <v>75</v>
      </c>
      <c r="J18" s="37">
        <f>IF([3]道具信息!J18="","",[3]道具信息!J18)</f>
        <v>75</v>
      </c>
      <c r="K18" s="37">
        <f>IF([3]道具信息!K18="","",[3]道具信息!K18)</f>
        <v>75</v>
      </c>
      <c r="L18" s="37" t="str">
        <f>IF([3]道具信息!L18="","",[3]道具信息!L18)</f>
        <v/>
      </c>
      <c r="M18" s="37" t="str">
        <f>IF([3]道具信息!M18="","",[3]道具信息!M18)</f>
        <v/>
      </c>
      <c r="N18" s="37"/>
      <c r="O18" s="37" t="str">
        <f>IF([3]道具信息!O18="","",[3]道具信息!O18)</f>
        <v/>
      </c>
      <c r="P18" s="37" t="str">
        <f>IF([3]道具信息!P18="","",[3]道具信息!P18)</f>
        <v>石料采集加速/天</v>
      </c>
      <c r="Q18" s="37">
        <f>IF([3]道具信息!Q18="","",[3]道具信息!Q18)</f>
        <v>180.80790910307581</v>
      </c>
    </row>
    <row r="19" spans="3:17" x14ac:dyDescent="0.15">
      <c r="C19" s="37" t="str">
        <f>IF([3]道具信息!C19="","",[3]道具信息!C19)</f>
        <v/>
      </c>
      <c r="D19" s="37" t="str">
        <f>IF([3]道具信息!D19="","",[3]道具信息!D19)</f>
        <v>军团币</v>
      </c>
      <c r="E19" s="37">
        <f>IF([3]道具信息!E19="","",[3]道具信息!E19)</f>
        <v>0.1</v>
      </c>
      <c r="F19" s="37">
        <f>IF([3]道具信息!F19="","",[3]道具信息!F19)</f>
        <v>1</v>
      </c>
      <c r="G19" s="37">
        <f>IF([3]道具信息!G19="","",[3]道具信息!G19)</f>
        <v>1</v>
      </c>
      <c r="H19" s="37">
        <f>IF([3]道具信息!H19="","",[3]道具信息!H19)</f>
        <v>1</v>
      </c>
      <c r="I19" s="37">
        <f>IF([3]道具信息!I19="","",[3]道具信息!I19)</f>
        <v>0.1</v>
      </c>
      <c r="J19" s="37">
        <f>IF([3]道具信息!J19="","",[3]道具信息!J19)</f>
        <v>0.1</v>
      </c>
      <c r="K19" s="37">
        <f>IF([3]道具信息!K19="","",[3]道具信息!K19)</f>
        <v>0.1</v>
      </c>
      <c r="L19" s="37" t="str">
        <f>IF([3]道具信息!L19="","",[3]道具信息!L19)</f>
        <v/>
      </c>
      <c r="M19" s="37" t="str">
        <f>IF([3]道具信息!M19="","",[3]道具信息!M19)</f>
        <v/>
      </c>
      <c r="N19" s="37"/>
      <c r="O19" s="37" t="str">
        <f>IF([3]道具信息!O19="","",[3]道具信息!O19)</f>
        <v/>
      </c>
      <c r="P19" s="37" t="str">
        <f>IF([3]道具信息!P19="","",[3]道具信息!P19)</f>
        <v>铜矿采集加速/天</v>
      </c>
      <c r="Q19" s="37">
        <f>IF([3]道具信息!Q19="","",[3]道具信息!Q19)</f>
        <v>180.80790910307581</v>
      </c>
    </row>
    <row r="20" spans="3:17" x14ac:dyDescent="0.15">
      <c r="C20" s="37" t="str">
        <f>IF([3]道具信息!C20="","",[3]道具信息!C20)</f>
        <v/>
      </c>
      <c r="D20" s="37" t="str">
        <f>IF([3]道具信息!D20="","",[3]道具信息!D20)</f>
        <v/>
      </c>
      <c r="E20" s="37" t="str">
        <f>IF([3]道具信息!E20="","",[3]道具信息!E20)</f>
        <v/>
      </c>
      <c r="F20" s="37" t="str">
        <f>IF([3]道具信息!F20="","",[3]道具信息!F20)</f>
        <v/>
      </c>
      <c r="G20" s="37" t="str">
        <f>IF([3]道具信息!G20="","",[3]道具信息!G20)</f>
        <v/>
      </c>
      <c r="H20" s="37" t="str">
        <f>IF([3]道具信息!H20="","",[3]道具信息!H20)</f>
        <v/>
      </c>
      <c r="I20" s="37" t="str">
        <f>IF([3]道具信息!I20="","",[3]道具信息!I20)</f>
        <v/>
      </c>
      <c r="J20" s="37" t="str">
        <f>IF([3]道具信息!J20="","",[3]道具信息!J20)</f>
        <v/>
      </c>
      <c r="K20" s="37" t="str">
        <f>IF([3]道具信息!K20="","",[3]道具信息!K20)</f>
        <v/>
      </c>
      <c r="L20" s="37" t="str">
        <f>IF([3]道具信息!L20="","",[3]道具信息!L20)</f>
        <v/>
      </c>
      <c r="M20" s="37" t="str">
        <f>IF([3]道具信息!M20="","",[3]道具信息!M20)</f>
        <v/>
      </c>
      <c r="N20" s="37"/>
      <c r="O20" s="37" t="str">
        <f>IF([3]道具信息!O20="","",[3]道具信息!O20)</f>
        <v/>
      </c>
      <c r="P20" s="37" t="str">
        <f>IF([3]道具信息!P20="","",[3]道具信息!P20)</f>
        <v>粮食采集加速/天</v>
      </c>
      <c r="Q20" s="37">
        <f>IF([3]道具信息!Q20="","",[3]道具信息!Q20)</f>
        <v>180.80790910307581</v>
      </c>
    </row>
    <row r="21" spans="3:17" x14ac:dyDescent="0.15">
      <c r="C21" s="37" t="str">
        <f>IF([3]道具信息!C21="","",[3]道具信息!C21)</f>
        <v/>
      </c>
      <c r="D21" s="37" t="str">
        <f>IF([3]道具信息!D21="","",[3]道具信息!D21)</f>
        <v/>
      </c>
      <c r="E21" s="37" t="str">
        <f>IF([3]道具信息!E21="","",[3]道具信息!E21)</f>
        <v/>
      </c>
      <c r="F21" s="37" t="str">
        <f>IF([3]道具信息!F21="","",[3]道具信息!F21)</f>
        <v/>
      </c>
      <c r="G21" s="37" t="str">
        <f>IF([3]道具信息!G21="","",[3]道具信息!G21)</f>
        <v/>
      </c>
      <c r="H21" s="37" t="str">
        <f>IF([3]道具信息!H21="","",[3]道具信息!H21)</f>
        <v/>
      </c>
      <c r="I21" s="37" t="str">
        <f>IF([3]道具信息!I21="","",[3]道具信息!I21)</f>
        <v/>
      </c>
      <c r="J21" s="37" t="str">
        <f>IF([3]道具信息!J21="","",[3]道具信息!J21)</f>
        <v/>
      </c>
      <c r="K21" s="37" t="str">
        <f>IF([3]道具信息!K21="","",[3]道具信息!K21)</f>
        <v/>
      </c>
      <c r="L21" s="37" t="str">
        <f>IF([3]道具信息!L21="","",[3]道具信息!L21)</f>
        <v/>
      </c>
      <c r="M21" s="37" t="str">
        <f>IF([3]道具信息!M21="","",[3]道具信息!M21)</f>
        <v/>
      </c>
      <c r="N21" s="37"/>
      <c r="O21" s="37" t="str">
        <f>IF([3]道具信息!O21="","",[3]道具信息!O21)</f>
        <v/>
      </c>
      <c r="P21" s="37" t="str">
        <f>IF([3]道具信息!P21="","",[3]道具信息!P21)</f>
        <v>铁矿采集加速/天</v>
      </c>
      <c r="Q21" s="37">
        <f>IF([3]道具信息!Q21="","",[3]道具信息!Q21)</f>
        <v>271.21186365461375</v>
      </c>
    </row>
    <row r="22" spans="3:17" x14ac:dyDescent="0.15">
      <c r="C22" s="37" t="str">
        <f>IF([3]道具信息!C22="","",[3]道具信息!C22)</f>
        <v/>
      </c>
      <c r="D22" s="37" t="str">
        <f>IF([3]道具信息!D22="","",[3]道具信息!D22)</f>
        <v>信物*2、武将碎片*10、黄金600三选一（600钻）</v>
      </c>
      <c r="E22" s="37">
        <f>IF([3]道具信息!E22="","",[3]道具信息!E22)</f>
        <v>600</v>
      </c>
      <c r="F22" s="37">
        <f>IF([3]道具信息!F22="","",[3]道具信息!F22)</f>
        <v>1</v>
      </c>
      <c r="G22" s="37">
        <f>IF([3]道具信息!G22="","",[3]道具信息!G22)</f>
        <v>1</v>
      </c>
      <c r="H22" s="37">
        <f>IF([3]道具信息!H22="","",[3]道具信息!H22)</f>
        <v>1</v>
      </c>
      <c r="I22" s="37">
        <f>IF([3]道具信息!I22="","",[3]道具信息!I22)</f>
        <v>600</v>
      </c>
      <c r="J22" s="37">
        <f>IF([3]道具信息!J22="","",[3]道具信息!J22)</f>
        <v>600</v>
      </c>
      <c r="K22" s="37">
        <f>IF([3]道具信息!K22="","",[3]道具信息!K22)</f>
        <v>600</v>
      </c>
      <c r="L22" s="37" t="str">
        <f>IF([3]道具信息!L22="","",[3]道具信息!L22)</f>
        <v/>
      </c>
      <c r="M22" s="37" t="str">
        <f>IF([3]道具信息!M22="","",[3]道具信息!M22)</f>
        <v/>
      </c>
      <c r="N22" s="37"/>
      <c r="O22" s="37" t="str">
        <f>IF([3]道具信息!O22="","",[3]道具信息!O22)</f>
        <v/>
      </c>
      <c r="P22" s="37" t="str">
        <f>IF([3]道具信息!P22="","",[3]道具信息!P22)</f>
        <v/>
      </c>
      <c r="Q22" s="37" t="str">
        <f>IF([3]道具信息!Q22="","",[3]道具信息!Q22)</f>
        <v/>
      </c>
    </row>
    <row r="23" spans="3:17" x14ac:dyDescent="0.15">
      <c r="C23" s="37" t="str">
        <f>IF([3]道具信息!C23="","",[3]道具信息!C23)</f>
        <v/>
      </c>
      <c r="D23" s="37" t="str">
        <f>IF([3]道具信息!D23="","",[3]道具信息!D23)</f>
        <v>蓝色门客</v>
      </c>
      <c r="E23" s="37">
        <f>IF([3]道具信息!E23="","",[3]道具信息!E23)</f>
        <v>1000</v>
      </c>
      <c r="F23" s="37">
        <f>IF([3]道具信息!F23="","",[3]道具信息!F23)</f>
        <v>1</v>
      </c>
      <c r="G23" s="37">
        <f>IF([3]道具信息!G23="","",[3]道具信息!G23)</f>
        <v>1</v>
      </c>
      <c r="H23" s="37">
        <f>IF([3]道具信息!H23="","",[3]道具信息!H23)</f>
        <v>1</v>
      </c>
      <c r="I23" s="37">
        <f>IF([3]道具信息!I23="","",[3]道具信息!I23)</f>
        <v>1000</v>
      </c>
      <c r="J23" s="37">
        <f>IF([3]道具信息!J23="","",[3]道具信息!J23)</f>
        <v>1000</v>
      </c>
      <c r="K23" s="37">
        <f>IF([3]道具信息!K23="","",[3]道具信息!K23)</f>
        <v>1000</v>
      </c>
      <c r="L23" s="37" t="str">
        <f>IF([3]道具信息!L23="","",[3]道具信息!L23)</f>
        <v/>
      </c>
      <c r="M23" s="37" t="str">
        <f>IF([3]道具信息!M23="","",[3]道具信息!M23)</f>
        <v/>
      </c>
      <c r="N23" s="37"/>
      <c r="O23" s="37" t="str">
        <f>IF([3]道具信息!O23="","",[3]道具信息!O23)</f>
        <v/>
      </c>
      <c r="P23" s="37" t="str">
        <f>IF([3]道具信息!P23="","",[3]道具信息!P23)</f>
        <v/>
      </c>
      <c r="Q23" s="37" t="str">
        <f>IF([3]道具信息!Q23="","",[3]道具信息!Q23)</f>
        <v/>
      </c>
    </row>
    <row r="24" spans="3:17" x14ac:dyDescent="0.15">
      <c r="C24" s="37" t="str">
        <f>IF([3]道具信息!C24="","",[3]道具信息!C24)</f>
        <v/>
      </c>
      <c r="D24" s="37" t="str">
        <f>IF([3]道具信息!D24="","",[3]道具信息!D24)</f>
        <v>紫色门客</v>
      </c>
      <c r="E24" s="37">
        <f>IF([3]道具信息!E24="","",[3]道具信息!E24)</f>
        <v>3000</v>
      </c>
      <c r="F24" s="37">
        <f>IF([3]道具信息!F24="","",[3]道具信息!F24)</f>
        <v>1</v>
      </c>
      <c r="G24" s="37">
        <f>IF([3]道具信息!G24="","",[3]道具信息!G24)</f>
        <v>1</v>
      </c>
      <c r="H24" s="37">
        <f>IF([3]道具信息!H24="","",[3]道具信息!H24)</f>
        <v>1</v>
      </c>
      <c r="I24" s="37">
        <f>IF([3]道具信息!I24="","",[3]道具信息!I24)</f>
        <v>3000</v>
      </c>
      <c r="J24" s="37">
        <f>IF([3]道具信息!J24="","",[3]道具信息!J24)</f>
        <v>3000</v>
      </c>
      <c r="K24" s="37">
        <f>IF([3]道具信息!K24="","",[3]道具信息!K24)</f>
        <v>3000</v>
      </c>
      <c r="L24" s="37" t="str">
        <f>IF([3]道具信息!L24="","",[3]道具信息!L24)</f>
        <v/>
      </c>
      <c r="M24" s="37" t="str">
        <f>IF([3]道具信息!M24="","",[3]道具信息!M24)</f>
        <v/>
      </c>
      <c r="N24" s="37"/>
      <c r="O24" s="37" t="str">
        <f>IF([3]道具信息!O24="","",[3]道具信息!O24)</f>
        <v/>
      </c>
      <c r="P24" s="37" t="str">
        <f>IF([3]道具信息!P24="","",[3]道具信息!P24)</f>
        <v/>
      </c>
      <c r="Q24" s="37" t="str">
        <f>IF([3]道具信息!Q24="","",[3]道具信息!Q24)</f>
        <v/>
      </c>
    </row>
    <row r="25" spans="3:17" x14ac:dyDescent="0.15">
      <c r="C25" s="37" t="str">
        <f>IF([3]道具信息!C25="","",[3]道具信息!C25)</f>
        <v/>
      </c>
      <c r="D25" s="37" t="str">
        <f>IF([3]道具信息!D25="","",[3]道具信息!D25)</f>
        <v>橙色门客</v>
      </c>
      <c r="E25" s="37">
        <f>IF([3]道具信息!E25="","",[3]道具信息!E25)</f>
        <v>8000</v>
      </c>
      <c r="F25" s="37">
        <f>IF([3]道具信息!F25="","",[3]道具信息!F25)</f>
        <v>1</v>
      </c>
      <c r="G25" s="37">
        <f>IF([3]道具信息!G25="","",[3]道具信息!G25)</f>
        <v>1</v>
      </c>
      <c r="H25" s="37">
        <f>IF([3]道具信息!H25="","",[3]道具信息!H25)</f>
        <v>1</v>
      </c>
      <c r="I25" s="37">
        <f>IF([3]道具信息!I25="","",[3]道具信息!I25)</f>
        <v>8000</v>
      </c>
      <c r="J25" s="37">
        <f>IF([3]道具信息!J25="","",[3]道具信息!J25)</f>
        <v>8000</v>
      </c>
      <c r="K25" s="37">
        <f>IF([3]道具信息!K25="","",[3]道具信息!K25)</f>
        <v>8000</v>
      </c>
      <c r="L25" s="37" t="str">
        <f>IF([3]道具信息!L25="","",[3]道具信息!L25)</f>
        <v/>
      </c>
      <c r="M25" s="37" t="str">
        <f>IF([3]道具信息!M25="","",[3]道具信息!M25)</f>
        <v/>
      </c>
      <c r="N25" s="37"/>
      <c r="O25" s="37" t="str">
        <f>IF([3]道具信息!O25="","",[3]道具信息!O25)</f>
        <v/>
      </c>
      <c r="P25" s="37" t="str">
        <f>IF([3]道具信息!P25="","",[3]道具信息!P25)</f>
        <v/>
      </c>
      <c r="Q25" s="37" t="str">
        <f>IF([3]道具信息!Q25="","",[3]道具信息!Q25)</f>
        <v/>
      </c>
    </row>
    <row r="26" spans="3:17" x14ac:dyDescent="0.15">
      <c r="C26" s="37" t="str">
        <f>IF([3]道具信息!C26="","",[3]道具信息!C26)</f>
        <v/>
      </c>
      <c r="D26" s="37" t="str">
        <f>IF([3]道具信息!D26="","",[3]道具信息!D26)</f>
        <v>红色门客</v>
      </c>
      <c r="E26" s="37">
        <f>IF([3]道具信息!E26="","",[3]道具信息!E26)</f>
        <v>20000</v>
      </c>
      <c r="F26" s="37">
        <f>IF([3]道具信息!F26="","",[3]道具信息!F26)</f>
        <v>1</v>
      </c>
      <c r="G26" s="37">
        <f>IF([3]道具信息!G26="","",[3]道具信息!G26)</f>
        <v>1</v>
      </c>
      <c r="H26" s="37">
        <f>IF([3]道具信息!H26="","",[3]道具信息!H26)</f>
        <v>1</v>
      </c>
      <c r="I26" s="37">
        <f>IF([3]道具信息!I26="","",[3]道具信息!I26)</f>
        <v>20000</v>
      </c>
      <c r="J26" s="37">
        <f>IF([3]道具信息!J26="","",[3]道具信息!J26)</f>
        <v>20000</v>
      </c>
      <c r="K26" s="37">
        <f>IF([3]道具信息!K26="","",[3]道具信息!K26)</f>
        <v>20000</v>
      </c>
      <c r="L26" s="37" t="str">
        <f>IF([3]道具信息!L26="","",[3]道具信息!L26)</f>
        <v/>
      </c>
      <c r="M26" s="37" t="str">
        <f>IF([3]道具信息!M26="","",[3]道具信息!M26)</f>
        <v/>
      </c>
      <c r="N26" s="37"/>
      <c r="O26" s="37" t="str">
        <f>IF([3]道具信息!O26="","",[3]道具信息!O26)</f>
        <v/>
      </c>
      <c r="P26" s="37" t="str">
        <f>IF([3]道具信息!P26="","",[3]道具信息!P26)</f>
        <v/>
      </c>
      <c r="Q26" s="37" t="str">
        <f>IF([3]道具信息!Q26="","",[3]道具信息!Q26)</f>
        <v/>
      </c>
    </row>
    <row r="27" spans="3:17" x14ac:dyDescent="0.15">
      <c r="C27" s="37" t="str">
        <f>IF([3]道具信息!C27="","",[3]道具信息!C27)</f>
        <v/>
      </c>
      <c r="D27" s="37" t="str">
        <f>IF([3]道具信息!D27="","",[3]道具信息!D27)</f>
        <v/>
      </c>
      <c r="E27" s="37" t="str">
        <f>IF([3]道具信息!E27="","",[3]道具信息!E27)</f>
        <v/>
      </c>
      <c r="F27" s="37" t="str">
        <f>IF([3]道具信息!F27="","",[3]道具信息!F27)</f>
        <v/>
      </c>
      <c r="G27" s="37" t="str">
        <f>IF([3]道具信息!G27="","",[3]道具信息!G27)</f>
        <v/>
      </c>
      <c r="H27" s="37" t="str">
        <f>IF([3]道具信息!H27="","",[3]道具信息!H27)</f>
        <v/>
      </c>
      <c r="I27" s="37" t="str">
        <f>IF([3]道具信息!I27="","",[3]道具信息!I27)</f>
        <v/>
      </c>
      <c r="J27" s="37" t="str">
        <f>IF([3]道具信息!J27="","",[3]道具信息!J27)</f>
        <v/>
      </c>
      <c r="K27" s="37" t="str">
        <f>IF([3]道具信息!K27="","",[3]道具信息!K27)</f>
        <v/>
      </c>
      <c r="L27" s="37" t="str">
        <f>IF([3]道具信息!L27="","",[3]道具信息!L27)</f>
        <v/>
      </c>
      <c r="M27" s="37" t="str">
        <f>IF([3]道具信息!M27="","",[3]道具信息!M27)</f>
        <v/>
      </c>
      <c r="N27" s="37"/>
      <c r="O27" s="37" t="str">
        <f>IF([3]道具信息!O27="","",[3]道具信息!O27)</f>
        <v/>
      </c>
      <c r="P27" s="37" t="str">
        <f>IF([3]道具信息!P27="","",[3]道具信息!P27)</f>
        <v/>
      </c>
      <c r="Q27" s="37" t="str">
        <f>IF([3]道具信息!Q27="","",[3]道具信息!Q27)</f>
        <v/>
      </c>
    </row>
    <row r="28" spans="3:17" x14ac:dyDescent="0.15">
      <c r="C28" s="37" t="str">
        <f>IF([3]道具信息!C28="","",[3]道具信息!C28)</f>
        <v/>
      </c>
      <c r="D28" s="37" t="str">
        <f>IF([3]道具信息!D28="","",[3]道具信息!D28)</f>
        <v>绿色军团馈赠</v>
      </c>
      <c r="E28" s="37">
        <f>IF([3]道具信息!E28="","",[3]道具信息!E28)</f>
        <v>20</v>
      </c>
      <c r="F28" s="37">
        <f>IF([3]道具信息!F28="","",[3]道具信息!F28)</f>
        <v>1</v>
      </c>
      <c r="G28" s="37">
        <f>IF([3]道具信息!G28="","",[3]道具信息!G28)</f>
        <v>1</v>
      </c>
      <c r="H28" s="37">
        <f>IF([3]道具信息!H28="","",[3]道具信息!H28)</f>
        <v>1</v>
      </c>
      <c r="I28" s="37">
        <f>IF([3]道具信息!I28="","",[3]道具信息!I28)</f>
        <v>20</v>
      </c>
      <c r="J28" s="37">
        <f>IF([3]道具信息!J28="","",[3]道具信息!J28)</f>
        <v>20</v>
      </c>
      <c r="K28" s="37">
        <f>IF([3]道具信息!K28="","",[3]道具信息!K28)</f>
        <v>20</v>
      </c>
      <c r="L28" s="37" t="str">
        <f>IF([3]道具信息!L28="","",[3]道具信息!L28)</f>
        <v/>
      </c>
      <c r="M28" s="37" t="str">
        <f>IF([3]道具信息!M28="","",[3]道具信息!M28)</f>
        <v/>
      </c>
      <c r="N28" s="37"/>
      <c r="O28" s="37" t="str">
        <f>IF([3]道具信息!O28="","",[3]道具信息!O28)</f>
        <v/>
      </c>
      <c r="P28" s="37" t="str">
        <f>IF([3]道具信息!P28="","",[3]道具信息!P28)</f>
        <v/>
      </c>
      <c r="Q28" s="37" t="str">
        <f>IF([3]道具信息!Q28="","",[3]道具信息!Q28)</f>
        <v/>
      </c>
    </row>
    <row r="29" spans="3:17" x14ac:dyDescent="0.15">
      <c r="C29" s="37" t="str">
        <f>IF([3]道具信息!C29="","",[3]道具信息!C29)</f>
        <v/>
      </c>
      <c r="D29" s="37" t="str">
        <f>IF([3]道具信息!D29="","",[3]道具信息!D29)</f>
        <v>蓝色军团馈赠</v>
      </c>
      <c r="E29" s="37">
        <f>IF([3]道具信息!E29="","",[3]道具信息!E29)</f>
        <v>100</v>
      </c>
      <c r="F29" s="37">
        <f>IF([3]道具信息!F29="","",[3]道具信息!F29)</f>
        <v>1</v>
      </c>
      <c r="G29" s="37">
        <f>IF([3]道具信息!G29="","",[3]道具信息!G29)</f>
        <v>1</v>
      </c>
      <c r="H29" s="37">
        <f>IF([3]道具信息!H29="","",[3]道具信息!H29)</f>
        <v>1</v>
      </c>
      <c r="I29" s="37">
        <f>IF([3]道具信息!I29="","",[3]道具信息!I29)</f>
        <v>100</v>
      </c>
      <c r="J29" s="37">
        <f>IF([3]道具信息!J29="","",[3]道具信息!J29)</f>
        <v>100</v>
      </c>
      <c r="K29" s="37">
        <f>IF([3]道具信息!K29="","",[3]道具信息!K29)</f>
        <v>100</v>
      </c>
      <c r="L29" s="37" t="str">
        <f>IF([3]道具信息!L29="","",[3]道具信息!L29)</f>
        <v/>
      </c>
      <c r="M29" s="37" t="str">
        <f>IF([3]道具信息!M29="","",[3]道具信息!M29)</f>
        <v/>
      </c>
      <c r="N29" s="37"/>
      <c r="O29" s="37" t="str">
        <f>IF([3]道具信息!O29="","",[3]道具信息!O29)</f>
        <v/>
      </c>
      <c r="P29" s="37" t="str">
        <f>IF([3]道具信息!P29="","",[3]道具信息!P29)</f>
        <v/>
      </c>
      <c r="Q29" s="37" t="str">
        <f>IF([3]道具信息!Q29="","",[3]道具信息!Q29)</f>
        <v/>
      </c>
    </row>
    <row r="30" spans="3:17" x14ac:dyDescent="0.15">
      <c r="C30" s="37" t="str">
        <f>IF([3]道具信息!C30="","",[3]道具信息!C30)</f>
        <v/>
      </c>
      <c r="D30" s="37" t="str">
        <f>IF([3]道具信息!D30="","",[3]道具信息!D30)</f>
        <v>紫色军团馈赠</v>
      </c>
      <c r="E30" s="37">
        <f>IF([3]道具信息!E30="","",[3]道具信息!E30)</f>
        <v>500</v>
      </c>
      <c r="F30" s="37">
        <f>IF([3]道具信息!F30="","",[3]道具信息!F30)</f>
        <v>1</v>
      </c>
      <c r="G30" s="37">
        <f>IF([3]道具信息!G30="","",[3]道具信息!G30)</f>
        <v>1</v>
      </c>
      <c r="H30" s="37">
        <f>IF([3]道具信息!H30="","",[3]道具信息!H30)</f>
        <v>1</v>
      </c>
      <c r="I30" s="37">
        <f>IF([3]道具信息!I30="","",[3]道具信息!I30)</f>
        <v>500</v>
      </c>
      <c r="J30" s="37">
        <f>IF([3]道具信息!J30="","",[3]道具信息!J30)</f>
        <v>500</v>
      </c>
      <c r="K30" s="37">
        <f>IF([3]道具信息!K30="","",[3]道具信息!K30)</f>
        <v>500</v>
      </c>
      <c r="L30" s="37" t="str">
        <f>IF([3]道具信息!L30="","",[3]道具信息!L30)</f>
        <v/>
      </c>
      <c r="M30" s="37" t="str">
        <f>IF([3]道具信息!M30="","",[3]道具信息!M30)</f>
        <v/>
      </c>
      <c r="N30" s="37"/>
      <c r="O30" s="37" t="str">
        <f>IF([3]道具信息!O30="","",[3]道具信息!O30)</f>
        <v/>
      </c>
      <c r="P30" s="37" t="str">
        <f>IF([3]道具信息!P30="","",[3]道具信息!P30)</f>
        <v/>
      </c>
      <c r="Q30" s="37" t="str">
        <f>IF([3]道具信息!Q30="","",[3]道具信息!Q30)</f>
        <v/>
      </c>
    </row>
    <row r="31" spans="3:17" x14ac:dyDescent="0.15">
      <c r="C31" s="37" t="str">
        <f>IF([3]道具信息!C31="","",[3]道具信息!C31)</f>
        <v/>
      </c>
      <c r="D31" s="37" t="str">
        <f>IF([3]道具信息!D31="","",[3]道具信息!D31)</f>
        <v>橙色军团馈赠</v>
      </c>
      <c r="E31" s="37">
        <f>IF([3]道具信息!E31="","",[3]道具信息!E31)</f>
        <v>2000</v>
      </c>
      <c r="F31" s="37">
        <f>IF([3]道具信息!F31="","",[3]道具信息!F31)</f>
        <v>1</v>
      </c>
      <c r="G31" s="37">
        <f>IF([3]道具信息!G31="","",[3]道具信息!G31)</f>
        <v>1</v>
      </c>
      <c r="H31" s="37">
        <f>IF([3]道具信息!H31="","",[3]道具信息!H31)</f>
        <v>1</v>
      </c>
      <c r="I31" s="37">
        <f>IF([3]道具信息!I31="","",[3]道具信息!I31)</f>
        <v>2000</v>
      </c>
      <c r="J31" s="37">
        <f>IF([3]道具信息!J31="","",[3]道具信息!J31)</f>
        <v>2000</v>
      </c>
      <c r="K31" s="37">
        <f>IF([3]道具信息!K31="","",[3]道具信息!K31)</f>
        <v>2000</v>
      </c>
      <c r="L31" s="37" t="str">
        <f>IF([3]道具信息!L31="","",[3]道具信息!L31)</f>
        <v/>
      </c>
      <c r="M31" s="37" t="str">
        <f>IF([3]道具信息!M31="","",[3]道具信息!M31)</f>
        <v/>
      </c>
      <c r="N31" s="37"/>
      <c r="O31" s="37" t="str">
        <f>IF([3]道具信息!O31="","",[3]道具信息!O31)</f>
        <v/>
      </c>
      <c r="P31" s="37" t="str">
        <f>IF([3]道具信息!P31="","",[3]道具信息!P31)</f>
        <v/>
      </c>
      <c r="Q31" s="37" t="str">
        <f>IF([3]道具信息!Q31="","",[3]道具信息!Q31)</f>
        <v/>
      </c>
    </row>
    <row r="32" spans="3:17" x14ac:dyDescent="0.15">
      <c r="C32" s="37" t="str">
        <f>IF([3]道具信息!C32="","",[3]道具信息!C32)</f>
        <v/>
      </c>
      <c r="D32" s="37" t="str">
        <f>IF([3]道具信息!D32="","",[3]道具信息!D32)</f>
        <v/>
      </c>
      <c r="E32" s="37" t="str">
        <f>IF([3]道具信息!E32="","",[3]道具信息!E32)</f>
        <v/>
      </c>
      <c r="F32" s="37" t="str">
        <f>IF([3]道具信息!F32="","",[3]道具信息!F32)</f>
        <v/>
      </c>
      <c r="G32" s="37" t="str">
        <f>IF([3]道具信息!G32="","",[3]道具信息!G32)</f>
        <v/>
      </c>
      <c r="H32" s="37" t="str">
        <f>IF([3]道具信息!H32="","",[3]道具信息!H32)</f>
        <v/>
      </c>
      <c r="I32" s="37" t="str">
        <f>IF([3]道具信息!I32="","",[3]道具信息!I32)</f>
        <v/>
      </c>
      <c r="J32" s="37" t="str">
        <f>IF([3]道具信息!J32="","",[3]道具信息!J32)</f>
        <v/>
      </c>
      <c r="K32" s="37" t="str">
        <f>IF([3]道具信息!K32="","",[3]道具信息!K32)</f>
        <v/>
      </c>
      <c r="L32" s="37" t="str">
        <f>IF([3]道具信息!L32="","",[3]道具信息!L32)</f>
        <v/>
      </c>
      <c r="M32" s="37" t="str">
        <f>IF([3]道具信息!M32="","",[3]道具信息!M32)</f>
        <v/>
      </c>
      <c r="N32" s="37"/>
      <c r="O32" s="37" t="str">
        <f>IF([3]道具信息!O32="","",[3]道具信息!O32)</f>
        <v/>
      </c>
      <c r="P32" s="37" t="str">
        <f>IF([3]道具信息!P32="","",[3]道具信息!P32)</f>
        <v/>
      </c>
      <c r="Q32" s="37" t="str">
        <f>IF([3]道具信息!Q32="","",[3]道具信息!Q32)</f>
        <v/>
      </c>
    </row>
    <row r="33" spans="3:17" x14ac:dyDescent="0.15">
      <c r="C33" s="37" t="str">
        <f>IF([3]道具信息!C33="","",[3]道具信息!C33)</f>
        <v/>
      </c>
      <c r="D33" s="37" t="str">
        <f>IF([3]道具信息!D33="","",[3]道具信息!D33)</f>
        <v>文心</v>
      </c>
      <c r="E33" s="37">
        <f>IF([3]道具信息!E33="","",[3]道具信息!E33)</f>
        <v>0.33333333333333331</v>
      </c>
      <c r="F33" s="37">
        <f>IF([3]道具信息!F33="","",[3]道具信息!F33)</f>
        <v>1</v>
      </c>
      <c r="G33" s="37">
        <f>IF([3]道具信息!G33="","",[3]道具信息!G33)</f>
        <v>1</v>
      </c>
      <c r="H33" s="37">
        <f>IF([3]道具信息!H33="","",[3]道具信息!H33)</f>
        <v>1</v>
      </c>
      <c r="I33" s="37">
        <f>IF([3]道具信息!I33="","",[3]道具信息!I33)</f>
        <v>0.33333333333333331</v>
      </c>
      <c r="J33" s="37">
        <f>IF([3]道具信息!J33="","",[3]道具信息!J33)</f>
        <v>0.33333333333333331</v>
      </c>
      <c r="K33" s="37">
        <f>IF([3]道具信息!K33="","",[3]道具信息!K33)</f>
        <v>0.33333333333333331</v>
      </c>
      <c r="L33" s="37" t="str">
        <f>IF([3]道具信息!L33="","",[3]道具信息!L33)</f>
        <v>宝物温养货币</v>
      </c>
      <c r="M33" s="37" t="str">
        <f>IF([3]道具信息!M33="","",[3]道具信息!M33)</f>
        <v/>
      </c>
      <c r="N33" s="37"/>
      <c r="O33" s="37" t="str">
        <f>IF([3]道具信息!O33="","",[3]道具信息!O33)</f>
        <v/>
      </c>
      <c r="P33" s="37" t="str">
        <f>IF([3]道具信息!P33="","",[3]道具信息!P33)</f>
        <v/>
      </c>
      <c r="Q33" s="37" t="str">
        <f>IF([3]道具信息!Q33="","",[3]道具信息!Q33)</f>
        <v/>
      </c>
    </row>
    <row r="34" spans="3:17" x14ac:dyDescent="0.15">
      <c r="C34" s="37" t="str">
        <f>IF([3]道具信息!C34="","",[3]道具信息!C34)</f>
        <v/>
      </c>
      <c r="D34" s="37" t="str">
        <f>IF([3]道具信息!D34="","",[3]道具信息!D34)</f>
        <v>宝鉴</v>
      </c>
      <c r="E34" s="37">
        <f>IF([3]道具信息!E34="","",[3]道具信息!E34)</f>
        <v>500</v>
      </c>
      <c r="F34" s="37">
        <f>IF([3]道具信息!F34="","",[3]道具信息!F34)</f>
        <v>1</v>
      </c>
      <c r="G34" s="37">
        <f>IF([3]道具信息!G34="","",[3]道具信息!G34)</f>
        <v>1</v>
      </c>
      <c r="H34" s="37">
        <f>IF([3]道具信息!H34="","",[3]道具信息!H34)</f>
        <v>1</v>
      </c>
      <c r="I34" s="37">
        <f>IF([3]道具信息!I34="","",[3]道具信息!I34)</f>
        <v>500</v>
      </c>
      <c r="J34" s="37">
        <f>IF([3]道具信息!J34="","",[3]道具信息!J34)</f>
        <v>500</v>
      </c>
      <c r="K34" s="37">
        <f>IF([3]道具信息!K34="","",[3]道具信息!K34)</f>
        <v>500</v>
      </c>
      <c r="L34" s="37" t="str">
        <f>IF([3]道具信息!L34="","",[3]道具信息!L34)</f>
        <v>鉴赏宝物属性</v>
      </c>
      <c r="M34" s="37" t="str">
        <f>IF([3]道具信息!M34="","",[3]道具信息!M34)</f>
        <v/>
      </c>
      <c r="N34" s="37"/>
      <c r="O34" s="37" t="str">
        <f>IF([3]道具信息!O34="","",[3]道具信息!O34)</f>
        <v/>
      </c>
      <c r="P34" s="37" t="str">
        <f>IF([3]道具信息!P34="","",[3]道具信息!P34)</f>
        <v/>
      </c>
      <c r="Q34" s="37" t="str">
        <f>IF([3]道具信息!Q34="","",[3]道具信息!Q34)</f>
        <v/>
      </c>
    </row>
    <row r="35" spans="3:17" x14ac:dyDescent="0.15">
      <c r="C35" s="37" t="str">
        <f>IF([3]道具信息!C35="","",[3]道具信息!C35)</f>
        <v/>
      </c>
      <c r="D35" s="37" t="str">
        <f>IF([3]道具信息!D35="","",[3]道具信息!D35)</f>
        <v>密藏之匙</v>
      </c>
      <c r="E35" s="37">
        <f>IF([3]道具信息!E35="","",[3]道具信息!E35)</f>
        <v>330</v>
      </c>
      <c r="F35" s="37">
        <f>IF([3]道具信息!F35="","",[3]道具信息!F35)</f>
        <v>1</v>
      </c>
      <c r="G35" s="37">
        <f>IF([3]道具信息!G35="","",[3]道具信息!G35)</f>
        <v>1</v>
      </c>
      <c r="H35" s="37">
        <f>IF([3]道具信息!H35="","",[3]道具信息!H35)</f>
        <v>1</v>
      </c>
      <c r="I35" s="37">
        <f>IF([3]道具信息!I35="","",[3]道具信息!I35)</f>
        <v>330</v>
      </c>
      <c r="J35" s="37">
        <f>IF([3]道具信息!J35="","",[3]道具信息!J35)</f>
        <v>330</v>
      </c>
      <c r="K35" s="37">
        <f>IF([3]道具信息!K35="","",[3]道具信息!K35)</f>
        <v>330</v>
      </c>
      <c r="L35" s="37" t="str">
        <f>IF([3]道具信息!L35="","",[3]道具信息!L35)</f>
        <v>宝物抽奖道具</v>
      </c>
      <c r="M35" s="37" t="str">
        <f>IF([3]道具信息!M35="","",[3]道具信息!M35)</f>
        <v/>
      </c>
      <c r="N35" s="37"/>
      <c r="O35" s="37" t="str">
        <f>IF([3]道具信息!O35="","",[3]道具信息!O35)</f>
        <v/>
      </c>
      <c r="P35" s="37" t="str">
        <f>IF([3]道具信息!P35="","",[3]道具信息!P35)</f>
        <v/>
      </c>
      <c r="Q35" s="37" t="str">
        <f>IF([3]道具信息!Q35="","",[3]道具信息!Q35)</f>
        <v/>
      </c>
    </row>
    <row r="36" spans="3:17" x14ac:dyDescent="0.15">
      <c r="C36" s="37" t="str">
        <f>IF([3]道具信息!C36="","",[3]道具信息!C36)</f>
        <v/>
      </c>
      <c r="D36" s="37" t="str">
        <f>IF([3]道具信息!D36="","",[3]道具信息!D36)</f>
        <v>宝物精华</v>
      </c>
      <c r="E36" s="37">
        <f>IF([3]道具信息!E36="","",[3]道具信息!E36)</f>
        <v>100</v>
      </c>
      <c r="F36" s="37">
        <f>IF([3]道具信息!F36="","",[3]道具信息!F36)</f>
        <v>1</v>
      </c>
      <c r="G36" s="37">
        <f>IF([3]道具信息!G36="","",[3]道具信息!G36)</f>
        <v>1</v>
      </c>
      <c r="H36" s="37">
        <f>IF([3]道具信息!H36="","",[3]道具信息!H36)</f>
        <v>1</v>
      </c>
      <c r="I36" s="37">
        <f>IF([3]道具信息!I36="","",[3]道具信息!I36)</f>
        <v>100</v>
      </c>
      <c r="J36" s="37">
        <f>IF([3]道具信息!J36="","",[3]道具信息!J36)</f>
        <v>100</v>
      </c>
      <c r="K36" s="37">
        <f>IF([3]道具信息!K36="","",[3]道具信息!K36)</f>
        <v>100</v>
      </c>
      <c r="L36" s="37" t="str">
        <f>IF([3]道具信息!L36="","",[3]道具信息!L36)</f>
        <v>宝物升星消耗货币</v>
      </c>
      <c r="M36" s="37" t="str">
        <f>IF([3]道具信息!M36="","",[3]道具信息!M36)</f>
        <v/>
      </c>
      <c r="N36" s="37"/>
      <c r="O36" s="37" t="str">
        <f>IF([3]道具信息!O36="","",[3]道具信息!O36)</f>
        <v/>
      </c>
      <c r="P36" s="37" t="str">
        <f>IF([3]道具信息!P36="","",[3]道具信息!P36)</f>
        <v/>
      </c>
      <c r="Q36" s="37" t="str">
        <f>IF([3]道具信息!Q36="","",[3]道具信息!Q36)</f>
        <v/>
      </c>
    </row>
    <row r="37" spans="3:17" x14ac:dyDescent="0.15">
      <c r="C37" s="37" t="str">
        <f>IF([3]道具信息!C37="","",[3]道具信息!C37)</f>
        <v/>
      </c>
      <c r="D37" s="37" t="str">
        <f>IF([3]道具信息!D37="","",[3]道具信息!D37)</f>
        <v>指定蓝色宝物</v>
      </c>
      <c r="E37" s="37">
        <f>IF([3]道具信息!E37="","",[3]道具信息!E37)</f>
        <v>100</v>
      </c>
      <c r="F37" s="37">
        <f>IF([3]道具信息!F37="","",[3]道具信息!F37)</f>
        <v>2.5</v>
      </c>
      <c r="G37" s="37">
        <f>IF([3]道具信息!G37="","",[3]道具信息!G37)</f>
        <v>2.5</v>
      </c>
      <c r="H37" s="37">
        <f>IF([3]道具信息!H37="","",[3]道具信息!H37)</f>
        <v>2.5</v>
      </c>
      <c r="I37" s="37">
        <f>IF([3]道具信息!I37="","",[3]道具信息!I37)</f>
        <v>250</v>
      </c>
      <c r="J37" s="37">
        <f>IF([3]道具信息!J37="","",[3]道具信息!J37)</f>
        <v>250</v>
      </c>
      <c r="K37" s="37">
        <f>IF([3]道具信息!K37="","",[3]道具信息!K37)</f>
        <v>250</v>
      </c>
      <c r="L37" s="37" t="str">
        <f>IF([3]道具信息!L37="","",[3]道具信息!L37)</f>
        <v/>
      </c>
      <c r="M37" s="37" t="str">
        <f>IF([3]道具信息!M37="","",[3]道具信息!M37)</f>
        <v/>
      </c>
      <c r="N37" s="37"/>
      <c r="O37" s="37" t="str">
        <f>IF([3]道具信息!O37="","",[3]道具信息!O37)</f>
        <v/>
      </c>
      <c r="P37" s="37" t="str">
        <f>IF([3]道具信息!P37="","",[3]道具信息!P37)</f>
        <v/>
      </c>
      <c r="Q37" s="37" t="str">
        <f>IF([3]道具信息!Q37="","",[3]道具信息!Q37)</f>
        <v/>
      </c>
    </row>
    <row r="38" spans="3:17" x14ac:dyDescent="0.15">
      <c r="C38" s="37" t="str">
        <f>IF([3]道具信息!C38="","",[3]道具信息!C38)</f>
        <v/>
      </c>
      <c r="D38" s="37" t="str">
        <f>IF([3]道具信息!D38="","",[3]道具信息!D38)</f>
        <v>指定紫色宝物</v>
      </c>
      <c r="E38" s="37">
        <f>IF([3]道具信息!E38="","",[3]道具信息!E38)</f>
        <v>500</v>
      </c>
      <c r="F38" s="37">
        <f>IF([3]道具信息!F38="","",[3]道具信息!F38)</f>
        <v>2.5</v>
      </c>
      <c r="G38" s="37">
        <f>IF([3]道具信息!G38="","",[3]道具信息!G38)</f>
        <v>2.5</v>
      </c>
      <c r="H38" s="37">
        <f>IF([3]道具信息!H38="","",[3]道具信息!H38)</f>
        <v>2.5</v>
      </c>
      <c r="I38" s="37">
        <f>IF([3]道具信息!I38="","",[3]道具信息!I38)</f>
        <v>1250</v>
      </c>
      <c r="J38" s="37">
        <f>IF([3]道具信息!J38="","",[3]道具信息!J38)</f>
        <v>1250</v>
      </c>
      <c r="K38" s="37">
        <f>IF([3]道具信息!K38="","",[3]道具信息!K38)</f>
        <v>1250</v>
      </c>
      <c r="L38" s="37" t="str">
        <f>IF([3]道具信息!L38="","",[3]道具信息!L38)</f>
        <v/>
      </c>
      <c r="M38" s="37" t="str">
        <f>IF([3]道具信息!M38="","",[3]道具信息!M38)</f>
        <v/>
      </c>
      <c r="N38" s="37"/>
      <c r="O38" s="37" t="str">
        <f>IF([3]道具信息!O38="","",[3]道具信息!O38)</f>
        <v/>
      </c>
      <c r="P38" s="37" t="str">
        <f>IF([3]道具信息!P38="","",[3]道具信息!P38)</f>
        <v/>
      </c>
      <c r="Q38" s="37" t="str">
        <f>IF([3]道具信息!Q38="","",[3]道具信息!Q38)</f>
        <v/>
      </c>
    </row>
    <row r="39" spans="3:17" x14ac:dyDescent="0.15">
      <c r="C39" s="37" t="str">
        <f>IF([3]道具信息!C39="","",[3]道具信息!C39)</f>
        <v/>
      </c>
      <c r="D39" s="37" t="str">
        <f>IF([3]道具信息!D39="","",[3]道具信息!D39)</f>
        <v>指定橙色宝物</v>
      </c>
      <c r="E39" s="37">
        <f>IF([3]道具信息!E39="","",[3]道具信息!E39)</f>
        <v>4000</v>
      </c>
      <c r="F39" s="37">
        <f>IF([3]道具信息!F39="","",[3]道具信息!F39)</f>
        <v>2.5</v>
      </c>
      <c r="G39" s="37">
        <f>IF([3]道具信息!G39="","",[3]道具信息!G39)</f>
        <v>2.5</v>
      </c>
      <c r="H39" s="37">
        <f>IF([3]道具信息!H39="","",[3]道具信息!H39)</f>
        <v>2.5</v>
      </c>
      <c r="I39" s="37">
        <f>IF([3]道具信息!I39="","",[3]道具信息!I39)</f>
        <v>10000</v>
      </c>
      <c r="J39" s="37">
        <f>IF([3]道具信息!J39="","",[3]道具信息!J39)</f>
        <v>10000</v>
      </c>
      <c r="K39" s="37">
        <f>IF([3]道具信息!K39="","",[3]道具信息!K39)</f>
        <v>10000</v>
      </c>
      <c r="L39" s="37" t="str">
        <f>IF([3]道具信息!L39="","",[3]道具信息!L39)</f>
        <v/>
      </c>
      <c r="M39" s="37" t="str">
        <f>IF([3]道具信息!M39="","",[3]道具信息!M39)</f>
        <v/>
      </c>
      <c r="N39" s="37"/>
      <c r="O39" s="37" t="str">
        <f>IF([3]道具信息!O39="","",[3]道具信息!O39)</f>
        <v/>
      </c>
      <c r="P39" s="37" t="str">
        <f>IF([3]道具信息!P39="","",[3]道具信息!P39)</f>
        <v/>
      </c>
      <c r="Q39" s="37" t="str">
        <f>IF([3]道具信息!Q39="","",[3]道具信息!Q39)</f>
        <v/>
      </c>
    </row>
    <row r="40" spans="3:17" x14ac:dyDescent="0.15">
      <c r="C40" s="37" t="str">
        <f>IF([3]道具信息!C40="","",[3]道具信息!C40)</f>
        <v/>
      </c>
      <c r="D40" s="37" t="str">
        <f>IF([3]道具信息!D40="","",[3]道具信息!D40)</f>
        <v>指定橙+宝物</v>
      </c>
      <c r="E40" s="37">
        <f>IF([3]道具信息!E40="","",[3]道具信息!E40)</f>
        <v>20000</v>
      </c>
      <c r="F40" s="37">
        <f>IF([3]道具信息!F40="","",[3]道具信息!F40)</f>
        <v>2.5</v>
      </c>
      <c r="G40" s="37">
        <f>IF([3]道具信息!G40="","",[3]道具信息!G40)</f>
        <v>2.5</v>
      </c>
      <c r="H40" s="37">
        <f>IF([3]道具信息!H40="","",[3]道具信息!H40)</f>
        <v>2.5</v>
      </c>
      <c r="I40" s="37">
        <f>IF([3]道具信息!I40="","",[3]道具信息!I40)</f>
        <v>50000</v>
      </c>
      <c r="J40" s="37">
        <f>IF([3]道具信息!J40="","",[3]道具信息!J40)</f>
        <v>50000</v>
      </c>
      <c r="K40" s="37">
        <f>IF([3]道具信息!K40="","",[3]道具信息!K40)</f>
        <v>50000</v>
      </c>
      <c r="L40" s="37" t="str">
        <f>IF([3]道具信息!L40="","",[3]道具信息!L40)</f>
        <v/>
      </c>
      <c r="M40" s="37" t="str">
        <f>IF([3]道具信息!M40="","",[3]道具信息!M40)</f>
        <v/>
      </c>
      <c r="N40" s="37"/>
      <c r="O40" s="37" t="str">
        <f>IF([3]道具信息!O40="","",[3]道具信息!O40)</f>
        <v/>
      </c>
      <c r="P40" s="37" t="str">
        <f>IF([3]道具信息!P40="","",[3]道具信息!P40)</f>
        <v/>
      </c>
      <c r="Q40" s="37" t="str">
        <f>IF([3]道具信息!Q40="","",[3]道具信息!Q40)</f>
        <v/>
      </c>
    </row>
    <row r="41" spans="3:17" x14ac:dyDescent="0.15">
      <c r="C41" s="37" t="str">
        <f>IF([3]道具信息!C41="","",[3]道具信息!C41)</f>
        <v/>
      </c>
      <c r="D41" s="37" t="str">
        <f>IF([3]道具信息!D41="","",[3]道具信息!D41)</f>
        <v>指定橙色宝物碎片</v>
      </c>
      <c r="E41" s="37">
        <f>IF([3]道具信息!E41="","",[3]道具信息!E41)</f>
        <v>133.33333333333334</v>
      </c>
      <c r="F41" s="37">
        <f>IF([3]道具信息!F41="","",[3]道具信息!F41)</f>
        <v>2.5</v>
      </c>
      <c r="G41" s="37">
        <f>IF([3]道具信息!G41="","",[3]道具信息!G41)</f>
        <v>2.5</v>
      </c>
      <c r="H41" s="37">
        <f>IF([3]道具信息!H41="","",[3]道具信息!H41)</f>
        <v>2.5</v>
      </c>
      <c r="I41" s="37">
        <f>IF([3]道具信息!I41="","",[3]道具信息!I41)</f>
        <v>333.33333333333337</v>
      </c>
      <c r="J41" s="37">
        <f>IF([3]道具信息!J41="","",[3]道具信息!J41)</f>
        <v>333.33333333333337</v>
      </c>
      <c r="K41" s="37">
        <f>IF([3]道具信息!K41="","",[3]道具信息!K41)</f>
        <v>333.33333333333337</v>
      </c>
      <c r="L41" s="37" t="str">
        <f>IF([3]道具信息!L41="","",[3]道具信息!L41)</f>
        <v/>
      </c>
      <c r="M41" s="37" t="str">
        <f>IF([3]道具信息!M41="","",[3]道具信息!M41)</f>
        <v/>
      </c>
      <c r="N41" s="37"/>
      <c r="O41" s="37" t="str">
        <f>IF([3]道具信息!O41="","",[3]道具信息!O41)</f>
        <v/>
      </c>
      <c r="P41" s="37" t="str">
        <f>IF([3]道具信息!P41="","",[3]道具信息!P41)</f>
        <v/>
      </c>
      <c r="Q41" s="37" t="str">
        <f>IF([3]道具信息!Q41="","",[3]道具信息!Q41)</f>
        <v/>
      </c>
    </row>
    <row r="42" spans="3:17" x14ac:dyDescent="0.15">
      <c r="C42" s="37" t="str">
        <f>IF([3]道具信息!C42="","",[3]道具信息!C42)</f>
        <v/>
      </c>
      <c r="D42" s="37" t="str">
        <f>IF([3]道具信息!D42="","",[3]道具信息!D42)</f>
        <v>指定橙+宝物碎片</v>
      </c>
      <c r="E42" s="37">
        <f>IF([3]道具信息!E42="","",[3]道具信息!E42)</f>
        <v>666.66666666666663</v>
      </c>
      <c r="F42" s="37">
        <f>IF([3]道具信息!F42="","",[3]道具信息!F42)</f>
        <v>2.5</v>
      </c>
      <c r="G42" s="37">
        <f>IF([3]道具信息!G42="","",[3]道具信息!G42)</f>
        <v>2.5</v>
      </c>
      <c r="H42" s="37">
        <f>IF([3]道具信息!H42="","",[3]道具信息!H42)</f>
        <v>2.5</v>
      </c>
      <c r="I42" s="37">
        <f>IF([3]道具信息!I42="","",[3]道具信息!I42)</f>
        <v>1666.6666666666665</v>
      </c>
      <c r="J42" s="37">
        <f>IF([3]道具信息!J42="","",[3]道具信息!J42)</f>
        <v>1666.6666666666665</v>
      </c>
      <c r="K42" s="37">
        <f>IF([3]道具信息!K42="","",[3]道具信息!K42)</f>
        <v>1666.6666666666665</v>
      </c>
      <c r="L42" s="37" t="str">
        <f>IF([3]道具信息!L42="","",[3]道具信息!L42)</f>
        <v/>
      </c>
      <c r="M42" s="37" t="str">
        <f>IF([3]道具信息!M42="","",[3]道具信息!M42)</f>
        <v/>
      </c>
      <c r="N42" s="37"/>
      <c r="O42" s="37" t="str">
        <f>IF([3]道具信息!O42="","",[3]道具信息!O42)</f>
        <v/>
      </c>
      <c r="P42" s="37" t="str">
        <f>IF([3]道具信息!P42="","",[3]道具信息!P42)</f>
        <v/>
      </c>
      <c r="Q42" s="37" t="str">
        <f>IF([3]道具信息!Q42="","",[3]道具信息!Q42)</f>
        <v/>
      </c>
    </row>
    <row r="43" spans="3:17" x14ac:dyDescent="0.15">
      <c r="C43" s="37" t="str">
        <f>IF([3]道具信息!C43="","",[3]道具信息!C43)</f>
        <v/>
      </c>
      <c r="D43" s="37" t="str">
        <f>IF([3]道具信息!D43="","",[3]道具信息!D43)</f>
        <v/>
      </c>
      <c r="E43" s="37" t="str">
        <f>IF([3]道具信息!E43="","",[3]道具信息!E43)</f>
        <v/>
      </c>
      <c r="F43" s="37" t="str">
        <f>IF([3]道具信息!F43="","",[3]道具信息!F43)</f>
        <v/>
      </c>
      <c r="G43" s="37" t="str">
        <f>IF([3]道具信息!G43="","",[3]道具信息!G43)</f>
        <v/>
      </c>
      <c r="H43" s="37" t="str">
        <f>IF([3]道具信息!H43="","",[3]道具信息!H43)</f>
        <v/>
      </c>
      <c r="I43" s="37" t="str">
        <f>IF([3]道具信息!I43="","",[3]道具信息!I43)</f>
        <v/>
      </c>
      <c r="J43" s="37" t="str">
        <f>IF([3]道具信息!J43="","",[3]道具信息!J43)</f>
        <v/>
      </c>
      <c r="K43" s="37" t="str">
        <f>IF([3]道具信息!K43="","",[3]道具信息!K43)</f>
        <v/>
      </c>
      <c r="L43" s="37" t="str">
        <f>IF([3]道具信息!L43="","",[3]道具信息!L43)</f>
        <v/>
      </c>
      <c r="M43" s="37" t="str">
        <f>IF([3]道具信息!M43="","",[3]道具信息!M43)</f>
        <v/>
      </c>
      <c r="N43" s="37"/>
      <c r="O43" s="37" t="str">
        <f>IF([3]道具信息!O43="","",[3]道具信息!O43)</f>
        <v/>
      </c>
      <c r="P43" s="37" t="str">
        <f>IF([3]道具信息!P43="","",[3]道具信息!P43)</f>
        <v/>
      </c>
      <c r="Q43" s="37" t="str">
        <f>IF([3]道具信息!Q43="","",[3]道具信息!Q43)</f>
        <v/>
      </c>
    </row>
    <row r="44" spans="3:17" x14ac:dyDescent="0.15">
      <c r="C44" s="37" t="str">
        <f>IF([3]道具信息!C44="","",[3]道具信息!C44)</f>
        <v/>
      </c>
      <c r="D44" s="37" t="str">
        <f>IF([3]道具信息!D44="","",[3]道具信息!D44)</f>
        <v>随机蓝色宝物</v>
      </c>
      <c r="E44" s="37">
        <f>IF([3]道具信息!E44="","",[3]道具信息!E44)</f>
        <v>100</v>
      </c>
      <c r="F44" s="37">
        <f>IF([3]道具信息!F44="","",[3]道具信息!F44)</f>
        <v>2.5</v>
      </c>
      <c r="G44" s="37">
        <f>IF([3]道具信息!G44="","",[3]道具信息!G44)</f>
        <v>2.5</v>
      </c>
      <c r="H44" s="37">
        <f>IF([3]道具信息!H44="","",[3]道具信息!H44)</f>
        <v>2.5</v>
      </c>
      <c r="I44" s="37">
        <f>IF([3]道具信息!I44="","",[3]道具信息!I44)</f>
        <v>250</v>
      </c>
      <c r="J44" s="37">
        <f>IF([3]道具信息!J44="","",[3]道具信息!J44)</f>
        <v>250</v>
      </c>
      <c r="K44" s="37">
        <f>IF([3]道具信息!K44="","",[3]道具信息!K44)</f>
        <v>250</v>
      </c>
      <c r="L44" s="37" t="str">
        <f>IF([3]道具信息!L44="","",[3]道具信息!L44)</f>
        <v/>
      </c>
      <c r="M44" s="37" t="str">
        <f>IF([3]道具信息!M44="","",[3]道具信息!M44)</f>
        <v/>
      </c>
      <c r="N44" s="37"/>
      <c r="O44" s="37" t="str">
        <f>IF([3]道具信息!O44="","",[3]道具信息!O44)</f>
        <v/>
      </c>
      <c r="P44" s="37" t="str">
        <f>IF([3]道具信息!P44="","",[3]道具信息!P44)</f>
        <v/>
      </c>
      <c r="Q44" s="37" t="str">
        <f>IF([3]道具信息!Q44="","",[3]道具信息!Q44)</f>
        <v/>
      </c>
    </row>
    <row r="45" spans="3:17" x14ac:dyDescent="0.15">
      <c r="C45" s="37" t="str">
        <f>IF([3]道具信息!C45="","",[3]道具信息!C45)</f>
        <v/>
      </c>
      <c r="D45" s="37" t="str">
        <f>IF([3]道具信息!D45="","",[3]道具信息!D45)</f>
        <v>随机紫色宝物</v>
      </c>
      <c r="E45" s="37">
        <f>IF([3]道具信息!E45="","",[3]道具信息!E45)</f>
        <v>500</v>
      </c>
      <c r="F45" s="37">
        <f>IF([3]道具信息!F45="","",[3]道具信息!F45)</f>
        <v>2.5</v>
      </c>
      <c r="G45" s="37">
        <f>IF([3]道具信息!G45="","",[3]道具信息!G45)</f>
        <v>2.5</v>
      </c>
      <c r="H45" s="37">
        <f>IF([3]道具信息!H45="","",[3]道具信息!H45)</f>
        <v>2.5</v>
      </c>
      <c r="I45" s="37">
        <f>IF([3]道具信息!I45="","",[3]道具信息!I45)</f>
        <v>1250</v>
      </c>
      <c r="J45" s="37">
        <f>IF([3]道具信息!J45="","",[3]道具信息!J45)</f>
        <v>1250</v>
      </c>
      <c r="K45" s="37">
        <f>IF([3]道具信息!K45="","",[3]道具信息!K45)</f>
        <v>1250</v>
      </c>
      <c r="L45" s="37" t="str">
        <f>IF([3]道具信息!L45="","",[3]道具信息!L45)</f>
        <v/>
      </c>
      <c r="M45" s="37" t="str">
        <f>IF([3]道具信息!M45="","",[3]道具信息!M45)</f>
        <v/>
      </c>
      <c r="N45" s="37"/>
      <c r="O45" s="37" t="str">
        <f>IF([3]道具信息!O45="","",[3]道具信息!O45)</f>
        <v/>
      </c>
      <c r="P45" s="37" t="str">
        <f>IF([3]道具信息!P45="","",[3]道具信息!P45)</f>
        <v/>
      </c>
      <c r="Q45" s="37" t="str">
        <f>IF([3]道具信息!Q45="","",[3]道具信息!Q45)</f>
        <v/>
      </c>
    </row>
    <row r="46" spans="3:17" x14ac:dyDescent="0.15">
      <c r="C46" s="37" t="str">
        <f>IF([3]道具信息!C46="","",[3]道具信息!C46)</f>
        <v/>
      </c>
      <c r="D46" s="37" t="str">
        <f>IF([3]道具信息!D46="","",[3]道具信息!D46)</f>
        <v>随机橙色宝物</v>
      </c>
      <c r="E46" s="37">
        <f>IF([3]道具信息!E46="","",[3]道具信息!E46)</f>
        <v>2500</v>
      </c>
      <c r="F46" s="37">
        <f>IF([3]道具信息!F46="","",[3]道具信息!F46)</f>
        <v>2.5</v>
      </c>
      <c r="G46" s="37">
        <f>IF([3]道具信息!G46="","",[3]道具信息!G46)</f>
        <v>2.5</v>
      </c>
      <c r="H46" s="37">
        <f>IF([3]道具信息!H46="","",[3]道具信息!H46)</f>
        <v>2.5</v>
      </c>
      <c r="I46" s="37">
        <f>IF([3]道具信息!I46="","",[3]道具信息!I46)</f>
        <v>6250</v>
      </c>
      <c r="J46" s="37">
        <f>IF([3]道具信息!J46="","",[3]道具信息!J46)</f>
        <v>6250</v>
      </c>
      <c r="K46" s="37">
        <f>IF([3]道具信息!K46="","",[3]道具信息!K46)</f>
        <v>6250</v>
      </c>
      <c r="L46" s="37" t="str">
        <f>IF([3]道具信息!L46="","",[3]道具信息!L46)</f>
        <v/>
      </c>
      <c r="M46" s="37" t="str">
        <f>IF([3]道具信息!M46="","",[3]道具信息!M46)</f>
        <v/>
      </c>
      <c r="N46" s="37"/>
      <c r="O46" s="37" t="str">
        <f>IF([3]道具信息!O46="","",[3]道具信息!O46)</f>
        <v/>
      </c>
      <c r="P46" s="37" t="str">
        <f>IF([3]道具信息!P46="","",[3]道具信息!P46)</f>
        <v/>
      </c>
      <c r="Q46" s="37" t="str">
        <f>IF([3]道具信息!Q46="","",[3]道具信息!Q46)</f>
        <v/>
      </c>
    </row>
    <row r="47" spans="3:17" x14ac:dyDescent="0.15">
      <c r="C47" s="37" t="str">
        <f>IF([3]道具信息!C47="","",[3]道具信息!C47)</f>
        <v/>
      </c>
      <c r="D47" s="37" t="str">
        <f>IF([3]道具信息!D47="","",[3]道具信息!D47)</f>
        <v>随机橙+宝物</v>
      </c>
      <c r="E47" s="37">
        <f>IF([3]道具信息!E47="","",[3]道具信息!E47)</f>
        <v>10000</v>
      </c>
      <c r="F47" s="37">
        <f>IF([3]道具信息!F47="","",[3]道具信息!F47)</f>
        <v>2.5</v>
      </c>
      <c r="G47" s="37">
        <f>IF([3]道具信息!G47="","",[3]道具信息!G47)</f>
        <v>2.5</v>
      </c>
      <c r="H47" s="37">
        <f>IF([3]道具信息!H47="","",[3]道具信息!H47)</f>
        <v>2.5</v>
      </c>
      <c r="I47" s="37">
        <f>IF([3]道具信息!I47="","",[3]道具信息!I47)</f>
        <v>25000</v>
      </c>
      <c r="J47" s="37">
        <f>IF([3]道具信息!J47="","",[3]道具信息!J47)</f>
        <v>25000</v>
      </c>
      <c r="K47" s="37">
        <f>IF([3]道具信息!K47="","",[3]道具信息!K47)</f>
        <v>25000</v>
      </c>
      <c r="L47" s="37" t="str">
        <f>IF([3]道具信息!L47="","",[3]道具信息!L47)</f>
        <v/>
      </c>
      <c r="M47" s="37" t="str">
        <f>IF([3]道具信息!M47="","",[3]道具信息!M47)</f>
        <v/>
      </c>
      <c r="N47" s="37"/>
      <c r="O47" s="37" t="str">
        <f>IF([3]道具信息!O47="","",[3]道具信息!O47)</f>
        <v/>
      </c>
      <c r="P47" s="37" t="str">
        <f>IF([3]道具信息!P47="","",[3]道具信息!P47)</f>
        <v/>
      </c>
      <c r="Q47" s="37" t="str">
        <f>IF([3]道具信息!Q47="","",[3]道具信息!Q47)</f>
        <v/>
      </c>
    </row>
    <row r="48" spans="3:17" x14ac:dyDescent="0.15">
      <c r="C48" s="37" t="str">
        <f>IF([3]道具信息!C48="","",[3]道具信息!C48)</f>
        <v/>
      </c>
      <c r="D48" s="37" t="str">
        <f>IF([3]道具信息!D48="","",[3]道具信息!D48)</f>
        <v>随机紫色宝物碎片</v>
      </c>
      <c r="E48" s="37">
        <f>IF([3]道具信息!E48="","",[3]道具信息!E48)</f>
        <v>50</v>
      </c>
      <c r="F48" s="37">
        <f>IF([3]道具信息!F48="","",[3]道具信息!F48)</f>
        <v>2.5</v>
      </c>
      <c r="G48" s="37">
        <f>IF([3]道具信息!G48="","",[3]道具信息!G48)</f>
        <v>2.5</v>
      </c>
      <c r="H48" s="37">
        <f>IF([3]道具信息!H48="","",[3]道具信息!H48)</f>
        <v>2.5</v>
      </c>
      <c r="I48" s="37">
        <f>IF([3]道具信息!I48="","",[3]道具信息!I48)</f>
        <v>125</v>
      </c>
      <c r="J48" s="37">
        <f>IF([3]道具信息!J48="","",[3]道具信息!J48)</f>
        <v>125</v>
      </c>
      <c r="K48" s="37">
        <f>IF([3]道具信息!K48="","",[3]道具信息!K48)</f>
        <v>125</v>
      </c>
      <c r="L48" s="37" t="str">
        <f>IF([3]道具信息!L48="","",[3]道具信息!L48)</f>
        <v/>
      </c>
      <c r="M48" s="37" t="str">
        <f>IF([3]道具信息!M48="","",[3]道具信息!M48)</f>
        <v/>
      </c>
      <c r="N48" s="37"/>
      <c r="O48" s="37" t="str">
        <f>IF([3]道具信息!O48="","",[3]道具信息!O48)</f>
        <v/>
      </c>
      <c r="P48" s="37" t="str">
        <f>IF([3]道具信息!P48="","",[3]道具信息!P48)</f>
        <v/>
      </c>
      <c r="Q48" s="37" t="str">
        <f>IF([3]道具信息!Q48="","",[3]道具信息!Q48)</f>
        <v/>
      </c>
    </row>
    <row r="49" spans="3:17" x14ac:dyDescent="0.15">
      <c r="C49" s="37" t="str">
        <f>IF([3]道具信息!C49="","",[3]道具信息!C49)</f>
        <v/>
      </c>
      <c r="D49" s="37" t="str">
        <f>IF([3]道具信息!D49="","",[3]道具信息!D49)</f>
        <v>随机橙色宝物碎片</v>
      </c>
      <c r="E49" s="37">
        <f>IF([3]道具信息!E49="","",[3]道具信息!E49)</f>
        <v>83.333333333333329</v>
      </c>
      <c r="F49" s="37">
        <f>IF([3]道具信息!F49="","",[3]道具信息!F49)</f>
        <v>2.5</v>
      </c>
      <c r="G49" s="37">
        <f>IF([3]道具信息!G49="","",[3]道具信息!G49)</f>
        <v>2.5</v>
      </c>
      <c r="H49" s="37">
        <f>IF([3]道具信息!H49="","",[3]道具信息!H49)</f>
        <v>2.5</v>
      </c>
      <c r="I49" s="37">
        <f>IF([3]道具信息!I49="","",[3]道具信息!I49)</f>
        <v>208.33333333333331</v>
      </c>
      <c r="J49" s="37">
        <f>IF([3]道具信息!J49="","",[3]道具信息!J49)</f>
        <v>208.33333333333331</v>
      </c>
      <c r="K49" s="37">
        <f>IF([3]道具信息!K49="","",[3]道具信息!K49)</f>
        <v>208.33333333333331</v>
      </c>
      <c r="L49" s="37" t="str">
        <f>IF([3]道具信息!L49="","",[3]道具信息!L49)</f>
        <v/>
      </c>
      <c r="M49" s="37" t="str">
        <f>IF([3]道具信息!M49="","",[3]道具信息!M49)</f>
        <v/>
      </c>
      <c r="N49" s="37"/>
      <c r="O49" s="37" t="str">
        <f>IF([3]道具信息!O49="","",[3]道具信息!O49)</f>
        <v/>
      </c>
      <c r="P49" s="37" t="str">
        <f>IF([3]道具信息!P49="","",[3]道具信息!P49)</f>
        <v/>
      </c>
      <c r="Q49" s="37" t="str">
        <f>IF([3]道具信息!Q49="","",[3]道具信息!Q49)</f>
        <v/>
      </c>
    </row>
    <row r="50" spans="3:17" x14ac:dyDescent="0.15">
      <c r="C50" s="37" t="str">
        <f>IF([3]道具信息!C50="","",[3]道具信息!C50)</f>
        <v/>
      </c>
      <c r="D50" s="37" t="str">
        <f>IF([3]道具信息!D50="","",[3]道具信息!D50)</f>
        <v>随机橙+宝物碎片</v>
      </c>
      <c r="E50" s="37">
        <f>IF([3]道具信息!E50="","",[3]道具信息!E50)</f>
        <v>333.33333333333331</v>
      </c>
      <c r="F50" s="37">
        <f>IF([3]道具信息!F50="","",[3]道具信息!F50)</f>
        <v>2.5</v>
      </c>
      <c r="G50" s="37">
        <f>IF([3]道具信息!G50="","",[3]道具信息!G50)</f>
        <v>2.5</v>
      </c>
      <c r="H50" s="37">
        <f>IF([3]道具信息!H50="","",[3]道具信息!H50)</f>
        <v>2.5</v>
      </c>
      <c r="I50" s="37">
        <f>IF([3]道具信息!I50="","",[3]道具信息!I50)</f>
        <v>833.33333333333326</v>
      </c>
      <c r="J50" s="37">
        <f>IF([3]道具信息!J50="","",[3]道具信息!J50)</f>
        <v>833.33333333333326</v>
      </c>
      <c r="K50" s="37">
        <f>IF([3]道具信息!K50="","",[3]道具信息!K50)</f>
        <v>833.33333333333326</v>
      </c>
      <c r="L50" s="37" t="str">
        <f>IF([3]道具信息!L50="","",[3]道具信息!L50)</f>
        <v/>
      </c>
      <c r="M50" s="37" t="str">
        <f>IF([3]道具信息!M50="","",[3]道具信息!M50)</f>
        <v/>
      </c>
      <c r="N50" s="37"/>
      <c r="O50" s="37" t="str">
        <f>IF([3]道具信息!O50="","",[3]道具信息!O50)</f>
        <v/>
      </c>
      <c r="P50" s="37" t="str">
        <f>IF([3]道具信息!P50="","",[3]道具信息!P50)</f>
        <v/>
      </c>
      <c r="Q50" s="37" t="str">
        <f>IF([3]道具信息!Q50="","",[3]道具信息!Q50)</f>
        <v/>
      </c>
    </row>
    <row r="51" spans="3:17" x14ac:dyDescent="0.15">
      <c r="C51" s="37" t="str">
        <f>IF([3]道具信息!C51="","",[3]道具信息!C51)</f>
        <v/>
      </c>
      <c r="D51" s="37" t="str">
        <f>IF([3]道具信息!D51="","",[3]道具信息!D51)</f>
        <v/>
      </c>
      <c r="E51" s="37" t="str">
        <f>IF([3]道具信息!E51="","",[3]道具信息!E51)</f>
        <v/>
      </c>
      <c r="F51" s="37" t="str">
        <f>IF([3]道具信息!F51="","",[3]道具信息!F51)</f>
        <v/>
      </c>
      <c r="G51" s="37" t="str">
        <f>IF([3]道具信息!G51="","",[3]道具信息!G51)</f>
        <v/>
      </c>
      <c r="H51" s="37" t="str">
        <f>IF([3]道具信息!H51="","",[3]道具信息!H51)</f>
        <v/>
      </c>
      <c r="I51" s="37" t="str">
        <f>IF([3]道具信息!I51="","",[3]道具信息!I51)</f>
        <v/>
      </c>
      <c r="J51" s="37" t="str">
        <f>IF([3]道具信息!J51="","",[3]道具信息!J51)</f>
        <v/>
      </c>
      <c r="K51" s="37" t="str">
        <f>IF([3]道具信息!K51="","",[3]道具信息!K51)</f>
        <v/>
      </c>
      <c r="L51" s="37" t="str">
        <f>IF([3]道具信息!L51="","",[3]道具信息!L51)</f>
        <v/>
      </c>
      <c r="M51" s="37" t="str">
        <f>IF([3]道具信息!M51="","",[3]道具信息!M51)</f>
        <v/>
      </c>
      <c r="N51" s="37"/>
      <c r="O51" s="37" t="str">
        <f>IF([3]道具信息!O51="","",[3]道具信息!O51)</f>
        <v/>
      </c>
      <c r="P51" s="37" t="str">
        <f>IF([3]道具信息!P51="","",[3]道具信息!P51)</f>
        <v/>
      </c>
      <c r="Q51" s="37" t="str">
        <f>IF([3]道具信息!Q51="","",[3]道具信息!Q51)</f>
        <v/>
      </c>
    </row>
    <row r="52" spans="3:17" x14ac:dyDescent="0.15">
      <c r="C52" s="37" t="str">
        <f>IF([3]道具信息!C52="","",[3]道具信息!C52)</f>
        <v/>
      </c>
      <c r="D52" s="37" t="str">
        <f>IF([3]道具信息!D52="","",[3]道具信息!D52)</f>
        <v>紫色藏宝图</v>
      </c>
      <c r="E52" s="37">
        <f>IF([3]道具信息!E52="","",[3]道具信息!E52)</f>
        <v>137.5</v>
      </c>
      <c r="F52" s="37">
        <f>IF([3]道具信息!F52="","",[3]道具信息!F52)</f>
        <v>1</v>
      </c>
      <c r="G52" s="37">
        <f>IF([3]道具信息!G52="","",[3]道具信息!G52)</f>
        <v>1</v>
      </c>
      <c r="H52" s="37">
        <f>IF([3]道具信息!H52="","",[3]道具信息!H52)</f>
        <v>1</v>
      </c>
      <c r="I52" s="37">
        <f>IF([3]道具信息!I52="","",[3]道具信息!I52)</f>
        <v>137.5</v>
      </c>
      <c r="J52" s="37">
        <f>IF([3]道具信息!J52="","",[3]道具信息!J52)</f>
        <v>137.5</v>
      </c>
      <c r="K52" s="37">
        <f>IF([3]道具信息!K52="","",[3]道具信息!K52)</f>
        <v>137.5</v>
      </c>
      <c r="L52" s="37" t="str">
        <f>IF([3]道具信息!L52="","",[3]道具信息!L52)</f>
        <v/>
      </c>
      <c r="M52" s="37" t="str">
        <f>IF([3]道具信息!M52="","",[3]道具信息!M52)</f>
        <v/>
      </c>
      <c r="N52" s="37"/>
      <c r="O52" s="37" t="str">
        <f>IF([3]道具信息!O52="","",[3]道具信息!O52)</f>
        <v/>
      </c>
      <c r="P52" s="37" t="str">
        <f>IF([3]道具信息!P52="","",[3]道具信息!P52)</f>
        <v/>
      </c>
      <c r="Q52" s="37" t="str">
        <f>IF([3]道具信息!Q52="","",[3]道具信息!Q52)</f>
        <v/>
      </c>
    </row>
    <row r="53" spans="3:17" x14ac:dyDescent="0.15">
      <c r="C53" s="37" t="str">
        <f>IF([3]道具信息!C53="","",[3]道具信息!C53)</f>
        <v/>
      </c>
      <c r="D53" s="37" t="str">
        <f>IF([3]道具信息!D53="","",[3]道具信息!D53)</f>
        <v>紫色藏宝图碎片</v>
      </c>
      <c r="E53" s="37">
        <f>IF([3]道具信息!E53="","",[3]道具信息!E53)</f>
        <v>13.75</v>
      </c>
      <c r="F53" s="37">
        <f>IF([3]道具信息!F53="","",[3]道具信息!F53)</f>
        <v>1</v>
      </c>
      <c r="G53" s="37">
        <f>IF([3]道具信息!G53="","",[3]道具信息!G53)</f>
        <v>1</v>
      </c>
      <c r="H53" s="37">
        <f>IF([3]道具信息!H53="","",[3]道具信息!H53)</f>
        <v>1</v>
      </c>
      <c r="I53" s="37">
        <f>IF([3]道具信息!I53="","",[3]道具信息!I53)</f>
        <v>13.75</v>
      </c>
      <c r="J53" s="37">
        <f>IF([3]道具信息!J53="","",[3]道具信息!J53)</f>
        <v>13.75</v>
      </c>
      <c r="K53" s="37">
        <f>IF([3]道具信息!K53="","",[3]道具信息!K53)</f>
        <v>13.75</v>
      </c>
      <c r="L53" s="37" t="str">
        <f>IF([3]道具信息!L53="","",[3]道具信息!L53)</f>
        <v/>
      </c>
      <c r="M53" s="37" t="str">
        <f>IF([3]道具信息!M53="","",[3]道具信息!M53)</f>
        <v/>
      </c>
      <c r="N53" s="37"/>
      <c r="O53" s="37" t="str">
        <f>IF([3]道具信息!O53="","",[3]道具信息!O53)</f>
        <v/>
      </c>
      <c r="P53" s="37" t="str">
        <f>IF([3]道具信息!P53="","",[3]道具信息!P53)</f>
        <v/>
      </c>
      <c r="Q53" s="37" t="str">
        <f>IF([3]道具信息!Q53="","",[3]道具信息!Q53)</f>
        <v/>
      </c>
    </row>
    <row r="54" spans="3:17" x14ac:dyDescent="0.15">
      <c r="C54" s="37" t="str">
        <f>IF([3]道具信息!C54="","",[3]道具信息!C54)</f>
        <v/>
      </c>
      <c r="D54" s="37" t="str">
        <f>IF([3]道具信息!D54="","",[3]道具信息!D54)</f>
        <v>橙色藏宝图</v>
      </c>
      <c r="E54" s="37">
        <f>IF([3]道具信息!E54="","",[3]道具信息!E54)</f>
        <v>300</v>
      </c>
      <c r="F54" s="37">
        <f>IF([3]道具信息!F54="","",[3]道具信息!F54)</f>
        <v>1</v>
      </c>
      <c r="G54" s="37">
        <f>IF([3]道具信息!G54="","",[3]道具信息!G54)</f>
        <v>1</v>
      </c>
      <c r="H54" s="37">
        <f>IF([3]道具信息!H54="","",[3]道具信息!H54)</f>
        <v>1</v>
      </c>
      <c r="I54" s="37">
        <f>IF([3]道具信息!I54="","",[3]道具信息!I54)</f>
        <v>300</v>
      </c>
      <c r="J54" s="37">
        <f>IF([3]道具信息!J54="","",[3]道具信息!J54)</f>
        <v>300</v>
      </c>
      <c r="K54" s="37">
        <f>IF([3]道具信息!K54="","",[3]道具信息!K54)</f>
        <v>300</v>
      </c>
      <c r="L54" s="37" t="str">
        <f>IF([3]道具信息!L54="","",[3]道具信息!L54)</f>
        <v/>
      </c>
      <c r="M54" s="37" t="str">
        <f>IF([3]道具信息!M54="","",[3]道具信息!M54)</f>
        <v/>
      </c>
      <c r="N54" s="37"/>
      <c r="O54" s="37" t="str">
        <f>IF([3]道具信息!O54="","",[3]道具信息!O54)</f>
        <v/>
      </c>
      <c r="P54" s="37" t="str">
        <f>IF([3]道具信息!P54="","",[3]道具信息!P54)</f>
        <v/>
      </c>
      <c r="Q54" s="37" t="str">
        <f>IF([3]道具信息!Q54="","",[3]道具信息!Q54)</f>
        <v/>
      </c>
    </row>
    <row r="55" spans="3:17" x14ac:dyDescent="0.15">
      <c r="C55" s="37" t="str">
        <f>IF([3]道具信息!C55="","",[3]道具信息!C55)</f>
        <v/>
      </c>
      <c r="D55" s="37" t="str">
        <f>IF([3]道具信息!D55="","",[3]道具信息!D55)</f>
        <v>橙色藏宝图碎片</v>
      </c>
      <c r="E55" s="37">
        <f>IF([3]道具信息!E55="","",[3]道具信息!E55)</f>
        <v>10</v>
      </c>
      <c r="F55" s="37">
        <f>IF([3]道具信息!F55="","",[3]道具信息!F55)</f>
        <v>1</v>
      </c>
      <c r="G55" s="37">
        <f>IF([3]道具信息!G55="","",[3]道具信息!G55)</f>
        <v>1</v>
      </c>
      <c r="H55" s="37">
        <f>IF([3]道具信息!H55="","",[3]道具信息!H55)</f>
        <v>1</v>
      </c>
      <c r="I55" s="37">
        <f>IF([3]道具信息!I55="","",[3]道具信息!I55)</f>
        <v>10</v>
      </c>
      <c r="J55" s="37">
        <f>IF([3]道具信息!J55="","",[3]道具信息!J55)</f>
        <v>10</v>
      </c>
      <c r="K55" s="37">
        <f>IF([3]道具信息!K55="","",[3]道具信息!K55)</f>
        <v>10</v>
      </c>
      <c r="L55" s="37" t="str">
        <f>IF([3]道具信息!L55="","",[3]道具信息!L55)</f>
        <v/>
      </c>
      <c r="M55" s="37" t="str">
        <f>IF([3]道具信息!M55="","",[3]道具信息!M55)</f>
        <v/>
      </c>
      <c r="N55" s="37"/>
      <c r="O55" s="37" t="str">
        <f>IF([3]道具信息!O55="","",[3]道具信息!O55)</f>
        <v/>
      </c>
      <c r="P55" s="37" t="str">
        <f>IF([3]道具信息!P55="","",[3]道具信息!P55)</f>
        <v/>
      </c>
      <c r="Q55" s="37" t="str">
        <f>IF([3]道具信息!Q55="","",[3]道具信息!Q55)</f>
        <v/>
      </c>
    </row>
    <row r="56" spans="3:17" x14ac:dyDescent="0.15">
      <c r="C56" s="37" t="str">
        <f>IF([3]道具信息!C56="","",[3]道具信息!C56)</f>
        <v/>
      </c>
      <c r="D56" s="37" t="str">
        <f>IF([3]道具信息!D56="","",[3]道具信息!D56)</f>
        <v/>
      </c>
      <c r="E56" s="37" t="str">
        <f>IF([3]道具信息!E56="","",[3]道具信息!E56)</f>
        <v/>
      </c>
      <c r="F56" s="37" t="str">
        <f>IF([3]道具信息!F56="","",[3]道具信息!F56)</f>
        <v/>
      </c>
      <c r="G56" s="37" t="str">
        <f>IF([3]道具信息!G56="","",[3]道具信息!G56)</f>
        <v/>
      </c>
      <c r="H56" s="37" t="str">
        <f>IF([3]道具信息!H56="","",[3]道具信息!H56)</f>
        <v/>
      </c>
      <c r="I56" s="37" t="str">
        <f>IF([3]道具信息!I56="","",[3]道具信息!I56)</f>
        <v/>
      </c>
      <c r="J56" s="37" t="str">
        <f>IF([3]道具信息!J56="","",[3]道具信息!J56)</f>
        <v/>
      </c>
      <c r="K56" s="37" t="str">
        <f>IF([3]道具信息!K56="","",[3]道具信息!K56)</f>
        <v/>
      </c>
      <c r="L56" s="37" t="str">
        <f>IF([3]道具信息!L56="","",[3]道具信息!L56)</f>
        <v/>
      </c>
      <c r="M56" s="37" t="str">
        <f>IF([3]道具信息!M56="","",[3]道具信息!M56)</f>
        <v/>
      </c>
      <c r="N56" s="37"/>
      <c r="O56" s="37" t="str">
        <f>IF([3]道具信息!O56="","",[3]道具信息!O56)</f>
        <v/>
      </c>
      <c r="P56" s="37" t="str">
        <f>IF([3]道具信息!P56="","",[3]道具信息!P56)</f>
        <v/>
      </c>
      <c r="Q56" s="37" t="str">
        <f>IF([3]道具信息!Q56="","",[3]道具信息!Q56)</f>
        <v/>
      </c>
    </row>
    <row r="57" spans="3:17" x14ac:dyDescent="0.15">
      <c r="C57" s="37" t="str">
        <f>IF([3]道具信息!C57="","",[3]道具信息!C57)</f>
        <v/>
      </c>
      <c r="D57" s="37" t="str">
        <f>IF([3]道具信息!D57="","",[3]道具信息!D57)</f>
        <v>紫色皮肤</v>
      </c>
      <c r="E57" s="37">
        <f>IF([3]道具信息!E57="","",[3]道具信息!E57)</f>
        <v>6000</v>
      </c>
      <c r="F57" s="37">
        <f>IF([3]道具信息!F57="","",[3]道具信息!F57)</f>
        <v>1</v>
      </c>
      <c r="G57" s="37">
        <f>IF([3]道具信息!G57="","",[3]道具信息!G57)</f>
        <v>1</v>
      </c>
      <c r="H57" s="37">
        <f>IF([3]道具信息!H57="","",[3]道具信息!H57)</f>
        <v>1</v>
      </c>
      <c r="I57" s="37">
        <f>IF([3]道具信息!I57="","",[3]道具信息!I57)</f>
        <v>6000</v>
      </c>
      <c r="J57" s="37">
        <f>IF([3]道具信息!J57="","",[3]道具信息!J57)</f>
        <v>6000</v>
      </c>
      <c r="K57" s="37">
        <f>IF([3]道具信息!K57="","",[3]道具信息!K57)</f>
        <v>6000</v>
      </c>
      <c r="L57" s="37" t="str">
        <f>IF([3]道具信息!L57="","",[3]道具信息!L57)</f>
        <v/>
      </c>
      <c r="M57" s="37" t="str">
        <f>IF([3]道具信息!M57="","",[3]道具信息!M57)</f>
        <v/>
      </c>
      <c r="N57" s="37"/>
      <c r="O57" s="37" t="str">
        <f>IF([3]道具信息!O57="","",[3]道具信息!O57)</f>
        <v/>
      </c>
      <c r="P57" s="37" t="str">
        <f>IF([3]道具信息!P57="","",[3]道具信息!P57)</f>
        <v/>
      </c>
      <c r="Q57" s="37" t="str">
        <f>IF([3]道具信息!Q57="","",[3]道具信息!Q57)</f>
        <v/>
      </c>
    </row>
    <row r="58" spans="3:17" x14ac:dyDescent="0.15">
      <c r="C58" s="37" t="str">
        <f>IF([3]道具信息!C58="","",[3]道具信息!C58)</f>
        <v/>
      </c>
      <c r="D58" s="37" t="str">
        <f>IF([3]道具信息!D58="","",[3]道具信息!D58)</f>
        <v>橙色皮肤</v>
      </c>
      <c r="E58" s="37">
        <f>IF([3]道具信息!E58="","",[3]道具信息!E58)</f>
        <v>16000</v>
      </c>
      <c r="F58" s="37">
        <f>IF([3]道具信息!F58="","",[3]道具信息!F58)</f>
        <v>1</v>
      </c>
      <c r="G58" s="37">
        <f>IF([3]道具信息!G58="","",[3]道具信息!G58)</f>
        <v>1</v>
      </c>
      <c r="H58" s="37">
        <f>IF([3]道具信息!H58="","",[3]道具信息!H58)</f>
        <v>1</v>
      </c>
      <c r="I58" s="37">
        <f>IF([3]道具信息!I58="","",[3]道具信息!I58)</f>
        <v>16000</v>
      </c>
      <c r="J58" s="37">
        <f>IF([3]道具信息!J58="","",[3]道具信息!J58)</f>
        <v>16000</v>
      </c>
      <c r="K58" s="37">
        <f>IF([3]道具信息!K58="","",[3]道具信息!K58)</f>
        <v>16000</v>
      </c>
      <c r="L58" s="37" t="str">
        <f>IF([3]道具信息!L58="","",[3]道具信息!L58)</f>
        <v/>
      </c>
      <c r="M58" s="37" t="str">
        <f>IF([3]道具信息!M58="","",[3]道具信息!M58)</f>
        <v/>
      </c>
      <c r="N58" s="37"/>
      <c r="O58" s="37" t="str">
        <f>IF([3]道具信息!O58="","",[3]道具信息!O58)</f>
        <v/>
      </c>
      <c r="P58" s="37" t="str">
        <f>IF([3]道具信息!P58="","",[3]道具信息!P58)</f>
        <v/>
      </c>
      <c r="Q58" s="37" t="str">
        <f>IF([3]道具信息!Q58="","",[3]道具信息!Q58)</f>
        <v/>
      </c>
    </row>
    <row r="59" spans="3:17" x14ac:dyDescent="0.15">
      <c r="C59" s="37" t="str">
        <f>IF([3]道具信息!C59="","",[3]道具信息!C59)</f>
        <v/>
      </c>
      <c r="D59" s="37" t="str">
        <f>IF([3]道具信息!D59="","",[3]道具信息!D59)</f>
        <v>红色皮肤</v>
      </c>
      <c r="E59" s="37">
        <f>IF([3]道具信息!E59="","",[3]道具信息!E59)</f>
        <v>150000</v>
      </c>
      <c r="F59" s="37">
        <f>IF([3]道具信息!F59="","",[3]道具信息!F59)</f>
        <v>1.3333333333333333</v>
      </c>
      <c r="G59" s="37">
        <f>IF([3]道具信息!G59="","",[3]道具信息!G59)</f>
        <v>1.3333333333333333</v>
      </c>
      <c r="H59" s="37">
        <f>IF([3]道具信息!H59="","",[3]道具信息!H59)</f>
        <v>1.3333333333333333</v>
      </c>
      <c r="I59" s="37">
        <f>IF([3]道具信息!I59="","",[3]道具信息!I59)</f>
        <v>200000</v>
      </c>
      <c r="J59" s="37">
        <f>IF([3]道具信息!J59="","",[3]道具信息!J59)</f>
        <v>200000</v>
      </c>
      <c r="K59" s="37">
        <f>IF([3]道具信息!K59="","",[3]道具信息!K59)</f>
        <v>200000</v>
      </c>
      <c r="L59" s="37" t="str">
        <f>IF([3]道具信息!L59="","",[3]道具信息!L59)</f>
        <v/>
      </c>
      <c r="M59" s="37" t="str">
        <f>IF([3]道具信息!M59="","",[3]道具信息!M59)</f>
        <v/>
      </c>
      <c r="N59" s="37"/>
      <c r="O59" s="37" t="str">
        <f>IF([3]道具信息!O59="","",[3]道具信息!O59)</f>
        <v/>
      </c>
      <c r="P59" s="37" t="str">
        <f>IF([3]道具信息!P59="","",[3]道具信息!P59)</f>
        <v/>
      </c>
      <c r="Q59" s="37" t="str">
        <f>IF([3]道具信息!Q59="","",[3]道具信息!Q59)</f>
        <v/>
      </c>
    </row>
    <row r="60" spans="3:17" x14ac:dyDescent="0.15">
      <c r="C60" s="37" t="str">
        <f>IF([3]道具信息!C60="","",[3]道具信息!C60)</f>
        <v/>
      </c>
      <c r="D60" s="37" t="str">
        <f>IF([3]道具信息!D60="","",[3]道具信息!D60)</f>
        <v>红色皮肤碎片</v>
      </c>
      <c r="E60" s="37">
        <f>IF([3]道具信息!E60="","",[3]道具信息!E60)</f>
        <v>3000</v>
      </c>
      <c r="F60" s="37">
        <f>IF([3]道具信息!F60="","",[3]道具信息!F60)</f>
        <v>1.3333333333333333</v>
      </c>
      <c r="G60" s="37">
        <f>IF([3]道具信息!G60="","",[3]道具信息!G60)</f>
        <v>1.3333333333333333</v>
      </c>
      <c r="H60" s="37">
        <f>IF([3]道具信息!H60="","",[3]道具信息!H60)</f>
        <v>1.3333333333333333</v>
      </c>
      <c r="I60" s="37">
        <f>IF([3]道具信息!I60="","",[3]道具信息!I60)</f>
        <v>4000</v>
      </c>
      <c r="J60" s="37">
        <f>IF([3]道具信息!J60="","",[3]道具信息!J60)</f>
        <v>4000</v>
      </c>
      <c r="K60" s="37">
        <f>IF([3]道具信息!K60="","",[3]道具信息!K60)</f>
        <v>4000</v>
      </c>
      <c r="L60" s="37" t="str">
        <f>IF([3]道具信息!L60="","",[3]道具信息!L60)</f>
        <v/>
      </c>
      <c r="M60" s="37" t="str">
        <f>IF([3]道具信息!M60="","",[3]道具信息!M60)</f>
        <v/>
      </c>
      <c r="N60" s="37"/>
      <c r="O60" s="37" t="str">
        <f>IF([3]道具信息!O60="","",[3]道具信息!O60)</f>
        <v/>
      </c>
      <c r="P60" s="37" t="str">
        <f>IF([3]道具信息!P60="","",[3]道具信息!P60)</f>
        <v/>
      </c>
      <c r="Q60" s="37" t="str">
        <f>IF([3]道具信息!Q60="","",[3]道具信息!Q60)</f>
        <v/>
      </c>
    </row>
    <row r="61" spans="3:17" x14ac:dyDescent="0.15">
      <c r="C61" s="37" t="str">
        <f>IF([3]道具信息!C61="","",[3]道具信息!C61)</f>
        <v/>
      </c>
      <c r="D61" s="37" t="str">
        <f>IF([3]道具信息!D61="","",[3]道具信息!D61)</f>
        <v/>
      </c>
      <c r="E61" s="37" t="str">
        <f>IF([3]道具信息!E61="","",[3]道具信息!E61)</f>
        <v/>
      </c>
      <c r="F61" s="37" t="str">
        <f>IF([3]道具信息!F61="","",[3]道具信息!F61)</f>
        <v/>
      </c>
      <c r="G61" s="37" t="str">
        <f>IF([3]道具信息!G61="","",[3]道具信息!G61)</f>
        <v/>
      </c>
      <c r="H61" s="37" t="str">
        <f>IF([3]道具信息!H61="","",[3]道具信息!H61)</f>
        <v/>
      </c>
      <c r="I61" s="37" t="str">
        <f>IF([3]道具信息!I61="","",[3]道具信息!I61)</f>
        <v/>
      </c>
      <c r="J61" s="37" t="str">
        <f>IF([3]道具信息!J61="","",[3]道具信息!J61)</f>
        <v/>
      </c>
      <c r="K61" s="37" t="str">
        <f>IF([3]道具信息!K61="","",[3]道具信息!K61)</f>
        <v/>
      </c>
      <c r="L61" s="37" t="str">
        <f>IF([3]道具信息!L61="","",[3]道具信息!L61)</f>
        <v/>
      </c>
      <c r="M61" s="37" t="str">
        <f>IF([3]道具信息!M61="","",[3]道具信息!M61)</f>
        <v/>
      </c>
      <c r="N61" s="37"/>
      <c r="O61" s="37" t="str">
        <f>IF([3]道具信息!O61="","",[3]道具信息!O61)</f>
        <v/>
      </c>
      <c r="P61" s="37" t="str">
        <f>IF([3]道具信息!P61="","",[3]道具信息!P61)</f>
        <v/>
      </c>
      <c r="Q61" s="37" t="str">
        <f>IF([3]道具信息!Q61="","",[3]道具信息!Q61)</f>
        <v/>
      </c>
    </row>
    <row r="62" spans="3:17" x14ac:dyDescent="0.15">
      <c r="C62" s="37" t="str">
        <f>IF([3]道具信息!C62="","",[3]道具信息!C62)</f>
        <v/>
      </c>
      <c r="D62" s="37" t="str">
        <f>IF([3]道具信息!D62="","",[3]道具信息!D62)</f>
        <v>将军印</v>
      </c>
      <c r="E62" s="37">
        <f>IF([3]道具信息!E62="","",[3]道具信息!E62)</f>
        <v>1000</v>
      </c>
      <c r="F62" s="37">
        <f>IF([3]道具信息!F62="","",[3]道具信息!F62)</f>
        <v>1</v>
      </c>
      <c r="G62" s="37">
        <f>IF([3]道具信息!G62="","",[3]道具信息!G62)</f>
        <v>1</v>
      </c>
      <c r="H62" s="37">
        <f>IF([3]道具信息!H62="","",[3]道具信息!H62)</f>
        <v>1</v>
      </c>
      <c r="I62" s="37">
        <f>IF([3]道具信息!I62="","",[3]道具信息!I62)</f>
        <v>1000</v>
      </c>
      <c r="J62" s="37">
        <f>IF([3]道具信息!J62="","",[3]道具信息!J62)</f>
        <v>1000</v>
      </c>
      <c r="K62" s="37">
        <f>IF([3]道具信息!K62="","",[3]道具信息!K62)</f>
        <v>1000</v>
      </c>
      <c r="L62" s="37" t="str">
        <f>IF([3]道具信息!L62="","",[3]道具信息!L62)</f>
        <v/>
      </c>
      <c r="M62" s="37" t="str">
        <f>IF([3]道具信息!M62="","",[3]道具信息!M62)</f>
        <v/>
      </c>
      <c r="N62" s="37"/>
      <c r="O62" s="37" t="str">
        <f>IF([3]道具信息!O62="","",[3]道具信息!O62)</f>
        <v/>
      </c>
      <c r="P62" s="37" t="str">
        <f>IF([3]道具信息!P62="","",[3]道具信息!P62)</f>
        <v/>
      </c>
      <c r="Q62" s="37" t="str">
        <f>IF([3]道具信息!Q62="","",[3]道具信息!Q62)</f>
        <v/>
      </c>
    </row>
    <row r="63" spans="3:17" x14ac:dyDescent="0.15">
      <c r="C63" s="37" t="str">
        <f>IF([3]道具信息!C63="","",[3]道具信息!C63)</f>
        <v/>
      </c>
      <c r="D63" s="37" t="str">
        <f>IF([3]道具信息!D63="","",[3]道具信息!D63)</f>
        <v>上将印</v>
      </c>
      <c r="E63" s="37">
        <f>IF([3]道具信息!E63="","",[3]道具信息!E63)</f>
        <v>2000</v>
      </c>
      <c r="F63" s="37">
        <f>IF([3]道具信息!F63="","",[3]道具信息!F63)</f>
        <v>1</v>
      </c>
      <c r="G63" s="37">
        <f>IF([3]道具信息!G63="","",[3]道具信息!G63)</f>
        <v>1</v>
      </c>
      <c r="H63" s="37">
        <f>IF([3]道具信息!H63="","",[3]道具信息!H63)</f>
        <v>1</v>
      </c>
      <c r="I63" s="37">
        <f>IF([3]道具信息!I63="","",[3]道具信息!I63)</f>
        <v>2000</v>
      </c>
      <c r="J63" s="37">
        <f>IF([3]道具信息!J63="","",[3]道具信息!J63)</f>
        <v>2000</v>
      </c>
      <c r="K63" s="37">
        <f>IF([3]道具信息!K63="","",[3]道具信息!K63)</f>
        <v>2000</v>
      </c>
      <c r="L63" s="37" t="str">
        <f>IF([3]道具信息!L63="","",[3]道具信息!L63)</f>
        <v/>
      </c>
      <c r="M63" s="37" t="str">
        <f>IF([3]道具信息!M63="","",[3]道具信息!M63)</f>
        <v/>
      </c>
      <c r="N63" s="37"/>
      <c r="O63" s="37" t="str">
        <f>IF([3]道具信息!O63="","",[3]道具信息!O63)</f>
        <v/>
      </c>
      <c r="P63" s="37" t="str">
        <f>IF([3]道具信息!P63="","",[3]道具信息!P63)</f>
        <v/>
      </c>
      <c r="Q63" s="37" t="str">
        <f>IF([3]道具信息!Q63="","",[3]道具信息!Q63)</f>
        <v/>
      </c>
    </row>
    <row r="64" spans="3:17" x14ac:dyDescent="0.15">
      <c r="C64" s="37" t="str">
        <f>IF([3]道具信息!C64="","",[3]道具信息!C64)</f>
        <v/>
      </c>
      <c r="D64" s="37" t="str">
        <f>IF([3]道具信息!D64="","",[3]道具信息!D64)</f>
        <v>统帅印</v>
      </c>
      <c r="E64" s="37">
        <f>IF([3]道具信息!E64="","",[3]道具信息!E64)</f>
        <v>8000</v>
      </c>
      <c r="F64" s="37">
        <f>IF([3]道具信息!F64="","",[3]道具信息!F64)</f>
        <v>1</v>
      </c>
      <c r="G64" s="37">
        <f>IF([3]道具信息!G64="","",[3]道具信息!G64)</f>
        <v>1</v>
      </c>
      <c r="H64" s="37">
        <f>IF([3]道具信息!H64="","",[3]道具信息!H64)</f>
        <v>1</v>
      </c>
      <c r="I64" s="37">
        <f>IF([3]道具信息!I64="","",[3]道具信息!I64)</f>
        <v>8000</v>
      </c>
      <c r="J64" s="37">
        <f>IF([3]道具信息!J64="","",[3]道具信息!J64)</f>
        <v>8000</v>
      </c>
      <c r="K64" s="37">
        <f>IF([3]道具信息!K64="","",[3]道具信息!K64)</f>
        <v>8000</v>
      </c>
      <c r="L64" s="37" t="str">
        <f>IF([3]道具信息!L64="","",[3]道具信息!L64)</f>
        <v/>
      </c>
      <c r="M64" s="37" t="str">
        <f>IF([3]道具信息!M64="","",[3]道具信息!M64)</f>
        <v/>
      </c>
      <c r="N64" s="37"/>
      <c r="O64" s="37" t="str">
        <f>IF([3]道具信息!O64="","",[3]道具信息!O64)</f>
        <v/>
      </c>
      <c r="P64" s="37" t="str">
        <f>IF([3]道具信息!P64="","",[3]道具信息!P64)</f>
        <v/>
      </c>
      <c r="Q64" s="37" t="str">
        <f>IF([3]道具信息!Q64="","",[3]道具信息!Q64)</f>
        <v/>
      </c>
    </row>
    <row r="65" spans="3:17" x14ac:dyDescent="0.15">
      <c r="C65" s="37" t="str">
        <f>IF([3]道具信息!C65="","",[3]道具信息!C65)</f>
        <v/>
      </c>
      <c r="D65" s="37" t="str">
        <f>IF([3]道具信息!D65="","",[3]道具信息!D65)</f>
        <v>将军印碎片</v>
      </c>
      <c r="E65" s="37">
        <f>IF([3]道具信息!E65="","",[3]道具信息!E65)</f>
        <v>33.333333333333336</v>
      </c>
      <c r="F65" s="37">
        <f>IF([3]道具信息!F65="","",[3]道具信息!F65)</f>
        <v>1</v>
      </c>
      <c r="G65" s="37">
        <f>IF([3]道具信息!G65="","",[3]道具信息!G65)</f>
        <v>1</v>
      </c>
      <c r="H65" s="37">
        <f>IF([3]道具信息!H65="","",[3]道具信息!H65)</f>
        <v>1</v>
      </c>
      <c r="I65" s="37">
        <f>IF([3]道具信息!I65="","",[3]道具信息!I65)</f>
        <v>33.333333333333336</v>
      </c>
      <c r="J65" s="37">
        <f>IF([3]道具信息!J65="","",[3]道具信息!J65)</f>
        <v>33.333333333333336</v>
      </c>
      <c r="K65" s="37">
        <f>IF([3]道具信息!K65="","",[3]道具信息!K65)</f>
        <v>33.333333333333336</v>
      </c>
      <c r="L65" s="37" t="str">
        <f>IF([3]道具信息!L65="","",[3]道具信息!L65)</f>
        <v>凑齐30个碎片可以合成1个将军印，可用于解锁武将的第四个特性</v>
      </c>
      <c r="M65" s="37" t="str">
        <f>IF([3]道具信息!M65="","",[3]道具信息!M65)</f>
        <v/>
      </c>
      <c r="N65" s="37"/>
      <c r="O65" s="37" t="str">
        <f>IF([3]道具信息!O65="","",[3]道具信息!O65)</f>
        <v/>
      </c>
      <c r="P65" s="37" t="str">
        <f>IF([3]道具信息!P65="","",[3]道具信息!P65)</f>
        <v/>
      </c>
      <c r="Q65" s="37" t="str">
        <f>IF([3]道具信息!Q65="","",[3]道具信息!Q65)</f>
        <v/>
      </c>
    </row>
    <row r="66" spans="3:17" x14ac:dyDescent="0.15">
      <c r="C66" s="37" t="str">
        <f>IF([3]道具信息!C66="","",[3]道具信息!C66)</f>
        <v/>
      </c>
      <c r="D66" s="37" t="str">
        <f>IF([3]道具信息!D66="","",[3]道具信息!D66)</f>
        <v>上将印碎片</v>
      </c>
      <c r="E66" s="37">
        <f>IF([3]道具信息!E66="","",[3]道具信息!E66)</f>
        <v>66.666666666666671</v>
      </c>
      <c r="F66" s="37">
        <f>IF([3]道具信息!F66="","",[3]道具信息!F66)</f>
        <v>1</v>
      </c>
      <c r="G66" s="37">
        <f>IF([3]道具信息!G66="","",[3]道具信息!G66)</f>
        <v>1</v>
      </c>
      <c r="H66" s="37">
        <f>IF([3]道具信息!H66="","",[3]道具信息!H66)</f>
        <v>1</v>
      </c>
      <c r="I66" s="37">
        <f>IF([3]道具信息!I66="","",[3]道具信息!I66)</f>
        <v>66.666666666666671</v>
      </c>
      <c r="J66" s="37">
        <f>IF([3]道具信息!J66="","",[3]道具信息!J66)</f>
        <v>66.666666666666671</v>
      </c>
      <c r="K66" s="37">
        <f>IF([3]道具信息!K66="","",[3]道具信息!K66)</f>
        <v>66.666666666666671</v>
      </c>
      <c r="L66" s="37" t="str">
        <f>IF([3]道具信息!L66="","",[3]道具信息!L66)</f>
        <v>凑齐30个碎片可以合成1个上将印，可用于升级武将的第四个特性</v>
      </c>
      <c r="M66" s="37" t="str">
        <f>IF([3]道具信息!M66="","",[3]道具信息!M66)</f>
        <v/>
      </c>
      <c r="N66" s="37"/>
      <c r="O66" s="37" t="str">
        <f>IF([3]道具信息!O66="","",[3]道具信息!O66)</f>
        <v/>
      </c>
      <c r="P66" s="37" t="str">
        <f>IF([3]道具信息!P66="","",[3]道具信息!P66)</f>
        <v/>
      </c>
      <c r="Q66" s="37" t="str">
        <f>IF([3]道具信息!Q66="","",[3]道具信息!Q66)</f>
        <v/>
      </c>
    </row>
    <row r="67" spans="3:17" x14ac:dyDescent="0.15">
      <c r="C67" s="37" t="str">
        <f>IF([3]道具信息!C67="","",[3]道具信息!C67)</f>
        <v/>
      </c>
      <c r="D67" s="37" t="str">
        <f>IF([3]道具信息!D67="","",[3]道具信息!D67)</f>
        <v>统帅印碎片</v>
      </c>
      <c r="E67" s="37">
        <f>IF([3]道具信息!E67="","",[3]道具信息!E67)</f>
        <v>266.66666666666669</v>
      </c>
      <c r="F67" s="37">
        <f>IF([3]道具信息!F67="","",[3]道具信息!F67)</f>
        <v>1</v>
      </c>
      <c r="G67" s="37">
        <f>IF([3]道具信息!G67="","",[3]道具信息!G67)</f>
        <v>1</v>
      </c>
      <c r="H67" s="37">
        <f>IF([3]道具信息!H67="","",[3]道具信息!H67)</f>
        <v>1</v>
      </c>
      <c r="I67" s="37">
        <f>IF([3]道具信息!I67="","",[3]道具信息!I67)</f>
        <v>266.66666666666669</v>
      </c>
      <c r="J67" s="37">
        <f>IF([3]道具信息!J67="","",[3]道具信息!J67)</f>
        <v>266.66666666666669</v>
      </c>
      <c r="K67" s="37">
        <f>IF([3]道具信息!K67="","",[3]道具信息!K67)</f>
        <v>266.66666666666669</v>
      </c>
      <c r="L67" s="37" t="str">
        <f>IF([3]道具信息!L67="","",[3]道具信息!L67)</f>
        <v>凑齐30个碎片可以合成1个统帅印，可用于升级武将的第四个特性</v>
      </c>
      <c r="M67" s="37" t="str">
        <f>IF([3]道具信息!M67="","",[3]道具信息!M67)</f>
        <v/>
      </c>
      <c r="N67" s="37"/>
      <c r="O67" s="37" t="str">
        <f>IF([3]道具信息!O67="","",[3]道具信息!O67)</f>
        <v/>
      </c>
      <c r="P67" s="37" t="str">
        <f>IF([3]道具信息!P67="","",[3]道具信息!P67)</f>
        <v/>
      </c>
      <c r="Q67" s="37" t="str">
        <f>IF([3]道具信息!Q67="","",[3]道具信息!Q67)</f>
        <v/>
      </c>
    </row>
    <row r="68" spans="3:17" x14ac:dyDescent="0.15">
      <c r="C68" s="37" t="str">
        <f>IF([3]道具信息!C68="","",[3]道具信息!C68)</f>
        <v/>
      </c>
      <c r="D68" s="37" t="str">
        <f>IF([3]道具信息!D68="","",[3]道具信息!D68)</f>
        <v/>
      </c>
      <c r="E68" s="37" t="str">
        <f>IF([3]道具信息!E68="","",[3]道具信息!E68)</f>
        <v/>
      </c>
      <c r="F68" s="37" t="str">
        <f>IF([3]道具信息!F68="","",[3]道具信息!F68)</f>
        <v/>
      </c>
      <c r="G68" s="37" t="str">
        <f>IF([3]道具信息!G68="","",[3]道具信息!G68)</f>
        <v/>
      </c>
      <c r="H68" s="37" t="str">
        <f>IF([3]道具信息!H68="","",[3]道具信息!H68)</f>
        <v/>
      </c>
      <c r="I68" s="37" t="str">
        <f>IF([3]道具信息!I68="","",[3]道具信息!I68)</f>
        <v/>
      </c>
      <c r="J68" s="37" t="str">
        <f>IF([3]道具信息!J68="","",[3]道具信息!J68)</f>
        <v/>
      </c>
      <c r="K68" s="37" t="str">
        <f>IF([3]道具信息!K68="","",[3]道具信息!K68)</f>
        <v/>
      </c>
      <c r="L68" s="37" t="str">
        <f>IF([3]道具信息!L68="","",[3]道具信息!L68)</f>
        <v/>
      </c>
      <c r="M68" s="37" t="str">
        <f>IF([3]道具信息!M68="","",[3]道具信息!M68)</f>
        <v/>
      </c>
      <c r="N68" s="37"/>
      <c r="O68" s="37" t="str">
        <f>IF([3]道具信息!O68="","",[3]道具信息!O68)</f>
        <v/>
      </c>
      <c r="P68" s="37" t="str">
        <f>IF([3]道具信息!P68="","",[3]道具信息!P68)</f>
        <v/>
      </c>
      <c r="Q68" s="37" t="str">
        <f>IF([3]道具信息!Q68="","",[3]道具信息!Q68)</f>
        <v/>
      </c>
    </row>
    <row r="69" spans="3:17" x14ac:dyDescent="0.15">
      <c r="C69" s="37" t="str">
        <f>IF([3]道具信息!C69="","",[3]道具信息!C69)</f>
        <v/>
      </c>
      <c r="D69" s="37" t="str">
        <f>IF([3]道具信息!D69="","",[3]道具信息!D69)</f>
        <v>高级免战牌</v>
      </c>
      <c r="E69" s="37">
        <f>IF([3]道具信息!E69="","",[3]道具信息!E69)</f>
        <v>400</v>
      </c>
      <c r="F69" s="37">
        <f>IF([3]道具信息!F69="","",[3]道具信息!F69)</f>
        <v>1</v>
      </c>
      <c r="G69" s="37">
        <f>IF([3]道具信息!G69="","",[3]道具信息!G69)</f>
        <v>1</v>
      </c>
      <c r="H69" s="37">
        <f>IF([3]道具信息!H69="","",[3]道具信息!H69)</f>
        <v>1</v>
      </c>
      <c r="I69" s="37">
        <f>IF([3]道具信息!I69="","",[3]道具信息!I69)</f>
        <v>400</v>
      </c>
      <c r="J69" s="37">
        <f>IF([3]道具信息!J69="","",[3]道具信息!J69)</f>
        <v>400</v>
      </c>
      <c r="K69" s="37">
        <f>IF([3]道具信息!K69="","",[3]道具信息!K69)</f>
        <v>400</v>
      </c>
      <c r="L69" s="37" t="str">
        <f>IF([3]道具信息!L69="","",[3]道具信息!L69)</f>
        <v/>
      </c>
      <c r="M69" s="37" t="str">
        <f>IF([3]道具信息!M69="","",[3]道具信息!M69)</f>
        <v/>
      </c>
      <c r="N69" s="37"/>
      <c r="O69" s="37" t="str">
        <f>IF([3]道具信息!O69="","",[3]道具信息!O69)</f>
        <v/>
      </c>
      <c r="P69" s="37" t="str">
        <f>IF([3]道具信息!P69="","",[3]道具信息!P69)</f>
        <v/>
      </c>
      <c r="Q69" s="37" t="str">
        <f>IF([3]道具信息!Q69="","",[3]道具信息!Q69)</f>
        <v/>
      </c>
    </row>
    <row r="70" spans="3:17" x14ac:dyDescent="0.15">
      <c r="C70" s="37" t="str">
        <f>IF([3]道具信息!C70="","",[3]道具信息!C70)</f>
        <v/>
      </c>
      <c r="D70" s="37" t="str">
        <f>IF([3]道具信息!D70="","",[3]道具信息!D70)</f>
        <v>特级免战牌</v>
      </c>
      <c r="E70" s="37">
        <f>IF([3]道具信息!E70="","",[3]道具信息!E70)</f>
        <v>1500</v>
      </c>
      <c r="F70" s="37">
        <f>IF([3]道具信息!F70="","",[3]道具信息!F70)</f>
        <v>1</v>
      </c>
      <c r="G70" s="37">
        <f>IF([3]道具信息!G70="","",[3]道具信息!G70)</f>
        <v>1</v>
      </c>
      <c r="H70" s="37">
        <f>IF([3]道具信息!H70="","",[3]道具信息!H70)</f>
        <v>1</v>
      </c>
      <c r="I70" s="37">
        <f>IF([3]道具信息!I70="","",[3]道具信息!I70)</f>
        <v>1500</v>
      </c>
      <c r="J70" s="37">
        <f>IF([3]道具信息!J70="","",[3]道具信息!J70)</f>
        <v>1500</v>
      </c>
      <c r="K70" s="37">
        <f>IF([3]道具信息!K70="","",[3]道具信息!K70)</f>
        <v>1500</v>
      </c>
      <c r="L70" s="37" t="str">
        <f>IF([3]道具信息!L70="","",[3]道具信息!L70)</f>
        <v/>
      </c>
      <c r="M70" s="37" t="str">
        <f>IF([3]道具信息!M70="","",[3]道具信息!M70)</f>
        <v/>
      </c>
      <c r="N70" s="37"/>
      <c r="O70" s="37" t="str">
        <f>IF([3]道具信息!O70="","",[3]道具信息!O70)</f>
        <v/>
      </c>
      <c r="P70" s="37" t="str">
        <f>IF([3]道具信息!P70="","",[3]道具信息!P70)</f>
        <v/>
      </c>
      <c r="Q70" s="37" t="str">
        <f>IF([3]道具信息!Q70="","",[3]道具信息!Q70)</f>
        <v/>
      </c>
    </row>
    <row r="71" spans="3:17" x14ac:dyDescent="0.15">
      <c r="C71" s="37" t="str">
        <f>IF([3]道具信息!C71="","",[3]道具信息!C71)</f>
        <v/>
      </c>
      <c r="D71" s="37" t="str">
        <f>IF([3]道具信息!D71="","",[3]道具信息!D71)</f>
        <v>随机橙色兵法碎片</v>
      </c>
      <c r="E71" s="37">
        <f>IF([3]道具信息!E71="","",[3]道具信息!E71)</f>
        <v>56</v>
      </c>
      <c r="F71" s="37">
        <f>IF([3]道具信息!F71="","",[3]道具信息!F71)</f>
        <v>1</v>
      </c>
      <c r="G71" s="37">
        <f>IF([3]道具信息!G71="","",[3]道具信息!G71)</f>
        <v>1</v>
      </c>
      <c r="H71" s="37">
        <f>IF([3]道具信息!H71="","",[3]道具信息!H71)</f>
        <v>1</v>
      </c>
      <c r="I71" s="37">
        <f>IF([3]道具信息!I71="","",[3]道具信息!I71)</f>
        <v>56</v>
      </c>
      <c r="J71" s="37">
        <f>IF([3]道具信息!J71="","",[3]道具信息!J71)</f>
        <v>56</v>
      </c>
      <c r="K71" s="37">
        <f>IF([3]道具信息!K71="","",[3]道具信息!K71)</f>
        <v>56</v>
      </c>
      <c r="L71" s="37" t="str">
        <f>IF([3]道具信息!L71="","",[3]道具信息!L71)</f>
        <v/>
      </c>
      <c r="M71" s="37" t="str">
        <f>IF([3]道具信息!M71="","",[3]道具信息!M71)</f>
        <v/>
      </c>
      <c r="N71" s="37"/>
      <c r="O71" s="37" t="str">
        <f>IF([3]道具信息!O71="","",[3]道具信息!O71)</f>
        <v/>
      </c>
      <c r="P71" s="37" t="str">
        <f>IF([3]道具信息!P71="","",[3]道具信息!P71)</f>
        <v/>
      </c>
      <c r="Q71" s="37" t="str">
        <f>IF([3]道具信息!Q71="","",[3]道具信息!Q71)</f>
        <v/>
      </c>
    </row>
    <row r="72" spans="3:17" x14ac:dyDescent="0.15">
      <c r="C72" s="37" t="str">
        <f>IF([3]道具信息!C72="","",[3]道具信息!C72)</f>
        <v/>
      </c>
      <c r="D72" s="37" t="str">
        <f>IF([3]道具信息!D72="","",[3]道具信息!D72)</f>
        <v>指定or任选紫色兵法碎片</v>
      </c>
      <c r="E72" s="37">
        <f>IF([3]道具信息!E72="","",[3]道具信息!E72)</f>
        <v>75</v>
      </c>
      <c r="F72" s="37">
        <f>IF([3]道具信息!F72="","",[3]道具信息!F72)</f>
        <v>1</v>
      </c>
      <c r="G72" s="37">
        <f>IF([3]道具信息!G72="","",[3]道具信息!G72)</f>
        <v>1</v>
      </c>
      <c r="H72" s="37">
        <f>IF([3]道具信息!H72="","",[3]道具信息!H72)</f>
        <v>1</v>
      </c>
      <c r="I72" s="37">
        <f>IF([3]道具信息!I72="","",[3]道具信息!I72)</f>
        <v>75</v>
      </c>
      <c r="J72" s="37">
        <f>IF([3]道具信息!J72="","",[3]道具信息!J72)</f>
        <v>75</v>
      </c>
      <c r="K72" s="37">
        <f>IF([3]道具信息!K72="","",[3]道具信息!K72)</f>
        <v>75</v>
      </c>
      <c r="L72" s="37" t="str">
        <f>IF([3]道具信息!L72="","",[3]道具信息!L72)</f>
        <v/>
      </c>
      <c r="M72" s="37" t="str">
        <f>IF([3]道具信息!M72="","",[3]道具信息!M72)</f>
        <v/>
      </c>
      <c r="N72" s="37"/>
      <c r="O72" s="37" t="str">
        <f>IF([3]道具信息!O72="","",[3]道具信息!O72)</f>
        <v/>
      </c>
      <c r="P72" s="37" t="str">
        <f>IF([3]道具信息!P72="","",[3]道具信息!P72)</f>
        <v/>
      </c>
      <c r="Q72" s="37" t="str">
        <f>IF([3]道具信息!Q72="","",[3]道具信息!Q72)</f>
        <v/>
      </c>
    </row>
    <row r="73" spans="3:17" x14ac:dyDescent="0.15">
      <c r="C73" s="37" t="str">
        <f>IF([3]道具信息!C73="","",[3]道具信息!C73)</f>
        <v/>
      </c>
      <c r="D73" s="37" t="str">
        <f>IF([3]道具信息!D73="","",[3]道具信息!D73)</f>
        <v>指定or任选橙色兵法碎片</v>
      </c>
      <c r="E73" s="37">
        <f>IF([3]道具信息!E73="","",[3]道具信息!E73)</f>
        <v>111.66666666666667</v>
      </c>
      <c r="F73" s="37">
        <f>IF([3]道具信息!F73="","",[3]道具信息!F73)</f>
        <v>1</v>
      </c>
      <c r="G73" s="37">
        <f>IF([3]道具信息!G73="","",[3]道具信息!G73)</f>
        <v>1</v>
      </c>
      <c r="H73" s="37">
        <f>IF([3]道具信息!H73="","",[3]道具信息!H73)</f>
        <v>1</v>
      </c>
      <c r="I73" s="37">
        <f>IF([3]道具信息!I73="","",[3]道具信息!I73)</f>
        <v>111.66666666666667</v>
      </c>
      <c r="J73" s="37">
        <f>IF([3]道具信息!J73="","",[3]道具信息!J73)</f>
        <v>111.66666666666667</v>
      </c>
      <c r="K73" s="37">
        <f>IF([3]道具信息!K73="","",[3]道具信息!K73)</f>
        <v>111.66666666666667</v>
      </c>
      <c r="L73" s="37" t="str">
        <f>IF([3]道具信息!L73="","",[3]道具信息!L73)</f>
        <v/>
      </c>
      <c r="M73" s="37" t="str">
        <f>IF([3]道具信息!M73="","",[3]道具信息!M73)</f>
        <v/>
      </c>
      <c r="N73" s="37"/>
      <c r="O73" s="37" t="str">
        <f>IF([3]道具信息!O73="","",[3]道具信息!O73)</f>
        <v/>
      </c>
      <c r="P73" s="37" t="str">
        <f>IF([3]道具信息!P73="","",[3]道具信息!P73)</f>
        <v/>
      </c>
      <c r="Q73" s="37" t="str">
        <f>IF([3]道具信息!Q73="","",[3]道具信息!Q73)</f>
        <v/>
      </c>
    </row>
    <row r="74" spans="3:17" x14ac:dyDescent="0.15">
      <c r="C74" s="37" t="str">
        <f>IF([3]道具信息!C74="","",[3]道具信息!C74)</f>
        <v/>
      </c>
      <c r="D74" s="37" t="str">
        <f>IF([3]道具信息!D74="","",[3]道具信息!D74)</f>
        <v>指定or任选橙+兵法碎片</v>
      </c>
      <c r="E74" s="37">
        <f>IF([3]道具信息!E74="","",[3]道具信息!E74)</f>
        <v>305.5</v>
      </c>
      <c r="F74" s="37">
        <f>IF([3]道具信息!F74="","",[3]道具信息!F74)</f>
        <v>1</v>
      </c>
      <c r="G74" s="37">
        <f>IF([3]道具信息!G74="","",[3]道具信息!G74)</f>
        <v>1</v>
      </c>
      <c r="H74" s="37">
        <f>IF([3]道具信息!H74="","",[3]道具信息!H74)</f>
        <v>1</v>
      </c>
      <c r="I74" s="37">
        <f>IF([3]道具信息!I74="","",[3]道具信息!I74)</f>
        <v>305.5</v>
      </c>
      <c r="J74" s="37">
        <f>IF([3]道具信息!J74="","",[3]道具信息!J74)</f>
        <v>305.5</v>
      </c>
      <c r="K74" s="37">
        <f>IF([3]道具信息!K74="","",[3]道具信息!K74)</f>
        <v>305.5</v>
      </c>
      <c r="L74" s="37" t="str">
        <f>IF([3]道具信息!L74="","",[3]道具信息!L74)</f>
        <v/>
      </c>
      <c r="M74" s="37" t="str">
        <f>IF([3]道具信息!M74="","",[3]道具信息!M74)</f>
        <v/>
      </c>
      <c r="N74" s="37"/>
      <c r="O74" s="37" t="str">
        <f>IF([3]道具信息!O74="","",[3]道具信息!O74)</f>
        <v/>
      </c>
      <c r="P74" s="37" t="str">
        <f>IF([3]道具信息!P74="","",[3]道具信息!P74)</f>
        <v/>
      </c>
      <c r="Q74" s="37" t="str">
        <f>IF([3]道具信息!Q74="","",[3]道具信息!Q74)</f>
        <v/>
      </c>
    </row>
    <row r="75" spans="3:17" x14ac:dyDescent="0.15">
      <c r="C75" s="37" t="str">
        <f>IF([3]道具信息!C75="","",[3]道具信息!C75)</f>
        <v/>
      </c>
      <c r="D75" s="37" t="str">
        <f>IF([3]道具信息!D75="","",[3]道具信息!D75)</f>
        <v/>
      </c>
      <c r="E75" s="37" t="str">
        <f>IF([3]道具信息!E75="","",[3]道具信息!E75)</f>
        <v/>
      </c>
      <c r="F75" s="37" t="str">
        <f>IF([3]道具信息!F75="","",[3]道具信息!F75)</f>
        <v/>
      </c>
      <c r="G75" s="37" t="str">
        <f>IF([3]道具信息!G75="","",[3]道具信息!G75)</f>
        <v/>
      </c>
      <c r="H75" s="37" t="str">
        <f>IF([3]道具信息!H75="","",[3]道具信息!H75)</f>
        <v/>
      </c>
      <c r="I75" s="37" t="str">
        <f>IF([3]道具信息!I75="","",[3]道具信息!I75)</f>
        <v/>
      </c>
      <c r="J75" s="37" t="str">
        <f>IF([3]道具信息!J75="","",[3]道具信息!J75)</f>
        <v/>
      </c>
      <c r="K75" s="37" t="str">
        <f>IF([3]道具信息!K75="","",[3]道具信息!K75)</f>
        <v/>
      </c>
      <c r="L75" s="37" t="str">
        <f>IF([3]道具信息!L75="","",[3]道具信息!L75)</f>
        <v/>
      </c>
      <c r="M75" s="37" t="str">
        <f>IF([3]道具信息!M75="","",[3]道具信息!M75)</f>
        <v/>
      </c>
      <c r="N75" s="37"/>
      <c r="O75" s="37" t="str">
        <f>IF([3]道具信息!O75="","",[3]道具信息!O75)</f>
        <v/>
      </c>
      <c r="P75" s="37" t="str">
        <f>IF([3]道具信息!P75="","",[3]道具信息!P75)</f>
        <v/>
      </c>
      <c r="Q75" s="37" t="str">
        <f>IF([3]道具信息!Q75="","",[3]道具信息!Q75)</f>
        <v/>
      </c>
    </row>
    <row r="76" spans="3:17" x14ac:dyDescent="0.15">
      <c r="C76" s="37" t="str">
        <f>IF([3]道具信息!C76="","",[3]道具信息!C76)</f>
        <v/>
      </c>
      <c r="D76" s="37" t="str">
        <f>IF([3]道具信息!D76="","",[3]道具信息!D76)</f>
        <v>红色装备自选碎片</v>
      </c>
      <c r="E76" s="37">
        <f>IF([3]道具信息!E76="","",[3]道具信息!E76)</f>
        <v>144</v>
      </c>
      <c r="F76" s="37">
        <f>IF([3]道具信息!F76="","",[3]道具信息!F76)</f>
        <v>1</v>
      </c>
      <c r="G76" s="37">
        <f>IF([3]道具信息!G76="","",[3]道具信息!G76)</f>
        <v>1</v>
      </c>
      <c r="H76" s="37">
        <f>IF([3]道具信息!H76="","",[3]道具信息!H76)</f>
        <v>1</v>
      </c>
      <c r="I76" s="37">
        <f>IF([3]道具信息!I76="","",[3]道具信息!I76)</f>
        <v>144</v>
      </c>
      <c r="J76" s="37">
        <f>IF([3]道具信息!J76="","",[3]道具信息!J76)</f>
        <v>144</v>
      </c>
      <c r="K76" s="37">
        <f>IF([3]道具信息!K76="","",[3]道具信息!K76)</f>
        <v>144</v>
      </c>
      <c r="L76" s="37" t="str">
        <f>IF([3]道具信息!L76="","",[3]道具信息!L76)</f>
        <v/>
      </c>
      <c r="M76" s="37" t="str">
        <f>IF([3]道具信息!M76="","",[3]道具信息!M76)</f>
        <v/>
      </c>
      <c r="N76" s="37"/>
      <c r="O76" s="37" t="str">
        <f>IF([3]道具信息!O76="","",[3]道具信息!O76)</f>
        <v/>
      </c>
      <c r="P76" s="37" t="str">
        <f>IF([3]道具信息!P76="","",[3]道具信息!P76)</f>
        <v/>
      </c>
      <c r="Q76" s="37" t="str">
        <f>IF([3]道具信息!Q76="","",[3]道具信息!Q76)</f>
        <v/>
      </c>
    </row>
    <row r="77" spans="3:17" x14ac:dyDescent="0.15">
      <c r="C77" s="37" t="str">
        <f>IF([3]道具信息!C77="","",[3]道具信息!C77)</f>
        <v/>
      </c>
      <c r="D77" s="37" t="str">
        <f>IF([3]道具信息!D77="","",[3]道具信息!D77)</f>
        <v>红+装备自选碎片</v>
      </c>
      <c r="E77" s="37">
        <f>IF([3]道具信息!E77="","",[3]道具信息!E77)</f>
        <v>288</v>
      </c>
      <c r="F77" s="37">
        <f>IF([3]道具信息!F77="","",[3]道具信息!F77)</f>
        <v>1.56</v>
      </c>
      <c r="G77" s="37">
        <f>IF([3]道具信息!G77="","",[3]道具信息!G77)</f>
        <v>1.56</v>
      </c>
      <c r="H77" s="37">
        <f>IF([3]道具信息!H77="","",[3]道具信息!H77)</f>
        <v>1.56</v>
      </c>
      <c r="I77" s="37">
        <f>IF([3]道具信息!I77="","",[3]道具信息!I77)</f>
        <v>449.28000000000003</v>
      </c>
      <c r="J77" s="37">
        <f>IF([3]道具信息!J77="","",[3]道具信息!J77)</f>
        <v>449.28000000000003</v>
      </c>
      <c r="K77" s="37">
        <f>IF([3]道具信息!K77="","",[3]道具信息!K77)</f>
        <v>449.28000000000003</v>
      </c>
      <c r="L77" s="37" t="str">
        <f>IF([3]道具信息!L77="","",[3]道具信息!L77)</f>
        <v/>
      </c>
      <c r="M77" s="37" t="str">
        <f>IF([3]道具信息!M77="","",[3]道具信息!M77)</f>
        <v/>
      </c>
      <c r="N77" s="37"/>
      <c r="O77" s="37" t="str">
        <f>IF([3]道具信息!O77="","",[3]道具信息!O77)</f>
        <v/>
      </c>
      <c r="P77" s="37" t="str">
        <f>IF([3]道具信息!P77="","",[3]道具信息!P77)</f>
        <v/>
      </c>
      <c r="Q77" s="37" t="str">
        <f>IF([3]道具信息!Q77="","",[3]道具信息!Q77)</f>
        <v/>
      </c>
    </row>
    <row r="78" spans="3:17" x14ac:dyDescent="0.15">
      <c r="C78" s="37" t="str">
        <f>IF([3]道具信息!C78="","",[3]道具信息!C78)</f>
        <v/>
      </c>
      <c r="D78" s="37" t="str">
        <f>IF([3]道具信息!D78="","",[3]道具信息!D78)</f>
        <v>自选礼包</v>
      </c>
      <c r="E78" s="37">
        <f>IF([3]道具信息!E78="","",[3]道具信息!E78)</f>
        <v>300</v>
      </c>
      <c r="F78" s="37">
        <f>IF([3]道具信息!F78="","",[3]道具信息!F78)</f>
        <v>1</v>
      </c>
      <c r="G78" s="37">
        <f>IF([3]道具信息!G78="","",[3]道具信息!G78)</f>
        <v>1</v>
      </c>
      <c r="H78" s="37">
        <f>IF([3]道具信息!H78="","",[3]道具信息!H78)</f>
        <v>1</v>
      </c>
      <c r="I78" s="37">
        <f>IF([3]道具信息!I78="","",[3]道具信息!I78)</f>
        <v>300</v>
      </c>
      <c r="J78" s="37">
        <f>IF([3]道具信息!J78="","",[3]道具信息!J78)</f>
        <v>300</v>
      </c>
      <c r="K78" s="37">
        <f>IF([3]道具信息!K78="","",[3]道具信息!K78)</f>
        <v>300</v>
      </c>
      <c r="L78" s="37" t="str">
        <f>IF([3]道具信息!L78="","",[3]道具信息!L78)</f>
        <v/>
      </c>
      <c r="M78" s="37" t="str">
        <f>IF([3]道具信息!M78="","",[3]道具信息!M78)</f>
        <v/>
      </c>
      <c r="N78" s="37"/>
      <c r="O78" s="37" t="str">
        <f>IF([3]道具信息!O78="","",[3]道具信息!O78)</f>
        <v/>
      </c>
      <c r="P78" s="37" t="str">
        <f>IF([3]道具信息!P78="","",[3]道具信息!P78)</f>
        <v/>
      </c>
      <c r="Q78" s="37" t="str">
        <f>IF([3]道具信息!Q78="","",[3]道具信息!Q78)</f>
        <v/>
      </c>
    </row>
    <row r="79" spans="3:17" x14ac:dyDescent="0.15">
      <c r="C79" s="37" t="str">
        <f>IF([3]道具信息!C79="","",[3]道具信息!C79)</f>
        <v/>
      </c>
      <c r="D79" s="37" t="str">
        <f>IF([3]道具信息!D79="","",[3]道具信息!D79)</f>
        <v/>
      </c>
      <c r="E79" s="37" t="str">
        <f>IF([3]道具信息!E79="","",[3]道具信息!E79)</f>
        <v/>
      </c>
      <c r="F79" s="37" t="str">
        <f>IF([3]道具信息!F79="","",[3]道具信息!F79)</f>
        <v/>
      </c>
      <c r="G79" s="37" t="str">
        <f>IF([3]道具信息!G79="","",[3]道具信息!G79)</f>
        <v/>
      </c>
      <c r="H79" s="37" t="str">
        <f>IF([3]道具信息!H79="","",[3]道具信息!H79)</f>
        <v/>
      </c>
      <c r="I79" s="37" t="str">
        <f>IF([3]道具信息!I79="","",[3]道具信息!I79)</f>
        <v/>
      </c>
      <c r="J79" s="37" t="str">
        <f>IF([3]道具信息!J79="","",[3]道具信息!J79)</f>
        <v/>
      </c>
      <c r="K79" s="37" t="str">
        <f>IF([3]道具信息!K79="","",[3]道具信息!K79)</f>
        <v/>
      </c>
      <c r="L79" s="37" t="str">
        <f>IF([3]道具信息!L79="","",[3]道具信息!L79)</f>
        <v/>
      </c>
      <c r="M79" s="37" t="str">
        <f>IF([3]道具信息!M79="","",[3]道具信息!M79)</f>
        <v/>
      </c>
      <c r="N79" s="37"/>
      <c r="O79" s="37" t="str">
        <f>IF([3]道具信息!O79="","",[3]道具信息!O79)</f>
        <v/>
      </c>
      <c r="P79" s="37" t="str">
        <f>IF([3]道具信息!P79="","",[3]道具信息!P79)</f>
        <v/>
      </c>
      <c r="Q79" s="37" t="str">
        <f>IF([3]道具信息!Q79="","",[3]道具信息!Q79)</f>
        <v/>
      </c>
    </row>
    <row r="80" spans="3:17" x14ac:dyDescent="0.15">
      <c r="C80" s="37" t="str">
        <f>IF([3]道具信息!C80="","",[3]道具信息!C80)</f>
        <v/>
      </c>
      <c r="D80" s="37" t="str">
        <f>IF([3]道具信息!D80="","",[3]道具信息!D80)</f>
        <v>随机蓝色阵法</v>
      </c>
      <c r="E80" s="37">
        <f>IF([3]道具信息!E80="","",[3]道具信息!E80)</f>
        <v>100</v>
      </c>
      <c r="F80" s="37">
        <f>IF([3]道具信息!F80="","",[3]道具信息!F80)</f>
        <v>1</v>
      </c>
      <c r="G80" s="37">
        <f>IF([3]道具信息!G80="","",[3]道具信息!G80)</f>
        <v>1</v>
      </c>
      <c r="H80" s="37">
        <f>IF([3]道具信息!H80="","",[3]道具信息!H80)</f>
        <v>1</v>
      </c>
      <c r="I80" s="37">
        <f>IF([3]道具信息!I80="","",[3]道具信息!I80)</f>
        <v>100</v>
      </c>
      <c r="J80" s="37">
        <f>IF([3]道具信息!J80="","",[3]道具信息!J80)</f>
        <v>100</v>
      </c>
      <c r="K80" s="37">
        <f>IF([3]道具信息!K80="","",[3]道具信息!K80)</f>
        <v>100</v>
      </c>
      <c r="L80" s="37" t="str">
        <f>IF([3]道具信息!L80="","",[3]道具信息!L80)</f>
        <v/>
      </c>
      <c r="M80" s="37" t="str">
        <f>IF([3]道具信息!M80="","",[3]道具信息!M80)</f>
        <v/>
      </c>
      <c r="N80" s="37"/>
      <c r="O80" s="37" t="str">
        <f>IF([3]道具信息!O80="","",[3]道具信息!O80)</f>
        <v/>
      </c>
      <c r="P80" s="37" t="str">
        <f>IF([3]道具信息!P80="","",[3]道具信息!P80)</f>
        <v/>
      </c>
      <c r="Q80" s="37" t="str">
        <f>IF([3]道具信息!Q80="","",[3]道具信息!Q80)</f>
        <v/>
      </c>
    </row>
    <row r="81" spans="3:17" x14ac:dyDescent="0.15">
      <c r="C81" s="37" t="str">
        <f>IF([3]道具信息!C81="","",[3]道具信息!C81)</f>
        <v/>
      </c>
      <c r="D81" s="37" t="str">
        <f>IF([3]道具信息!D81="","",[3]道具信息!D81)</f>
        <v>随机紫色阵法</v>
      </c>
      <c r="E81" s="37">
        <f>IF([3]道具信息!E81="","",[3]道具信息!E81)</f>
        <v>1000</v>
      </c>
      <c r="F81" s="37">
        <f>IF([3]道具信息!F81="","",[3]道具信息!F81)</f>
        <v>1</v>
      </c>
      <c r="G81" s="37">
        <f>IF([3]道具信息!G81="","",[3]道具信息!G81)</f>
        <v>0.75</v>
      </c>
      <c r="H81" s="37">
        <f>IF([3]道具信息!H81="","",[3]道具信息!H81)</f>
        <v>0.5</v>
      </c>
      <c r="I81" s="37">
        <f>IF([3]道具信息!I81="","",[3]道具信息!I81)</f>
        <v>1000</v>
      </c>
      <c r="J81" s="37">
        <f>IF([3]道具信息!J81="","",[3]道具信息!J81)</f>
        <v>750</v>
      </c>
      <c r="K81" s="37">
        <f>IF([3]道具信息!K81="","",[3]道具信息!K81)</f>
        <v>500</v>
      </c>
      <c r="L81" s="37" t="str">
        <f>IF([3]道具信息!L81="","",[3]道具信息!L81)</f>
        <v/>
      </c>
      <c r="M81" s="37" t="str">
        <f>IF([3]道具信息!M81="","",[3]道具信息!M81)</f>
        <v/>
      </c>
      <c r="N81" s="37"/>
      <c r="O81" s="37" t="str">
        <f>IF([3]道具信息!O81="","",[3]道具信息!O81)</f>
        <v/>
      </c>
      <c r="P81" s="37" t="str">
        <f>IF([3]道具信息!P81="","",[3]道具信息!P81)</f>
        <v/>
      </c>
      <c r="Q81" s="37" t="str">
        <f>IF([3]道具信息!Q81="","",[3]道具信息!Q81)</f>
        <v/>
      </c>
    </row>
    <row r="82" spans="3:17" x14ac:dyDescent="0.15">
      <c r="C82" s="37" t="str">
        <f>IF([3]道具信息!C82="","",[3]道具信息!C82)</f>
        <v/>
      </c>
      <c r="D82" s="37" t="str">
        <f>IF([3]道具信息!D82="","",[3]道具信息!D82)</f>
        <v>随机橙色阵法</v>
      </c>
      <c r="E82" s="37">
        <f>IF([3]道具信息!E82="","",[3]道具信息!E82)</f>
        <v>5000</v>
      </c>
      <c r="F82" s="37">
        <f>IF([3]道具信息!F82="","",[3]道具信息!F82)</f>
        <v>1</v>
      </c>
      <c r="G82" s="37">
        <f>IF([3]道具信息!G82="","",[3]道具信息!G82)</f>
        <v>0.8</v>
      </c>
      <c r="H82" s="37">
        <f>IF([3]道具信息!H82="","",[3]道具信息!H82)</f>
        <v>0.5</v>
      </c>
      <c r="I82" s="37">
        <f>IF([3]道具信息!I82="","",[3]道具信息!I82)</f>
        <v>5000</v>
      </c>
      <c r="J82" s="37">
        <f>IF([3]道具信息!J82="","",[3]道具信息!J82)</f>
        <v>4000</v>
      </c>
      <c r="K82" s="37">
        <f>IF([3]道具信息!K82="","",[3]道具信息!K82)</f>
        <v>2500</v>
      </c>
      <c r="L82" s="37" t="str">
        <f>IF([3]道具信息!L82="","",[3]道具信息!L82)</f>
        <v/>
      </c>
      <c r="M82" s="37" t="str">
        <f>IF([3]道具信息!M82="","",[3]道具信息!M82)</f>
        <v/>
      </c>
      <c r="N82" s="37"/>
      <c r="O82" s="37" t="str">
        <f>IF([3]道具信息!O82="","",[3]道具信息!O82)</f>
        <v/>
      </c>
      <c r="P82" s="37" t="str">
        <f>IF([3]道具信息!P82="","",[3]道具信息!P82)</f>
        <v/>
      </c>
      <c r="Q82" s="37" t="str">
        <f>IF([3]道具信息!Q82="","",[3]道具信息!Q82)</f>
        <v/>
      </c>
    </row>
    <row r="83" spans="3:17" x14ac:dyDescent="0.15">
      <c r="C83" s="37" t="str">
        <f>IF([3]道具信息!C83="","",[3]道具信息!C83)</f>
        <v/>
      </c>
      <c r="D83" s="37" t="str">
        <f>IF([3]道具信息!D83="","",[3]道具信息!D83)</f>
        <v>随机红色阵法</v>
      </c>
      <c r="E83" s="37">
        <f>IF([3]道具信息!E83="","",[3]道具信息!E83)</f>
        <v>25000</v>
      </c>
      <c r="F83" s="37">
        <f>IF([3]道具信息!F83="","",[3]道具信息!F83)</f>
        <v>2</v>
      </c>
      <c r="G83" s="37">
        <f>IF([3]道具信息!G83="","",[3]道具信息!G83)</f>
        <v>1.5</v>
      </c>
      <c r="H83" s="37">
        <f>IF([3]道具信息!H83="","",[3]道具信息!H83)</f>
        <v>1</v>
      </c>
      <c r="I83" s="37">
        <f>IF([3]道具信息!I83="","",[3]道具信息!I83)</f>
        <v>50000</v>
      </c>
      <c r="J83" s="37">
        <f>IF([3]道具信息!J83="","",[3]道具信息!J83)</f>
        <v>37500</v>
      </c>
      <c r="K83" s="37">
        <f>IF([3]道具信息!K83="","",[3]道具信息!K83)</f>
        <v>25000</v>
      </c>
      <c r="L83" s="37" t="str">
        <f>IF([3]道具信息!L83="","",[3]道具信息!L83)</f>
        <v/>
      </c>
      <c r="M83" s="37" t="str">
        <f>IF([3]道具信息!M83="","",[3]道具信息!M83)</f>
        <v/>
      </c>
      <c r="N83" s="37"/>
      <c r="O83" s="37" t="str">
        <f>IF([3]道具信息!O83="","",[3]道具信息!O83)</f>
        <v/>
      </c>
      <c r="P83" s="37" t="str">
        <f>IF([3]道具信息!P83="","",[3]道具信息!P83)</f>
        <v/>
      </c>
      <c r="Q83" s="37" t="str">
        <f>IF([3]道具信息!Q83="","",[3]道具信息!Q83)</f>
        <v/>
      </c>
    </row>
    <row r="84" spans="3:17" x14ac:dyDescent="0.15">
      <c r="C84" s="37" t="str">
        <f>IF([3]道具信息!C84="","",[3]道具信息!C84)</f>
        <v/>
      </c>
      <c r="D84" s="37" t="str">
        <f>IF([3]道具信息!D84="","",[3]道具信息!D84)</f>
        <v/>
      </c>
      <c r="E84" s="37" t="str">
        <f>IF([3]道具信息!E84="","",[3]道具信息!E84)</f>
        <v/>
      </c>
      <c r="F84" s="37">
        <f>IF([3]道具信息!F84="","",[3]道具信息!F84)</f>
        <v>1</v>
      </c>
      <c r="G84" s="37">
        <f>IF([3]道具信息!G84="","",[3]道具信息!G84)</f>
        <v>1</v>
      </c>
      <c r="H84" s="37">
        <f>IF([3]道具信息!H84="","",[3]道具信息!H84)</f>
        <v>1</v>
      </c>
      <c r="I84" s="37" t="str">
        <f>IF([3]道具信息!I84="","",[3]道具信息!I84)</f>
        <v/>
      </c>
      <c r="J84" s="37" t="str">
        <f>IF([3]道具信息!J84="","",[3]道具信息!J84)</f>
        <v/>
      </c>
      <c r="K84" s="37" t="str">
        <f>IF([3]道具信息!K84="","",[3]道具信息!K84)</f>
        <v/>
      </c>
      <c r="L84" s="37" t="str">
        <f>IF([3]道具信息!L84="","",[3]道具信息!L84)</f>
        <v/>
      </c>
      <c r="M84" s="37" t="str">
        <f>IF([3]道具信息!M84="","",[3]道具信息!M84)</f>
        <v/>
      </c>
      <c r="N84" s="37"/>
      <c r="O84" s="37" t="str">
        <f>IF([3]道具信息!O84="","",[3]道具信息!O84)</f>
        <v/>
      </c>
      <c r="P84" s="37" t="str">
        <f>IF([3]道具信息!P84="","",[3]道具信息!P84)</f>
        <v/>
      </c>
      <c r="Q84" s="37" t="str">
        <f>IF([3]道具信息!Q84="","",[3]道具信息!Q84)</f>
        <v/>
      </c>
    </row>
    <row r="85" spans="3:17" x14ac:dyDescent="0.15">
      <c r="C85" s="37" t="str">
        <f>IF([3]道具信息!C85="","",[3]道具信息!C85)</f>
        <v/>
      </c>
      <c r="D85" s="37" t="str">
        <f>IF([3]道具信息!D85="","",[3]道具信息!D85)</f>
        <v>随机紫色阵法碎片</v>
      </c>
      <c r="E85" s="37">
        <f>IF([3]道具信息!E85="","",[3]道具信息!E85)</f>
        <v>100</v>
      </c>
      <c r="F85" s="37">
        <f>IF([3]道具信息!F85="","",[3]道具信息!F85)</f>
        <v>1</v>
      </c>
      <c r="G85" s="37">
        <f>IF([3]道具信息!G85="","",[3]道具信息!G85)</f>
        <v>0.75</v>
      </c>
      <c r="H85" s="37">
        <f>IF([3]道具信息!H85="","",[3]道具信息!H85)</f>
        <v>0.5</v>
      </c>
      <c r="I85" s="37">
        <f>IF([3]道具信息!I85="","",[3]道具信息!I85)</f>
        <v>100</v>
      </c>
      <c r="J85" s="37">
        <f>IF([3]道具信息!J85="","",[3]道具信息!J85)</f>
        <v>75</v>
      </c>
      <c r="K85" s="37">
        <f>IF([3]道具信息!K85="","",[3]道具信息!K85)</f>
        <v>50</v>
      </c>
      <c r="L85" s="37" t="str">
        <f>IF([3]道具信息!L85="","",[3]道具信息!L85)</f>
        <v/>
      </c>
      <c r="M85" s="37" t="str">
        <f>IF([3]道具信息!M85="","",[3]道具信息!M85)</f>
        <v/>
      </c>
      <c r="N85" s="37"/>
      <c r="O85" s="37" t="str">
        <f>IF([3]道具信息!O85="","",[3]道具信息!O85)</f>
        <v/>
      </c>
      <c r="P85" s="37" t="str">
        <f>IF([3]道具信息!P85="","",[3]道具信息!P85)</f>
        <v/>
      </c>
      <c r="Q85" s="37" t="str">
        <f>IF([3]道具信息!Q85="","",[3]道具信息!Q85)</f>
        <v/>
      </c>
    </row>
    <row r="86" spans="3:17" x14ac:dyDescent="0.15">
      <c r="C86" s="37" t="str">
        <f>IF([3]道具信息!C86="","",[3]道具信息!C86)</f>
        <v/>
      </c>
      <c r="D86" s="37" t="str">
        <f>IF([3]道具信息!D86="","",[3]道具信息!D86)</f>
        <v>随机橙色阵法碎片</v>
      </c>
      <c r="E86" s="37">
        <f>IF([3]道具信息!E86="","",[3]道具信息!E86)</f>
        <v>166.66666666666666</v>
      </c>
      <c r="F86" s="37">
        <f>IF([3]道具信息!F86="","",[3]道具信息!F86)</f>
        <v>1</v>
      </c>
      <c r="G86" s="37">
        <f>IF([3]道具信息!G86="","",[3]道具信息!G86)</f>
        <v>0.8</v>
      </c>
      <c r="H86" s="37">
        <f>IF([3]道具信息!H86="","",[3]道具信息!H86)</f>
        <v>0.5</v>
      </c>
      <c r="I86" s="37">
        <f>IF([3]道具信息!I86="","",[3]道具信息!I86)</f>
        <v>166.66666666666666</v>
      </c>
      <c r="J86" s="37">
        <f>IF([3]道具信息!J86="","",[3]道具信息!J86)</f>
        <v>133.33333333333334</v>
      </c>
      <c r="K86" s="37">
        <f>IF([3]道具信息!K86="","",[3]道具信息!K86)</f>
        <v>83.333333333333329</v>
      </c>
      <c r="L86" s="37" t="str">
        <f>IF([3]道具信息!L86="","",[3]道具信息!L86)</f>
        <v/>
      </c>
      <c r="M86" s="37" t="str">
        <f>IF([3]道具信息!M86="","",[3]道具信息!M86)</f>
        <v/>
      </c>
      <c r="N86" s="37"/>
      <c r="O86" s="37" t="str">
        <f>IF([3]道具信息!O86="","",[3]道具信息!O86)</f>
        <v/>
      </c>
      <c r="P86" s="37" t="str">
        <f>IF([3]道具信息!P86="","",[3]道具信息!P86)</f>
        <v/>
      </c>
      <c r="Q86" s="37" t="str">
        <f>IF([3]道具信息!Q86="","",[3]道具信息!Q86)</f>
        <v/>
      </c>
    </row>
    <row r="87" spans="3:17" x14ac:dyDescent="0.15">
      <c r="C87" s="37" t="str">
        <f>IF([3]道具信息!C87="","",[3]道具信息!C87)</f>
        <v/>
      </c>
      <c r="D87" s="37" t="str">
        <f>IF([3]道具信息!D87="","",[3]道具信息!D87)</f>
        <v>随机红色阵法碎片</v>
      </c>
      <c r="E87" s="37">
        <f>IF([3]道具信息!E87="","",[3]道具信息!E87)</f>
        <v>500</v>
      </c>
      <c r="F87" s="37">
        <f>IF([3]道具信息!F87="","",[3]道具信息!F87)</f>
        <v>2</v>
      </c>
      <c r="G87" s="37">
        <f>IF([3]道具信息!G87="","",[3]道具信息!G87)</f>
        <v>1.5</v>
      </c>
      <c r="H87" s="37">
        <f>IF([3]道具信息!H87="","",[3]道具信息!H87)</f>
        <v>1</v>
      </c>
      <c r="I87" s="37">
        <f>IF([3]道具信息!I87="","",[3]道具信息!I87)</f>
        <v>1000</v>
      </c>
      <c r="J87" s="37">
        <f>IF([3]道具信息!J87="","",[3]道具信息!J87)</f>
        <v>750</v>
      </c>
      <c r="K87" s="37">
        <f>IF([3]道具信息!K87="","",[3]道具信息!K87)</f>
        <v>500</v>
      </c>
      <c r="L87" s="37" t="str">
        <f>IF([3]道具信息!L87="","",[3]道具信息!L87)</f>
        <v/>
      </c>
      <c r="M87" s="37" t="str">
        <f>IF([3]道具信息!M87="","",[3]道具信息!M87)</f>
        <v/>
      </c>
      <c r="N87" s="37"/>
      <c r="O87" s="37" t="str">
        <f>IF([3]道具信息!O87="","",[3]道具信息!O87)</f>
        <v/>
      </c>
      <c r="P87" s="37" t="str">
        <f>IF([3]道具信息!P87="","",[3]道具信息!P87)</f>
        <v/>
      </c>
      <c r="Q87" s="37" t="str">
        <f>IF([3]道具信息!Q87="","",[3]道具信息!Q87)</f>
        <v/>
      </c>
    </row>
    <row r="88" spans="3:17" x14ac:dyDescent="0.15">
      <c r="C88" s="37" t="str">
        <f>IF([3]道具信息!C88="","",[3]道具信息!C88)</f>
        <v/>
      </c>
      <c r="D88" s="37" t="str">
        <f>IF([3]道具信息!D88="","",[3]道具信息!D88)</f>
        <v/>
      </c>
      <c r="E88" s="37" t="str">
        <f>IF([3]道具信息!E88="","",[3]道具信息!E88)</f>
        <v/>
      </c>
      <c r="F88" s="37">
        <f>IF([3]道具信息!F88="","",[3]道具信息!F88)</f>
        <v>1</v>
      </c>
      <c r="G88" s="37">
        <f>IF([3]道具信息!G88="","",[3]道具信息!G88)</f>
        <v>1</v>
      </c>
      <c r="H88" s="37">
        <f>IF([3]道具信息!H88="","",[3]道具信息!H88)</f>
        <v>1</v>
      </c>
      <c r="I88" s="37" t="str">
        <f>IF([3]道具信息!I88="","",[3]道具信息!I88)</f>
        <v/>
      </c>
      <c r="J88" s="37" t="str">
        <f>IF([3]道具信息!J88="","",[3]道具信息!J88)</f>
        <v/>
      </c>
      <c r="K88" s="37" t="str">
        <f>IF([3]道具信息!K88="","",[3]道具信息!K88)</f>
        <v/>
      </c>
      <c r="L88" s="37" t="str">
        <f>IF([3]道具信息!L88="","",[3]道具信息!L88)</f>
        <v/>
      </c>
      <c r="M88" s="37" t="str">
        <f>IF([3]道具信息!M88="","",[3]道具信息!M88)</f>
        <v/>
      </c>
      <c r="N88" s="37"/>
      <c r="O88" s="37" t="str">
        <f>IF([3]道具信息!O88="","",[3]道具信息!O88)</f>
        <v/>
      </c>
      <c r="P88" s="37" t="str">
        <f>IF([3]道具信息!P88="","",[3]道具信息!P88)</f>
        <v/>
      </c>
      <c r="Q88" s="37" t="str">
        <f>IF([3]道具信息!Q88="","",[3]道具信息!Q88)</f>
        <v/>
      </c>
    </row>
    <row r="89" spans="3:17" x14ac:dyDescent="0.15">
      <c r="C89" s="37" t="str">
        <f>IF([3]道具信息!C89="","",[3]道具信息!C89)</f>
        <v/>
      </c>
      <c r="D89" s="37" t="str">
        <f>IF([3]道具信息!D89="","",[3]道具信息!D89)</f>
        <v>指定蓝色阵法</v>
      </c>
      <c r="E89" s="37">
        <f>IF([3]道具信息!E89="","",[3]道具信息!E89)</f>
        <v>100</v>
      </c>
      <c r="F89" s="37">
        <f>IF([3]道具信息!F89="","",[3]道具信息!F89)</f>
        <v>1</v>
      </c>
      <c r="G89" s="37">
        <f>IF([3]道具信息!G89="","",[3]道具信息!G89)</f>
        <v>1</v>
      </c>
      <c r="H89" s="37">
        <f>IF([3]道具信息!H89="","",[3]道具信息!H89)</f>
        <v>1</v>
      </c>
      <c r="I89" s="37">
        <f>IF([3]道具信息!I89="","",[3]道具信息!I89)</f>
        <v>100</v>
      </c>
      <c r="J89" s="37">
        <f>IF([3]道具信息!J89="","",[3]道具信息!J89)</f>
        <v>100</v>
      </c>
      <c r="K89" s="37">
        <f>IF([3]道具信息!K89="","",[3]道具信息!K89)</f>
        <v>100</v>
      </c>
      <c r="L89" s="37" t="str">
        <f>IF([3]道具信息!L89="","",[3]道具信息!L89)</f>
        <v/>
      </c>
      <c r="M89" s="37" t="str">
        <f>IF([3]道具信息!M89="","",[3]道具信息!M89)</f>
        <v/>
      </c>
      <c r="N89" s="37"/>
      <c r="O89" s="37" t="str">
        <f>IF([3]道具信息!O89="","",[3]道具信息!O89)</f>
        <v/>
      </c>
      <c r="P89" s="37" t="str">
        <f>IF([3]道具信息!P89="","",[3]道具信息!P89)</f>
        <v/>
      </c>
      <c r="Q89" s="37" t="str">
        <f>IF([3]道具信息!Q89="","",[3]道具信息!Q89)</f>
        <v/>
      </c>
    </row>
    <row r="90" spans="3:17" x14ac:dyDescent="0.15">
      <c r="C90" s="37" t="str">
        <f>IF([3]道具信息!C90="","",[3]道具信息!C90)</f>
        <v/>
      </c>
      <c r="D90" s="37" t="str">
        <f>IF([3]道具信息!D90="","",[3]道具信息!D90)</f>
        <v>指定紫色阵法</v>
      </c>
      <c r="E90" s="37">
        <f>IF([3]道具信息!E90="","",[3]道具信息!E90)</f>
        <v>1000</v>
      </c>
      <c r="F90" s="37">
        <f>IF([3]道具信息!F90="","",[3]道具信息!F90)</f>
        <v>1.5</v>
      </c>
      <c r="G90" s="37">
        <f>IF([3]道具信息!G90="","",[3]道具信息!G90)</f>
        <v>1</v>
      </c>
      <c r="H90" s="37">
        <f>IF([3]道具信息!H90="","",[3]道具信息!H90)</f>
        <v>1</v>
      </c>
      <c r="I90" s="37">
        <f>IF([3]道具信息!I90="","",[3]道具信息!I90)</f>
        <v>1500</v>
      </c>
      <c r="J90" s="37">
        <f>IF([3]道具信息!J90="","",[3]道具信息!J90)</f>
        <v>1000</v>
      </c>
      <c r="K90" s="37">
        <f>IF([3]道具信息!K90="","",[3]道具信息!K90)</f>
        <v>1000</v>
      </c>
      <c r="L90" s="37" t="str">
        <f>IF([3]道具信息!L90="","",[3]道具信息!L90)</f>
        <v/>
      </c>
      <c r="M90" s="37" t="str">
        <f>IF([3]道具信息!M90="","",[3]道具信息!M90)</f>
        <v/>
      </c>
      <c r="N90" s="37"/>
      <c r="O90" s="37" t="str">
        <f>IF([3]道具信息!O90="","",[3]道具信息!O90)</f>
        <v/>
      </c>
      <c r="P90" s="37" t="str">
        <f>IF([3]道具信息!P90="","",[3]道具信息!P90)</f>
        <v/>
      </c>
      <c r="Q90" s="37" t="str">
        <f>IF([3]道具信息!Q90="","",[3]道具信息!Q90)</f>
        <v/>
      </c>
    </row>
    <row r="91" spans="3:17" x14ac:dyDescent="0.15">
      <c r="C91" s="37" t="str">
        <f>IF([3]道具信息!C91="","",[3]道具信息!C91)</f>
        <v/>
      </c>
      <c r="D91" s="37" t="str">
        <f>IF([3]道具信息!D91="","",[3]道具信息!D91)</f>
        <v>指定橙色阵法</v>
      </c>
      <c r="E91" s="37">
        <f>IF([3]道具信息!E91="","",[3]道具信息!E91)</f>
        <v>5000</v>
      </c>
      <c r="F91" s="37">
        <f>IF([3]道具信息!F91="","",[3]道具信息!F91)</f>
        <v>2</v>
      </c>
      <c r="G91" s="37">
        <f>IF([3]道具信息!G91="","",[3]道具信息!G91)</f>
        <v>1.5</v>
      </c>
      <c r="H91" s="37">
        <f>IF([3]道具信息!H91="","",[3]道具信息!H91)</f>
        <v>1</v>
      </c>
      <c r="I91" s="37">
        <f>IF([3]道具信息!I91="","",[3]道具信息!I91)</f>
        <v>10000</v>
      </c>
      <c r="J91" s="37">
        <f>IF([3]道具信息!J91="","",[3]道具信息!J91)</f>
        <v>7500</v>
      </c>
      <c r="K91" s="37">
        <f>IF([3]道具信息!K91="","",[3]道具信息!K91)</f>
        <v>5000</v>
      </c>
      <c r="L91" s="37" t="str">
        <f>IF([3]道具信息!L91="","",[3]道具信息!L91)</f>
        <v/>
      </c>
      <c r="M91" s="37" t="str">
        <f>IF([3]道具信息!M91="","",[3]道具信息!M91)</f>
        <v/>
      </c>
      <c r="N91" s="37"/>
      <c r="O91" s="37" t="str">
        <f>IF([3]道具信息!O91="","",[3]道具信息!O91)</f>
        <v/>
      </c>
      <c r="P91" s="37" t="str">
        <f>IF([3]道具信息!P91="","",[3]道具信息!P91)</f>
        <v/>
      </c>
      <c r="Q91" s="37" t="str">
        <f>IF([3]道具信息!Q91="","",[3]道具信息!Q91)</f>
        <v/>
      </c>
    </row>
    <row r="92" spans="3:17" x14ac:dyDescent="0.15">
      <c r="C92" s="37" t="str">
        <f>IF([3]道具信息!C92="","",[3]道具信息!C92)</f>
        <v/>
      </c>
      <c r="D92" s="37" t="str">
        <f>IF([3]道具信息!D92="","",[3]道具信息!D92)</f>
        <v>指定红色阵法</v>
      </c>
      <c r="E92" s="37">
        <f>IF([3]道具信息!E92="","",[3]道具信息!E92)</f>
        <v>25000</v>
      </c>
      <c r="F92" s="37">
        <f>IF([3]道具信息!F92="","",[3]道具信息!F92)</f>
        <v>2</v>
      </c>
      <c r="G92" s="37">
        <f>IF([3]道具信息!G92="","",[3]道具信息!G92)</f>
        <v>1.5</v>
      </c>
      <c r="H92" s="37">
        <f>IF([3]道具信息!H92="","",[3]道具信息!H92)</f>
        <v>1</v>
      </c>
      <c r="I92" s="37">
        <f>IF([3]道具信息!I92="","",[3]道具信息!I92)</f>
        <v>50000</v>
      </c>
      <c r="J92" s="37">
        <f>IF([3]道具信息!J92="","",[3]道具信息!J92)</f>
        <v>37500</v>
      </c>
      <c r="K92" s="37">
        <f>IF([3]道具信息!K92="","",[3]道具信息!K92)</f>
        <v>25000</v>
      </c>
      <c r="L92" s="37" t="str">
        <f>IF([3]道具信息!L92="","",[3]道具信息!L92)</f>
        <v/>
      </c>
      <c r="M92" s="37" t="str">
        <f>IF([3]道具信息!M92="","",[3]道具信息!M92)</f>
        <v/>
      </c>
      <c r="N92" s="37"/>
      <c r="O92" s="37" t="str">
        <f>IF([3]道具信息!O92="","",[3]道具信息!O92)</f>
        <v/>
      </c>
      <c r="P92" s="37" t="str">
        <f>IF([3]道具信息!P92="","",[3]道具信息!P92)</f>
        <v/>
      </c>
      <c r="Q92" s="37" t="str">
        <f>IF([3]道具信息!Q92="","",[3]道具信息!Q92)</f>
        <v/>
      </c>
    </row>
    <row r="93" spans="3:17" x14ac:dyDescent="0.15">
      <c r="C93" s="37" t="str">
        <f>IF([3]道具信息!C93="","",[3]道具信息!C93)</f>
        <v/>
      </c>
      <c r="D93" s="37" t="str">
        <f>IF([3]道具信息!D93="","",[3]道具信息!D93)</f>
        <v/>
      </c>
      <c r="E93" s="37" t="str">
        <f>IF([3]道具信息!E93="","",[3]道具信息!E93)</f>
        <v/>
      </c>
      <c r="F93" s="37">
        <f>IF([3]道具信息!F93="","",[3]道具信息!F93)</f>
        <v>1</v>
      </c>
      <c r="G93" s="37">
        <f>IF([3]道具信息!G93="","",[3]道具信息!G93)</f>
        <v>1</v>
      </c>
      <c r="H93" s="37">
        <f>IF([3]道具信息!H93="","",[3]道具信息!H93)</f>
        <v>1</v>
      </c>
      <c r="I93" s="37" t="str">
        <f>IF([3]道具信息!I93="","",[3]道具信息!I93)</f>
        <v/>
      </c>
      <c r="J93" s="37" t="str">
        <f>IF([3]道具信息!J93="","",[3]道具信息!J93)</f>
        <v/>
      </c>
      <c r="K93" s="37" t="str">
        <f>IF([3]道具信息!K93="","",[3]道具信息!K93)</f>
        <v/>
      </c>
      <c r="L93" s="37" t="str">
        <f>IF([3]道具信息!L93="","",[3]道具信息!L93)</f>
        <v/>
      </c>
      <c r="M93" s="37" t="str">
        <f>IF([3]道具信息!M93="","",[3]道具信息!M93)</f>
        <v/>
      </c>
      <c r="N93" s="37"/>
      <c r="O93" s="37" t="str">
        <f>IF([3]道具信息!O93="","",[3]道具信息!O93)</f>
        <v/>
      </c>
      <c r="P93" s="37" t="str">
        <f>IF([3]道具信息!P93="","",[3]道具信息!P93)</f>
        <v/>
      </c>
      <c r="Q93" s="37" t="str">
        <f>IF([3]道具信息!Q93="","",[3]道具信息!Q93)</f>
        <v/>
      </c>
    </row>
    <row r="94" spans="3:17" x14ac:dyDescent="0.15">
      <c r="C94" s="37" t="str">
        <f>IF([3]道具信息!C94="","",[3]道具信息!C94)</f>
        <v/>
      </c>
      <c r="D94" s="37" t="str">
        <f>IF([3]道具信息!D94="","",[3]道具信息!D94)</f>
        <v>指定紫色阵法碎片</v>
      </c>
      <c r="E94" s="37">
        <f>IF([3]道具信息!E94="","",[3]道具信息!E94)</f>
        <v>100</v>
      </c>
      <c r="F94" s="37">
        <f>IF([3]道具信息!F94="","",[3]道具信息!F94)</f>
        <v>1.5</v>
      </c>
      <c r="G94" s="37">
        <f>IF([3]道具信息!G94="","",[3]道具信息!G94)</f>
        <v>1</v>
      </c>
      <c r="H94" s="37">
        <f>IF([3]道具信息!H94="","",[3]道具信息!H94)</f>
        <v>1</v>
      </c>
      <c r="I94" s="37">
        <f>IF([3]道具信息!I94="","",[3]道具信息!I94)</f>
        <v>150</v>
      </c>
      <c r="J94" s="37">
        <f>IF([3]道具信息!J94="","",[3]道具信息!J94)</f>
        <v>100</v>
      </c>
      <c r="K94" s="37">
        <f>IF([3]道具信息!K94="","",[3]道具信息!K94)</f>
        <v>100</v>
      </c>
      <c r="L94" s="37" t="str">
        <f>IF([3]道具信息!L94="","",[3]道具信息!L94)</f>
        <v/>
      </c>
      <c r="M94" s="37" t="str">
        <f>IF([3]道具信息!M94="","",[3]道具信息!M94)</f>
        <v/>
      </c>
      <c r="N94" s="37"/>
      <c r="O94" s="37" t="str">
        <f>IF([3]道具信息!O94="","",[3]道具信息!O94)</f>
        <v/>
      </c>
      <c r="P94" s="37" t="str">
        <f>IF([3]道具信息!P94="","",[3]道具信息!P94)</f>
        <v/>
      </c>
      <c r="Q94" s="37" t="str">
        <f>IF([3]道具信息!Q94="","",[3]道具信息!Q94)</f>
        <v/>
      </c>
    </row>
    <row r="95" spans="3:17" x14ac:dyDescent="0.15">
      <c r="C95" s="37" t="str">
        <f>IF([3]道具信息!C95="","",[3]道具信息!C95)</f>
        <v/>
      </c>
      <c r="D95" s="37" t="str">
        <f>IF([3]道具信息!D95="","",[3]道具信息!D95)</f>
        <v>指定橙色阵法碎片</v>
      </c>
      <c r="E95" s="37">
        <f>IF([3]道具信息!E95="","",[3]道具信息!E95)</f>
        <v>166.66666666666666</v>
      </c>
      <c r="F95" s="37">
        <f>IF([3]道具信息!F95="","",[3]道具信息!F95)</f>
        <v>2</v>
      </c>
      <c r="G95" s="37">
        <f>IF([3]道具信息!G95="","",[3]道具信息!G95)</f>
        <v>1.5</v>
      </c>
      <c r="H95" s="37">
        <f>IF([3]道具信息!H95="","",[3]道具信息!H95)</f>
        <v>1</v>
      </c>
      <c r="I95" s="37">
        <f>IF([3]道具信息!I95="","",[3]道具信息!I95)</f>
        <v>333.33333333333331</v>
      </c>
      <c r="J95" s="37">
        <f>IF([3]道具信息!J95="","",[3]道具信息!J95)</f>
        <v>250</v>
      </c>
      <c r="K95" s="37">
        <f>IF([3]道具信息!K95="","",[3]道具信息!K95)</f>
        <v>166.66666666666666</v>
      </c>
      <c r="L95" s="37" t="str">
        <f>IF([3]道具信息!L95="","",[3]道具信息!L95)</f>
        <v/>
      </c>
      <c r="M95" s="37" t="str">
        <f>IF([3]道具信息!M95="","",[3]道具信息!M95)</f>
        <v/>
      </c>
      <c r="N95" s="37"/>
      <c r="O95" s="37" t="str">
        <f>IF([3]道具信息!O95="","",[3]道具信息!O95)</f>
        <v/>
      </c>
      <c r="P95" s="37" t="str">
        <f>IF([3]道具信息!P95="","",[3]道具信息!P95)</f>
        <v/>
      </c>
      <c r="Q95" s="37" t="str">
        <f>IF([3]道具信息!Q95="","",[3]道具信息!Q95)</f>
        <v/>
      </c>
    </row>
    <row r="96" spans="3:17" x14ac:dyDescent="0.15">
      <c r="C96" s="37" t="str">
        <f>IF([3]道具信息!C96="","",[3]道具信息!C96)</f>
        <v/>
      </c>
      <c r="D96" s="37" t="str">
        <f>IF([3]道具信息!D96="","",[3]道具信息!D96)</f>
        <v>指定红色阵法碎片</v>
      </c>
      <c r="E96" s="37">
        <f>IF([3]道具信息!E96="","",[3]道具信息!E96)</f>
        <v>500</v>
      </c>
      <c r="F96" s="37">
        <f>IF([3]道具信息!F96="","",[3]道具信息!F96)</f>
        <v>2</v>
      </c>
      <c r="G96" s="37">
        <f>IF([3]道具信息!G96="","",[3]道具信息!G96)</f>
        <v>1.5</v>
      </c>
      <c r="H96" s="37">
        <f>IF([3]道具信息!H96="","",[3]道具信息!H96)</f>
        <v>1</v>
      </c>
      <c r="I96" s="37">
        <f>IF([3]道具信息!I96="","",[3]道具信息!I96)</f>
        <v>1000</v>
      </c>
      <c r="J96" s="37">
        <f>IF([3]道具信息!J96="","",[3]道具信息!J96)</f>
        <v>750</v>
      </c>
      <c r="K96" s="37">
        <f>IF([3]道具信息!K96="","",[3]道具信息!K96)</f>
        <v>500</v>
      </c>
      <c r="L96" s="37" t="str">
        <f>IF([3]道具信息!L96="","",[3]道具信息!L96)</f>
        <v/>
      </c>
      <c r="M96" s="37" t="str">
        <f>IF([3]道具信息!M96="","",[3]道具信息!M96)</f>
        <v/>
      </c>
      <c r="N96" s="37"/>
      <c r="O96" s="37" t="str">
        <f>IF([3]道具信息!O96="","",[3]道具信息!O96)</f>
        <v/>
      </c>
      <c r="P96" s="37" t="str">
        <f>IF([3]道具信息!P96="","",[3]道具信息!P96)</f>
        <v/>
      </c>
      <c r="Q96" s="37" t="str">
        <f>IF([3]道具信息!Q96="","",[3]道具信息!Q96)</f>
        <v/>
      </c>
    </row>
    <row r="97" spans="3:17" x14ac:dyDescent="0.15">
      <c r="C97" s="37" t="str">
        <f>IF([3]道具信息!C97="","",[3]道具信息!C97)</f>
        <v/>
      </c>
      <c r="D97" s="37" t="str">
        <f>IF([3]道具信息!D97="","",[3]道具信息!D97)</f>
        <v/>
      </c>
      <c r="E97" s="37" t="str">
        <f>IF([3]道具信息!E97="","",[3]道具信息!E97)</f>
        <v/>
      </c>
      <c r="F97" s="37">
        <f>IF([3]道具信息!F97="","",[3]道具信息!F97)</f>
        <v>1</v>
      </c>
      <c r="G97" s="37">
        <f>IF([3]道具信息!G97="","",[3]道具信息!G97)</f>
        <v>1</v>
      </c>
      <c r="H97" s="37">
        <f>IF([3]道具信息!H97="","",[3]道具信息!H97)</f>
        <v>1</v>
      </c>
      <c r="I97" s="37" t="str">
        <f>IF([3]道具信息!I97="","",[3]道具信息!I97)</f>
        <v/>
      </c>
      <c r="J97" s="37" t="str">
        <f>IF([3]道具信息!J97="","",[3]道具信息!J97)</f>
        <v/>
      </c>
      <c r="K97" s="37" t="str">
        <f>IF([3]道具信息!K97="","",[3]道具信息!K97)</f>
        <v/>
      </c>
      <c r="L97" s="37" t="str">
        <f>IF([3]道具信息!L97="","",[3]道具信息!L97)</f>
        <v/>
      </c>
      <c r="M97" s="37" t="str">
        <f>IF([3]道具信息!M97="","",[3]道具信息!M97)</f>
        <v/>
      </c>
      <c r="N97" s="37"/>
      <c r="O97" s="37" t="str">
        <f>IF([3]道具信息!O97="","",[3]道具信息!O97)</f>
        <v/>
      </c>
      <c r="P97" s="37" t="str">
        <f>IF([3]道具信息!P97="","",[3]道具信息!P97)</f>
        <v/>
      </c>
      <c r="Q97" s="37" t="str">
        <f>IF([3]道具信息!Q97="","",[3]道具信息!Q97)</f>
        <v/>
      </c>
    </row>
    <row r="98" spans="3:17" x14ac:dyDescent="0.15">
      <c r="C98" s="37" t="str">
        <f>IF([3]道具信息!C98="","",[3]道具信息!C98)</f>
        <v/>
      </c>
      <c r="D98" s="37" t="str">
        <f>IF([3]道具信息!D98="","",[3]道具信息!D98)</f>
        <v>阵意</v>
      </c>
      <c r="E98" s="37">
        <f>IF([3]道具信息!E98="","",[3]道具信息!E98)</f>
        <v>100</v>
      </c>
      <c r="F98" s="37">
        <f>IF([3]道具信息!F98="","",[3]道具信息!F98)</f>
        <v>1</v>
      </c>
      <c r="G98" s="37">
        <f>IF([3]道具信息!G98="","",[3]道具信息!G98)</f>
        <v>1</v>
      </c>
      <c r="H98" s="37">
        <f>IF([3]道具信息!H98="","",[3]道具信息!H98)</f>
        <v>1</v>
      </c>
      <c r="I98" s="37">
        <f>IF([3]道具信息!I98="","",[3]道具信息!I98)</f>
        <v>100</v>
      </c>
      <c r="J98" s="37">
        <f>IF([3]道具信息!J98="","",[3]道具信息!J98)</f>
        <v>100</v>
      </c>
      <c r="K98" s="37">
        <f>IF([3]道具信息!K98="","",[3]道具信息!K98)</f>
        <v>100</v>
      </c>
      <c r="L98" s="37" t="str">
        <f>IF([3]道具信息!L98="","",[3]道具信息!L98)</f>
        <v/>
      </c>
      <c r="M98" s="37" t="str">
        <f>IF([3]道具信息!M98="","",[3]道具信息!M98)</f>
        <v/>
      </c>
      <c r="N98" s="37"/>
      <c r="O98" s="37" t="str">
        <f>IF([3]道具信息!O98="","",[3]道具信息!O98)</f>
        <v/>
      </c>
      <c r="P98" s="37" t="str">
        <f>IF([3]道具信息!P98="","",[3]道具信息!P98)</f>
        <v/>
      </c>
      <c r="Q98" s="37" t="str">
        <f>IF([3]道具信息!Q98="","",[3]道具信息!Q98)</f>
        <v/>
      </c>
    </row>
    <row r="99" spans="3:17" x14ac:dyDescent="0.15">
      <c r="C99" s="37" t="str">
        <f>IF([3]道具信息!C99="","",[3]道具信息!C99)</f>
        <v/>
      </c>
      <c r="D99" s="37" t="str">
        <f>IF([3]道具信息!D99="","",[3]道具信息!D99)</f>
        <v>阵法心得</v>
      </c>
      <c r="E99" s="37">
        <f>IF([3]道具信息!E99="","",[3]道具信息!E99)</f>
        <v>100</v>
      </c>
      <c r="F99" s="37">
        <f>IF([3]道具信息!F99="","",[3]道具信息!F99)</f>
        <v>1</v>
      </c>
      <c r="G99" s="37">
        <f>IF([3]道具信息!G99="","",[3]道具信息!G99)</f>
        <v>1</v>
      </c>
      <c r="H99" s="37">
        <f>IF([3]道具信息!H99="","",[3]道具信息!H99)</f>
        <v>1</v>
      </c>
      <c r="I99" s="37">
        <f>IF([3]道具信息!I99="","",[3]道具信息!I99)</f>
        <v>100</v>
      </c>
      <c r="J99" s="37">
        <f>IF([3]道具信息!J99="","",[3]道具信息!J99)</f>
        <v>100</v>
      </c>
      <c r="K99" s="37">
        <f>IF([3]道具信息!K99="","",[3]道具信息!K99)</f>
        <v>100</v>
      </c>
      <c r="L99" s="37" t="str">
        <f>IF([3]道具信息!L99="","",[3]道具信息!L99)</f>
        <v/>
      </c>
      <c r="M99" s="37" t="str">
        <f>IF([3]道具信息!M99="","",[3]道具信息!M99)</f>
        <v/>
      </c>
      <c r="N99" s="37"/>
      <c r="O99" s="37" t="str">
        <f>IF([3]道具信息!O99="","",[3]道具信息!O99)</f>
        <v/>
      </c>
      <c r="P99" s="37" t="str">
        <f>IF([3]道具信息!P99="","",[3]道具信息!P99)</f>
        <v/>
      </c>
      <c r="Q99" s="37" t="str">
        <f>IF([3]道具信息!Q99="","",[3]道具信息!Q99)</f>
        <v/>
      </c>
    </row>
    <row r="100" spans="3:17" x14ac:dyDescent="0.15">
      <c r="C100" s="37" t="str">
        <f>IF([3]道具信息!C100="","",[3]道具信息!C100)</f>
        <v/>
      </c>
      <c r="D100" s="37" t="str">
        <f>IF([3]道具信息!D100="","",[3]道具信息!D100)</f>
        <v>1级阵旗</v>
      </c>
      <c r="E100" s="37">
        <f>IF([3]道具信息!E100="","",[3]道具信息!E100)</f>
        <v>11</v>
      </c>
      <c r="F100" s="37">
        <f>IF([3]道具信息!F100="","",[3]道具信息!F100)</f>
        <v>1</v>
      </c>
      <c r="G100" s="37">
        <f>IF([3]道具信息!G100="","",[3]道具信息!G100)</f>
        <v>1</v>
      </c>
      <c r="H100" s="37">
        <f>IF([3]道具信息!H100="","",[3]道具信息!H100)</f>
        <v>1</v>
      </c>
      <c r="I100" s="37">
        <f>IF([3]道具信息!I100="","",[3]道具信息!I100)</f>
        <v>11</v>
      </c>
      <c r="J100" s="37">
        <f>IF([3]道具信息!J100="","",[3]道具信息!J100)</f>
        <v>11</v>
      </c>
      <c r="K100" s="37">
        <f>IF([3]道具信息!K100="","",[3]道具信息!K100)</f>
        <v>11</v>
      </c>
      <c r="L100" s="37" t="str">
        <f>IF([3]道具信息!L100="","",[3]道具信息!L100)</f>
        <v/>
      </c>
      <c r="M100" s="37" t="str">
        <f>IF([3]道具信息!M100="","",[3]道具信息!M100)</f>
        <v/>
      </c>
      <c r="N100" s="37"/>
      <c r="O100" s="37" t="str">
        <f>IF([3]道具信息!O100="","",[3]道具信息!O100)</f>
        <v/>
      </c>
      <c r="P100" s="37" t="str">
        <f>IF([3]道具信息!P100="","",[3]道具信息!P100)</f>
        <v/>
      </c>
      <c r="Q100" s="37" t="str">
        <f>IF([3]道具信息!Q100="","",[3]道具信息!Q100)</f>
        <v/>
      </c>
    </row>
    <row r="101" spans="3:17" x14ac:dyDescent="0.15">
      <c r="C101" s="37" t="str">
        <f>IF([3]道具信息!C101="","",[3]道具信息!C101)</f>
        <v/>
      </c>
      <c r="D101" s="37" t="str">
        <f>IF([3]道具信息!D101="","",[3]道具信息!D101)</f>
        <v>2级阵旗</v>
      </c>
      <c r="E101" s="37">
        <f>IF([3]道具信息!E101="","",[3]道具信息!E101)</f>
        <v>143</v>
      </c>
      <c r="F101" s="37">
        <f>IF([3]道具信息!F101="","",[3]道具信息!F101)</f>
        <v>1</v>
      </c>
      <c r="G101" s="37">
        <f>IF([3]道具信息!G101="","",[3]道具信息!G101)</f>
        <v>1</v>
      </c>
      <c r="H101" s="37">
        <f>IF([3]道具信息!H101="","",[3]道具信息!H101)</f>
        <v>1</v>
      </c>
      <c r="I101" s="37">
        <f>IF([3]道具信息!I101="","",[3]道具信息!I101)</f>
        <v>143</v>
      </c>
      <c r="J101" s="37">
        <f>IF([3]道具信息!J101="","",[3]道具信息!J101)</f>
        <v>143</v>
      </c>
      <c r="K101" s="37">
        <f>IF([3]道具信息!K101="","",[3]道具信息!K101)</f>
        <v>143</v>
      </c>
      <c r="L101" s="37" t="str">
        <f>IF([3]道具信息!L101="","",[3]道具信息!L101)</f>
        <v/>
      </c>
      <c r="M101" s="37" t="str">
        <f>IF([3]道具信息!M101="","",[3]道具信息!M101)</f>
        <v/>
      </c>
      <c r="N101" s="37"/>
      <c r="O101" s="37" t="str">
        <f>IF([3]道具信息!O101="","",[3]道具信息!O101)</f>
        <v/>
      </c>
      <c r="P101" s="37" t="str">
        <f>IF([3]道具信息!P101="","",[3]道具信息!P101)</f>
        <v/>
      </c>
      <c r="Q101" s="37" t="str">
        <f>IF([3]道具信息!Q101="","",[3]道具信息!Q101)</f>
        <v/>
      </c>
    </row>
    <row r="102" spans="3:17" x14ac:dyDescent="0.15">
      <c r="C102" s="37" t="str">
        <f>IF([3]道具信息!C102="","",[3]道具信息!C102)</f>
        <v/>
      </c>
      <c r="D102" s="37" t="str">
        <f>IF([3]道具信息!D102="","",[3]道具信息!D102)</f>
        <v>3级阵旗</v>
      </c>
      <c r="E102" s="37">
        <f>IF([3]道具信息!E102="","",[3]道具信息!E102)</f>
        <v>935</v>
      </c>
      <c r="F102" s="37">
        <f>IF([3]道具信息!F102="","",[3]道具信息!F102)</f>
        <v>1</v>
      </c>
      <c r="G102" s="37">
        <f>IF([3]道具信息!G102="","",[3]道具信息!G102)</f>
        <v>1</v>
      </c>
      <c r="H102" s="37">
        <f>IF([3]道具信息!H102="","",[3]道具信息!H102)</f>
        <v>1</v>
      </c>
      <c r="I102" s="37">
        <f>IF([3]道具信息!I102="","",[3]道具信息!I102)</f>
        <v>935</v>
      </c>
      <c r="J102" s="37">
        <f>IF([3]道具信息!J102="","",[3]道具信息!J102)</f>
        <v>935</v>
      </c>
      <c r="K102" s="37">
        <f>IF([3]道具信息!K102="","",[3]道具信息!K102)</f>
        <v>935</v>
      </c>
      <c r="L102" s="37" t="str">
        <f>IF([3]道具信息!L102="","",[3]道具信息!L102)</f>
        <v/>
      </c>
      <c r="M102" s="37" t="str">
        <f>IF([3]道具信息!M102="","",[3]道具信息!M102)</f>
        <v/>
      </c>
      <c r="N102" s="37"/>
      <c r="O102" s="37" t="str">
        <f>IF([3]道具信息!O102="","",[3]道具信息!O102)</f>
        <v/>
      </c>
      <c r="P102" s="37" t="str">
        <f>IF([3]道具信息!P102="","",[3]道具信息!P102)</f>
        <v/>
      </c>
      <c r="Q102" s="37" t="str">
        <f>IF([3]道具信息!Q102="","",[3]道具信息!Q102)</f>
        <v/>
      </c>
    </row>
    <row r="103" spans="3:17" x14ac:dyDescent="0.15">
      <c r="C103" s="37" t="str">
        <f>IF([3]道具信息!C103="","",[3]道具信息!C103)</f>
        <v/>
      </c>
      <c r="D103" s="37" t="str">
        <f>IF([3]道具信息!D103="","",[3]道具信息!D103)</f>
        <v>4级阵旗</v>
      </c>
      <c r="E103" s="37">
        <f>IF([3]道具信息!E103="","",[3]道具信息!E103)</f>
        <v>4895</v>
      </c>
      <c r="F103" s="37">
        <f>IF([3]道具信息!F103="","",[3]道具信息!F103)</f>
        <v>1</v>
      </c>
      <c r="G103" s="37">
        <f>IF([3]道具信息!G103="","",[3]道具信息!G103)</f>
        <v>1</v>
      </c>
      <c r="H103" s="37">
        <f>IF([3]道具信息!H103="","",[3]道具信息!H103)</f>
        <v>1</v>
      </c>
      <c r="I103" s="37">
        <f>IF([3]道具信息!I103="","",[3]道具信息!I103)</f>
        <v>4895</v>
      </c>
      <c r="J103" s="37">
        <f>IF([3]道具信息!J103="","",[3]道具信息!J103)</f>
        <v>4895</v>
      </c>
      <c r="K103" s="37">
        <f>IF([3]道具信息!K103="","",[3]道具信息!K103)</f>
        <v>4895</v>
      </c>
      <c r="L103" s="37" t="str">
        <f>IF([3]道具信息!L103="","",[3]道具信息!L103)</f>
        <v/>
      </c>
      <c r="M103" s="37" t="str">
        <f>IF([3]道具信息!M103="","",[3]道具信息!M103)</f>
        <v/>
      </c>
      <c r="N103" s="37"/>
      <c r="O103" s="37" t="str">
        <f>IF([3]道具信息!O103="","",[3]道具信息!O103)</f>
        <v/>
      </c>
      <c r="P103" s="37" t="str">
        <f>IF([3]道具信息!P103="","",[3]道具信息!P103)</f>
        <v/>
      </c>
      <c r="Q103" s="37" t="str">
        <f>IF([3]道具信息!Q103="","",[3]道具信息!Q103)</f>
        <v/>
      </c>
    </row>
    <row r="104" spans="3:17" x14ac:dyDescent="0.15">
      <c r="C104" s="37" t="str">
        <f>IF([3]道具信息!C104="","",[3]道具信息!C104)</f>
        <v/>
      </c>
      <c r="D104" s="37" t="str">
        <f>IF([3]道具信息!D104="","",[3]道具信息!D104)</f>
        <v>5级阵旗</v>
      </c>
      <c r="E104" s="37">
        <f>IF([3]道具信息!E104="","",[3]道具信息!E104)</f>
        <v>22495</v>
      </c>
      <c r="F104" s="37">
        <f>IF([3]道具信息!F104="","",[3]道具信息!F104)</f>
        <v>1</v>
      </c>
      <c r="G104" s="37">
        <f>IF([3]道具信息!G104="","",[3]道具信息!G104)</f>
        <v>1</v>
      </c>
      <c r="H104" s="37">
        <f>IF([3]道具信息!H104="","",[3]道具信息!H104)</f>
        <v>1</v>
      </c>
      <c r="I104" s="37">
        <f>IF([3]道具信息!I104="","",[3]道具信息!I104)</f>
        <v>22495</v>
      </c>
      <c r="J104" s="37">
        <f>IF([3]道具信息!J104="","",[3]道具信息!J104)</f>
        <v>22495</v>
      </c>
      <c r="K104" s="37">
        <f>IF([3]道具信息!K104="","",[3]道具信息!K104)</f>
        <v>22495</v>
      </c>
      <c r="L104" s="37" t="str">
        <f>IF([3]道具信息!L104="","",[3]道具信息!L104)</f>
        <v/>
      </c>
      <c r="M104" s="37" t="str">
        <f>IF([3]道具信息!M104="","",[3]道具信息!M104)</f>
        <v/>
      </c>
      <c r="N104" s="37"/>
      <c r="O104" s="37" t="str">
        <f>IF([3]道具信息!O104="","",[3]道具信息!O104)</f>
        <v/>
      </c>
      <c r="P104" s="37" t="str">
        <f>IF([3]道具信息!P104="","",[3]道具信息!P104)</f>
        <v/>
      </c>
      <c r="Q104" s="37" t="str">
        <f>IF([3]道具信息!Q104="","",[3]道具信息!Q104)</f>
        <v/>
      </c>
    </row>
    <row r="105" spans="3:17" x14ac:dyDescent="0.15">
      <c r="C105" s="37" t="str">
        <f>IF([3]道具信息!C105="","",[3]道具信息!C105)</f>
        <v/>
      </c>
      <c r="D105" s="37" t="str">
        <f>IF([3]道具信息!D105="","",[3]道具信息!D105)</f>
        <v>6级阵旗</v>
      </c>
      <c r="E105" s="37">
        <f>IF([3]道具信息!E105="","",[3]道具信息!E105)</f>
        <v>57695</v>
      </c>
      <c r="F105" s="37">
        <f>IF([3]道具信息!F105="","",[3]道具信息!F105)</f>
        <v>1</v>
      </c>
      <c r="G105" s="37">
        <f>IF([3]道具信息!G105="","",[3]道具信息!G105)</f>
        <v>1</v>
      </c>
      <c r="H105" s="37">
        <f>IF([3]道具信息!H105="","",[3]道具信息!H105)</f>
        <v>1</v>
      </c>
      <c r="I105" s="37">
        <f>IF([3]道具信息!I105="","",[3]道具信息!I105)</f>
        <v>57695</v>
      </c>
      <c r="J105" s="37">
        <f>IF([3]道具信息!J105="","",[3]道具信息!J105)</f>
        <v>57695</v>
      </c>
      <c r="K105" s="37">
        <f>IF([3]道具信息!K105="","",[3]道具信息!K105)</f>
        <v>57695</v>
      </c>
      <c r="L105" s="37" t="str">
        <f>IF([3]道具信息!L105="","",[3]道具信息!L105)</f>
        <v/>
      </c>
      <c r="M105" s="37" t="str">
        <f>IF([3]道具信息!M105="","",[3]道具信息!M105)</f>
        <v/>
      </c>
      <c r="N105" s="37"/>
      <c r="O105" s="37" t="str">
        <f>IF([3]道具信息!O105="","",[3]道具信息!O105)</f>
        <v/>
      </c>
      <c r="P105" s="37" t="str">
        <f>IF([3]道具信息!P105="","",[3]道具信息!P105)</f>
        <v/>
      </c>
      <c r="Q105" s="37" t="str">
        <f>IF([3]道具信息!Q105="","",[3]道具信息!Q105)</f>
        <v/>
      </c>
    </row>
    <row r="106" spans="3:17" x14ac:dyDescent="0.15">
      <c r="C106" s="37" t="str">
        <f>IF([3]道具信息!C106="","",[3]道具信息!C106)</f>
        <v/>
      </c>
      <c r="D106" s="37" t="str">
        <f>IF([3]道具信息!D106="","",[3]道具信息!D106)</f>
        <v>7级阵旗</v>
      </c>
      <c r="E106" s="37">
        <f>IF([3]道具信息!E106="","",[3]道具信息!E106)</f>
        <v>114895</v>
      </c>
      <c r="F106" s="37">
        <f>IF([3]道具信息!F106="","",[3]道具信息!F106)</f>
        <v>1</v>
      </c>
      <c r="G106" s="37">
        <f>IF([3]道具信息!G106="","",[3]道具信息!G106)</f>
        <v>1</v>
      </c>
      <c r="H106" s="37">
        <f>IF([3]道具信息!H106="","",[3]道具信息!H106)</f>
        <v>1</v>
      </c>
      <c r="I106" s="37">
        <f>IF([3]道具信息!I106="","",[3]道具信息!I106)</f>
        <v>114895</v>
      </c>
      <c r="J106" s="37">
        <f>IF([3]道具信息!J106="","",[3]道具信息!J106)</f>
        <v>114895</v>
      </c>
      <c r="K106" s="37">
        <f>IF([3]道具信息!K106="","",[3]道具信息!K106)</f>
        <v>114895</v>
      </c>
      <c r="L106" s="37" t="str">
        <f>IF([3]道具信息!L106="","",[3]道具信息!L106)</f>
        <v/>
      </c>
      <c r="M106" s="37" t="str">
        <f>IF([3]道具信息!M106="","",[3]道具信息!M106)</f>
        <v/>
      </c>
      <c r="N106" s="37"/>
      <c r="O106" s="37" t="str">
        <f>IF([3]道具信息!O106="","",[3]道具信息!O106)</f>
        <v/>
      </c>
      <c r="P106" s="37" t="str">
        <f>IF([3]道具信息!P106="","",[3]道具信息!P106)</f>
        <v/>
      </c>
      <c r="Q106" s="37" t="str">
        <f>IF([3]道具信息!Q106="","",[3]道具信息!Q106)</f>
        <v/>
      </c>
    </row>
    <row r="107" spans="3:17" x14ac:dyDescent="0.15">
      <c r="C107" s="37" t="str">
        <f>IF([3]道具信息!C107="","",[3]道具信息!C107)</f>
        <v/>
      </c>
      <c r="D107" s="37" t="str">
        <f>IF([3]道具信息!D107="","",[3]道具信息!D107)</f>
        <v>8级阵旗</v>
      </c>
      <c r="E107" s="37">
        <f>IF([3]道具信息!E107="","",[3]道具信息!E107)</f>
        <v>200695</v>
      </c>
      <c r="F107" s="37">
        <f>IF([3]道具信息!F107="","",[3]道具信息!F107)</f>
        <v>1</v>
      </c>
      <c r="G107" s="37">
        <f>IF([3]道具信息!G107="","",[3]道具信息!G107)</f>
        <v>1</v>
      </c>
      <c r="H107" s="37">
        <f>IF([3]道具信息!H107="","",[3]道具信息!H107)</f>
        <v>1</v>
      </c>
      <c r="I107" s="37">
        <f>IF([3]道具信息!I107="","",[3]道具信息!I107)</f>
        <v>200695</v>
      </c>
      <c r="J107" s="37">
        <f>IF([3]道具信息!J107="","",[3]道具信息!J107)</f>
        <v>200695</v>
      </c>
      <c r="K107" s="37">
        <f>IF([3]道具信息!K107="","",[3]道具信息!K107)</f>
        <v>200695</v>
      </c>
      <c r="L107" s="37" t="str">
        <f>IF([3]道具信息!L107="","",[3]道具信息!L107)</f>
        <v/>
      </c>
      <c r="M107" s="37" t="str">
        <f>IF([3]道具信息!M107="","",[3]道具信息!M107)</f>
        <v/>
      </c>
      <c r="N107" s="37"/>
      <c r="O107" s="37" t="str">
        <f>IF([3]道具信息!O107="","",[3]道具信息!O107)</f>
        <v/>
      </c>
      <c r="P107" s="37" t="str">
        <f>IF([3]道具信息!P107="","",[3]道具信息!P107)</f>
        <v/>
      </c>
      <c r="Q107" s="37" t="str">
        <f>IF([3]道具信息!Q107="","",[3]道具信息!Q107)</f>
        <v/>
      </c>
    </row>
    <row r="108" spans="3:17" x14ac:dyDescent="0.15">
      <c r="C108" s="37" t="str">
        <f>IF([3]道具信息!C108="","",[3]道具信息!C108)</f>
        <v/>
      </c>
      <c r="D108" s="37" t="str">
        <f>IF([3]道具信息!D108="","",[3]道具信息!D108)</f>
        <v>9级阵旗</v>
      </c>
      <c r="E108" s="37">
        <f>IF([3]道具信息!E108="","",[3]道具信息!E108)</f>
        <v>321695</v>
      </c>
      <c r="F108" s="37">
        <f>IF([3]道具信息!F108="","",[3]道具信息!F108)</f>
        <v>1</v>
      </c>
      <c r="G108" s="37">
        <f>IF([3]道具信息!G108="","",[3]道具信息!G108)</f>
        <v>1</v>
      </c>
      <c r="H108" s="37">
        <f>IF([3]道具信息!H108="","",[3]道具信息!H108)</f>
        <v>1</v>
      </c>
      <c r="I108" s="37">
        <f>IF([3]道具信息!I108="","",[3]道具信息!I108)</f>
        <v>321695</v>
      </c>
      <c r="J108" s="37">
        <f>IF([3]道具信息!J108="","",[3]道具信息!J108)</f>
        <v>321695</v>
      </c>
      <c r="K108" s="37">
        <f>IF([3]道具信息!K108="","",[3]道具信息!K108)</f>
        <v>321695</v>
      </c>
      <c r="L108" s="37" t="str">
        <f>IF([3]道具信息!L108="","",[3]道具信息!L108)</f>
        <v/>
      </c>
      <c r="M108" s="37" t="str">
        <f>IF([3]道具信息!M108="","",[3]道具信息!M108)</f>
        <v/>
      </c>
      <c r="N108" s="37"/>
      <c r="O108" s="37" t="str">
        <f>IF([3]道具信息!O108="","",[3]道具信息!O108)</f>
        <v/>
      </c>
      <c r="P108" s="37" t="str">
        <f>IF([3]道具信息!P108="","",[3]道具信息!P108)</f>
        <v/>
      </c>
      <c r="Q108" s="37" t="str">
        <f>IF([3]道具信息!Q108="","",[3]道具信息!Q108)</f>
        <v/>
      </c>
    </row>
    <row r="109" spans="3:17" x14ac:dyDescent="0.15">
      <c r="C109" s="37" t="str">
        <f>IF([3]道具信息!C109="","",[3]道具信息!C109)</f>
        <v/>
      </c>
      <c r="D109" s="37" t="str">
        <f>IF([3]道具信息!D109="","",[3]道具信息!D109)</f>
        <v/>
      </c>
      <c r="E109" s="37" t="str">
        <f>IF([3]道具信息!E109="","",[3]道具信息!E109)</f>
        <v/>
      </c>
      <c r="F109" s="37" t="str">
        <f>IF([3]道具信息!F109="","",[3]道具信息!F109)</f>
        <v/>
      </c>
      <c r="G109" s="37" t="str">
        <f>IF([3]道具信息!G109="","",[3]道具信息!G109)</f>
        <v/>
      </c>
      <c r="H109" s="37" t="str">
        <f>IF([3]道具信息!H109="","",[3]道具信息!H109)</f>
        <v/>
      </c>
      <c r="I109" s="37" t="str">
        <f>IF([3]道具信息!I109="","",[3]道具信息!I109)</f>
        <v/>
      </c>
      <c r="J109" s="37" t="str">
        <f>IF([3]道具信息!J109="","",[3]道具信息!J109)</f>
        <v/>
      </c>
      <c r="K109" s="37" t="str">
        <f>IF([3]道具信息!K109="","",[3]道具信息!K109)</f>
        <v/>
      </c>
      <c r="L109" s="37" t="str">
        <f>IF([3]道具信息!L109="","",[3]道具信息!L109)</f>
        <v/>
      </c>
      <c r="M109" s="37" t="str">
        <f>IF([3]道具信息!M109="","",[3]道具信息!M109)</f>
        <v/>
      </c>
      <c r="N109" s="37"/>
      <c r="O109" s="37" t="str">
        <f>IF([3]道具信息!O109="","",[3]道具信息!O109)</f>
        <v/>
      </c>
      <c r="P109" s="37" t="str">
        <f>IF([3]道具信息!P109="","",[3]道具信息!P109)</f>
        <v/>
      </c>
      <c r="Q109" s="37" t="str">
        <f>IF([3]道具信息!Q109="","",[3]道具信息!Q109)</f>
        <v/>
      </c>
    </row>
    <row r="110" spans="3:17" x14ac:dyDescent="0.15">
      <c r="C110" s="37" t="str">
        <f>IF([3]道具信息!C110="","",[3]道具信息!C110)</f>
        <v/>
      </c>
      <c r="D110" s="37" t="str">
        <f>IF([3]道具信息!D110="","",[3]道具信息!D110)</f>
        <v/>
      </c>
      <c r="E110" s="37" t="str">
        <f>IF([3]道具信息!E110="","",[3]道具信息!E110)</f>
        <v/>
      </c>
      <c r="F110" s="37" t="str">
        <f>IF([3]道具信息!F110="","",[3]道具信息!F110)</f>
        <v/>
      </c>
      <c r="G110" s="37" t="str">
        <f>IF([3]道具信息!G110="","",[3]道具信息!G110)</f>
        <v/>
      </c>
      <c r="H110" s="37" t="str">
        <f>IF([3]道具信息!H110="","",[3]道具信息!H110)</f>
        <v/>
      </c>
      <c r="I110" s="37" t="str">
        <f>IF([3]道具信息!I110="","",[3]道具信息!I110)</f>
        <v/>
      </c>
      <c r="J110" s="37" t="str">
        <f>IF([3]道具信息!J110="","",[3]道具信息!J110)</f>
        <v/>
      </c>
      <c r="K110" s="37" t="str">
        <f>IF([3]道具信息!K110="","",[3]道具信息!K110)</f>
        <v/>
      </c>
      <c r="L110" s="37" t="str">
        <f>IF([3]道具信息!L110="","",[3]道具信息!L110)</f>
        <v/>
      </c>
      <c r="M110" s="37" t="str">
        <f>IF([3]道具信息!M110="","",[3]道具信息!M110)</f>
        <v/>
      </c>
      <c r="N110" s="37"/>
      <c r="O110" s="37" t="str">
        <f>IF([3]道具信息!O110="","",[3]道具信息!O110)</f>
        <v/>
      </c>
      <c r="P110" s="37" t="str">
        <f>IF([3]道具信息!P110="","",[3]道具信息!P110)</f>
        <v/>
      </c>
      <c r="Q110" s="37" t="str">
        <f>IF([3]道具信息!Q110="","",[3]道具信息!Q110)</f>
        <v/>
      </c>
    </row>
    <row r="111" spans="3:17" x14ac:dyDescent="0.15">
      <c r="C111" s="37" t="str">
        <f>IF([3]道具信息!C111="","",[3]道具信息!C111)</f>
        <v/>
      </c>
      <c r="D111" s="37" t="str">
        <f>IF([3]道具信息!D111="","",[3]道具信息!D111)</f>
        <v/>
      </c>
      <c r="E111" s="37" t="str">
        <f>IF([3]道具信息!E111="","",[3]道具信息!E111)</f>
        <v/>
      </c>
      <c r="F111" s="37" t="str">
        <f>IF([3]道具信息!F111="","",[3]道具信息!F111)</f>
        <v/>
      </c>
      <c r="G111" s="37" t="str">
        <f>IF([3]道具信息!G111="","",[3]道具信息!G111)</f>
        <v/>
      </c>
      <c r="H111" s="37" t="str">
        <f>IF([3]道具信息!H111="","",[3]道具信息!H111)</f>
        <v/>
      </c>
      <c r="I111" s="37" t="str">
        <f>IF([3]道具信息!I111="","",[3]道具信息!I111)</f>
        <v/>
      </c>
      <c r="J111" s="37" t="str">
        <f>IF([3]道具信息!J111="","",[3]道具信息!J111)</f>
        <v/>
      </c>
      <c r="K111" s="37" t="str">
        <f>IF([3]道具信息!K111="","",[3]道具信息!K111)</f>
        <v/>
      </c>
      <c r="L111" s="37" t="str">
        <f>IF([3]道具信息!L111="","",[3]道具信息!L111)</f>
        <v/>
      </c>
      <c r="M111" s="37" t="str">
        <f>IF([3]道具信息!M111="","",[3]道具信息!M111)</f>
        <v/>
      </c>
      <c r="N111" s="37"/>
      <c r="O111" s="37" t="str">
        <f>IF([3]道具信息!O111="","",[3]道具信息!O111)</f>
        <v/>
      </c>
      <c r="P111" s="37" t="str">
        <f>IF([3]道具信息!P111="","",[3]道具信息!P111)</f>
        <v/>
      </c>
      <c r="Q111" s="37" t="str">
        <f>IF([3]道具信息!Q111="","",[3]道具信息!Q111)</f>
        <v/>
      </c>
    </row>
    <row r="112" spans="3:17" x14ac:dyDescent="0.15">
      <c r="C112" s="37">
        <f>IF([3]道具信息!C112="","",[3]道具信息!C112)</f>
        <v>21001</v>
      </c>
      <c r="D112" s="37" t="str">
        <f>IF([3]道具信息!D112="","",[3]道具信息!D112)</f>
        <v>一担粮食</v>
      </c>
      <c r="E112" s="37">
        <f>IF([3]道具信息!E112="","",[3]道具信息!E112)</f>
        <v>6</v>
      </c>
      <c r="F112" s="37">
        <f>IF([3]道具信息!F112="","",[3]道具信息!F112)</f>
        <v>1</v>
      </c>
      <c r="G112" s="37">
        <f>IF([3]道具信息!G112="","",[3]道具信息!G112)</f>
        <v>1</v>
      </c>
      <c r="H112" s="37">
        <f>IF([3]道具信息!H112="","",[3]道具信息!H112)</f>
        <v>1</v>
      </c>
      <c r="I112" s="37">
        <f>IF([3]道具信息!I112="","",[3]道具信息!I112)</f>
        <v>6</v>
      </c>
      <c r="J112" s="37">
        <f>IF([3]道具信息!J112="","",[3]道具信息!J112)</f>
        <v>6</v>
      </c>
      <c r="K112" s="37">
        <f>IF([3]道具信息!K112="","",[3]道具信息!K112)</f>
        <v>6</v>
      </c>
      <c r="L112" s="37" t="str">
        <f>IF([3]道具信息!L112="","",[3]道具信息!L112)</f>
        <v>使用后获得10000安全粮食</v>
      </c>
      <c r="M112" s="37" t="str">
        <f>IF([3]道具信息!M112="","",[3]道具信息!M112)</f>
        <v/>
      </c>
      <c r="N112" s="37"/>
      <c r="O112" s="37" t="str">
        <f>IF([3]道具信息!O112="","",[3]道具信息!O112)</f>
        <v/>
      </c>
      <c r="P112" s="37" t="str">
        <f>IF([3]道具信息!P112="","",[3]道具信息!P112)</f>
        <v/>
      </c>
      <c r="Q112" s="37" t="str">
        <f>IF([3]道具信息!Q112="","",[3]道具信息!Q112)</f>
        <v/>
      </c>
    </row>
    <row r="113" spans="3:17" x14ac:dyDescent="0.15">
      <c r="C113" s="37">
        <f>IF([3]道具信息!C113="","",[3]道具信息!C113)</f>
        <v>21002</v>
      </c>
      <c r="D113" s="37" t="str">
        <f>IF([3]道具信息!D113="","",[3]道具信息!D113)</f>
        <v>一堆粮食</v>
      </c>
      <c r="E113" s="37">
        <f>IF([3]道具信息!E113="","",[3]道具信息!E113)</f>
        <v>20</v>
      </c>
      <c r="F113" s="37">
        <f>IF([3]道具信息!F113="","",[3]道具信息!F113)</f>
        <v>1</v>
      </c>
      <c r="G113" s="37">
        <f>IF([3]道具信息!G113="","",[3]道具信息!G113)</f>
        <v>1</v>
      </c>
      <c r="H113" s="37">
        <f>IF([3]道具信息!H113="","",[3]道具信息!H113)</f>
        <v>1</v>
      </c>
      <c r="I113" s="37">
        <f>IF([3]道具信息!I113="","",[3]道具信息!I113)</f>
        <v>20</v>
      </c>
      <c r="J113" s="37">
        <f>IF([3]道具信息!J113="","",[3]道具信息!J113)</f>
        <v>20</v>
      </c>
      <c r="K113" s="37">
        <f>IF([3]道具信息!K113="","",[3]道具信息!K113)</f>
        <v>20</v>
      </c>
      <c r="L113" s="37" t="str">
        <f>IF([3]道具信息!L113="","",[3]道具信息!L113)</f>
        <v>使用后获得50000安全粮食</v>
      </c>
      <c r="M113" s="37" t="str">
        <f>IF([3]道具信息!M113="","",[3]道具信息!M113)</f>
        <v/>
      </c>
      <c r="N113" s="37"/>
      <c r="O113" s="37" t="str">
        <f>IF([3]道具信息!O113="","",[3]道具信息!O113)</f>
        <v/>
      </c>
      <c r="P113" s="37" t="str">
        <f>IF([3]道具信息!P113="","",[3]道具信息!P113)</f>
        <v/>
      </c>
      <c r="Q113" s="37" t="str">
        <f>IF([3]道具信息!Q113="","",[3]道具信息!Q113)</f>
        <v/>
      </c>
    </row>
    <row r="114" spans="3:17" x14ac:dyDescent="0.15">
      <c r="C114" s="37">
        <f>IF([3]道具信息!C114="","",[3]道具信息!C114)</f>
        <v>21003</v>
      </c>
      <c r="D114" s="37" t="str">
        <f>IF([3]道具信息!D114="","",[3]道具信息!D114)</f>
        <v>一箱粮食</v>
      </c>
      <c r="E114" s="37">
        <f>IF([3]道具信息!E114="","",[3]道具信息!E114)</f>
        <v>45</v>
      </c>
      <c r="F114" s="37">
        <f>IF([3]道具信息!F114="","",[3]道具信息!F114)</f>
        <v>1.333</v>
      </c>
      <c r="G114" s="37">
        <f>IF([3]道具信息!G114="","",[3]道具信息!G114)</f>
        <v>1</v>
      </c>
      <c r="H114" s="37">
        <f>IF([3]道具信息!H114="","",[3]道具信息!H114)</f>
        <v>1</v>
      </c>
      <c r="I114" s="37">
        <f>IF([3]道具信息!I114="","",[3]道具信息!I114)</f>
        <v>59.984999999999999</v>
      </c>
      <c r="J114" s="37">
        <f>IF([3]道具信息!J114="","",[3]道具信息!J114)</f>
        <v>45</v>
      </c>
      <c r="K114" s="37">
        <f>IF([3]道具信息!K114="","",[3]道具信息!K114)</f>
        <v>45</v>
      </c>
      <c r="L114" s="37" t="str">
        <f>IF([3]道具信息!L114="","",[3]道具信息!L114)</f>
        <v>使用后获得150000安全粮食</v>
      </c>
      <c r="M114" s="37" t="str">
        <f>IF([3]道具信息!M114="","",[3]道具信息!M114)</f>
        <v/>
      </c>
      <c r="N114" s="37"/>
      <c r="O114" s="37" t="str">
        <f>IF([3]道具信息!O114="","",[3]道具信息!O114)</f>
        <v/>
      </c>
      <c r="P114" s="37" t="str">
        <f>IF([3]道具信息!P114="","",[3]道具信息!P114)</f>
        <v/>
      </c>
      <c r="Q114" s="37" t="str">
        <f>IF([3]道具信息!Q114="","",[3]道具信息!Q114)</f>
        <v/>
      </c>
    </row>
    <row r="115" spans="3:17" x14ac:dyDescent="0.15">
      <c r="C115" s="37">
        <f>IF([3]道具信息!C115="","",[3]道具信息!C115)</f>
        <v>21004</v>
      </c>
      <c r="D115" s="37" t="str">
        <f>IF([3]道具信息!D115="","",[3]道具信息!D115)</f>
        <v>一车粮食</v>
      </c>
      <c r="E115" s="37">
        <f>IF([3]道具信息!E115="","",[3]道具信息!E115)</f>
        <v>100</v>
      </c>
      <c r="F115" s="37">
        <f>IF([3]道具信息!F115="","",[3]道具信息!F115)</f>
        <v>2</v>
      </c>
      <c r="G115" s="37">
        <f>IF([3]道具信息!G115="","",[3]道具信息!G115)</f>
        <v>1.5</v>
      </c>
      <c r="H115" s="37">
        <f>IF([3]道具信息!H115="","",[3]道具信息!H115)</f>
        <v>1</v>
      </c>
      <c r="I115" s="37">
        <f>IF([3]道具信息!I115="","",[3]道具信息!I115)</f>
        <v>200</v>
      </c>
      <c r="J115" s="37">
        <f>IF([3]道具信息!J115="","",[3]道具信息!J115)</f>
        <v>150</v>
      </c>
      <c r="K115" s="37">
        <f>IF([3]道具信息!K115="","",[3]道具信息!K115)</f>
        <v>100</v>
      </c>
      <c r="L115" s="37" t="str">
        <f>IF([3]道具信息!L115="","",[3]道具信息!L115)</f>
        <v>使用后获得500000安全粮食</v>
      </c>
      <c r="M115" s="37" t="str">
        <f>IF([3]道具信息!M115="","",[3]道具信息!M115)</f>
        <v/>
      </c>
      <c r="N115" s="37"/>
      <c r="O115" s="37" t="str">
        <f>IF([3]道具信息!O115="","",[3]道具信息!O115)</f>
        <v/>
      </c>
      <c r="P115" s="37" t="str">
        <f>IF([3]道具信息!P115="","",[3]道具信息!P115)</f>
        <v/>
      </c>
      <c r="Q115" s="37" t="str">
        <f>IF([3]道具信息!Q115="","",[3]道具信息!Q115)</f>
        <v/>
      </c>
    </row>
    <row r="116" spans="3:17" x14ac:dyDescent="0.15">
      <c r="C116" s="37">
        <f>IF([3]道具信息!C116="","",[3]道具信息!C116)</f>
        <v>21005</v>
      </c>
      <c r="D116" s="37" t="str">
        <f>IF([3]道具信息!D116="","",[3]道具信息!D116)</f>
        <v>一担木材</v>
      </c>
      <c r="E116" s="37">
        <f>IF([3]道具信息!E116="","",[3]道具信息!E116)</f>
        <v>6</v>
      </c>
      <c r="F116" s="37">
        <f>IF([3]道具信息!F116="","",[3]道具信息!F116)</f>
        <v>1</v>
      </c>
      <c r="G116" s="37">
        <f>IF([3]道具信息!G116="","",[3]道具信息!G116)</f>
        <v>1</v>
      </c>
      <c r="H116" s="37">
        <f>IF([3]道具信息!H116="","",[3]道具信息!H116)</f>
        <v>1</v>
      </c>
      <c r="I116" s="37">
        <f>IF([3]道具信息!I116="","",[3]道具信息!I116)</f>
        <v>6</v>
      </c>
      <c r="J116" s="37">
        <f>IF([3]道具信息!J116="","",[3]道具信息!J116)</f>
        <v>6</v>
      </c>
      <c r="K116" s="37">
        <f>IF([3]道具信息!K116="","",[3]道具信息!K116)</f>
        <v>6</v>
      </c>
      <c r="L116" s="37" t="str">
        <f>IF([3]道具信息!L116="","",[3]道具信息!L116)</f>
        <v>使用后获得10000安全木材</v>
      </c>
      <c r="M116" s="37" t="str">
        <f>IF([3]道具信息!M116="","",[3]道具信息!M116)</f>
        <v/>
      </c>
      <c r="N116" s="37"/>
      <c r="O116" s="37" t="str">
        <f>IF([3]道具信息!O116="","",[3]道具信息!O116)</f>
        <v/>
      </c>
      <c r="P116" s="37" t="str">
        <f>IF([3]道具信息!P116="","",[3]道具信息!P116)</f>
        <v/>
      </c>
      <c r="Q116" s="37" t="str">
        <f>IF([3]道具信息!Q116="","",[3]道具信息!Q116)</f>
        <v/>
      </c>
    </row>
    <row r="117" spans="3:17" x14ac:dyDescent="0.15">
      <c r="C117" s="37">
        <f>IF([3]道具信息!C117="","",[3]道具信息!C117)</f>
        <v>21006</v>
      </c>
      <c r="D117" s="37" t="str">
        <f>IF([3]道具信息!D117="","",[3]道具信息!D117)</f>
        <v>一堆木材</v>
      </c>
      <c r="E117" s="37">
        <f>IF([3]道具信息!E117="","",[3]道具信息!E117)</f>
        <v>20</v>
      </c>
      <c r="F117" s="37">
        <f>IF([3]道具信息!F117="","",[3]道具信息!F117)</f>
        <v>1</v>
      </c>
      <c r="G117" s="37">
        <f>IF([3]道具信息!G117="","",[3]道具信息!G117)</f>
        <v>1</v>
      </c>
      <c r="H117" s="37">
        <f>IF([3]道具信息!H117="","",[3]道具信息!H117)</f>
        <v>1</v>
      </c>
      <c r="I117" s="37">
        <f>IF([3]道具信息!I117="","",[3]道具信息!I117)</f>
        <v>20</v>
      </c>
      <c r="J117" s="37">
        <f>IF([3]道具信息!J117="","",[3]道具信息!J117)</f>
        <v>20</v>
      </c>
      <c r="K117" s="37">
        <f>IF([3]道具信息!K117="","",[3]道具信息!K117)</f>
        <v>20</v>
      </c>
      <c r="L117" s="37" t="str">
        <f>IF([3]道具信息!L117="","",[3]道具信息!L117)</f>
        <v>使用后获得50000安全木材</v>
      </c>
      <c r="M117" s="37" t="str">
        <f>IF([3]道具信息!M117="","",[3]道具信息!M117)</f>
        <v/>
      </c>
      <c r="N117" s="37"/>
      <c r="O117" s="37" t="str">
        <f>IF([3]道具信息!O117="","",[3]道具信息!O117)</f>
        <v/>
      </c>
      <c r="P117" s="37" t="str">
        <f>IF([3]道具信息!P117="","",[3]道具信息!P117)</f>
        <v/>
      </c>
      <c r="Q117" s="37" t="str">
        <f>IF([3]道具信息!Q117="","",[3]道具信息!Q117)</f>
        <v/>
      </c>
    </row>
    <row r="118" spans="3:17" x14ac:dyDescent="0.15">
      <c r="C118" s="37">
        <f>IF([3]道具信息!C118="","",[3]道具信息!C118)</f>
        <v>21007</v>
      </c>
      <c r="D118" s="37" t="str">
        <f>IF([3]道具信息!D118="","",[3]道具信息!D118)</f>
        <v>一箱木材</v>
      </c>
      <c r="E118" s="37">
        <f>IF([3]道具信息!E118="","",[3]道具信息!E118)</f>
        <v>45</v>
      </c>
      <c r="F118" s="37">
        <f>IF([3]道具信息!F118="","",[3]道具信息!F118)</f>
        <v>1.333</v>
      </c>
      <c r="G118" s="37">
        <f>IF([3]道具信息!G118="","",[3]道具信息!G118)</f>
        <v>1</v>
      </c>
      <c r="H118" s="37">
        <f>IF([3]道具信息!H118="","",[3]道具信息!H118)</f>
        <v>1</v>
      </c>
      <c r="I118" s="37">
        <f>IF([3]道具信息!I118="","",[3]道具信息!I118)</f>
        <v>59.984999999999999</v>
      </c>
      <c r="J118" s="37">
        <f>IF([3]道具信息!J118="","",[3]道具信息!J118)</f>
        <v>45</v>
      </c>
      <c r="K118" s="37">
        <f>IF([3]道具信息!K118="","",[3]道具信息!K118)</f>
        <v>45</v>
      </c>
      <c r="L118" s="37" t="str">
        <f>IF([3]道具信息!L118="","",[3]道具信息!L118)</f>
        <v>使用后获得150000安全木材</v>
      </c>
      <c r="M118" s="37" t="str">
        <f>IF([3]道具信息!M118="","",[3]道具信息!M118)</f>
        <v/>
      </c>
      <c r="N118" s="37"/>
      <c r="O118" s="37" t="str">
        <f>IF([3]道具信息!O118="","",[3]道具信息!O118)</f>
        <v/>
      </c>
      <c r="P118" s="37" t="str">
        <f>IF([3]道具信息!P118="","",[3]道具信息!P118)</f>
        <v/>
      </c>
      <c r="Q118" s="37" t="str">
        <f>IF([3]道具信息!Q118="","",[3]道具信息!Q118)</f>
        <v/>
      </c>
    </row>
    <row r="119" spans="3:17" x14ac:dyDescent="0.15">
      <c r="C119" s="37">
        <f>IF([3]道具信息!C119="","",[3]道具信息!C119)</f>
        <v>21008</v>
      </c>
      <c r="D119" s="37" t="str">
        <f>IF([3]道具信息!D119="","",[3]道具信息!D119)</f>
        <v>一车木材</v>
      </c>
      <c r="E119" s="37">
        <f>IF([3]道具信息!E119="","",[3]道具信息!E119)</f>
        <v>100</v>
      </c>
      <c r="F119" s="37">
        <f>IF([3]道具信息!F119="","",[3]道具信息!F119)</f>
        <v>2</v>
      </c>
      <c r="G119" s="37">
        <f>IF([3]道具信息!G119="","",[3]道具信息!G119)</f>
        <v>1.5</v>
      </c>
      <c r="H119" s="37">
        <f>IF([3]道具信息!H119="","",[3]道具信息!H119)</f>
        <v>1</v>
      </c>
      <c r="I119" s="37">
        <f>IF([3]道具信息!I119="","",[3]道具信息!I119)</f>
        <v>200</v>
      </c>
      <c r="J119" s="37">
        <f>IF([3]道具信息!J119="","",[3]道具信息!J119)</f>
        <v>150</v>
      </c>
      <c r="K119" s="37">
        <f>IF([3]道具信息!K119="","",[3]道具信息!K119)</f>
        <v>100</v>
      </c>
      <c r="L119" s="37" t="str">
        <f>IF([3]道具信息!L119="","",[3]道具信息!L119)</f>
        <v>使用后获得500000安全木材</v>
      </c>
      <c r="M119" s="37" t="str">
        <f>IF([3]道具信息!M119="","",[3]道具信息!M119)</f>
        <v/>
      </c>
      <c r="N119" s="37"/>
      <c r="O119" s="37" t="str">
        <f>IF([3]道具信息!O119="","",[3]道具信息!O119)</f>
        <v/>
      </c>
      <c r="P119" s="37" t="str">
        <f>IF([3]道具信息!P119="","",[3]道具信息!P119)</f>
        <v/>
      </c>
      <c r="Q119" s="37" t="str">
        <f>IF([3]道具信息!Q119="","",[3]道具信息!Q119)</f>
        <v/>
      </c>
    </row>
    <row r="120" spans="3:17" x14ac:dyDescent="0.15">
      <c r="C120" s="37">
        <f>IF([3]道具信息!C120="","",[3]道具信息!C120)</f>
        <v>21009</v>
      </c>
      <c r="D120" s="37" t="str">
        <f>IF([3]道具信息!D120="","",[3]道具信息!D120)</f>
        <v>一担石料</v>
      </c>
      <c r="E120" s="37">
        <f>IF([3]道具信息!E120="","",[3]道具信息!E120)</f>
        <v>6</v>
      </c>
      <c r="F120" s="37">
        <f>IF([3]道具信息!F120="","",[3]道具信息!F120)</f>
        <v>1</v>
      </c>
      <c r="G120" s="37">
        <f>IF([3]道具信息!G120="","",[3]道具信息!G120)</f>
        <v>1</v>
      </c>
      <c r="H120" s="37">
        <f>IF([3]道具信息!H120="","",[3]道具信息!H120)</f>
        <v>1</v>
      </c>
      <c r="I120" s="37">
        <f>IF([3]道具信息!I120="","",[3]道具信息!I120)</f>
        <v>6</v>
      </c>
      <c r="J120" s="37">
        <f>IF([3]道具信息!J120="","",[3]道具信息!J120)</f>
        <v>6</v>
      </c>
      <c r="K120" s="37">
        <f>IF([3]道具信息!K120="","",[3]道具信息!K120)</f>
        <v>6</v>
      </c>
      <c r="L120" s="37" t="str">
        <f>IF([3]道具信息!L120="","",[3]道具信息!L120)</f>
        <v>使用后获得10000安全石料</v>
      </c>
      <c r="M120" s="37" t="str">
        <f>IF([3]道具信息!M120="","",[3]道具信息!M120)</f>
        <v/>
      </c>
      <c r="N120" s="37"/>
      <c r="O120" s="37" t="str">
        <f>IF([3]道具信息!O120="","",[3]道具信息!O120)</f>
        <v/>
      </c>
      <c r="P120" s="37" t="str">
        <f>IF([3]道具信息!P120="","",[3]道具信息!P120)</f>
        <v/>
      </c>
      <c r="Q120" s="37" t="str">
        <f>IF([3]道具信息!Q120="","",[3]道具信息!Q120)</f>
        <v/>
      </c>
    </row>
    <row r="121" spans="3:17" x14ac:dyDescent="0.15">
      <c r="C121" s="37">
        <f>IF([3]道具信息!C121="","",[3]道具信息!C121)</f>
        <v>21010</v>
      </c>
      <c r="D121" s="37" t="str">
        <f>IF([3]道具信息!D121="","",[3]道具信息!D121)</f>
        <v>一堆石料</v>
      </c>
      <c r="E121" s="37">
        <f>IF([3]道具信息!E121="","",[3]道具信息!E121)</f>
        <v>20</v>
      </c>
      <c r="F121" s="37">
        <f>IF([3]道具信息!F121="","",[3]道具信息!F121)</f>
        <v>1</v>
      </c>
      <c r="G121" s="37">
        <f>IF([3]道具信息!G121="","",[3]道具信息!G121)</f>
        <v>1</v>
      </c>
      <c r="H121" s="37">
        <f>IF([3]道具信息!H121="","",[3]道具信息!H121)</f>
        <v>1</v>
      </c>
      <c r="I121" s="37">
        <f>IF([3]道具信息!I121="","",[3]道具信息!I121)</f>
        <v>20</v>
      </c>
      <c r="J121" s="37">
        <f>IF([3]道具信息!J121="","",[3]道具信息!J121)</f>
        <v>20</v>
      </c>
      <c r="K121" s="37">
        <f>IF([3]道具信息!K121="","",[3]道具信息!K121)</f>
        <v>20</v>
      </c>
      <c r="L121" s="37" t="str">
        <f>IF([3]道具信息!L121="","",[3]道具信息!L121)</f>
        <v>使用后获得50000安全石料</v>
      </c>
      <c r="M121" s="37" t="str">
        <f>IF([3]道具信息!M121="","",[3]道具信息!M121)</f>
        <v/>
      </c>
      <c r="N121" s="37"/>
      <c r="O121" s="37" t="str">
        <f>IF([3]道具信息!O121="","",[3]道具信息!O121)</f>
        <v/>
      </c>
      <c r="P121" s="37" t="str">
        <f>IF([3]道具信息!P121="","",[3]道具信息!P121)</f>
        <v/>
      </c>
      <c r="Q121" s="37" t="str">
        <f>IF([3]道具信息!Q121="","",[3]道具信息!Q121)</f>
        <v/>
      </c>
    </row>
    <row r="122" spans="3:17" x14ac:dyDescent="0.15">
      <c r="C122" s="37">
        <f>IF([3]道具信息!C122="","",[3]道具信息!C122)</f>
        <v>21011</v>
      </c>
      <c r="D122" s="37" t="str">
        <f>IF([3]道具信息!D122="","",[3]道具信息!D122)</f>
        <v>一箱石料</v>
      </c>
      <c r="E122" s="37">
        <f>IF([3]道具信息!E122="","",[3]道具信息!E122)</f>
        <v>45</v>
      </c>
      <c r="F122" s="37">
        <f>IF([3]道具信息!F122="","",[3]道具信息!F122)</f>
        <v>1.333</v>
      </c>
      <c r="G122" s="37">
        <f>IF([3]道具信息!G122="","",[3]道具信息!G122)</f>
        <v>1</v>
      </c>
      <c r="H122" s="37">
        <f>IF([3]道具信息!H122="","",[3]道具信息!H122)</f>
        <v>1</v>
      </c>
      <c r="I122" s="37">
        <f>IF([3]道具信息!I122="","",[3]道具信息!I122)</f>
        <v>59.984999999999999</v>
      </c>
      <c r="J122" s="37">
        <f>IF([3]道具信息!J122="","",[3]道具信息!J122)</f>
        <v>45</v>
      </c>
      <c r="K122" s="37">
        <f>IF([3]道具信息!K122="","",[3]道具信息!K122)</f>
        <v>45</v>
      </c>
      <c r="L122" s="37" t="str">
        <f>IF([3]道具信息!L122="","",[3]道具信息!L122)</f>
        <v>使用后获得150000安全石料</v>
      </c>
      <c r="M122" s="37" t="str">
        <f>IF([3]道具信息!M122="","",[3]道具信息!M122)</f>
        <v/>
      </c>
      <c r="N122" s="37"/>
      <c r="O122" s="37" t="str">
        <f>IF([3]道具信息!O122="","",[3]道具信息!O122)</f>
        <v/>
      </c>
      <c r="P122" s="37" t="str">
        <f>IF([3]道具信息!P122="","",[3]道具信息!P122)</f>
        <v/>
      </c>
      <c r="Q122" s="37" t="str">
        <f>IF([3]道具信息!Q122="","",[3]道具信息!Q122)</f>
        <v/>
      </c>
    </row>
    <row r="123" spans="3:17" x14ac:dyDescent="0.15">
      <c r="C123" s="37">
        <f>IF([3]道具信息!C123="","",[3]道具信息!C123)</f>
        <v>21012</v>
      </c>
      <c r="D123" s="37" t="str">
        <f>IF([3]道具信息!D123="","",[3]道具信息!D123)</f>
        <v>一车石料</v>
      </c>
      <c r="E123" s="37">
        <f>IF([3]道具信息!E123="","",[3]道具信息!E123)</f>
        <v>100</v>
      </c>
      <c r="F123" s="37">
        <f>IF([3]道具信息!F123="","",[3]道具信息!F123)</f>
        <v>2</v>
      </c>
      <c r="G123" s="37">
        <f>IF([3]道具信息!G123="","",[3]道具信息!G123)</f>
        <v>1.5</v>
      </c>
      <c r="H123" s="37">
        <f>IF([3]道具信息!H123="","",[3]道具信息!H123)</f>
        <v>1</v>
      </c>
      <c r="I123" s="37">
        <f>IF([3]道具信息!I123="","",[3]道具信息!I123)</f>
        <v>200</v>
      </c>
      <c r="J123" s="37">
        <f>IF([3]道具信息!J123="","",[3]道具信息!J123)</f>
        <v>150</v>
      </c>
      <c r="K123" s="37">
        <f>IF([3]道具信息!K123="","",[3]道具信息!K123)</f>
        <v>100</v>
      </c>
      <c r="L123" s="37" t="str">
        <f>IF([3]道具信息!L123="","",[3]道具信息!L123)</f>
        <v>使用后获得500000安全石料</v>
      </c>
      <c r="M123" s="37" t="str">
        <f>IF([3]道具信息!M123="","",[3]道具信息!M123)</f>
        <v/>
      </c>
      <c r="N123" s="37"/>
      <c r="O123" s="37" t="str">
        <f>IF([3]道具信息!O123="","",[3]道具信息!O123)</f>
        <v/>
      </c>
      <c r="P123" s="37" t="str">
        <f>IF([3]道具信息!P123="","",[3]道具信息!P123)</f>
        <v/>
      </c>
      <c r="Q123" s="37" t="str">
        <f>IF([3]道具信息!Q123="","",[3]道具信息!Q123)</f>
        <v/>
      </c>
    </row>
    <row r="124" spans="3:17" x14ac:dyDescent="0.15">
      <c r="C124" s="37">
        <f>IF([3]道具信息!C124="","",[3]道具信息!C124)</f>
        <v>21013</v>
      </c>
      <c r="D124" s="37" t="str">
        <f>IF([3]道具信息!D124="","",[3]道具信息!D124)</f>
        <v>一担铁矿</v>
      </c>
      <c r="E124" s="37">
        <f>IF([3]道具信息!E124="","",[3]道具信息!E124)</f>
        <v>12</v>
      </c>
      <c r="F124" s="37">
        <f>IF([3]道具信息!F124="","",[3]道具信息!F124)</f>
        <v>1</v>
      </c>
      <c r="G124" s="37">
        <f>IF([3]道具信息!G124="","",[3]道具信息!G124)</f>
        <v>1</v>
      </c>
      <c r="H124" s="37">
        <f>IF([3]道具信息!H124="","",[3]道具信息!H124)</f>
        <v>1</v>
      </c>
      <c r="I124" s="37">
        <f>IF([3]道具信息!I124="","",[3]道具信息!I124)</f>
        <v>12</v>
      </c>
      <c r="J124" s="37">
        <f>IF([3]道具信息!J124="","",[3]道具信息!J124)</f>
        <v>12</v>
      </c>
      <c r="K124" s="37">
        <f>IF([3]道具信息!K124="","",[3]道具信息!K124)</f>
        <v>12</v>
      </c>
      <c r="L124" s="37" t="str">
        <f>IF([3]道具信息!L124="","",[3]道具信息!L124)</f>
        <v>使用后获得10000安全铁矿</v>
      </c>
      <c r="M124" s="37" t="str">
        <f>IF([3]道具信息!M124="","",[3]道具信息!M124)</f>
        <v/>
      </c>
      <c r="N124" s="37"/>
      <c r="O124" s="37" t="str">
        <f>IF([3]道具信息!O124="","",[3]道具信息!O124)</f>
        <v/>
      </c>
      <c r="P124" s="37" t="str">
        <f>IF([3]道具信息!P124="","",[3]道具信息!P124)</f>
        <v/>
      </c>
      <c r="Q124" s="37" t="str">
        <f>IF([3]道具信息!Q124="","",[3]道具信息!Q124)</f>
        <v/>
      </c>
    </row>
    <row r="125" spans="3:17" x14ac:dyDescent="0.15">
      <c r="C125" s="37">
        <f>IF([3]道具信息!C125="","",[3]道具信息!C125)</f>
        <v>21014</v>
      </c>
      <c r="D125" s="37" t="str">
        <f>IF([3]道具信息!D125="","",[3]道具信息!D125)</f>
        <v>一堆铁矿</v>
      </c>
      <c r="E125" s="37">
        <f>IF([3]道具信息!E125="","",[3]道具信息!E125)</f>
        <v>40</v>
      </c>
      <c r="F125" s="37">
        <f>IF([3]道具信息!F125="","",[3]道具信息!F125)</f>
        <v>1</v>
      </c>
      <c r="G125" s="37">
        <f>IF([3]道具信息!G125="","",[3]道具信息!G125)</f>
        <v>1</v>
      </c>
      <c r="H125" s="37">
        <f>IF([3]道具信息!H125="","",[3]道具信息!H125)</f>
        <v>1</v>
      </c>
      <c r="I125" s="37">
        <f>IF([3]道具信息!I125="","",[3]道具信息!I125)</f>
        <v>40</v>
      </c>
      <c r="J125" s="37">
        <f>IF([3]道具信息!J125="","",[3]道具信息!J125)</f>
        <v>40</v>
      </c>
      <c r="K125" s="37">
        <f>IF([3]道具信息!K125="","",[3]道具信息!K125)</f>
        <v>40</v>
      </c>
      <c r="L125" s="37" t="str">
        <f>IF([3]道具信息!L125="","",[3]道具信息!L125)</f>
        <v>使用后获得50000安全铁矿</v>
      </c>
      <c r="M125" s="37" t="str">
        <f>IF([3]道具信息!M125="","",[3]道具信息!M125)</f>
        <v/>
      </c>
      <c r="N125" s="37"/>
      <c r="O125" s="37" t="str">
        <f>IF([3]道具信息!O125="","",[3]道具信息!O125)</f>
        <v/>
      </c>
      <c r="P125" s="37" t="str">
        <f>IF([3]道具信息!P125="","",[3]道具信息!P125)</f>
        <v/>
      </c>
      <c r="Q125" s="37" t="str">
        <f>IF([3]道具信息!Q125="","",[3]道具信息!Q125)</f>
        <v/>
      </c>
    </row>
    <row r="126" spans="3:17" x14ac:dyDescent="0.15">
      <c r="C126" s="37">
        <f>IF([3]道具信息!C126="","",[3]道具信息!C126)</f>
        <v>21015</v>
      </c>
      <c r="D126" s="37" t="str">
        <f>IF([3]道具信息!D126="","",[3]道具信息!D126)</f>
        <v>一箱铁矿</v>
      </c>
      <c r="E126" s="37">
        <f>IF([3]道具信息!E126="","",[3]道具信息!E126)</f>
        <v>90</v>
      </c>
      <c r="F126" s="37">
        <f>IF([3]道具信息!F126="","",[3]道具信息!F126)</f>
        <v>1.333</v>
      </c>
      <c r="G126" s="37">
        <f>IF([3]道具信息!G126="","",[3]道具信息!G126)</f>
        <v>1</v>
      </c>
      <c r="H126" s="37">
        <f>IF([3]道具信息!H126="","",[3]道具信息!H126)</f>
        <v>1</v>
      </c>
      <c r="I126" s="37">
        <f>IF([3]道具信息!I126="","",[3]道具信息!I126)</f>
        <v>119.97</v>
      </c>
      <c r="J126" s="37">
        <f>IF([3]道具信息!J126="","",[3]道具信息!J126)</f>
        <v>90</v>
      </c>
      <c r="K126" s="37">
        <f>IF([3]道具信息!K126="","",[3]道具信息!K126)</f>
        <v>90</v>
      </c>
      <c r="L126" s="37" t="str">
        <f>IF([3]道具信息!L126="","",[3]道具信息!L126)</f>
        <v>使用后获得150000安全铁矿</v>
      </c>
      <c r="M126" s="37" t="str">
        <f>IF([3]道具信息!M126="","",[3]道具信息!M126)</f>
        <v/>
      </c>
      <c r="N126" s="37"/>
      <c r="O126" s="37" t="str">
        <f>IF([3]道具信息!O126="","",[3]道具信息!O126)</f>
        <v/>
      </c>
      <c r="P126" s="37" t="str">
        <f>IF([3]道具信息!P126="","",[3]道具信息!P126)</f>
        <v/>
      </c>
      <c r="Q126" s="37" t="str">
        <f>IF([3]道具信息!Q126="","",[3]道具信息!Q126)</f>
        <v/>
      </c>
    </row>
    <row r="127" spans="3:17" x14ac:dyDescent="0.15">
      <c r="C127" s="37">
        <f>IF([3]道具信息!C127="","",[3]道具信息!C127)</f>
        <v>21016</v>
      </c>
      <c r="D127" s="37" t="str">
        <f>IF([3]道具信息!D127="","",[3]道具信息!D127)</f>
        <v>一车铁矿</v>
      </c>
      <c r="E127" s="37">
        <f>IF([3]道具信息!E127="","",[3]道具信息!E127)</f>
        <v>200</v>
      </c>
      <c r="F127" s="37">
        <f>IF([3]道具信息!F127="","",[3]道具信息!F127)</f>
        <v>2</v>
      </c>
      <c r="G127" s="37">
        <f>IF([3]道具信息!G127="","",[3]道具信息!G127)</f>
        <v>1.5</v>
      </c>
      <c r="H127" s="37">
        <f>IF([3]道具信息!H127="","",[3]道具信息!H127)</f>
        <v>1</v>
      </c>
      <c r="I127" s="37">
        <f>IF([3]道具信息!I127="","",[3]道具信息!I127)</f>
        <v>400</v>
      </c>
      <c r="J127" s="37">
        <f>IF([3]道具信息!J127="","",[3]道具信息!J127)</f>
        <v>300</v>
      </c>
      <c r="K127" s="37">
        <f>IF([3]道具信息!K127="","",[3]道具信息!K127)</f>
        <v>200</v>
      </c>
      <c r="L127" s="37" t="str">
        <f>IF([3]道具信息!L127="","",[3]道具信息!L127)</f>
        <v>使用后获得500000安全铁矿</v>
      </c>
      <c r="M127" s="37" t="str">
        <f>IF([3]道具信息!M127="","",[3]道具信息!M127)</f>
        <v/>
      </c>
      <c r="N127" s="37"/>
      <c r="O127" s="37" t="str">
        <f>IF([3]道具信息!O127="","",[3]道具信息!O127)</f>
        <v/>
      </c>
      <c r="P127" s="37" t="str">
        <f>IF([3]道具信息!P127="","",[3]道具信息!P127)</f>
        <v/>
      </c>
      <c r="Q127" s="37" t="str">
        <f>IF([3]道具信息!Q127="","",[3]道具信息!Q127)</f>
        <v/>
      </c>
    </row>
    <row r="128" spans="3:17" x14ac:dyDescent="0.15">
      <c r="C128" s="37">
        <f>IF([3]道具信息!C128="","",[3]道具信息!C128)</f>
        <v>21017</v>
      </c>
      <c r="D128" s="37" t="str">
        <f>IF([3]道具信息!D128="","",[3]道具信息!D128)</f>
        <v>一担铜矿</v>
      </c>
      <c r="E128" s="37">
        <f>IF([3]道具信息!E128="","",[3]道具信息!E128)</f>
        <v>6</v>
      </c>
      <c r="F128" s="37">
        <f>IF([3]道具信息!F128="","",[3]道具信息!F128)</f>
        <v>1</v>
      </c>
      <c r="G128" s="37">
        <f>IF([3]道具信息!G128="","",[3]道具信息!G128)</f>
        <v>1</v>
      </c>
      <c r="H128" s="37">
        <f>IF([3]道具信息!H128="","",[3]道具信息!H128)</f>
        <v>1</v>
      </c>
      <c r="I128" s="37">
        <f>IF([3]道具信息!I128="","",[3]道具信息!I128)</f>
        <v>6</v>
      </c>
      <c r="J128" s="37">
        <f>IF([3]道具信息!J128="","",[3]道具信息!J128)</f>
        <v>6</v>
      </c>
      <c r="K128" s="37">
        <f>IF([3]道具信息!K128="","",[3]道具信息!K128)</f>
        <v>6</v>
      </c>
      <c r="L128" s="37" t="str">
        <f>IF([3]道具信息!L128="","",[3]道具信息!L128)</f>
        <v>使用后获得10000安全铜矿</v>
      </c>
      <c r="M128" s="37" t="str">
        <f>IF([3]道具信息!M128="","",[3]道具信息!M128)</f>
        <v/>
      </c>
      <c r="N128" s="37"/>
      <c r="O128" s="37" t="str">
        <f>IF([3]道具信息!O128="","",[3]道具信息!O128)</f>
        <v/>
      </c>
      <c r="P128" s="37" t="str">
        <f>IF([3]道具信息!P128="","",[3]道具信息!P128)</f>
        <v/>
      </c>
      <c r="Q128" s="37" t="str">
        <f>IF([3]道具信息!Q128="","",[3]道具信息!Q128)</f>
        <v/>
      </c>
    </row>
    <row r="129" spans="3:17" x14ac:dyDescent="0.15">
      <c r="C129" s="37">
        <f>IF([3]道具信息!C129="","",[3]道具信息!C129)</f>
        <v>21018</v>
      </c>
      <c r="D129" s="37" t="str">
        <f>IF([3]道具信息!D129="","",[3]道具信息!D129)</f>
        <v>一堆铜矿</v>
      </c>
      <c r="E129" s="37">
        <f>IF([3]道具信息!E129="","",[3]道具信息!E129)</f>
        <v>20</v>
      </c>
      <c r="F129" s="37">
        <f>IF([3]道具信息!F129="","",[3]道具信息!F129)</f>
        <v>1</v>
      </c>
      <c r="G129" s="37">
        <f>IF([3]道具信息!G129="","",[3]道具信息!G129)</f>
        <v>1</v>
      </c>
      <c r="H129" s="37">
        <f>IF([3]道具信息!H129="","",[3]道具信息!H129)</f>
        <v>1</v>
      </c>
      <c r="I129" s="37">
        <f>IF([3]道具信息!I129="","",[3]道具信息!I129)</f>
        <v>20</v>
      </c>
      <c r="J129" s="37">
        <f>IF([3]道具信息!J129="","",[3]道具信息!J129)</f>
        <v>20</v>
      </c>
      <c r="K129" s="37">
        <f>IF([3]道具信息!K129="","",[3]道具信息!K129)</f>
        <v>20</v>
      </c>
      <c r="L129" s="37" t="str">
        <f>IF([3]道具信息!L129="","",[3]道具信息!L129)</f>
        <v>使用后获得50000安全铜矿</v>
      </c>
      <c r="M129" s="37" t="str">
        <f>IF([3]道具信息!M129="","",[3]道具信息!M129)</f>
        <v/>
      </c>
      <c r="N129" s="37"/>
      <c r="O129" s="37" t="str">
        <f>IF([3]道具信息!O129="","",[3]道具信息!O129)</f>
        <v/>
      </c>
      <c r="P129" s="37" t="str">
        <f>IF([3]道具信息!P129="","",[3]道具信息!P129)</f>
        <v/>
      </c>
      <c r="Q129" s="37" t="str">
        <f>IF([3]道具信息!Q129="","",[3]道具信息!Q129)</f>
        <v/>
      </c>
    </row>
    <row r="130" spans="3:17" x14ac:dyDescent="0.15">
      <c r="C130" s="37">
        <f>IF([3]道具信息!C130="","",[3]道具信息!C130)</f>
        <v>21019</v>
      </c>
      <c r="D130" s="37" t="str">
        <f>IF([3]道具信息!D130="","",[3]道具信息!D130)</f>
        <v>一箱铜矿</v>
      </c>
      <c r="E130" s="37">
        <f>IF([3]道具信息!E130="","",[3]道具信息!E130)</f>
        <v>45</v>
      </c>
      <c r="F130" s="37">
        <f>IF([3]道具信息!F130="","",[3]道具信息!F130)</f>
        <v>1.333</v>
      </c>
      <c r="G130" s="37">
        <f>IF([3]道具信息!G130="","",[3]道具信息!G130)</f>
        <v>1</v>
      </c>
      <c r="H130" s="37">
        <f>IF([3]道具信息!H130="","",[3]道具信息!H130)</f>
        <v>1</v>
      </c>
      <c r="I130" s="37">
        <f>IF([3]道具信息!I130="","",[3]道具信息!I130)</f>
        <v>59.984999999999999</v>
      </c>
      <c r="J130" s="37">
        <f>IF([3]道具信息!J130="","",[3]道具信息!J130)</f>
        <v>45</v>
      </c>
      <c r="K130" s="37">
        <f>IF([3]道具信息!K130="","",[3]道具信息!K130)</f>
        <v>45</v>
      </c>
      <c r="L130" s="37" t="str">
        <f>IF([3]道具信息!L130="","",[3]道具信息!L130)</f>
        <v>使用后获得150000安全铜矿</v>
      </c>
      <c r="M130" s="37" t="str">
        <f>IF([3]道具信息!M130="","",[3]道具信息!M130)</f>
        <v/>
      </c>
      <c r="N130" s="37"/>
      <c r="O130" s="37" t="str">
        <f>IF([3]道具信息!O130="","",[3]道具信息!O130)</f>
        <v/>
      </c>
      <c r="P130" s="37" t="str">
        <f>IF([3]道具信息!P130="","",[3]道具信息!P130)</f>
        <v/>
      </c>
      <c r="Q130" s="37" t="str">
        <f>IF([3]道具信息!Q130="","",[3]道具信息!Q130)</f>
        <v/>
      </c>
    </row>
    <row r="131" spans="3:17" x14ac:dyDescent="0.15">
      <c r="C131" s="37">
        <f>IF([3]道具信息!C131="","",[3]道具信息!C131)</f>
        <v>21020</v>
      </c>
      <c r="D131" s="37" t="str">
        <f>IF([3]道具信息!D131="","",[3]道具信息!D131)</f>
        <v>一车铜矿</v>
      </c>
      <c r="E131" s="37">
        <f>IF([3]道具信息!E131="","",[3]道具信息!E131)</f>
        <v>100</v>
      </c>
      <c r="F131" s="37">
        <f>IF([3]道具信息!F131="","",[3]道具信息!F131)</f>
        <v>2</v>
      </c>
      <c r="G131" s="37">
        <f>IF([3]道具信息!G131="","",[3]道具信息!G131)</f>
        <v>1.5</v>
      </c>
      <c r="H131" s="37">
        <f>IF([3]道具信息!H131="","",[3]道具信息!H131)</f>
        <v>1</v>
      </c>
      <c r="I131" s="37">
        <f>IF([3]道具信息!I131="","",[3]道具信息!I131)</f>
        <v>200</v>
      </c>
      <c r="J131" s="37">
        <f>IF([3]道具信息!J131="","",[3]道具信息!J131)</f>
        <v>150</v>
      </c>
      <c r="K131" s="37">
        <f>IF([3]道具信息!K131="","",[3]道具信息!K131)</f>
        <v>100</v>
      </c>
      <c r="L131" s="37" t="str">
        <f>IF([3]道具信息!L131="","",[3]道具信息!L131)</f>
        <v>使用后获得500000安全铜矿</v>
      </c>
      <c r="M131" s="37" t="str">
        <f>IF([3]道具信息!M131="","",[3]道具信息!M131)</f>
        <v/>
      </c>
      <c r="N131" s="37"/>
      <c r="O131" s="37" t="str">
        <f>IF([3]道具信息!O131="","",[3]道具信息!O131)</f>
        <v/>
      </c>
      <c r="P131" s="37" t="str">
        <f>IF([3]道具信息!P131="","",[3]道具信息!P131)</f>
        <v/>
      </c>
      <c r="Q131" s="37" t="str">
        <f>IF([3]道具信息!Q131="","",[3]道具信息!Q131)</f>
        <v/>
      </c>
    </row>
    <row r="132" spans="3:17" x14ac:dyDescent="0.15">
      <c r="C132" s="37">
        <f>IF([3]道具信息!C132="","",[3]道具信息!C132)</f>
        <v>21021</v>
      </c>
      <c r="D132" s="37" t="str">
        <f>IF([3]道具信息!D132="","",[3]道具信息!D132)</f>
        <v>一吊刀币</v>
      </c>
      <c r="E132" s="37">
        <f>IF([3]道具信息!E132="","",[3]道具信息!E132)</f>
        <v>50</v>
      </c>
      <c r="F132" s="37">
        <f>IF([3]道具信息!F132="","",[3]道具信息!F132)</f>
        <v>1</v>
      </c>
      <c r="G132" s="37">
        <f>IF([3]道具信息!G132="","",[3]道具信息!G132)</f>
        <v>1</v>
      </c>
      <c r="H132" s="37">
        <f>IF([3]道具信息!H132="","",[3]道具信息!H132)</f>
        <v>1</v>
      </c>
      <c r="I132" s="37">
        <f>IF([3]道具信息!I132="","",[3]道具信息!I132)</f>
        <v>50</v>
      </c>
      <c r="J132" s="37">
        <f>IF([3]道具信息!J132="","",[3]道具信息!J132)</f>
        <v>50</v>
      </c>
      <c r="K132" s="37">
        <f>IF([3]道具信息!K132="","",[3]道具信息!K132)</f>
        <v>50</v>
      </c>
      <c r="L132" s="37" t="str">
        <f>IF([3]道具信息!L132="","",[3]道具信息!L132)</f>
        <v>使用后获得10000刀币</v>
      </c>
      <c r="M132" s="37" t="str">
        <f>IF([3]道具信息!M132="","",[3]道具信息!M132)</f>
        <v/>
      </c>
      <c r="N132" s="37"/>
      <c r="O132" s="37" t="str">
        <f>IF([3]道具信息!O132="","",[3]道具信息!O132)</f>
        <v/>
      </c>
      <c r="P132" s="37" t="str">
        <f>IF([3]道具信息!P132="","",[3]道具信息!P132)</f>
        <v/>
      </c>
      <c r="Q132" s="37" t="str">
        <f>IF([3]道具信息!Q132="","",[3]道具信息!Q132)</f>
        <v/>
      </c>
    </row>
    <row r="133" spans="3:17" x14ac:dyDescent="0.15">
      <c r="C133" s="37">
        <f>IF([3]道具信息!C133="","",[3]道具信息!C133)</f>
        <v>21022</v>
      </c>
      <c r="D133" s="37" t="str">
        <f>IF([3]道具信息!D133="","",[3]道具信息!D133)</f>
        <v>一贯刀币</v>
      </c>
      <c r="E133" s="37">
        <f>IF([3]道具信息!E133="","",[3]道具信息!E133)</f>
        <v>150</v>
      </c>
      <c r="F133" s="37">
        <f>IF([3]道具信息!F133="","",[3]道具信息!F133)</f>
        <v>1</v>
      </c>
      <c r="G133" s="37">
        <f>IF([3]道具信息!G133="","",[3]道具信息!G133)</f>
        <v>1</v>
      </c>
      <c r="H133" s="37">
        <f>IF([3]道具信息!H133="","",[3]道具信息!H133)</f>
        <v>1</v>
      </c>
      <c r="I133" s="37">
        <f>IF([3]道具信息!I133="","",[3]道具信息!I133)</f>
        <v>150</v>
      </c>
      <c r="J133" s="37">
        <f>IF([3]道具信息!J133="","",[3]道具信息!J133)</f>
        <v>150</v>
      </c>
      <c r="K133" s="37">
        <f>IF([3]道具信息!K133="","",[3]道具信息!K133)</f>
        <v>150</v>
      </c>
      <c r="L133" s="37" t="str">
        <f>IF([3]道具信息!L133="","",[3]道具信息!L133)</f>
        <v>使用后获得50000刀币</v>
      </c>
      <c r="M133" s="37" t="str">
        <f>IF([3]道具信息!M133="","",[3]道具信息!M133)</f>
        <v/>
      </c>
      <c r="N133" s="37"/>
      <c r="O133" s="37" t="str">
        <f>IF([3]道具信息!O133="","",[3]道具信息!O133)</f>
        <v/>
      </c>
      <c r="P133" s="37" t="str">
        <f>IF([3]道具信息!P133="","",[3]道具信息!P133)</f>
        <v/>
      </c>
      <c r="Q133" s="37" t="str">
        <f>IF([3]道具信息!Q133="","",[3]道具信息!Q133)</f>
        <v/>
      </c>
    </row>
    <row r="134" spans="3:17" x14ac:dyDescent="0.15">
      <c r="C134" s="37">
        <f>IF([3]道具信息!C134="","",[3]道具信息!C134)</f>
        <v>21023</v>
      </c>
      <c r="D134" s="37" t="str">
        <f>IF([3]道具信息!D134="","",[3]道具信息!D134)</f>
        <v>一袋刀币</v>
      </c>
      <c r="E134" s="37">
        <f>IF([3]道具信息!E134="","",[3]道具信息!E134)</f>
        <v>300</v>
      </c>
      <c r="F134" s="37">
        <f>IF([3]道具信息!F134="","",[3]道具信息!F134)</f>
        <v>1.5</v>
      </c>
      <c r="G134" s="37">
        <f>IF([3]道具信息!G134="","",[3]道具信息!G134)</f>
        <v>1</v>
      </c>
      <c r="H134" s="37">
        <f>IF([3]道具信息!H134="","",[3]道具信息!H134)</f>
        <v>1</v>
      </c>
      <c r="I134" s="37">
        <f>IF([3]道具信息!I134="","",[3]道具信息!I134)</f>
        <v>450</v>
      </c>
      <c r="J134" s="37">
        <f>IF([3]道具信息!J134="","",[3]道具信息!J134)</f>
        <v>300</v>
      </c>
      <c r="K134" s="37">
        <f>IF([3]道具信息!K134="","",[3]道具信息!K134)</f>
        <v>300</v>
      </c>
      <c r="L134" s="37" t="str">
        <f>IF([3]道具信息!L134="","",[3]道具信息!L134)</f>
        <v>使用后获得150000刀币</v>
      </c>
      <c r="M134" s="37" t="str">
        <f>IF([3]道具信息!M134="","",[3]道具信息!M134)</f>
        <v/>
      </c>
      <c r="N134" s="37"/>
      <c r="O134" s="37" t="str">
        <f>IF([3]道具信息!O134="","",[3]道具信息!O134)</f>
        <v/>
      </c>
      <c r="P134" s="37" t="str">
        <f>IF([3]道具信息!P134="","",[3]道具信息!P134)</f>
        <v/>
      </c>
      <c r="Q134" s="37" t="str">
        <f>IF([3]道具信息!Q134="","",[3]道具信息!Q134)</f>
        <v/>
      </c>
    </row>
    <row r="135" spans="3:17" x14ac:dyDescent="0.15">
      <c r="C135" s="37" t="str">
        <f>IF([3]道具信息!C135="","",[3]道具信息!C135)</f>
        <v/>
      </c>
      <c r="D135" s="37" t="str">
        <f>IF([3]道具信息!D135="","",[3]道具信息!D135)</f>
        <v/>
      </c>
      <c r="E135" s="37">
        <f>IF([3]道具信息!E135="","",[3]道具信息!E135)</f>
        <v>800</v>
      </c>
      <c r="F135" s="37">
        <f>IF([3]道具信息!F135="","",[3]道具信息!F135)</f>
        <v>1.875</v>
      </c>
      <c r="G135" s="37">
        <f>IF([3]道具信息!G135="","",[3]道具信息!G135)</f>
        <v>1.25</v>
      </c>
      <c r="H135" s="37">
        <f>IF([3]道具信息!H135="","",[3]道具信息!H135)</f>
        <v>1</v>
      </c>
      <c r="I135" s="37">
        <f>IF([3]道具信息!I135="","",[3]道具信息!I135)</f>
        <v>1500</v>
      </c>
      <c r="J135" s="37">
        <f>IF([3]道具信息!J135="","",[3]道具信息!J135)</f>
        <v>1000</v>
      </c>
      <c r="K135" s="37">
        <f>IF([3]道具信息!K135="","",[3]道具信息!K135)</f>
        <v>800</v>
      </c>
      <c r="L135" s="37" t="str">
        <f>IF([3]道具信息!L135="","",[3]道具信息!L135)</f>
        <v>使用后获得500000刀币</v>
      </c>
      <c r="M135" s="37" t="str">
        <f>IF([3]道具信息!M135="","",[3]道具信息!M135)</f>
        <v/>
      </c>
      <c r="N135" s="37"/>
      <c r="O135" s="37" t="str">
        <f>IF([3]道具信息!O135="","",[3]道具信息!O135)</f>
        <v/>
      </c>
      <c r="P135" s="37" t="str">
        <f>IF([3]道具信息!P135="","",[3]道具信息!P135)</f>
        <v/>
      </c>
      <c r="Q135" s="37" t="str">
        <f>IF([3]道具信息!Q135="","",[3]道具信息!Q135)</f>
        <v/>
      </c>
    </row>
    <row r="136" spans="3:17" x14ac:dyDescent="0.15">
      <c r="C136" s="37">
        <f>IF([3]道具信息!C136="","",[3]道具信息!C136)</f>
        <v>21024</v>
      </c>
      <c r="D136" s="37" t="str">
        <f>IF([3]道具信息!D136="","",[3]道具信息!D136)</f>
        <v>普通资源自选宝箱</v>
      </c>
      <c r="E136" s="37">
        <f>IF([3]道具信息!E136="","",[3]道具信息!E136)</f>
        <v>6</v>
      </c>
      <c r="F136" s="37">
        <f>IF([3]道具信息!F136="","",[3]道具信息!F136)</f>
        <v>1</v>
      </c>
      <c r="G136" s="37">
        <f>IF([3]道具信息!G136="","",[3]道具信息!G136)</f>
        <v>1</v>
      </c>
      <c r="H136" s="37">
        <f>IF([3]道具信息!H136="","",[3]道具信息!H136)</f>
        <v>1</v>
      </c>
      <c r="I136" s="37">
        <f>IF([3]道具信息!I136="","",[3]道具信息!I136)</f>
        <v>6</v>
      </c>
      <c r="J136" s="37">
        <f>IF([3]道具信息!J136="","",[3]道具信息!J136)</f>
        <v>6</v>
      </c>
      <c r="K136" s="37">
        <f>IF([3]道具信息!K136="","",[3]道具信息!K136)</f>
        <v>6</v>
      </c>
      <c r="L136" s="37" t="str">
        <f>IF([3]道具信息!L136="","",[3]道具信息!L136)</f>
        <v>使用后可选择获得10000资源(可选择资源类型：粮食、木材、石料和铜矿)</v>
      </c>
      <c r="M136" s="37" t="str">
        <f>IF([3]道具信息!M136="","",[3]道具信息!M136)</f>
        <v/>
      </c>
      <c r="N136" s="37"/>
      <c r="O136" s="37" t="str">
        <f>IF([3]道具信息!O136="","",[3]道具信息!O136)</f>
        <v/>
      </c>
      <c r="P136" s="37" t="str">
        <f>IF([3]道具信息!P136="","",[3]道具信息!P136)</f>
        <v/>
      </c>
      <c r="Q136" s="37" t="str">
        <f>IF([3]道具信息!Q136="","",[3]道具信息!Q136)</f>
        <v/>
      </c>
    </row>
    <row r="137" spans="3:17" x14ac:dyDescent="0.15">
      <c r="C137" s="37">
        <f>IF([3]道具信息!C137="","",[3]道具信息!C137)</f>
        <v>21025</v>
      </c>
      <c r="D137" s="37" t="str">
        <f>IF([3]道具信息!D137="","",[3]道具信息!D137)</f>
        <v>初级资源自选宝箱</v>
      </c>
      <c r="E137" s="37">
        <f>IF([3]道具信息!E137="","",[3]道具信息!E137)</f>
        <v>20</v>
      </c>
      <c r="F137" s="37">
        <f>IF([3]道具信息!F137="","",[3]道具信息!F137)</f>
        <v>1</v>
      </c>
      <c r="G137" s="37">
        <f>IF([3]道具信息!G137="","",[3]道具信息!G137)</f>
        <v>1</v>
      </c>
      <c r="H137" s="37">
        <f>IF([3]道具信息!H137="","",[3]道具信息!H137)</f>
        <v>1</v>
      </c>
      <c r="I137" s="37">
        <f>IF([3]道具信息!I137="","",[3]道具信息!I137)</f>
        <v>20</v>
      </c>
      <c r="J137" s="37">
        <f>IF([3]道具信息!J137="","",[3]道具信息!J137)</f>
        <v>20</v>
      </c>
      <c r="K137" s="37">
        <f>IF([3]道具信息!K137="","",[3]道具信息!K137)</f>
        <v>20</v>
      </c>
      <c r="L137" s="37" t="str">
        <f>IF([3]道具信息!L137="","",[3]道具信息!L137)</f>
        <v>使用后可选择获得50000资源(可选择资源类型：粮食、木材、石料和铜矿)</v>
      </c>
      <c r="M137" s="37" t="str">
        <f>IF([3]道具信息!M137="","",[3]道具信息!M137)</f>
        <v/>
      </c>
      <c r="N137" s="37"/>
      <c r="O137" s="37" t="str">
        <f>IF([3]道具信息!O137="","",[3]道具信息!O137)</f>
        <v/>
      </c>
      <c r="P137" s="37" t="str">
        <f>IF([3]道具信息!P137="","",[3]道具信息!P137)</f>
        <v/>
      </c>
      <c r="Q137" s="37" t="str">
        <f>IF([3]道具信息!Q137="","",[3]道具信息!Q137)</f>
        <v/>
      </c>
    </row>
    <row r="138" spans="3:17" x14ac:dyDescent="0.15">
      <c r="C138" s="37">
        <f>IF([3]道具信息!C138="","",[3]道具信息!C138)</f>
        <v>21026</v>
      </c>
      <c r="D138" s="37" t="str">
        <f>IF([3]道具信息!D138="","",[3]道具信息!D138)</f>
        <v>中级资源自选宝箱</v>
      </c>
      <c r="E138" s="37">
        <f>IF([3]道具信息!E138="","",[3]道具信息!E138)</f>
        <v>45</v>
      </c>
      <c r="F138" s="37">
        <f>IF([3]道具信息!F138="","",[3]道具信息!F138)</f>
        <v>1.333</v>
      </c>
      <c r="G138" s="37">
        <f>IF([3]道具信息!G138="","",[3]道具信息!G138)</f>
        <v>1</v>
      </c>
      <c r="H138" s="37">
        <f>IF([3]道具信息!H138="","",[3]道具信息!H138)</f>
        <v>1</v>
      </c>
      <c r="I138" s="37">
        <f>IF([3]道具信息!I138="","",[3]道具信息!I138)</f>
        <v>59.984999999999999</v>
      </c>
      <c r="J138" s="37">
        <f>IF([3]道具信息!J138="","",[3]道具信息!J138)</f>
        <v>45</v>
      </c>
      <c r="K138" s="37">
        <f>IF([3]道具信息!K138="","",[3]道具信息!K138)</f>
        <v>45</v>
      </c>
      <c r="L138" s="37" t="str">
        <f>IF([3]道具信息!L138="","",[3]道具信息!L138)</f>
        <v>使用后可选择获得150000资源(可选择资源类型：粮食、木材、石料和铜矿)</v>
      </c>
      <c r="M138" s="37" t="str">
        <f>IF([3]道具信息!M138="","",[3]道具信息!M138)</f>
        <v/>
      </c>
      <c r="N138" s="37"/>
      <c r="O138" s="37" t="str">
        <f>IF([3]道具信息!O138="","",[3]道具信息!O138)</f>
        <v/>
      </c>
      <c r="P138" s="37" t="str">
        <f>IF([3]道具信息!P138="","",[3]道具信息!P138)</f>
        <v/>
      </c>
      <c r="Q138" s="37" t="str">
        <f>IF([3]道具信息!Q138="","",[3]道具信息!Q138)</f>
        <v/>
      </c>
    </row>
    <row r="139" spans="3:17" x14ac:dyDescent="0.15">
      <c r="C139" s="37">
        <f>IF([3]道具信息!C139="","",[3]道具信息!C139)</f>
        <v>21027</v>
      </c>
      <c r="D139" s="37" t="str">
        <f>IF([3]道具信息!D139="","",[3]道具信息!D139)</f>
        <v>高级资源自选宝箱</v>
      </c>
      <c r="E139" s="37">
        <f>IF([3]道具信息!E139="","",[3]道具信息!E139)</f>
        <v>100</v>
      </c>
      <c r="F139" s="37">
        <f>IF([3]道具信息!F139="","",[3]道具信息!F139)</f>
        <v>2</v>
      </c>
      <c r="G139" s="37">
        <f>IF([3]道具信息!G139="","",[3]道具信息!G139)</f>
        <v>1.5</v>
      </c>
      <c r="H139" s="37">
        <f>IF([3]道具信息!H139="","",[3]道具信息!H139)</f>
        <v>1</v>
      </c>
      <c r="I139" s="37">
        <f>IF([3]道具信息!I139="","",[3]道具信息!I139)</f>
        <v>200</v>
      </c>
      <c r="J139" s="37">
        <f>IF([3]道具信息!J139="","",[3]道具信息!J139)</f>
        <v>150</v>
      </c>
      <c r="K139" s="37">
        <f>IF([3]道具信息!K139="","",[3]道具信息!K139)</f>
        <v>100</v>
      </c>
      <c r="L139" s="37" t="str">
        <f>IF([3]道具信息!L139="","",[3]道具信息!L139)</f>
        <v>使用后可选择获得500000资源(可选择资源类型：粮食、木材、石料和铜矿)</v>
      </c>
      <c r="M139" s="37" t="str">
        <f>IF([3]道具信息!M139="","",[3]道具信息!M139)</f>
        <v/>
      </c>
      <c r="N139" s="37"/>
      <c r="O139" s="37" t="str">
        <f>IF([3]道具信息!O139="","",[3]道具信息!O139)</f>
        <v/>
      </c>
      <c r="P139" s="37" t="str">
        <f>IF([3]道具信息!P139="","",[3]道具信息!P139)</f>
        <v/>
      </c>
      <c r="Q139" s="37" t="str">
        <f>IF([3]道具信息!Q139="","",[3]道具信息!Q139)</f>
        <v/>
      </c>
    </row>
    <row r="140" spans="3:17" x14ac:dyDescent="0.15">
      <c r="C140" s="37">
        <f>IF([3]道具信息!C140="","",[3]道具信息!C140)</f>
        <v>21031</v>
      </c>
      <c r="D140" s="37" t="str">
        <f>IF([3]道具信息!D140="","",[3]道具信息!D140)</f>
        <v>普通资源宝箱</v>
      </c>
      <c r="E140" s="37">
        <f>IF([3]道具信息!E140="","",[3]道具信息!E140)</f>
        <v>30</v>
      </c>
      <c r="F140" s="37">
        <f>IF([3]道具信息!F140="","",[3]道具信息!F140)</f>
        <v>1</v>
      </c>
      <c r="G140" s="37">
        <f>IF([3]道具信息!G140="","",[3]道具信息!G140)</f>
        <v>1</v>
      </c>
      <c r="H140" s="37">
        <f>IF([3]道具信息!H140="","",[3]道具信息!H140)</f>
        <v>1</v>
      </c>
      <c r="I140" s="37">
        <f>IF([3]道具信息!I140="","",[3]道具信息!I140)</f>
        <v>30</v>
      </c>
      <c r="J140" s="37">
        <f>IF([3]道具信息!J140="","",[3]道具信息!J140)</f>
        <v>30</v>
      </c>
      <c r="K140" s="37">
        <f>IF([3]道具信息!K140="","",[3]道具信息!K140)</f>
        <v>30</v>
      </c>
      <c r="L140" s="37" t="str">
        <f>IF([3]道具信息!L140="","",[3]道具信息!L140)</f>
        <v>使用后直接获得10000粮食、木材、石料和铜矿</v>
      </c>
      <c r="M140" s="37" t="str">
        <f>IF([3]道具信息!M140="","",[3]道具信息!M140)</f>
        <v/>
      </c>
      <c r="N140" s="37"/>
      <c r="O140" s="37" t="str">
        <f>IF([3]道具信息!O140="","",[3]道具信息!O140)</f>
        <v/>
      </c>
      <c r="P140" s="37" t="str">
        <f>IF([3]道具信息!P140="","",[3]道具信息!P140)</f>
        <v/>
      </c>
      <c r="Q140" s="37" t="str">
        <f>IF([3]道具信息!Q140="","",[3]道具信息!Q140)</f>
        <v/>
      </c>
    </row>
    <row r="141" spans="3:17" x14ac:dyDescent="0.15">
      <c r="C141" s="37">
        <f>IF([3]道具信息!C141="","",[3]道具信息!C141)</f>
        <v>21032</v>
      </c>
      <c r="D141" s="37" t="str">
        <f>IF([3]道具信息!D141="","",[3]道具信息!D141)</f>
        <v>初级资源宝箱</v>
      </c>
      <c r="E141" s="37">
        <f>IF([3]道具信息!E141="","",[3]道具信息!E141)</f>
        <v>80</v>
      </c>
      <c r="F141" s="37">
        <f>IF([3]道具信息!F141="","",[3]道具信息!F141)</f>
        <v>1</v>
      </c>
      <c r="G141" s="37">
        <f>IF([3]道具信息!G141="","",[3]道具信息!G141)</f>
        <v>1</v>
      </c>
      <c r="H141" s="37">
        <f>IF([3]道具信息!H141="","",[3]道具信息!H141)</f>
        <v>1</v>
      </c>
      <c r="I141" s="37">
        <f>IF([3]道具信息!I141="","",[3]道具信息!I141)</f>
        <v>80</v>
      </c>
      <c r="J141" s="37">
        <f>IF([3]道具信息!J141="","",[3]道具信息!J141)</f>
        <v>80</v>
      </c>
      <c r="K141" s="37">
        <f>IF([3]道具信息!K141="","",[3]道具信息!K141)</f>
        <v>80</v>
      </c>
      <c r="L141" s="37" t="str">
        <f>IF([3]道具信息!L141="","",[3]道具信息!L141)</f>
        <v>使用后直接获得50000粮食、木材、石料和铜矿</v>
      </c>
      <c r="M141" s="37" t="str">
        <f>IF([3]道具信息!M141="","",[3]道具信息!M141)</f>
        <v/>
      </c>
      <c r="N141" s="37"/>
      <c r="O141" s="37" t="str">
        <f>IF([3]道具信息!O141="","",[3]道具信息!O141)</f>
        <v/>
      </c>
      <c r="P141" s="37" t="str">
        <f>IF([3]道具信息!P141="","",[3]道具信息!P141)</f>
        <v/>
      </c>
      <c r="Q141" s="37" t="str">
        <f>IF([3]道具信息!Q141="","",[3]道具信息!Q141)</f>
        <v/>
      </c>
    </row>
    <row r="142" spans="3:17" x14ac:dyDescent="0.15">
      <c r="C142" s="37">
        <f>IF([3]道具信息!C142="","",[3]道具信息!C142)</f>
        <v>21033</v>
      </c>
      <c r="D142" s="37" t="str">
        <f>IF([3]道具信息!D142="","",[3]道具信息!D142)</f>
        <v>中级资源宝箱</v>
      </c>
      <c r="E142" s="37">
        <f>IF([3]道具信息!E142="","",[3]道具信息!E142)</f>
        <v>180</v>
      </c>
      <c r="F142" s="37">
        <f>IF([3]道具信息!F142="","",[3]道具信息!F142)</f>
        <v>1.333</v>
      </c>
      <c r="G142" s="37">
        <f>IF([3]道具信息!G142="","",[3]道具信息!G142)</f>
        <v>1</v>
      </c>
      <c r="H142" s="37">
        <f>IF([3]道具信息!H142="","",[3]道具信息!H142)</f>
        <v>1</v>
      </c>
      <c r="I142" s="37">
        <f>IF([3]道具信息!I142="","",[3]道具信息!I142)</f>
        <v>239.94</v>
      </c>
      <c r="J142" s="37">
        <f>IF([3]道具信息!J142="","",[3]道具信息!J142)</f>
        <v>180</v>
      </c>
      <c r="K142" s="37">
        <f>IF([3]道具信息!K142="","",[3]道具信息!K142)</f>
        <v>180</v>
      </c>
      <c r="L142" s="37" t="str">
        <f>IF([3]道具信息!L142="","",[3]道具信息!L142)</f>
        <v>使用后直接获得150000粮食、木材、石料和铜矿</v>
      </c>
      <c r="M142" s="37" t="str">
        <f>IF([3]道具信息!M142="","",[3]道具信息!M142)</f>
        <v/>
      </c>
      <c r="N142" s="37"/>
      <c r="O142" s="37" t="str">
        <f>IF([3]道具信息!O142="","",[3]道具信息!O142)</f>
        <v/>
      </c>
      <c r="P142" s="37" t="str">
        <f>IF([3]道具信息!P142="","",[3]道具信息!P142)</f>
        <v/>
      </c>
      <c r="Q142" s="37" t="str">
        <f>IF([3]道具信息!Q142="","",[3]道具信息!Q142)</f>
        <v/>
      </c>
    </row>
    <row r="143" spans="3:17" x14ac:dyDescent="0.15">
      <c r="C143" s="37">
        <f>IF([3]道具信息!C143="","",[3]道具信息!C143)</f>
        <v>21034</v>
      </c>
      <c r="D143" s="37" t="str">
        <f>IF([3]道具信息!D143="","",[3]道具信息!D143)</f>
        <v>高级资源宝箱</v>
      </c>
      <c r="E143" s="37">
        <f>IF([3]道具信息!E143="","",[3]道具信息!E143)</f>
        <v>400</v>
      </c>
      <c r="F143" s="37">
        <f>IF([3]道具信息!F143="","",[3]道具信息!F143)</f>
        <v>2</v>
      </c>
      <c r="G143" s="37">
        <f>IF([3]道具信息!G143="","",[3]道具信息!G143)</f>
        <v>1.5</v>
      </c>
      <c r="H143" s="37">
        <f>IF([3]道具信息!H143="","",[3]道具信息!H143)</f>
        <v>1</v>
      </c>
      <c r="I143" s="37">
        <f>IF([3]道具信息!I143="","",[3]道具信息!I143)</f>
        <v>800</v>
      </c>
      <c r="J143" s="37">
        <f>IF([3]道具信息!J143="","",[3]道具信息!J143)</f>
        <v>600</v>
      </c>
      <c r="K143" s="37">
        <f>IF([3]道具信息!K143="","",[3]道具信息!K143)</f>
        <v>400</v>
      </c>
      <c r="L143" s="37" t="str">
        <f>IF([3]道具信息!L143="","",[3]道具信息!L143)</f>
        <v>使用后直接获得500000粮食、木材、石料和铜矿</v>
      </c>
      <c r="M143" s="37" t="str">
        <f>IF([3]道具信息!M143="","",[3]道具信息!M143)</f>
        <v/>
      </c>
      <c r="N143" s="37"/>
      <c r="O143" s="37" t="str">
        <f>IF([3]道具信息!O143="","",[3]道具信息!O143)</f>
        <v/>
      </c>
      <c r="P143" s="37" t="str">
        <f>IF([3]道具信息!P143="","",[3]道具信息!P143)</f>
        <v/>
      </c>
      <c r="Q143" s="37" t="str">
        <f>IF([3]道具信息!Q143="","",[3]道具信息!Q143)</f>
        <v/>
      </c>
    </row>
    <row r="144" spans="3:17" x14ac:dyDescent="0.15">
      <c r="C144" s="37" t="str">
        <f>IF([3]道具信息!C144="","",[3]道具信息!C144)</f>
        <v/>
      </c>
      <c r="D144" s="37" t="str">
        <f>IF([3]道具信息!D144="","",[3]道具信息!D144)</f>
        <v/>
      </c>
      <c r="E144" s="37" t="str">
        <f>IF([3]道具信息!E144="","",[3]道具信息!E144)</f>
        <v/>
      </c>
      <c r="F144" s="37" t="str">
        <f>IF([3]道具信息!F144="","",[3]道具信息!F144)</f>
        <v/>
      </c>
      <c r="G144" s="37" t="str">
        <f>IF([3]道具信息!G144="","",[3]道具信息!G144)</f>
        <v/>
      </c>
      <c r="H144" s="37" t="str">
        <f>IF([3]道具信息!H144="","",[3]道具信息!H144)</f>
        <v/>
      </c>
      <c r="I144" s="37" t="str">
        <f>IF([3]道具信息!I144="","",[3]道具信息!I144)</f>
        <v/>
      </c>
      <c r="J144" s="37" t="str">
        <f>IF([3]道具信息!J144="","",[3]道具信息!J144)</f>
        <v/>
      </c>
      <c r="K144" s="37" t="str">
        <f>IF([3]道具信息!K144="","",[3]道具信息!K144)</f>
        <v/>
      </c>
      <c r="L144" s="37" t="str">
        <f>IF([3]道具信息!L144="","",[3]道具信息!L144)</f>
        <v/>
      </c>
      <c r="M144" s="37" t="str">
        <f>IF([3]道具信息!M144="","",[3]道具信息!M144)</f>
        <v/>
      </c>
      <c r="N144" s="37"/>
      <c r="O144" s="37" t="str">
        <f>IF([3]道具信息!O144="","",[3]道具信息!O144)</f>
        <v/>
      </c>
      <c r="P144" s="37" t="str">
        <f>IF([3]道具信息!P144="","",[3]道具信息!P144)</f>
        <v/>
      </c>
      <c r="Q144" s="37" t="str">
        <f>IF([3]道具信息!Q144="","",[3]道具信息!Q144)</f>
        <v/>
      </c>
    </row>
    <row r="145" spans="3:17" x14ac:dyDescent="0.15">
      <c r="C145" s="37">
        <f>IF([3]道具信息!C145="","",[3]道具信息!C145)</f>
        <v>21061</v>
      </c>
      <c r="D145" s="37" t="str">
        <f>IF([3]道具信息!D145="","",[3]道具信息!D145)</f>
        <v>初级经验书</v>
      </c>
      <c r="E145" s="37">
        <f>IF([3]道具信息!E145="","",[3]道具信息!E145)</f>
        <v>2</v>
      </c>
      <c r="F145" s="37">
        <f>IF([3]道具信息!F145="","",[3]道具信息!F145)</f>
        <v>1</v>
      </c>
      <c r="G145" s="37">
        <f>IF([3]道具信息!G145="","",[3]道具信息!G145)</f>
        <v>1</v>
      </c>
      <c r="H145" s="37">
        <f>IF([3]道具信息!H145="","",[3]道具信息!H145)</f>
        <v>1</v>
      </c>
      <c r="I145" s="37">
        <f>IF([3]道具信息!I145="","",[3]道具信息!I145)</f>
        <v>2</v>
      </c>
      <c r="J145" s="37">
        <f>IF([3]道具信息!J145="","",[3]道具信息!J145)</f>
        <v>2</v>
      </c>
      <c r="K145" s="37">
        <f>IF([3]道具信息!K145="","",[3]道具信息!K145)</f>
        <v>2</v>
      </c>
      <c r="L145" s="37" t="str">
        <f>IF([3]道具信息!L145="","",[3]道具信息!L145)</f>
        <v>武将使用后获得200经验</v>
      </c>
      <c r="M145" s="37" t="str">
        <f>IF([3]道具信息!M145="","",[3]道具信息!M145)</f>
        <v/>
      </c>
      <c r="N145" s="37"/>
      <c r="O145" s="37" t="str">
        <f>IF([3]道具信息!O145="","",[3]道具信息!O145)</f>
        <v/>
      </c>
      <c r="P145" s="37" t="str">
        <f>IF([3]道具信息!P145="","",[3]道具信息!P145)</f>
        <v/>
      </c>
      <c r="Q145" s="37" t="str">
        <f>IF([3]道具信息!Q145="","",[3]道具信息!Q145)</f>
        <v/>
      </c>
    </row>
    <row r="146" spans="3:17" x14ac:dyDescent="0.15">
      <c r="C146" s="37">
        <f>IF([3]道具信息!C146="","",[3]道具信息!C146)</f>
        <v>21062</v>
      </c>
      <c r="D146" s="37" t="str">
        <f>IF([3]道具信息!D146="","",[3]道具信息!D146)</f>
        <v>中级经验书</v>
      </c>
      <c r="E146" s="37">
        <f>IF([3]道具信息!E146="","",[3]道具信息!E146)</f>
        <v>5</v>
      </c>
      <c r="F146" s="37">
        <f>IF([3]道具信息!F146="","",[3]道具信息!F146)</f>
        <v>1</v>
      </c>
      <c r="G146" s="37">
        <f>IF([3]道具信息!G146="","",[3]道具信息!G146)</f>
        <v>1</v>
      </c>
      <c r="H146" s="37">
        <f>IF([3]道具信息!H146="","",[3]道具信息!H146)</f>
        <v>1</v>
      </c>
      <c r="I146" s="37">
        <f>IF([3]道具信息!I146="","",[3]道具信息!I146)</f>
        <v>5</v>
      </c>
      <c r="J146" s="37">
        <f>IF([3]道具信息!J146="","",[3]道具信息!J146)</f>
        <v>5</v>
      </c>
      <c r="K146" s="37">
        <f>IF([3]道具信息!K146="","",[3]道具信息!K146)</f>
        <v>5</v>
      </c>
      <c r="L146" s="37" t="str">
        <f>IF([3]道具信息!L146="","",[3]道具信息!L146)</f>
        <v>武将使用后获得1000经验</v>
      </c>
      <c r="M146" s="37" t="str">
        <f>IF([3]道具信息!M146="","",[3]道具信息!M146)</f>
        <v/>
      </c>
      <c r="N146" s="37"/>
      <c r="O146" s="37" t="str">
        <f>IF([3]道具信息!O146="","",[3]道具信息!O146)</f>
        <v/>
      </c>
      <c r="P146" s="37" t="str">
        <f>IF([3]道具信息!P146="","",[3]道具信息!P146)</f>
        <v/>
      </c>
      <c r="Q146" s="37" t="str">
        <f>IF([3]道具信息!Q146="","",[3]道具信息!Q146)</f>
        <v/>
      </c>
    </row>
    <row r="147" spans="3:17" x14ac:dyDescent="0.15">
      <c r="C147" s="37">
        <f>IF([3]道具信息!C147="","",[3]道具信息!C147)</f>
        <v>21063</v>
      </c>
      <c r="D147" s="37" t="str">
        <f>IF([3]道具信息!D147="","",[3]道具信息!D147)</f>
        <v>高级经验书</v>
      </c>
      <c r="E147" s="37">
        <f>IF([3]道具信息!E147="","",[3]道具信息!E147)</f>
        <v>10</v>
      </c>
      <c r="F147" s="37">
        <f>IF([3]道具信息!F147="","",[3]道具信息!F147)</f>
        <v>1</v>
      </c>
      <c r="G147" s="37">
        <f>IF([3]道具信息!G147="","",[3]道具信息!G147)</f>
        <v>1</v>
      </c>
      <c r="H147" s="37">
        <f>IF([3]道具信息!H147="","",[3]道具信息!H147)</f>
        <v>1</v>
      </c>
      <c r="I147" s="37">
        <f>IF([3]道具信息!I147="","",[3]道具信息!I147)</f>
        <v>10</v>
      </c>
      <c r="J147" s="37">
        <f>IF([3]道具信息!J147="","",[3]道具信息!J147)</f>
        <v>10</v>
      </c>
      <c r="K147" s="37">
        <f>IF([3]道具信息!K147="","",[3]道具信息!K147)</f>
        <v>10</v>
      </c>
      <c r="L147" s="37" t="str">
        <f>IF([3]道具信息!L147="","",[3]道具信息!L147)</f>
        <v>武将使用后获得5000经验</v>
      </c>
      <c r="M147" s="37" t="str">
        <f>IF([3]道具信息!M147="","",[3]道具信息!M147)</f>
        <v/>
      </c>
      <c r="N147" s="37"/>
      <c r="O147" s="37" t="str">
        <f>IF([3]道具信息!O147="","",[3]道具信息!O147)</f>
        <v/>
      </c>
      <c r="P147" s="37" t="str">
        <f>IF([3]道具信息!P147="","",[3]道具信息!P147)</f>
        <v/>
      </c>
      <c r="Q147" s="37" t="str">
        <f>IF([3]道具信息!Q147="","",[3]道具信息!Q147)</f>
        <v/>
      </c>
    </row>
    <row r="148" spans="3:17" x14ac:dyDescent="0.15">
      <c r="C148" s="37">
        <f>IF([3]道具信息!C148="","",[3]道具信息!C148)</f>
        <v>21064</v>
      </c>
      <c r="D148" s="37" t="str">
        <f>IF([3]道具信息!D148="","",[3]道具信息!D148)</f>
        <v>特级经验书</v>
      </c>
      <c r="E148" s="37">
        <f>IF([3]道具信息!E148="","",[3]道具信息!E148)</f>
        <v>20</v>
      </c>
      <c r="F148" s="37">
        <f>IF([3]道具信息!F148="","",[3]道具信息!F148)</f>
        <v>2</v>
      </c>
      <c r="G148" s="37">
        <f>IF([3]道具信息!G148="","",[3]道具信息!G148)</f>
        <v>1</v>
      </c>
      <c r="H148" s="37">
        <f>IF([3]道具信息!H148="","",[3]道具信息!H148)</f>
        <v>1</v>
      </c>
      <c r="I148" s="37">
        <f>IF([3]道具信息!I148="","",[3]道具信息!I148)</f>
        <v>40</v>
      </c>
      <c r="J148" s="37">
        <f>IF([3]道具信息!J148="","",[3]道具信息!J148)</f>
        <v>20</v>
      </c>
      <c r="K148" s="37">
        <f>IF([3]道具信息!K148="","",[3]道具信息!K148)</f>
        <v>20</v>
      </c>
      <c r="L148" s="37" t="str">
        <f>IF([3]道具信息!L148="","",[3]道具信息!L148)</f>
        <v>武将使用后获得20000经验</v>
      </c>
      <c r="M148" s="37" t="str">
        <f>IF([3]道具信息!M148="","",[3]道具信息!M148)</f>
        <v/>
      </c>
      <c r="N148" s="37"/>
      <c r="O148" s="37" t="str">
        <f>IF([3]道具信息!O148="","",[3]道具信息!O148)</f>
        <v/>
      </c>
      <c r="P148" s="37" t="str">
        <f>IF([3]道具信息!P148="","",[3]道具信息!P148)</f>
        <v/>
      </c>
      <c r="Q148" s="37" t="str">
        <f>IF([3]道具信息!Q148="","",[3]道具信息!Q148)</f>
        <v/>
      </c>
    </row>
    <row r="149" spans="3:17" x14ac:dyDescent="0.15">
      <c r="C149" s="37">
        <f>IF([3]道具信息!C149="","",[3]道具信息!C149)</f>
        <v>21065</v>
      </c>
      <c r="D149" s="37" t="str">
        <f>IF([3]道具信息!D149="","",[3]道具信息!D149)</f>
        <v>超级经验书</v>
      </c>
      <c r="E149" s="37">
        <f>IF([3]道具信息!E149="","",[3]道具信息!E149)</f>
        <v>40</v>
      </c>
      <c r="F149" s="37">
        <f>IF([3]道具信息!F149="","",[3]道具信息!F149)</f>
        <v>5</v>
      </c>
      <c r="G149" s="37">
        <f>IF([3]道具信息!G149="","",[3]道具信息!G149)</f>
        <v>2.5</v>
      </c>
      <c r="H149" s="37">
        <f>IF([3]道具信息!H149="","",[3]道具信息!H149)</f>
        <v>1</v>
      </c>
      <c r="I149" s="37">
        <f>IF([3]道具信息!I149="","",[3]道具信息!I149)</f>
        <v>200</v>
      </c>
      <c r="J149" s="37">
        <f>IF([3]道具信息!J149="","",[3]道具信息!J149)</f>
        <v>100</v>
      </c>
      <c r="K149" s="37">
        <f>IF([3]道具信息!K149="","",[3]道具信息!K149)</f>
        <v>40</v>
      </c>
      <c r="L149" s="37" t="str">
        <f>IF([3]道具信息!L149="","",[3]道具信息!L149)</f>
        <v>武将使用后获得100000经验</v>
      </c>
      <c r="M149" s="37" t="str">
        <f>IF([3]道具信息!M149="","",[3]道具信息!M149)</f>
        <v/>
      </c>
      <c r="N149" s="37"/>
      <c r="O149" s="37" t="str">
        <f>IF([3]道具信息!O149="","",[3]道具信息!O149)</f>
        <v/>
      </c>
      <c r="P149" s="37" t="str">
        <f>IF([3]道具信息!P149="","",[3]道具信息!P149)</f>
        <v/>
      </c>
      <c r="Q149" s="37" t="str">
        <f>IF([3]道具信息!Q149="","",[3]道具信息!Q149)</f>
        <v/>
      </c>
    </row>
    <row r="150" spans="3:17" x14ac:dyDescent="0.15">
      <c r="C150" s="37" t="str">
        <f>IF([3]道具信息!C150="","",[3]道具信息!C150)</f>
        <v/>
      </c>
      <c r="D150" s="37" t="str">
        <f>IF([3]道具信息!D150="","",[3]道具信息!D150)</f>
        <v/>
      </c>
      <c r="E150" s="37" t="str">
        <f>IF([3]道具信息!E150="","",[3]道具信息!E150)</f>
        <v/>
      </c>
      <c r="F150" s="37" t="str">
        <f>IF([3]道具信息!F150="","",[3]道具信息!F150)</f>
        <v/>
      </c>
      <c r="G150" s="37" t="str">
        <f>IF([3]道具信息!G150="","",[3]道具信息!G150)</f>
        <v/>
      </c>
      <c r="H150" s="37" t="str">
        <f>IF([3]道具信息!H150="","",[3]道具信息!H150)</f>
        <v/>
      </c>
      <c r="I150" s="37" t="str">
        <f>IF([3]道具信息!I150="","",[3]道具信息!I150)</f>
        <v/>
      </c>
      <c r="J150" s="37" t="str">
        <f>IF([3]道具信息!J150="","",[3]道具信息!J150)</f>
        <v/>
      </c>
      <c r="K150" s="37" t="str">
        <f>IF([3]道具信息!K150="","",[3]道具信息!K150)</f>
        <v/>
      </c>
      <c r="L150" s="37" t="str">
        <f>IF([3]道具信息!L150="","",[3]道具信息!L150)</f>
        <v/>
      </c>
      <c r="M150" s="37" t="str">
        <f>IF([3]道具信息!M150="","",[3]道具信息!M150)</f>
        <v/>
      </c>
      <c r="N150" s="37"/>
      <c r="O150" s="37" t="str">
        <f>IF([3]道具信息!O150="","",[3]道具信息!O150)</f>
        <v/>
      </c>
      <c r="P150" s="37" t="str">
        <f>IF([3]道具信息!P150="","",[3]道具信息!P150)</f>
        <v/>
      </c>
      <c r="Q150" s="37" t="str">
        <f>IF([3]道具信息!Q150="","",[3]道具信息!Q150)</f>
        <v/>
      </c>
    </row>
    <row r="151" spans="3:17" x14ac:dyDescent="0.15">
      <c r="C151" s="37">
        <f>IF([3]道具信息!C151="","",[3]道具信息!C151)</f>
        <v>21073</v>
      </c>
      <c r="D151" s="37" t="str">
        <f>IF([3]道具信息!D151="","",[3]道具信息!D151)</f>
        <v>1个行军令</v>
      </c>
      <c r="E151" s="37">
        <f>IF([3]道具信息!E151="","",[3]道具信息!E151)</f>
        <v>75</v>
      </c>
      <c r="F151" s="37">
        <f>IF([3]道具信息!F151="","",[3]道具信息!F151)</f>
        <v>1</v>
      </c>
      <c r="G151" s="37">
        <f>IF([3]道具信息!G151="","",[3]道具信息!G151)</f>
        <v>1</v>
      </c>
      <c r="H151" s="37">
        <f>IF([3]道具信息!H151="","",[3]道具信息!H151)</f>
        <v>1</v>
      </c>
      <c r="I151" s="37">
        <f>IF([3]道具信息!I151="","",[3]道具信息!I151)</f>
        <v>75</v>
      </c>
      <c r="J151" s="37">
        <f>IF([3]道具信息!J151="","",[3]道具信息!J151)</f>
        <v>75</v>
      </c>
      <c r="K151" s="37">
        <f>IF([3]道具信息!K151="","",[3]道具信息!K151)</f>
        <v>75</v>
      </c>
      <c r="L151" s="37" t="str">
        <f>IF([3]道具信息!L151="","",[3]道具信息!L151)</f>
        <v>使用后获得1个行军令</v>
      </c>
      <c r="M151" s="37" t="str">
        <f>IF([3]道具信息!M151="","",[3]道具信息!M151)</f>
        <v/>
      </c>
      <c r="N151" s="37"/>
      <c r="O151" s="37" t="str">
        <f>IF([3]道具信息!O151="","",[3]道具信息!O151)</f>
        <v/>
      </c>
      <c r="P151" s="37" t="str">
        <f>IF([3]道具信息!P151="","",[3]道具信息!P151)</f>
        <v/>
      </c>
      <c r="Q151" s="37" t="str">
        <f>IF([3]道具信息!Q151="","",[3]道具信息!Q151)</f>
        <v/>
      </c>
    </row>
    <row r="152" spans="3:17" x14ac:dyDescent="0.15">
      <c r="C152" s="37">
        <f>IF([3]道具信息!C152="","",[3]道具信息!C152)</f>
        <v>21074</v>
      </c>
      <c r="D152" s="37" t="str">
        <f>IF([3]道具信息!D152="","",[3]道具信息!D152)</f>
        <v>大捆行军令</v>
      </c>
      <c r="E152" s="37">
        <f>IF([3]道具信息!E152="","",[3]道具信息!E152)</f>
        <v>225</v>
      </c>
      <c r="F152" s="37">
        <f>IF([3]道具信息!F152="","",[3]道具信息!F152)</f>
        <v>1</v>
      </c>
      <c r="G152" s="37">
        <f>IF([3]道具信息!G152="","",[3]道具信息!G152)</f>
        <v>1</v>
      </c>
      <c r="H152" s="37">
        <f>IF([3]道具信息!H152="","",[3]道具信息!H152)</f>
        <v>1</v>
      </c>
      <c r="I152" s="37">
        <f>IF([3]道具信息!I152="","",[3]道具信息!I152)</f>
        <v>225</v>
      </c>
      <c r="J152" s="37">
        <f>IF([3]道具信息!J152="","",[3]道具信息!J152)</f>
        <v>225</v>
      </c>
      <c r="K152" s="37">
        <f>IF([3]道具信息!K152="","",[3]道具信息!K152)</f>
        <v>225</v>
      </c>
      <c r="L152" s="37" t="str">
        <f>IF([3]道具信息!L152="","",[3]道具信息!L152)</f>
        <v>使用后获得3个行军令</v>
      </c>
      <c r="M152" s="37" t="str">
        <f>IF([3]道具信息!M152="","",[3]道具信息!M152)</f>
        <v/>
      </c>
      <c r="N152" s="37"/>
      <c r="O152" s="37" t="str">
        <f>IF([3]道具信息!O152="","",[3]道具信息!O152)</f>
        <v/>
      </c>
      <c r="P152" s="37" t="str">
        <f>IF([3]道具信息!P152="","",[3]道具信息!P152)</f>
        <v/>
      </c>
      <c r="Q152" s="37" t="str">
        <f>IF([3]道具信息!Q152="","",[3]道具信息!Q152)</f>
        <v/>
      </c>
    </row>
    <row r="153" spans="3:17" x14ac:dyDescent="0.15">
      <c r="C153" s="37" t="str">
        <f>IF([3]道具信息!C153="","",[3]道具信息!C153)</f>
        <v/>
      </c>
      <c r="D153" s="37" t="str">
        <f>IF([3]道具信息!D153="","",[3]道具信息!D153)</f>
        <v/>
      </c>
      <c r="E153" s="37" t="str">
        <f>IF([3]道具信息!E153="","",[3]道具信息!E153)</f>
        <v/>
      </c>
      <c r="F153" s="37" t="str">
        <f>IF([3]道具信息!F153="","",[3]道具信息!F153)</f>
        <v/>
      </c>
      <c r="G153" s="37" t="str">
        <f>IF([3]道具信息!G153="","",[3]道具信息!G153)</f>
        <v/>
      </c>
      <c r="H153" s="37" t="str">
        <f>IF([3]道具信息!H153="","",[3]道具信息!H153)</f>
        <v/>
      </c>
      <c r="I153" s="37" t="str">
        <f>IF([3]道具信息!I153="","",[3]道具信息!I153)</f>
        <v/>
      </c>
      <c r="J153" s="37" t="str">
        <f>IF([3]道具信息!J153="","",[3]道具信息!J153)</f>
        <v/>
      </c>
      <c r="K153" s="37" t="str">
        <f>IF([3]道具信息!K153="","",[3]道具信息!K153)</f>
        <v/>
      </c>
      <c r="L153" s="37" t="str">
        <f>IF([3]道具信息!L153="","",[3]道具信息!L153)</f>
        <v/>
      </c>
      <c r="M153" s="37" t="str">
        <f>IF([3]道具信息!M153="","",[3]道具信息!M153)</f>
        <v/>
      </c>
      <c r="N153" s="37"/>
      <c r="O153" s="37" t="str">
        <f>IF([3]道具信息!O153="","",[3]道具信息!O153)</f>
        <v/>
      </c>
      <c r="P153" s="37" t="str">
        <f>IF([3]道具信息!P153="","",[3]道具信息!P153)</f>
        <v/>
      </c>
      <c r="Q153" s="37" t="str">
        <f>IF([3]道具信息!Q153="","",[3]道具信息!Q153)</f>
        <v/>
      </c>
    </row>
    <row r="154" spans="3:17" x14ac:dyDescent="0.15">
      <c r="C154" s="37">
        <f>IF([3]道具信息!C154="","",[3]道具信息!C154)</f>
        <v>21081</v>
      </c>
      <c r="D154" s="37" t="str">
        <f>IF([3]道具信息!D154="","",[3]道具信息!D154)</f>
        <v>木材增产令</v>
      </c>
      <c r="E154" s="37">
        <f>IF([3]道具信息!E154="","",[3]道具信息!E154)</f>
        <v>35</v>
      </c>
      <c r="F154" s="37">
        <f>IF([3]道具信息!F154="","",[3]道具信息!F154)</f>
        <v>1</v>
      </c>
      <c r="G154" s="37">
        <f>IF([3]道具信息!G154="","",[3]道具信息!G154)</f>
        <v>1</v>
      </c>
      <c r="H154" s="37">
        <f>IF([3]道具信息!H154="","",[3]道具信息!H154)</f>
        <v>1</v>
      </c>
      <c r="I154" s="37">
        <f>IF([3]道具信息!I154="","",[3]道具信息!I154)</f>
        <v>35</v>
      </c>
      <c r="J154" s="37">
        <f>IF([3]道具信息!J154="","",[3]道具信息!J154)</f>
        <v>35</v>
      </c>
      <c r="K154" s="37">
        <f>IF([3]道具信息!K154="","",[3]道具信息!K154)</f>
        <v>35</v>
      </c>
      <c r="L154" s="37" t="str">
        <f>IF([3]道具信息!L154="","",[3]道具信息!L154)</f>
        <v>使用后伐木场产量提高50%，持续12小时</v>
      </c>
      <c r="M154" s="37" t="str">
        <f>IF([3]道具信息!M154="","",[3]道具信息!M154)</f>
        <v/>
      </c>
      <c r="N154" s="37"/>
      <c r="O154" s="37" t="str">
        <f>IF([3]道具信息!O154="","",[3]道具信息!O154)</f>
        <v/>
      </c>
      <c r="P154" s="37" t="str">
        <f>IF([3]道具信息!P154="","",[3]道具信息!P154)</f>
        <v/>
      </c>
      <c r="Q154" s="37" t="str">
        <f>IF([3]道具信息!Q154="","",[3]道具信息!Q154)</f>
        <v/>
      </c>
    </row>
    <row r="155" spans="3:17" x14ac:dyDescent="0.15">
      <c r="C155" s="37">
        <f>IF([3]道具信息!C155="","",[3]道具信息!C155)</f>
        <v>21082</v>
      </c>
      <c r="D155" s="37" t="str">
        <f>IF([3]道具信息!D155="","",[3]道具信息!D155)</f>
        <v>铁矿增产令</v>
      </c>
      <c r="E155" s="37">
        <f>IF([3]道具信息!E155="","",[3]道具信息!E155)</f>
        <v>50</v>
      </c>
      <c r="F155" s="37">
        <f>IF([3]道具信息!F155="","",[3]道具信息!F155)</f>
        <v>1</v>
      </c>
      <c r="G155" s="37">
        <f>IF([3]道具信息!G155="","",[3]道具信息!G155)</f>
        <v>1</v>
      </c>
      <c r="H155" s="37">
        <f>IF([3]道具信息!H155="","",[3]道具信息!H155)</f>
        <v>1</v>
      </c>
      <c r="I155" s="37">
        <f>IF([3]道具信息!I155="","",[3]道具信息!I155)</f>
        <v>50</v>
      </c>
      <c r="J155" s="37">
        <f>IF([3]道具信息!J155="","",[3]道具信息!J155)</f>
        <v>50</v>
      </c>
      <c r="K155" s="37">
        <f>IF([3]道具信息!K155="","",[3]道具信息!K155)</f>
        <v>50</v>
      </c>
      <c r="L155" s="37" t="str">
        <f>IF([3]道具信息!L155="","",[3]道具信息!L155)</f>
        <v>使用后冶炼厂产量提高50%，持续12小时</v>
      </c>
      <c r="M155" s="37" t="str">
        <f>IF([3]道具信息!M155="","",[3]道具信息!M155)</f>
        <v/>
      </c>
      <c r="N155" s="37"/>
      <c r="O155" s="37" t="str">
        <f>IF([3]道具信息!O155="","",[3]道具信息!O155)</f>
        <v/>
      </c>
      <c r="P155" s="37" t="str">
        <f>IF([3]道具信息!P155="","",[3]道具信息!P155)</f>
        <v/>
      </c>
      <c r="Q155" s="37" t="str">
        <f>IF([3]道具信息!Q155="","",[3]道具信息!Q155)</f>
        <v/>
      </c>
    </row>
    <row r="156" spans="3:17" x14ac:dyDescent="0.15">
      <c r="C156" s="37">
        <f>IF([3]道具信息!C156="","",[3]道具信息!C156)</f>
        <v>21083</v>
      </c>
      <c r="D156" s="37" t="str">
        <f>IF([3]道具信息!D156="","",[3]道具信息!D156)</f>
        <v>石料增产令</v>
      </c>
      <c r="E156" s="37">
        <f>IF([3]道具信息!E156="","",[3]道具信息!E156)</f>
        <v>35</v>
      </c>
      <c r="F156" s="37">
        <f>IF([3]道具信息!F156="","",[3]道具信息!F156)</f>
        <v>1</v>
      </c>
      <c r="G156" s="37">
        <f>IF([3]道具信息!G156="","",[3]道具信息!G156)</f>
        <v>1</v>
      </c>
      <c r="H156" s="37">
        <f>IF([3]道具信息!H156="","",[3]道具信息!H156)</f>
        <v>1</v>
      </c>
      <c r="I156" s="37">
        <f>IF([3]道具信息!I156="","",[3]道具信息!I156)</f>
        <v>35</v>
      </c>
      <c r="J156" s="37">
        <f>IF([3]道具信息!J156="","",[3]道具信息!J156)</f>
        <v>35</v>
      </c>
      <c r="K156" s="37">
        <f>IF([3]道具信息!K156="","",[3]道具信息!K156)</f>
        <v>35</v>
      </c>
      <c r="L156" s="37" t="str">
        <f>IF([3]道具信息!L156="","",[3]道具信息!L156)</f>
        <v>使用后采石场产量提高50%，持续12小时</v>
      </c>
      <c r="M156" s="37" t="str">
        <f>IF([3]道具信息!M156="","",[3]道具信息!M156)</f>
        <v/>
      </c>
      <c r="N156" s="37"/>
      <c r="O156" s="37" t="str">
        <f>IF([3]道具信息!O156="","",[3]道具信息!O156)</f>
        <v/>
      </c>
      <c r="P156" s="37" t="str">
        <f>IF([3]道具信息!P156="","",[3]道具信息!P156)</f>
        <v/>
      </c>
      <c r="Q156" s="37" t="str">
        <f>IF([3]道具信息!Q156="","",[3]道具信息!Q156)</f>
        <v/>
      </c>
    </row>
    <row r="157" spans="3:17" x14ac:dyDescent="0.15">
      <c r="C157" s="37">
        <f>IF([3]道具信息!C157="","",[3]道具信息!C157)</f>
        <v>21084</v>
      </c>
      <c r="D157" s="37" t="str">
        <f>IF([3]道具信息!D157="","",[3]道具信息!D157)</f>
        <v>粮食增产令</v>
      </c>
      <c r="E157" s="37">
        <f>IF([3]道具信息!E157="","",[3]道具信息!E157)</f>
        <v>35</v>
      </c>
      <c r="F157" s="37">
        <f>IF([3]道具信息!F157="","",[3]道具信息!F157)</f>
        <v>1</v>
      </c>
      <c r="G157" s="37">
        <f>IF([3]道具信息!G157="","",[3]道具信息!G157)</f>
        <v>1</v>
      </c>
      <c r="H157" s="37">
        <f>IF([3]道具信息!H157="","",[3]道具信息!H157)</f>
        <v>1</v>
      </c>
      <c r="I157" s="37">
        <f>IF([3]道具信息!I157="","",[3]道具信息!I157)</f>
        <v>35</v>
      </c>
      <c r="J157" s="37">
        <f>IF([3]道具信息!J157="","",[3]道具信息!J157)</f>
        <v>35</v>
      </c>
      <c r="K157" s="37">
        <f>IF([3]道具信息!K157="","",[3]道具信息!K157)</f>
        <v>35</v>
      </c>
      <c r="L157" s="37" t="str">
        <f>IF([3]道具信息!L157="","",[3]道具信息!L157)</f>
        <v>使用后农田产量提高50%，持续12小时</v>
      </c>
      <c r="M157" s="37" t="str">
        <f>IF([3]道具信息!M157="","",[3]道具信息!M157)</f>
        <v/>
      </c>
      <c r="N157" s="37"/>
      <c r="O157" s="37" t="str">
        <f>IF([3]道具信息!O157="","",[3]道具信息!O157)</f>
        <v/>
      </c>
      <c r="P157" s="37" t="str">
        <f>IF([3]道具信息!P157="","",[3]道具信息!P157)</f>
        <v/>
      </c>
      <c r="Q157" s="37" t="str">
        <f>IF([3]道具信息!Q157="","",[3]道具信息!Q157)</f>
        <v/>
      </c>
    </row>
    <row r="158" spans="3:17" x14ac:dyDescent="0.15">
      <c r="C158" s="37">
        <f>IF([3]道具信息!C158="","",[3]道具信息!C158)</f>
        <v>21085</v>
      </c>
      <c r="D158" s="37" t="str">
        <f>IF([3]道具信息!D158="","",[3]道具信息!D158)</f>
        <v>赋税增收令</v>
      </c>
      <c r="E158" s="37">
        <f>IF([3]道具信息!E158="","",[3]道具信息!E158)</f>
        <v>85</v>
      </c>
      <c r="F158" s="37">
        <f>IF([3]道具信息!F158="","",[3]道具信息!F158)</f>
        <v>1</v>
      </c>
      <c r="G158" s="37">
        <f>IF([3]道具信息!G158="","",[3]道具信息!G158)</f>
        <v>1</v>
      </c>
      <c r="H158" s="37">
        <f>IF([3]道具信息!H158="","",[3]道具信息!H158)</f>
        <v>1</v>
      </c>
      <c r="I158" s="37">
        <f>IF([3]道具信息!I158="","",[3]道具信息!I158)</f>
        <v>85</v>
      </c>
      <c r="J158" s="37">
        <f>IF([3]道具信息!J158="","",[3]道具信息!J158)</f>
        <v>85</v>
      </c>
      <c r="K158" s="37">
        <f>IF([3]道具信息!K158="","",[3]道具信息!K158)</f>
        <v>85</v>
      </c>
      <c r="L158" s="37" t="str">
        <f>IF([3]道具信息!L158="","",[3]道具信息!L158)</f>
        <v>使用后民居税收提高25%，持续12小时</v>
      </c>
      <c r="M158" s="37" t="str">
        <f>IF([3]道具信息!M158="","",[3]道具信息!M158)</f>
        <v/>
      </c>
      <c r="N158" s="37"/>
      <c r="O158" s="37" t="str">
        <f>IF([3]道具信息!O158="","",[3]道具信息!O158)</f>
        <v/>
      </c>
      <c r="P158" s="37" t="str">
        <f>IF([3]道具信息!P158="","",[3]道具信息!P158)</f>
        <v/>
      </c>
      <c r="Q158" s="37" t="str">
        <f>IF([3]道具信息!Q158="","",[3]道具信息!Q158)</f>
        <v/>
      </c>
    </row>
    <row r="159" spans="3:17" x14ac:dyDescent="0.15">
      <c r="C159" s="37">
        <f>IF([3]道具信息!C159="","",[3]道具信息!C159)</f>
        <v>21086</v>
      </c>
      <c r="D159" s="37" t="str">
        <f>IF([3]道具信息!D159="","",[3]道具信息!D159)</f>
        <v>铜矿增产令</v>
      </c>
      <c r="E159" s="37">
        <f>IF([3]道具信息!E159="","",[3]道具信息!E159)</f>
        <v>35</v>
      </c>
      <c r="F159" s="37">
        <f>IF([3]道具信息!F159="","",[3]道具信息!F159)</f>
        <v>1</v>
      </c>
      <c r="G159" s="37">
        <f>IF([3]道具信息!G159="","",[3]道具信息!G159)</f>
        <v>1</v>
      </c>
      <c r="H159" s="37">
        <f>IF([3]道具信息!H159="","",[3]道具信息!H159)</f>
        <v>1</v>
      </c>
      <c r="I159" s="37">
        <f>IF([3]道具信息!I159="","",[3]道具信息!I159)</f>
        <v>35</v>
      </c>
      <c r="J159" s="37">
        <f>IF([3]道具信息!J159="","",[3]道具信息!J159)</f>
        <v>35</v>
      </c>
      <c r="K159" s="37">
        <f>IF([3]道具信息!K159="","",[3]道具信息!K159)</f>
        <v>35</v>
      </c>
      <c r="L159" s="37" t="str">
        <f>IF([3]道具信息!L159="","",[3]道具信息!L159)</f>
        <v>使用后铜矿产量提高50%，持续12小时</v>
      </c>
      <c r="M159" s="37" t="str">
        <f>IF([3]道具信息!M159="","",[3]道具信息!M159)</f>
        <v/>
      </c>
      <c r="N159" s="37"/>
      <c r="O159" s="37" t="str">
        <f>IF([3]道具信息!O159="","",[3]道具信息!O159)</f>
        <v/>
      </c>
      <c r="P159" s="37" t="str">
        <f>IF([3]道具信息!P159="","",[3]道具信息!P159)</f>
        <v/>
      </c>
      <c r="Q159" s="37" t="str">
        <f>IF([3]道具信息!Q159="","",[3]道具信息!Q159)</f>
        <v/>
      </c>
    </row>
    <row r="160" spans="3:17" x14ac:dyDescent="0.15">
      <c r="C160" s="37" t="str">
        <f>IF([3]道具信息!C160="","",[3]道具信息!C160)</f>
        <v/>
      </c>
      <c r="D160" s="37" t="str">
        <f>IF([3]道具信息!D160="","",[3]道具信息!D160)</f>
        <v/>
      </c>
      <c r="E160" s="37" t="str">
        <f>IF([3]道具信息!E160="","",[3]道具信息!E160)</f>
        <v/>
      </c>
      <c r="F160" s="37" t="str">
        <f>IF([3]道具信息!F160="","",[3]道具信息!F160)</f>
        <v/>
      </c>
      <c r="G160" s="37" t="str">
        <f>IF([3]道具信息!G160="","",[3]道具信息!G160)</f>
        <v/>
      </c>
      <c r="H160" s="37" t="str">
        <f>IF([3]道具信息!H160="","",[3]道具信息!H160)</f>
        <v/>
      </c>
      <c r="I160" s="37" t="str">
        <f>IF([3]道具信息!I160="","",[3]道具信息!I160)</f>
        <v/>
      </c>
      <c r="J160" s="37" t="str">
        <f>IF([3]道具信息!J160="","",[3]道具信息!J160)</f>
        <v/>
      </c>
      <c r="K160" s="37" t="str">
        <f>IF([3]道具信息!K160="","",[3]道具信息!K160)</f>
        <v/>
      </c>
      <c r="L160" s="37" t="str">
        <f>IF([3]道具信息!L160="","",[3]道具信息!L160)</f>
        <v/>
      </c>
      <c r="M160" s="37" t="str">
        <f>IF([3]道具信息!M160="","",[3]道具信息!M160)</f>
        <v/>
      </c>
      <c r="N160" s="37"/>
      <c r="O160" s="37" t="str">
        <f>IF([3]道具信息!O160="","",[3]道具信息!O160)</f>
        <v/>
      </c>
      <c r="P160" s="37" t="str">
        <f>IF([3]道具信息!P160="","",[3]道具信息!P160)</f>
        <v/>
      </c>
      <c r="Q160" s="37" t="str">
        <f>IF([3]道具信息!Q160="","",[3]道具信息!Q160)</f>
        <v/>
      </c>
    </row>
    <row r="161" spans="3:17" x14ac:dyDescent="0.15">
      <c r="C161" s="37">
        <f>IF([3]道具信息!C161="","",[3]道具信息!C161)</f>
        <v>21100</v>
      </c>
      <c r="D161" s="37" t="str">
        <f>IF([3]道具信息!D161="","",[3]道具信息!D161)</f>
        <v>免战牌</v>
      </c>
      <c r="E161" s="37">
        <f>IF([3]道具信息!E161="","",[3]道具信息!E161)</f>
        <v>100</v>
      </c>
      <c r="F161" s="37">
        <f>IF([3]道具信息!F161="","",[3]道具信息!F161)</f>
        <v>1</v>
      </c>
      <c r="G161" s="37">
        <f>IF([3]道具信息!G161="","",[3]道具信息!G161)</f>
        <v>1</v>
      </c>
      <c r="H161" s="37">
        <f>IF([3]道具信息!H161="","",[3]道具信息!H161)</f>
        <v>1</v>
      </c>
      <c r="I161" s="37">
        <f>IF([3]道具信息!I161="","",[3]道具信息!I161)</f>
        <v>100</v>
      </c>
      <c r="J161" s="37">
        <f>IF([3]道具信息!J161="","",[3]道具信息!J161)</f>
        <v>100</v>
      </c>
      <c r="K161" s="37">
        <f>IF([3]道具信息!K161="","",[3]道具信息!K161)</f>
        <v>100</v>
      </c>
      <c r="L161" s="37" t="str">
        <f>IF([3]道具信息!L161="","",[3]道具信息!L161)</f>
        <v>使用后城池不会遭受来自玩家的攻击，主动进攻玩家后失效，持续8小时</v>
      </c>
      <c r="M161" s="37" t="str">
        <f>IF([3]道具信息!M161="","",[3]道具信息!M161)</f>
        <v/>
      </c>
      <c r="N161" s="37"/>
      <c r="O161" s="37" t="str">
        <f>IF([3]道具信息!O161="","",[3]道具信息!O161)</f>
        <v/>
      </c>
      <c r="P161" s="37" t="str">
        <f>IF([3]道具信息!P161="","",[3]道具信息!P161)</f>
        <v/>
      </c>
      <c r="Q161" s="37" t="str">
        <f>IF([3]道具信息!Q161="","",[3]道具信息!Q161)</f>
        <v/>
      </c>
    </row>
    <row r="162" spans="3:17" x14ac:dyDescent="0.15">
      <c r="C162" s="37">
        <f>IF([3]道具信息!C162="","",[3]道具信息!C162)</f>
        <v>21101</v>
      </c>
      <c r="D162" s="37" t="str">
        <f>IF([3]道具信息!D162="","",[3]道具信息!D162)</f>
        <v>普通点将牌</v>
      </c>
      <c r="E162" s="37">
        <f>IF([3]道具信息!E162="","",[3]道具信息!E162)</f>
        <v>65</v>
      </c>
      <c r="F162" s="37">
        <f>IF([3]道具信息!F162="","",[3]道具信息!F162)</f>
        <v>1</v>
      </c>
      <c r="G162" s="37">
        <f>IF([3]道具信息!G162="","",[3]道具信息!G162)</f>
        <v>1</v>
      </c>
      <c r="H162" s="37">
        <f>IF([3]道具信息!H162="","",[3]道具信息!H162)</f>
        <v>1</v>
      </c>
      <c r="I162" s="37">
        <f>IF([3]道具信息!I162="","",[3]道具信息!I162)</f>
        <v>65</v>
      </c>
      <c r="J162" s="37">
        <f>IF([3]道具信息!J162="","",[3]道具信息!J162)</f>
        <v>65</v>
      </c>
      <c r="K162" s="37">
        <f>IF([3]道具信息!K162="","",[3]道具信息!K162)</f>
        <v>65</v>
      </c>
      <c r="L162" s="37" t="str">
        <f>IF([3]道具信息!L162="","",[3]道具信息!L162)</f>
        <v>点将台普通招募时消耗的令牌</v>
      </c>
      <c r="M162" s="37" t="str">
        <f>IF([3]道具信息!M162="","",[3]道具信息!M162)</f>
        <v/>
      </c>
      <c r="N162" s="37"/>
      <c r="O162" s="37" t="str">
        <f>IF([3]道具信息!O162="","",[3]道具信息!O162)</f>
        <v/>
      </c>
      <c r="P162" s="37" t="str">
        <f>IF([3]道具信息!P162="","",[3]道具信息!P162)</f>
        <v/>
      </c>
      <c r="Q162" s="37" t="str">
        <f>IF([3]道具信息!Q162="","",[3]道具信息!Q162)</f>
        <v/>
      </c>
    </row>
    <row r="163" spans="3:17" x14ac:dyDescent="0.15">
      <c r="C163" s="37">
        <f>IF([3]道具信息!C163="","",[3]道具信息!C163)</f>
        <v>21102</v>
      </c>
      <c r="D163" s="37" t="str">
        <f>IF([3]道具信息!D163="","",[3]道具信息!D163)</f>
        <v>高级点将牌</v>
      </c>
      <c r="E163" s="37">
        <f>IF([3]道具信息!E163="","",[3]道具信息!E163)</f>
        <v>240</v>
      </c>
      <c r="F163" s="37">
        <f>IF([3]道具信息!F163="","",[3]道具信息!F163)</f>
        <v>1</v>
      </c>
      <c r="G163" s="37">
        <f>IF([3]道具信息!G163="","",[3]道具信息!G163)</f>
        <v>1</v>
      </c>
      <c r="H163" s="37">
        <f>IF([3]道具信息!H163="","",[3]道具信息!H163)</f>
        <v>1</v>
      </c>
      <c r="I163" s="37">
        <f>IF([3]道具信息!I163="","",[3]道具信息!I163)</f>
        <v>240</v>
      </c>
      <c r="J163" s="37">
        <f>IF([3]道具信息!J163="","",[3]道具信息!J163)</f>
        <v>240</v>
      </c>
      <c r="K163" s="37">
        <f>IF([3]道具信息!K163="","",[3]道具信息!K163)</f>
        <v>240</v>
      </c>
      <c r="L163" s="37" t="str">
        <f>IF([3]道具信息!L163="","",[3]道具信息!L163)</f>
        <v>点将台高级招募时消耗的令牌</v>
      </c>
      <c r="M163" s="37" t="str">
        <f>IF([3]道具信息!M163="","",[3]道具信息!M163)</f>
        <v/>
      </c>
      <c r="N163" s="37"/>
      <c r="O163" s="37" t="str">
        <f>IF([3]道具信息!O163="","",[3]道具信息!O163)</f>
        <v/>
      </c>
      <c r="P163" s="37" t="str">
        <f>IF([3]道具信息!P163="","",[3]道具信息!P163)</f>
        <v/>
      </c>
      <c r="Q163" s="37" t="str">
        <f>IF([3]道具信息!Q163="","",[3]道具信息!Q163)</f>
        <v/>
      </c>
    </row>
    <row r="164" spans="3:17" x14ac:dyDescent="0.15">
      <c r="C164" s="37" t="str">
        <f>IF([3]道具信息!C164="","",[3]道具信息!C164)</f>
        <v/>
      </c>
      <c r="D164" s="37" t="str">
        <f>IF([3]道具信息!D164="","",[3]道具信息!D164)</f>
        <v>行军丸（旧版)</v>
      </c>
      <c r="E164" s="37" t="str">
        <f>IF([3]道具信息!E164="","",[3]道具信息!E164)</f>
        <v/>
      </c>
      <c r="F164" s="37" t="str">
        <f>IF([3]道具信息!F164="","",[3]道具信息!F164)</f>
        <v/>
      </c>
      <c r="G164" s="37" t="str">
        <f>IF([3]道具信息!G164="","",[3]道具信息!G164)</f>
        <v/>
      </c>
      <c r="H164" s="37" t="str">
        <f>IF([3]道具信息!H164="","",[3]道具信息!H164)</f>
        <v/>
      </c>
      <c r="I164" s="37" t="str">
        <f>IF([3]道具信息!I164="","",[3]道具信息!I164)</f>
        <v/>
      </c>
      <c r="J164" s="37" t="str">
        <f>IF([3]道具信息!J164="","",[3]道具信息!J164)</f>
        <v/>
      </c>
      <c r="K164" s="37" t="str">
        <f>IF([3]道具信息!K164="","",[3]道具信息!K164)</f>
        <v/>
      </c>
      <c r="L164" s="37" t="str">
        <f>IF([3]道具信息!L164="","",[3]道具信息!L164)</f>
        <v>使用后每次可增加部队100%的行军速度</v>
      </c>
      <c r="M164" s="37" t="str">
        <f>IF([3]道具信息!M164="","",[3]道具信息!M164)</f>
        <v/>
      </c>
      <c r="N164" s="37"/>
      <c r="O164" s="37" t="str">
        <f>IF([3]道具信息!O164="","",[3]道具信息!O164)</f>
        <v/>
      </c>
      <c r="P164" s="37" t="str">
        <f>IF([3]道具信息!P164="","",[3]道具信息!P164)</f>
        <v/>
      </c>
      <c r="Q164" s="37" t="str">
        <f>IF([3]道具信息!Q164="","",[3]道具信息!Q164)</f>
        <v/>
      </c>
    </row>
    <row r="165" spans="3:17" x14ac:dyDescent="0.15">
      <c r="C165" s="37">
        <f>IF([3]道具信息!C165="","",[3]道具信息!C165)</f>
        <v>21104</v>
      </c>
      <c r="D165" s="37" t="str">
        <f>IF([3]道具信息!D165="","",[3]道具信息!D165)</f>
        <v>撤军令</v>
      </c>
      <c r="E165" s="37">
        <f>IF([3]道具信息!E165="","",[3]道具信息!E165)</f>
        <v>60</v>
      </c>
      <c r="F165" s="37">
        <f>IF([3]道具信息!F165="","",[3]道具信息!F165)</f>
        <v>1</v>
      </c>
      <c r="G165" s="37">
        <f>IF([3]道具信息!G165="","",[3]道具信息!G165)</f>
        <v>1</v>
      </c>
      <c r="H165" s="37">
        <f>IF([3]道具信息!H165="","",[3]道具信息!H165)</f>
        <v>1</v>
      </c>
      <c r="I165" s="37">
        <f>IF([3]道具信息!I165="","",[3]道具信息!I165)</f>
        <v>60</v>
      </c>
      <c r="J165" s="37">
        <f>IF([3]道具信息!J165="","",[3]道具信息!J165)</f>
        <v>60</v>
      </c>
      <c r="K165" s="37">
        <f>IF([3]道具信息!K165="","",[3]道具信息!K165)</f>
        <v>60</v>
      </c>
      <c r="L165" s="37" t="str">
        <f>IF([3]道具信息!L165="","",[3]道具信息!L165)</f>
        <v>使用后使一支出征队伍立即撤军回城</v>
      </c>
      <c r="M165" s="37" t="str">
        <f>IF([3]道具信息!M165="","",[3]道具信息!M165)</f>
        <v/>
      </c>
      <c r="N165" s="37"/>
      <c r="O165" s="37" t="str">
        <f>IF([3]道具信息!O165="","",[3]道具信息!O165)</f>
        <v/>
      </c>
      <c r="P165" s="37" t="str">
        <f>IF([3]道具信息!P165="","",[3]道具信息!P165)</f>
        <v/>
      </c>
      <c r="Q165" s="37" t="str">
        <f>IF([3]道具信息!Q165="","",[3]道具信息!Q165)</f>
        <v/>
      </c>
    </row>
    <row r="166" spans="3:17" x14ac:dyDescent="0.15">
      <c r="C166" s="37" t="str">
        <f>IF([3]道具信息!C166="","",[3]道具信息!C166)</f>
        <v/>
      </c>
      <c r="D166" s="37" t="str">
        <f>IF([3]道具信息!D166="","",[3]道具信息!D166)</f>
        <v/>
      </c>
      <c r="E166" s="37" t="str">
        <f>IF([3]道具信息!E166="","",[3]道具信息!E166)</f>
        <v/>
      </c>
      <c r="F166" s="37" t="str">
        <f>IF([3]道具信息!F166="","",[3]道具信息!F166)</f>
        <v/>
      </c>
      <c r="G166" s="37" t="str">
        <f>IF([3]道具信息!G166="","",[3]道具信息!G166)</f>
        <v/>
      </c>
      <c r="H166" s="37" t="str">
        <f>IF([3]道具信息!H166="","",[3]道具信息!H166)</f>
        <v/>
      </c>
      <c r="I166" s="37" t="str">
        <f>IF([3]道具信息!I166="","",[3]道具信息!I166)</f>
        <v/>
      </c>
      <c r="J166" s="37" t="str">
        <f>IF([3]道具信息!J166="","",[3]道具信息!J166)</f>
        <v/>
      </c>
      <c r="K166" s="37" t="str">
        <f>IF([3]道具信息!K166="","",[3]道具信息!K166)</f>
        <v/>
      </c>
      <c r="L166" s="37" t="str">
        <f>IF([3]道具信息!L166="","",[3]道具信息!L166)</f>
        <v/>
      </c>
      <c r="M166" s="37" t="str">
        <f>IF([3]道具信息!M166="","",[3]道具信息!M166)</f>
        <v/>
      </c>
      <c r="N166" s="37"/>
      <c r="O166" s="37" t="str">
        <f>IF([3]道具信息!O166="","",[3]道具信息!O166)</f>
        <v/>
      </c>
      <c r="P166" s="37" t="str">
        <f>IF([3]道具信息!P166="","",[3]道具信息!P166)</f>
        <v/>
      </c>
      <c r="Q166" s="37" t="str">
        <f>IF([3]道具信息!Q166="","",[3]道具信息!Q166)</f>
        <v/>
      </c>
    </row>
    <row r="167" spans="3:17" x14ac:dyDescent="0.15">
      <c r="C167" s="37">
        <f>IF([3]道具信息!C167="","",[3]道具信息!C167)</f>
        <v>21110</v>
      </c>
      <c r="D167" s="37" t="str">
        <f>IF([3]道具信息!D167="","",[3]道具信息!D167)</f>
        <v>城建1分钟加速令</v>
      </c>
      <c r="E167" s="37">
        <f>IF([3]道具信息!E167="","",[3]道具信息!E167)</f>
        <v>2</v>
      </c>
      <c r="F167" s="37">
        <f>IF([3]道具信息!F167="","",[3]道具信息!F167)</f>
        <v>1</v>
      </c>
      <c r="G167" s="37">
        <f>IF([3]道具信息!G167="","",[3]道具信息!G167)</f>
        <v>1</v>
      </c>
      <c r="H167" s="37">
        <f>IF([3]道具信息!H167="","",[3]道具信息!H167)</f>
        <v>1</v>
      </c>
      <c r="I167" s="37">
        <f>IF([3]道具信息!I167="","",[3]道具信息!I167)</f>
        <v>2</v>
      </c>
      <c r="J167" s="37">
        <f>IF([3]道具信息!J167="","",[3]道具信息!J167)</f>
        <v>2</v>
      </c>
      <c r="K167" s="37">
        <f>IF([3]道具信息!K167="","",[3]道具信息!K167)</f>
        <v>2</v>
      </c>
      <c r="L167" s="37" t="str">
        <f>IF([3]道具信息!L167="","",[3]道具信息!L167)</f>
        <v>使用后城池建设加速1分钟</v>
      </c>
      <c r="M167" s="37" t="str">
        <f>IF([3]道具信息!M167="","",[3]道具信息!M167)</f>
        <v/>
      </c>
      <c r="N167" s="37"/>
      <c r="O167" s="37" t="str">
        <f>IF([3]道具信息!O167="","",[3]道具信息!O167)</f>
        <v/>
      </c>
      <c r="P167" s="37" t="str">
        <f>IF([3]道具信息!P167="","",[3]道具信息!P167)</f>
        <v/>
      </c>
      <c r="Q167" s="37" t="str">
        <f>IF([3]道具信息!Q167="","",[3]道具信息!Q167)</f>
        <v/>
      </c>
    </row>
    <row r="168" spans="3:17" x14ac:dyDescent="0.15">
      <c r="C168" s="37">
        <f>IF([3]道具信息!C168="","",[3]道具信息!C168)</f>
        <v>21111</v>
      </c>
      <c r="D168" s="37" t="str">
        <f>IF([3]道具信息!D168="","",[3]道具信息!D168)</f>
        <v>城建5分钟加速令</v>
      </c>
      <c r="E168" s="37">
        <f>IF([3]道具信息!E168="","",[3]道具信息!E168)</f>
        <v>8</v>
      </c>
      <c r="F168" s="37">
        <f>IF([3]道具信息!F168="","",[3]道具信息!F168)</f>
        <v>1</v>
      </c>
      <c r="G168" s="37">
        <f>IF([3]道具信息!G168="","",[3]道具信息!G168)</f>
        <v>1</v>
      </c>
      <c r="H168" s="37">
        <f>IF([3]道具信息!H168="","",[3]道具信息!H168)</f>
        <v>1</v>
      </c>
      <c r="I168" s="37">
        <f>IF([3]道具信息!I168="","",[3]道具信息!I168)</f>
        <v>8</v>
      </c>
      <c r="J168" s="37">
        <f>IF([3]道具信息!J168="","",[3]道具信息!J168)</f>
        <v>8</v>
      </c>
      <c r="K168" s="37">
        <f>IF([3]道具信息!K168="","",[3]道具信息!K168)</f>
        <v>8</v>
      </c>
      <c r="L168" s="37" t="str">
        <f>IF([3]道具信息!L168="","",[3]道具信息!L168)</f>
        <v>使用后城池建设加速5分钟</v>
      </c>
      <c r="M168" s="37" t="str">
        <f>IF([3]道具信息!M168="","",[3]道具信息!M168)</f>
        <v/>
      </c>
      <c r="N168" s="37"/>
      <c r="O168" s="37" t="str">
        <f>IF([3]道具信息!O168="","",[3]道具信息!O168)</f>
        <v/>
      </c>
      <c r="P168" s="37" t="str">
        <f>IF([3]道具信息!P168="","",[3]道具信息!P168)</f>
        <v/>
      </c>
      <c r="Q168" s="37" t="str">
        <f>IF([3]道具信息!Q168="","",[3]道具信息!Q168)</f>
        <v/>
      </c>
    </row>
    <row r="169" spans="3:17" x14ac:dyDescent="0.15">
      <c r="C169" s="37">
        <f>IF([3]道具信息!C169="","",[3]道具信息!C169)</f>
        <v>21112</v>
      </c>
      <c r="D169" s="37" t="str">
        <f>IF([3]道具信息!D169="","",[3]道具信息!D169)</f>
        <v>城建20分钟加速令</v>
      </c>
      <c r="E169" s="37">
        <f>IF([3]道具信息!E169="","",[3]道具信息!E169)</f>
        <v>20</v>
      </c>
      <c r="F169" s="37">
        <f>IF([3]道具信息!F169="","",[3]道具信息!F169)</f>
        <v>1</v>
      </c>
      <c r="G169" s="37">
        <f>IF([3]道具信息!G169="","",[3]道具信息!G169)</f>
        <v>1</v>
      </c>
      <c r="H169" s="37">
        <f>IF([3]道具信息!H169="","",[3]道具信息!H169)</f>
        <v>1</v>
      </c>
      <c r="I169" s="37">
        <f>IF([3]道具信息!I169="","",[3]道具信息!I169)</f>
        <v>20</v>
      </c>
      <c r="J169" s="37">
        <f>IF([3]道具信息!J169="","",[3]道具信息!J169)</f>
        <v>20</v>
      </c>
      <c r="K169" s="37">
        <f>IF([3]道具信息!K169="","",[3]道具信息!K169)</f>
        <v>20</v>
      </c>
      <c r="L169" s="37" t="str">
        <f>IF([3]道具信息!L169="","",[3]道具信息!L169)</f>
        <v>使用后城池建设加速20分钟</v>
      </c>
      <c r="M169" s="37" t="str">
        <f>IF([3]道具信息!M169="","",[3]道具信息!M169)</f>
        <v/>
      </c>
      <c r="N169" s="37"/>
      <c r="O169" s="37" t="str">
        <f>IF([3]道具信息!O169="","",[3]道具信息!O169)</f>
        <v/>
      </c>
      <c r="P169" s="37" t="str">
        <f>IF([3]道具信息!P169="","",[3]道具信息!P169)</f>
        <v/>
      </c>
      <c r="Q169" s="37" t="str">
        <f>IF([3]道具信息!Q169="","",[3]道具信息!Q169)</f>
        <v/>
      </c>
    </row>
    <row r="170" spans="3:17" x14ac:dyDescent="0.15">
      <c r="C170" s="37">
        <f>IF([3]道具信息!C170="","",[3]道具信息!C170)</f>
        <v>21113</v>
      </c>
      <c r="D170" s="37" t="str">
        <f>IF([3]道具信息!D170="","",[3]道具信息!D170)</f>
        <v>城建1小时加速令</v>
      </c>
      <c r="E170" s="37">
        <f>IF([3]道具信息!E170="","",[3]道具信息!E170)</f>
        <v>50</v>
      </c>
      <c r="F170" s="37">
        <f>IF([3]道具信息!F170="","",[3]道具信息!F170)</f>
        <v>1.2</v>
      </c>
      <c r="G170" s="37">
        <f>IF([3]道具信息!G170="","",[3]道具信息!G170)</f>
        <v>1</v>
      </c>
      <c r="H170" s="37">
        <f>IF([3]道具信息!H170="","",[3]道具信息!H170)</f>
        <v>1</v>
      </c>
      <c r="I170" s="37">
        <f>IF([3]道具信息!I170="","",[3]道具信息!I170)</f>
        <v>60</v>
      </c>
      <c r="J170" s="37">
        <f>IF([3]道具信息!J170="","",[3]道具信息!J170)</f>
        <v>50</v>
      </c>
      <c r="K170" s="37">
        <f>IF([3]道具信息!K170="","",[3]道具信息!K170)</f>
        <v>50</v>
      </c>
      <c r="L170" s="37" t="str">
        <f>IF([3]道具信息!L170="","",[3]道具信息!L170)</f>
        <v>使用后城池建设加速1小时</v>
      </c>
      <c r="M170" s="37" t="str">
        <f>IF([3]道具信息!M170="","",[3]道具信息!M170)</f>
        <v/>
      </c>
      <c r="N170" s="37"/>
      <c r="O170" s="37" t="str">
        <f>IF([3]道具信息!O170="","",[3]道具信息!O170)</f>
        <v/>
      </c>
      <c r="P170" s="37" t="str">
        <f>IF([3]道具信息!P170="","",[3]道具信息!P170)</f>
        <v/>
      </c>
      <c r="Q170" s="37" t="str">
        <f>IF([3]道具信息!Q170="","",[3]道具信息!Q170)</f>
        <v/>
      </c>
    </row>
    <row r="171" spans="3:17" x14ac:dyDescent="0.15">
      <c r="C171" s="37">
        <f>IF([3]道具信息!C171="","",[3]道具信息!C171)</f>
        <v>21114</v>
      </c>
      <c r="D171" s="37" t="str">
        <f>IF([3]道具信息!D171="","",[3]道具信息!D171)</f>
        <v>城建3小时加速令</v>
      </c>
      <c r="E171" s="37">
        <f>IF([3]道具信息!E171="","",[3]道具信息!E171)</f>
        <v>100</v>
      </c>
      <c r="F171" s="37">
        <f>IF([3]道具信息!F171="","",[3]道具信息!F171)</f>
        <v>1.8</v>
      </c>
      <c r="G171" s="37">
        <f>IF([3]道具信息!G171="","",[3]道具信息!G171)</f>
        <v>1.5</v>
      </c>
      <c r="H171" s="37">
        <f>IF([3]道具信息!H171="","",[3]道具信息!H171)</f>
        <v>1</v>
      </c>
      <c r="I171" s="37">
        <f>IF([3]道具信息!I171="","",[3]道具信息!I171)</f>
        <v>180</v>
      </c>
      <c r="J171" s="37">
        <f>IF([3]道具信息!J171="","",[3]道具信息!J171)</f>
        <v>150</v>
      </c>
      <c r="K171" s="37">
        <f>IF([3]道具信息!K171="","",[3]道具信息!K171)</f>
        <v>100</v>
      </c>
      <c r="L171" s="37" t="str">
        <f>IF([3]道具信息!L171="","",[3]道具信息!L171)</f>
        <v>使用后城池建设加速3小时</v>
      </c>
      <c r="M171" s="37" t="str">
        <f>IF([3]道具信息!M171="","",[3]道具信息!M171)</f>
        <v/>
      </c>
      <c r="N171" s="37"/>
      <c r="O171" s="37" t="str">
        <f>IF([3]道具信息!O171="","",[3]道具信息!O171)</f>
        <v/>
      </c>
      <c r="P171" s="37" t="str">
        <f>IF([3]道具信息!P171="","",[3]道具信息!P171)</f>
        <v/>
      </c>
      <c r="Q171" s="37" t="str">
        <f>IF([3]道具信息!Q171="","",[3]道具信息!Q171)</f>
        <v/>
      </c>
    </row>
    <row r="172" spans="3:17" x14ac:dyDescent="0.15">
      <c r="C172" s="37">
        <f>IF([3]道具信息!C172="","",[3]道具信息!C172)</f>
        <v>21135</v>
      </c>
      <c r="D172" s="37" t="str">
        <f>IF([3]道具信息!D172="","",[3]道具信息!D172)</f>
        <v>城建8小时加速令</v>
      </c>
      <c r="E172" s="37">
        <f>IF([3]道具信息!E172="","",[3]道具信息!E172)</f>
        <v>160</v>
      </c>
      <c r="F172" s="37">
        <f>IF([3]道具信息!F172="","",[3]道具信息!F172)</f>
        <v>3</v>
      </c>
      <c r="G172" s="37">
        <f>IF([3]道具信息!G172="","",[3]道具信息!G172)</f>
        <v>2.5</v>
      </c>
      <c r="H172" s="37">
        <f>IF([3]道具信息!H172="","",[3]道具信息!H172)</f>
        <v>1</v>
      </c>
      <c r="I172" s="37">
        <f>IF([3]道具信息!I172="","",[3]道具信息!I172)</f>
        <v>480</v>
      </c>
      <c r="J172" s="37">
        <f>IF([3]道具信息!J172="","",[3]道具信息!J172)</f>
        <v>400</v>
      </c>
      <c r="K172" s="37">
        <f>IF([3]道具信息!K172="","",[3]道具信息!K172)</f>
        <v>160</v>
      </c>
      <c r="L172" s="37" t="str">
        <f>IF([3]道具信息!L172="","",[3]道具信息!L172)</f>
        <v>使用后城池建设加速8小时</v>
      </c>
      <c r="M172" s="37" t="str">
        <f>IF([3]道具信息!M172="","",[3]道具信息!M172)</f>
        <v/>
      </c>
      <c r="N172" s="37"/>
      <c r="O172" s="37" t="str">
        <f>IF([3]道具信息!O172="","",[3]道具信息!O172)</f>
        <v/>
      </c>
      <c r="P172" s="37" t="str">
        <f>IF([3]道具信息!P172="","",[3]道具信息!P172)</f>
        <v/>
      </c>
      <c r="Q172" s="37" t="str">
        <f>IF([3]道具信息!Q172="","",[3]道具信息!Q172)</f>
        <v/>
      </c>
    </row>
    <row r="173" spans="3:17" x14ac:dyDescent="0.15">
      <c r="C173" s="37" t="str">
        <f>IF([3]道具信息!C173="","",[3]道具信息!C173)</f>
        <v/>
      </c>
      <c r="D173" s="37" t="str">
        <f>IF([3]道具信息!D173="","",[3]道具信息!D173)</f>
        <v/>
      </c>
      <c r="E173" s="37" t="str">
        <f>IF([3]道具信息!E173="","",[3]道具信息!E173)</f>
        <v/>
      </c>
      <c r="F173" s="37" t="str">
        <f>IF([3]道具信息!F173="","",[3]道具信息!F173)</f>
        <v/>
      </c>
      <c r="G173" s="37" t="str">
        <f>IF([3]道具信息!G173="","",[3]道具信息!G173)</f>
        <v/>
      </c>
      <c r="H173" s="37" t="str">
        <f>IF([3]道具信息!H173="","",[3]道具信息!H173)</f>
        <v/>
      </c>
      <c r="I173" s="37" t="str">
        <f>IF([3]道具信息!I173="","",[3]道具信息!I173)</f>
        <v/>
      </c>
      <c r="J173" s="37" t="str">
        <f>IF([3]道具信息!J173="","",[3]道具信息!J173)</f>
        <v/>
      </c>
      <c r="K173" s="37" t="str">
        <f>IF([3]道具信息!K173="","",[3]道具信息!K173)</f>
        <v/>
      </c>
      <c r="L173" s="37" t="str">
        <f>IF([3]道具信息!L173="","",[3]道具信息!L173)</f>
        <v/>
      </c>
      <c r="M173" s="37" t="str">
        <f>IF([3]道具信息!M173="","",[3]道具信息!M173)</f>
        <v/>
      </c>
      <c r="N173" s="37"/>
      <c r="O173" s="37" t="str">
        <f>IF([3]道具信息!O173="","",[3]道具信息!O173)</f>
        <v/>
      </c>
      <c r="P173" s="37" t="str">
        <f>IF([3]道具信息!P173="","",[3]道具信息!P173)</f>
        <v/>
      </c>
      <c r="Q173" s="37" t="str">
        <f>IF([3]道具信息!Q173="","",[3]道具信息!Q173)</f>
        <v/>
      </c>
    </row>
    <row r="174" spans="3:17" x14ac:dyDescent="0.15">
      <c r="C174" s="37">
        <f>IF([3]道具信息!C174="","",[3]道具信息!C174)</f>
        <v>21115</v>
      </c>
      <c r="D174" s="37" t="str">
        <f>IF([3]道具信息!D174="","",[3]道具信息!D174)</f>
        <v>招募1分钟加速令</v>
      </c>
      <c r="E174" s="37">
        <f>IF([3]道具信息!E174="","",[3]道具信息!E174)</f>
        <v>2</v>
      </c>
      <c r="F174" s="37">
        <f>IF([3]道具信息!F174="","",[3]道具信息!F174)</f>
        <v>1</v>
      </c>
      <c r="G174" s="37">
        <f>IF([3]道具信息!G174="","",[3]道具信息!G174)</f>
        <v>1</v>
      </c>
      <c r="H174" s="37">
        <f>IF([3]道具信息!H174="","",[3]道具信息!H174)</f>
        <v>1</v>
      </c>
      <c r="I174" s="37">
        <f>IF([3]道具信息!I174="","",[3]道具信息!I174)</f>
        <v>2</v>
      </c>
      <c r="J174" s="37">
        <f>IF([3]道具信息!J174="","",[3]道具信息!J174)</f>
        <v>2</v>
      </c>
      <c r="K174" s="37">
        <f>IF([3]道具信息!K174="","",[3]道具信息!K174)</f>
        <v>2</v>
      </c>
      <c r="L174" s="37" t="str">
        <f>IF([3]道具信息!L174="","",[3]道具信息!L174)</f>
        <v>使用后士兵招募加速1分钟</v>
      </c>
      <c r="M174" s="37" t="str">
        <f>IF([3]道具信息!M174="","",[3]道具信息!M174)</f>
        <v/>
      </c>
      <c r="N174" s="37"/>
      <c r="O174" s="37" t="str">
        <f>IF([3]道具信息!O174="","",[3]道具信息!O174)</f>
        <v/>
      </c>
      <c r="P174" s="37" t="str">
        <f>IF([3]道具信息!P174="","",[3]道具信息!P174)</f>
        <v/>
      </c>
      <c r="Q174" s="37" t="str">
        <f>IF([3]道具信息!Q174="","",[3]道具信息!Q174)</f>
        <v/>
      </c>
    </row>
    <row r="175" spans="3:17" x14ac:dyDescent="0.15">
      <c r="C175" s="37">
        <f>IF([3]道具信息!C175="","",[3]道具信息!C175)</f>
        <v>21116</v>
      </c>
      <c r="D175" s="37" t="str">
        <f>IF([3]道具信息!D175="","",[3]道具信息!D175)</f>
        <v>招募5分钟加速令</v>
      </c>
      <c r="E175" s="37">
        <f>IF([3]道具信息!E175="","",[3]道具信息!E175)</f>
        <v>8</v>
      </c>
      <c r="F175" s="37">
        <f>IF([3]道具信息!F175="","",[3]道具信息!F175)</f>
        <v>1</v>
      </c>
      <c r="G175" s="37">
        <f>IF([3]道具信息!G175="","",[3]道具信息!G175)</f>
        <v>1</v>
      </c>
      <c r="H175" s="37">
        <f>IF([3]道具信息!H175="","",[3]道具信息!H175)</f>
        <v>1</v>
      </c>
      <c r="I175" s="37">
        <f>IF([3]道具信息!I175="","",[3]道具信息!I175)</f>
        <v>8</v>
      </c>
      <c r="J175" s="37">
        <f>IF([3]道具信息!J175="","",[3]道具信息!J175)</f>
        <v>8</v>
      </c>
      <c r="K175" s="37">
        <f>IF([3]道具信息!K175="","",[3]道具信息!K175)</f>
        <v>8</v>
      </c>
      <c r="L175" s="37" t="str">
        <f>IF([3]道具信息!L175="","",[3]道具信息!L175)</f>
        <v>使用后士兵招募加速5分钟</v>
      </c>
      <c r="M175" s="37" t="str">
        <f>IF([3]道具信息!M175="","",[3]道具信息!M175)</f>
        <v/>
      </c>
      <c r="N175" s="37"/>
      <c r="O175" s="37" t="str">
        <f>IF([3]道具信息!O175="","",[3]道具信息!O175)</f>
        <v/>
      </c>
      <c r="P175" s="37" t="str">
        <f>IF([3]道具信息!P175="","",[3]道具信息!P175)</f>
        <v/>
      </c>
      <c r="Q175" s="37" t="str">
        <f>IF([3]道具信息!Q175="","",[3]道具信息!Q175)</f>
        <v/>
      </c>
    </row>
    <row r="176" spans="3:17" x14ac:dyDescent="0.15">
      <c r="C176" s="37">
        <f>IF([3]道具信息!C176="","",[3]道具信息!C176)</f>
        <v>21117</v>
      </c>
      <c r="D176" s="37" t="str">
        <f>IF([3]道具信息!D176="","",[3]道具信息!D176)</f>
        <v>招募20分钟加速令</v>
      </c>
      <c r="E176" s="37">
        <f>IF([3]道具信息!E176="","",[3]道具信息!E176)</f>
        <v>20</v>
      </c>
      <c r="F176" s="37">
        <f>IF([3]道具信息!F176="","",[3]道具信息!F176)</f>
        <v>1</v>
      </c>
      <c r="G176" s="37">
        <f>IF([3]道具信息!G176="","",[3]道具信息!G176)</f>
        <v>1</v>
      </c>
      <c r="H176" s="37">
        <f>IF([3]道具信息!H176="","",[3]道具信息!H176)</f>
        <v>1</v>
      </c>
      <c r="I176" s="37">
        <f>IF([3]道具信息!I176="","",[3]道具信息!I176)</f>
        <v>20</v>
      </c>
      <c r="J176" s="37">
        <f>IF([3]道具信息!J176="","",[3]道具信息!J176)</f>
        <v>20</v>
      </c>
      <c r="K176" s="37">
        <f>IF([3]道具信息!K176="","",[3]道具信息!K176)</f>
        <v>20</v>
      </c>
      <c r="L176" s="37" t="str">
        <f>IF([3]道具信息!L176="","",[3]道具信息!L176)</f>
        <v>使用后士兵招募加速20分钟</v>
      </c>
      <c r="M176" s="37" t="str">
        <f>IF([3]道具信息!M176="","",[3]道具信息!M176)</f>
        <v/>
      </c>
      <c r="N176" s="37"/>
      <c r="O176" s="37" t="str">
        <f>IF([3]道具信息!O176="","",[3]道具信息!O176)</f>
        <v/>
      </c>
      <c r="P176" s="37" t="str">
        <f>IF([3]道具信息!P176="","",[3]道具信息!P176)</f>
        <v/>
      </c>
      <c r="Q176" s="37" t="str">
        <f>IF([3]道具信息!Q176="","",[3]道具信息!Q176)</f>
        <v/>
      </c>
    </row>
    <row r="177" spans="3:17" x14ac:dyDescent="0.15">
      <c r="C177" s="37">
        <f>IF([3]道具信息!C177="","",[3]道具信息!C177)</f>
        <v>21118</v>
      </c>
      <c r="D177" s="37" t="str">
        <f>IF([3]道具信息!D177="","",[3]道具信息!D177)</f>
        <v>招募1小时加速令</v>
      </c>
      <c r="E177" s="37">
        <f>IF([3]道具信息!E177="","",[3]道具信息!E177)</f>
        <v>50</v>
      </c>
      <c r="F177" s="37">
        <f>IF([3]道具信息!F177="","",[3]道具信息!F177)</f>
        <v>1.2</v>
      </c>
      <c r="G177" s="37">
        <f>IF([3]道具信息!G177="","",[3]道具信息!G177)</f>
        <v>1</v>
      </c>
      <c r="H177" s="37">
        <f>IF([3]道具信息!H177="","",[3]道具信息!H177)</f>
        <v>1</v>
      </c>
      <c r="I177" s="37">
        <f>IF([3]道具信息!I177="","",[3]道具信息!I177)</f>
        <v>60</v>
      </c>
      <c r="J177" s="37">
        <f>IF([3]道具信息!J177="","",[3]道具信息!J177)</f>
        <v>50</v>
      </c>
      <c r="K177" s="37">
        <f>IF([3]道具信息!K177="","",[3]道具信息!K177)</f>
        <v>50</v>
      </c>
      <c r="L177" s="37" t="str">
        <f>IF([3]道具信息!L177="","",[3]道具信息!L177)</f>
        <v>使用后士兵招募加速1小时</v>
      </c>
      <c r="M177" s="37" t="str">
        <f>IF([3]道具信息!M177="","",[3]道具信息!M177)</f>
        <v/>
      </c>
      <c r="N177" s="37"/>
      <c r="O177" s="37" t="str">
        <f>IF([3]道具信息!O177="","",[3]道具信息!O177)</f>
        <v/>
      </c>
      <c r="P177" s="37" t="str">
        <f>IF([3]道具信息!P177="","",[3]道具信息!P177)</f>
        <v/>
      </c>
      <c r="Q177" s="37" t="str">
        <f>IF([3]道具信息!Q177="","",[3]道具信息!Q177)</f>
        <v/>
      </c>
    </row>
    <row r="178" spans="3:17" x14ac:dyDescent="0.15">
      <c r="C178" s="37">
        <f>IF([3]道具信息!C178="","",[3]道具信息!C178)</f>
        <v>21119</v>
      </c>
      <c r="D178" s="37" t="str">
        <f>IF([3]道具信息!D178="","",[3]道具信息!D178)</f>
        <v>招募3小时加速令</v>
      </c>
      <c r="E178" s="37">
        <f>IF([3]道具信息!E178="","",[3]道具信息!E178)</f>
        <v>100</v>
      </c>
      <c r="F178" s="37">
        <f>IF([3]道具信息!F178="","",[3]道具信息!F178)</f>
        <v>1.8</v>
      </c>
      <c r="G178" s="37">
        <f>IF([3]道具信息!G178="","",[3]道具信息!G178)</f>
        <v>1.5</v>
      </c>
      <c r="H178" s="37">
        <f>IF([3]道具信息!H178="","",[3]道具信息!H178)</f>
        <v>1</v>
      </c>
      <c r="I178" s="37">
        <f>IF([3]道具信息!I178="","",[3]道具信息!I178)</f>
        <v>180</v>
      </c>
      <c r="J178" s="37">
        <f>IF([3]道具信息!J178="","",[3]道具信息!J178)</f>
        <v>150</v>
      </c>
      <c r="K178" s="37">
        <f>IF([3]道具信息!K178="","",[3]道具信息!K178)</f>
        <v>100</v>
      </c>
      <c r="L178" s="37" t="str">
        <f>IF([3]道具信息!L178="","",[3]道具信息!L178)</f>
        <v>使用后士兵招募加速3小时</v>
      </c>
      <c r="M178" s="37" t="str">
        <f>IF([3]道具信息!M178="","",[3]道具信息!M178)</f>
        <v/>
      </c>
      <c r="N178" s="37"/>
      <c r="O178" s="37" t="str">
        <f>IF([3]道具信息!O178="","",[3]道具信息!O178)</f>
        <v/>
      </c>
      <c r="P178" s="37" t="str">
        <f>IF([3]道具信息!P178="","",[3]道具信息!P178)</f>
        <v/>
      </c>
      <c r="Q178" s="37" t="str">
        <f>IF([3]道具信息!Q178="","",[3]道具信息!Q178)</f>
        <v/>
      </c>
    </row>
    <row r="179" spans="3:17" x14ac:dyDescent="0.15">
      <c r="C179" s="37">
        <f>IF([3]道具信息!C179="","",[3]道具信息!C179)</f>
        <v>21136</v>
      </c>
      <c r="D179" s="37" t="str">
        <f>IF([3]道具信息!D179="","",[3]道具信息!D179)</f>
        <v>招募8小时加速令</v>
      </c>
      <c r="E179" s="37">
        <f>IF([3]道具信息!E179="","",[3]道具信息!E179)</f>
        <v>160</v>
      </c>
      <c r="F179" s="37">
        <f>IF([3]道具信息!F179="","",[3]道具信息!F179)</f>
        <v>3</v>
      </c>
      <c r="G179" s="37">
        <f>IF([3]道具信息!G179="","",[3]道具信息!G179)</f>
        <v>2.5</v>
      </c>
      <c r="H179" s="37">
        <f>IF([3]道具信息!H179="","",[3]道具信息!H179)</f>
        <v>1</v>
      </c>
      <c r="I179" s="37">
        <f>IF([3]道具信息!I179="","",[3]道具信息!I179)</f>
        <v>480</v>
      </c>
      <c r="J179" s="37">
        <f>IF([3]道具信息!J179="","",[3]道具信息!J179)</f>
        <v>400</v>
      </c>
      <c r="K179" s="37">
        <f>IF([3]道具信息!K179="","",[3]道具信息!K179)</f>
        <v>160</v>
      </c>
      <c r="L179" s="37" t="str">
        <f>IF([3]道具信息!L179="","",[3]道具信息!L179)</f>
        <v>使用后士兵招募加速8小时</v>
      </c>
      <c r="M179" s="37" t="str">
        <f>IF([3]道具信息!M179="","",[3]道具信息!M179)</f>
        <v/>
      </c>
      <c r="N179" s="37"/>
      <c r="O179" s="37" t="str">
        <f>IF([3]道具信息!O179="","",[3]道具信息!O179)</f>
        <v/>
      </c>
      <c r="P179" s="37" t="str">
        <f>IF([3]道具信息!P179="","",[3]道具信息!P179)</f>
        <v/>
      </c>
      <c r="Q179" s="37" t="str">
        <f>IF([3]道具信息!Q179="","",[3]道具信息!Q179)</f>
        <v/>
      </c>
    </row>
    <row r="180" spans="3:17" x14ac:dyDescent="0.15">
      <c r="C180" s="37" t="str">
        <f>IF([3]道具信息!C180="","",[3]道具信息!C180)</f>
        <v/>
      </c>
      <c r="D180" s="37" t="str">
        <f>IF([3]道具信息!D180="","",[3]道具信息!D180)</f>
        <v/>
      </c>
      <c r="E180" s="37" t="str">
        <f>IF([3]道具信息!E180="","",[3]道具信息!E180)</f>
        <v/>
      </c>
      <c r="F180" s="37" t="str">
        <f>IF([3]道具信息!F180="","",[3]道具信息!F180)</f>
        <v/>
      </c>
      <c r="G180" s="37" t="str">
        <f>IF([3]道具信息!G180="","",[3]道具信息!G180)</f>
        <v/>
      </c>
      <c r="H180" s="37" t="str">
        <f>IF([3]道具信息!H180="","",[3]道具信息!H180)</f>
        <v/>
      </c>
      <c r="I180" s="37" t="str">
        <f>IF([3]道具信息!I180="","",[3]道具信息!I180)</f>
        <v/>
      </c>
      <c r="J180" s="37" t="str">
        <f>IF([3]道具信息!J180="","",[3]道具信息!J180)</f>
        <v/>
      </c>
      <c r="K180" s="37" t="str">
        <f>IF([3]道具信息!K180="","",[3]道具信息!K180)</f>
        <v/>
      </c>
      <c r="L180" s="37" t="str">
        <f>IF([3]道具信息!L180="","",[3]道具信息!L180)</f>
        <v/>
      </c>
      <c r="M180" s="37" t="str">
        <f>IF([3]道具信息!M180="","",[3]道具信息!M180)</f>
        <v/>
      </c>
      <c r="N180" s="37"/>
      <c r="O180" s="37" t="str">
        <f>IF([3]道具信息!O180="","",[3]道具信息!O180)</f>
        <v/>
      </c>
      <c r="P180" s="37" t="str">
        <f>IF([3]道具信息!P180="","",[3]道具信息!P180)</f>
        <v/>
      </c>
      <c r="Q180" s="37" t="str">
        <f>IF([3]道具信息!Q180="","",[3]道具信息!Q180)</f>
        <v/>
      </c>
    </row>
    <row r="181" spans="3:17" x14ac:dyDescent="0.15">
      <c r="C181" s="37">
        <f>IF([3]道具信息!C181="","",[3]道具信息!C181)</f>
        <v>21120</v>
      </c>
      <c r="D181" s="37" t="str">
        <f>IF([3]道具信息!D181="","",[3]道具信息!D181)</f>
        <v>治疗1分钟加速令</v>
      </c>
      <c r="E181" s="37">
        <f>IF([3]道具信息!E181="","",[3]道具信息!E181)</f>
        <v>2</v>
      </c>
      <c r="F181" s="37">
        <f>IF([3]道具信息!F181="","",[3]道具信息!F181)</f>
        <v>1</v>
      </c>
      <c r="G181" s="37">
        <f>IF([3]道具信息!G181="","",[3]道具信息!G181)</f>
        <v>1</v>
      </c>
      <c r="H181" s="37">
        <f>IF([3]道具信息!H181="","",[3]道具信息!H181)</f>
        <v>1</v>
      </c>
      <c r="I181" s="37">
        <f>IF([3]道具信息!I181="","",[3]道具信息!I181)</f>
        <v>2</v>
      </c>
      <c r="J181" s="37">
        <f>IF([3]道具信息!J181="","",[3]道具信息!J181)</f>
        <v>2</v>
      </c>
      <c r="K181" s="37">
        <f>IF([3]道具信息!K181="","",[3]道具信息!K181)</f>
        <v>2</v>
      </c>
      <c r="L181" s="37" t="str">
        <f>IF([3]道具信息!L181="","",[3]道具信息!L181)</f>
        <v>使用后士兵治疗加速1分钟</v>
      </c>
      <c r="M181" s="37" t="str">
        <f>IF([3]道具信息!M181="","",[3]道具信息!M181)</f>
        <v/>
      </c>
      <c r="N181" s="37"/>
      <c r="O181" s="37" t="str">
        <f>IF([3]道具信息!O181="","",[3]道具信息!O181)</f>
        <v/>
      </c>
      <c r="P181" s="37" t="str">
        <f>IF([3]道具信息!P181="","",[3]道具信息!P181)</f>
        <v/>
      </c>
      <c r="Q181" s="37" t="str">
        <f>IF([3]道具信息!Q181="","",[3]道具信息!Q181)</f>
        <v/>
      </c>
    </row>
    <row r="182" spans="3:17" x14ac:dyDescent="0.15">
      <c r="C182" s="37">
        <f>IF([3]道具信息!C182="","",[3]道具信息!C182)</f>
        <v>21121</v>
      </c>
      <c r="D182" s="37" t="str">
        <f>IF([3]道具信息!D182="","",[3]道具信息!D182)</f>
        <v>治疗5分钟加速令</v>
      </c>
      <c r="E182" s="37">
        <f>IF([3]道具信息!E182="","",[3]道具信息!E182)</f>
        <v>8</v>
      </c>
      <c r="F182" s="37">
        <f>IF([3]道具信息!F182="","",[3]道具信息!F182)</f>
        <v>1</v>
      </c>
      <c r="G182" s="37">
        <f>IF([3]道具信息!G182="","",[3]道具信息!G182)</f>
        <v>1</v>
      </c>
      <c r="H182" s="37">
        <f>IF([3]道具信息!H182="","",[3]道具信息!H182)</f>
        <v>1</v>
      </c>
      <c r="I182" s="37">
        <f>IF([3]道具信息!I182="","",[3]道具信息!I182)</f>
        <v>8</v>
      </c>
      <c r="J182" s="37">
        <f>IF([3]道具信息!J182="","",[3]道具信息!J182)</f>
        <v>8</v>
      </c>
      <c r="K182" s="37">
        <f>IF([3]道具信息!K182="","",[3]道具信息!K182)</f>
        <v>8</v>
      </c>
      <c r="L182" s="37" t="str">
        <f>IF([3]道具信息!L182="","",[3]道具信息!L182)</f>
        <v>使用后士兵治疗加速5分钟</v>
      </c>
      <c r="M182" s="37" t="str">
        <f>IF([3]道具信息!M182="","",[3]道具信息!M182)</f>
        <v/>
      </c>
      <c r="N182" s="37"/>
      <c r="O182" s="37" t="str">
        <f>IF([3]道具信息!O182="","",[3]道具信息!O182)</f>
        <v/>
      </c>
      <c r="P182" s="37" t="str">
        <f>IF([3]道具信息!P182="","",[3]道具信息!P182)</f>
        <v/>
      </c>
      <c r="Q182" s="37" t="str">
        <f>IF([3]道具信息!Q182="","",[3]道具信息!Q182)</f>
        <v/>
      </c>
    </row>
    <row r="183" spans="3:17" x14ac:dyDescent="0.15">
      <c r="C183" s="37">
        <f>IF([3]道具信息!C183="","",[3]道具信息!C183)</f>
        <v>21122</v>
      </c>
      <c r="D183" s="37" t="str">
        <f>IF([3]道具信息!D183="","",[3]道具信息!D183)</f>
        <v>治疗20分钟加速令</v>
      </c>
      <c r="E183" s="37">
        <f>IF([3]道具信息!E183="","",[3]道具信息!E183)</f>
        <v>20</v>
      </c>
      <c r="F183" s="37">
        <f>IF([3]道具信息!F183="","",[3]道具信息!F183)</f>
        <v>1</v>
      </c>
      <c r="G183" s="37">
        <f>IF([3]道具信息!G183="","",[3]道具信息!G183)</f>
        <v>1</v>
      </c>
      <c r="H183" s="37">
        <f>IF([3]道具信息!H183="","",[3]道具信息!H183)</f>
        <v>1</v>
      </c>
      <c r="I183" s="37">
        <f>IF([3]道具信息!I183="","",[3]道具信息!I183)</f>
        <v>20</v>
      </c>
      <c r="J183" s="37">
        <f>IF([3]道具信息!J183="","",[3]道具信息!J183)</f>
        <v>20</v>
      </c>
      <c r="K183" s="37">
        <f>IF([3]道具信息!K183="","",[3]道具信息!K183)</f>
        <v>20</v>
      </c>
      <c r="L183" s="37" t="str">
        <f>IF([3]道具信息!L183="","",[3]道具信息!L183)</f>
        <v>使用后士兵治疗加速20分钟</v>
      </c>
      <c r="M183" s="37" t="str">
        <f>IF([3]道具信息!M183="","",[3]道具信息!M183)</f>
        <v/>
      </c>
      <c r="N183" s="37"/>
      <c r="O183" s="37" t="str">
        <f>IF([3]道具信息!O183="","",[3]道具信息!O183)</f>
        <v/>
      </c>
      <c r="P183" s="37" t="str">
        <f>IF([3]道具信息!P183="","",[3]道具信息!P183)</f>
        <v/>
      </c>
      <c r="Q183" s="37" t="str">
        <f>IF([3]道具信息!Q183="","",[3]道具信息!Q183)</f>
        <v/>
      </c>
    </row>
    <row r="184" spans="3:17" x14ac:dyDescent="0.15">
      <c r="C184" s="37">
        <f>IF([3]道具信息!C184="","",[3]道具信息!C184)</f>
        <v>21123</v>
      </c>
      <c r="D184" s="37" t="str">
        <f>IF([3]道具信息!D184="","",[3]道具信息!D184)</f>
        <v>治疗1小时加速令</v>
      </c>
      <c r="E184" s="37">
        <f>IF([3]道具信息!E184="","",[3]道具信息!E184)</f>
        <v>50</v>
      </c>
      <c r="F184" s="37">
        <f>IF([3]道具信息!F184="","",[3]道具信息!F184)</f>
        <v>1.2</v>
      </c>
      <c r="G184" s="37">
        <f>IF([3]道具信息!G184="","",[3]道具信息!G184)</f>
        <v>1</v>
      </c>
      <c r="H184" s="37">
        <f>IF([3]道具信息!H184="","",[3]道具信息!H184)</f>
        <v>1</v>
      </c>
      <c r="I184" s="37">
        <f>IF([3]道具信息!I184="","",[3]道具信息!I184)</f>
        <v>60</v>
      </c>
      <c r="J184" s="37">
        <f>IF([3]道具信息!J184="","",[3]道具信息!J184)</f>
        <v>50</v>
      </c>
      <c r="K184" s="37">
        <f>IF([3]道具信息!K184="","",[3]道具信息!K184)</f>
        <v>50</v>
      </c>
      <c r="L184" s="37" t="str">
        <f>IF([3]道具信息!L184="","",[3]道具信息!L184)</f>
        <v>使用后士兵治疗加速1小时</v>
      </c>
      <c r="M184" s="37" t="str">
        <f>IF([3]道具信息!M184="","",[3]道具信息!M184)</f>
        <v/>
      </c>
      <c r="N184" s="37"/>
      <c r="O184" s="37" t="str">
        <f>IF([3]道具信息!O184="","",[3]道具信息!O184)</f>
        <v/>
      </c>
      <c r="P184" s="37" t="str">
        <f>IF([3]道具信息!P184="","",[3]道具信息!P184)</f>
        <v/>
      </c>
      <c r="Q184" s="37" t="str">
        <f>IF([3]道具信息!Q184="","",[3]道具信息!Q184)</f>
        <v/>
      </c>
    </row>
    <row r="185" spans="3:17" x14ac:dyDescent="0.15">
      <c r="C185" s="37">
        <f>IF([3]道具信息!C185="","",[3]道具信息!C185)</f>
        <v>21124</v>
      </c>
      <c r="D185" s="37" t="str">
        <f>IF([3]道具信息!D185="","",[3]道具信息!D185)</f>
        <v>治疗3小时加速令</v>
      </c>
      <c r="E185" s="37">
        <f>IF([3]道具信息!E185="","",[3]道具信息!E185)</f>
        <v>100</v>
      </c>
      <c r="F185" s="37">
        <f>IF([3]道具信息!F185="","",[3]道具信息!F185)</f>
        <v>1.8</v>
      </c>
      <c r="G185" s="37">
        <f>IF([3]道具信息!G185="","",[3]道具信息!G185)</f>
        <v>1.5</v>
      </c>
      <c r="H185" s="37">
        <f>IF([3]道具信息!H185="","",[3]道具信息!H185)</f>
        <v>1</v>
      </c>
      <c r="I185" s="37">
        <f>IF([3]道具信息!I185="","",[3]道具信息!I185)</f>
        <v>180</v>
      </c>
      <c r="J185" s="37">
        <f>IF([3]道具信息!J185="","",[3]道具信息!J185)</f>
        <v>150</v>
      </c>
      <c r="K185" s="37">
        <f>IF([3]道具信息!K185="","",[3]道具信息!K185)</f>
        <v>100</v>
      </c>
      <c r="L185" s="37" t="str">
        <f>IF([3]道具信息!L185="","",[3]道具信息!L185)</f>
        <v>使用后士兵治疗加速3小时</v>
      </c>
      <c r="M185" s="37" t="str">
        <f>IF([3]道具信息!M185="","",[3]道具信息!M185)</f>
        <v/>
      </c>
      <c r="N185" s="37"/>
      <c r="O185" s="37" t="str">
        <f>IF([3]道具信息!O185="","",[3]道具信息!O185)</f>
        <v/>
      </c>
      <c r="P185" s="37" t="str">
        <f>IF([3]道具信息!P185="","",[3]道具信息!P185)</f>
        <v/>
      </c>
      <c r="Q185" s="37" t="str">
        <f>IF([3]道具信息!Q185="","",[3]道具信息!Q185)</f>
        <v/>
      </c>
    </row>
    <row r="186" spans="3:17" x14ac:dyDescent="0.15">
      <c r="C186" s="37">
        <f>IF([3]道具信息!C186="","",[3]道具信息!C186)</f>
        <v>21137</v>
      </c>
      <c r="D186" s="37" t="str">
        <f>IF([3]道具信息!D186="","",[3]道具信息!D186)</f>
        <v>治疗8小时加速令</v>
      </c>
      <c r="E186" s="37">
        <f>IF([3]道具信息!E186="","",[3]道具信息!E186)</f>
        <v>160</v>
      </c>
      <c r="F186" s="37">
        <f>IF([3]道具信息!F186="","",[3]道具信息!F186)</f>
        <v>3</v>
      </c>
      <c r="G186" s="37">
        <f>IF([3]道具信息!G186="","",[3]道具信息!G186)</f>
        <v>2.5</v>
      </c>
      <c r="H186" s="37">
        <f>IF([3]道具信息!H186="","",[3]道具信息!H186)</f>
        <v>1</v>
      </c>
      <c r="I186" s="37">
        <f>IF([3]道具信息!I186="","",[3]道具信息!I186)</f>
        <v>480</v>
      </c>
      <c r="J186" s="37">
        <f>IF([3]道具信息!J186="","",[3]道具信息!J186)</f>
        <v>400</v>
      </c>
      <c r="K186" s="37">
        <f>IF([3]道具信息!K186="","",[3]道具信息!K186)</f>
        <v>160</v>
      </c>
      <c r="L186" s="37" t="str">
        <f>IF([3]道具信息!L186="","",[3]道具信息!L186)</f>
        <v>使用后士兵治疗加速8小时</v>
      </c>
      <c r="M186" s="37" t="str">
        <f>IF([3]道具信息!M186="","",[3]道具信息!M186)</f>
        <v/>
      </c>
      <c r="N186" s="37"/>
      <c r="O186" s="37" t="str">
        <f>IF([3]道具信息!O186="","",[3]道具信息!O186)</f>
        <v/>
      </c>
      <c r="P186" s="37" t="str">
        <f>IF([3]道具信息!P186="","",[3]道具信息!P186)</f>
        <v/>
      </c>
      <c r="Q186" s="37" t="str">
        <f>IF([3]道具信息!Q186="","",[3]道具信息!Q186)</f>
        <v/>
      </c>
    </row>
    <row r="187" spans="3:17" x14ac:dyDescent="0.15">
      <c r="C187" s="37" t="str">
        <f>IF([3]道具信息!C187="","",[3]道具信息!C187)</f>
        <v/>
      </c>
      <c r="D187" s="37" t="str">
        <f>IF([3]道具信息!D187="","",[3]道具信息!D187)</f>
        <v/>
      </c>
      <c r="E187" s="37" t="str">
        <f>IF([3]道具信息!E187="","",[3]道具信息!E187)</f>
        <v/>
      </c>
      <c r="F187" s="37" t="str">
        <f>IF([3]道具信息!F187="","",[3]道具信息!F187)</f>
        <v/>
      </c>
      <c r="G187" s="37" t="str">
        <f>IF([3]道具信息!G187="","",[3]道具信息!G187)</f>
        <v/>
      </c>
      <c r="H187" s="37" t="str">
        <f>IF([3]道具信息!H187="","",[3]道具信息!H187)</f>
        <v/>
      </c>
      <c r="I187" s="37" t="str">
        <f>IF([3]道具信息!I187="","",[3]道具信息!I187)</f>
        <v/>
      </c>
      <c r="J187" s="37" t="str">
        <f>IF([3]道具信息!J187="","",[3]道具信息!J187)</f>
        <v/>
      </c>
      <c r="K187" s="37" t="str">
        <f>IF([3]道具信息!K187="","",[3]道具信息!K187)</f>
        <v/>
      </c>
      <c r="L187" s="37" t="str">
        <f>IF([3]道具信息!L187="","",[3]道具信息!L187)</f>
        <v/>
      </c>
      <c r="M187" s="37" t="str">
        <f>IF([3]道具信息!M187="","",[3]道具信息!M187)</f>
        <v/>
      </c>
      <c r="N187" s="37"/>
      <c r="O187" s="37" t="str">
        <f>IF([3]道具信息!O187="","",[3]道具信息!O187)</f>
        <v/>
      </c>
      <c r="P187" s="37" t="str">
        <f>IF([3]道具信息!P187="","",[3]道具信息!P187)</f>
        <v/>
      </c>
      <c r="Q187" s="37" t="str">
        <f>IF([3]道具信息!Q187="","",[3]道具信息!Q187)</f>
        <v/>
      </c>
    </row>
    <row r="188" spans="3:17" x14ac:dyDescent="0.15">
      <c r="C188" s="37">
        <f>IF([3]道具信息!C188="","",[3]道具信息!C188)</f>
        <v>21130</v>
      </c>
      <c r="D188" s="37" t="str">
        <f>IF([3]道具信息!D188="","",[3]道具信息!D188)</f>
        <v>训练1分钟加速令</v>
      </c>
      <c r="E188" s="37">
        <f>IF([3]道具信息!E188="","",[3]道具信息!E188)</f>
        <v>2</v>
      </c>
      <c r="F188" s="37">
        <f>IF([3]道具信息!F188="","",[3]道具信息!F188)</f>
        <v>1</v>
      </c>
      <c r="G188" s="37">
        <f>IF([3]道具信息!G188="","",[3]道具信息!G188)</f>
        <v>1</v>
      </c>
      <c r="H188" s="37">
        <f>IF([3]道具信息!H188="","",[3]道具信息!H188)</f>
        <v>1</v>
      </c>
      <c r="I188" s="37">
        <f>IF([3]道具信息!I188="","",[3]道具信息!I188)</f>
        <v>2</v>
      </c>
      <c r="J188" s="37">
        <f>IF([3]道具信息!J188="","",[3]道具信息!J188)</f>
        <v>2</v>
      </c>
      <c r="K188" s="37">
        <f>IF([3]道具信息!K188="","",[3]道具信息!K188)</f>
        <v>2</v>
      </c>
      <c r="L188" s="37" t="str">
        <f>IF([3]道具信息!L188="","",[3]道具信息!L188)</f>
        <v>使用后士兵训练加速1分钟</v>
      </c>
      <c r="M188" s="37" t="str">
        <f>IF([3]道具信息!M188="","",[3]道具信息!M188)</f>
        <v/>
      </c>
      <c r="N188" s="37"/>
      <c r="O188" s="37" t="str">
        <f>IF([3]道具信息!O188="","",[3]道具信息!O188)</f>
        <v/>
      </c>
      <c r="P188" s="37" t="str">
        <f>IF([3]道具信息!P188="","",[3]道具信息!P188)</f>
        <v/>
      </c>
      <c r="Q188" s="37" t="str">
        <f>IF([3]道具信息!Q188="","",[3]道具信息!Q188)</f>
        <v/>
      </c>
    </row>
    <row r="189" spans="3:17" x14ac:dyDescent="0.15">
      <c r="C189" s="37">
        <f>IF([3]道具信息!C189="","",[3]道具信息!C189)</f>
        <v>21131</v>
      </c>
      <c r="D189" s="37" t="str">
        <f>IF([3]道具信息!D189="","",[3]道具信息!D189)</f>
        <v>训练5分钟加速令</v>
      </c>
      <c r="E189" s="37">
        <f>IF([3]道具信息!E189="","",[3]道具信息!E189)</f>
        <v>8</v>
      </c>
      <c r="F189" s="37">
        <f>IF([3]道具信息!F189="","",[3]道具信息!F189)</f>
        <v>1</v>
      </c>
      <c r="G189" s="37">
        <f>IF([3]道具信息!G189="","",[3]道具信息!G189)</f>
        <v>1</v>
      </c>
      <c r="H189" s="37">
        <f>IF([3]道具信息!H189="","",[3]道具信息!H189)</f>
        <v>1</v>
      </c>
      <c r="I189" s="37">
        <f>IF([3]道具信息!I189="","",[3]道具信息!I189)</f>
        <v>8</v>
      </c>
      <c r="J189" s="37">
        <f>IF([3]道具信息!J189="","",[3]道具信息!J189)</f>
        <v>8</v>
      </c>
      <c r="K189" s="37">
        <f>IF([3]道具信息!K189="","",[3]道具信息!K189)</f>
        <v>8</v>
      </c>
      <c r="L189" s="37" t="str">
        <f>IF([3]道具信息!L189="","",[3]道具信息!L189)</f>
        <v>使用后士兵训练加速5分钟</v>
      </c>
      <c r="M189" s="37" t="str">
        <f>IF([3]道具信息!M189="","",[3]道具信息!M189)</f>
        <v/>
      </c>
      <c r="N189" s="37"/>
      <c r="O189" s="37" t="str">
        <f>IF([3]道具信息!O189="","",[3]道具信息!O189)</f>
        <v/>
      </c>
      <c r="P189" s="37" t="str">
        <f>IF([3]道具信息!P189="","",[3]道具信息!P189)</f>
        <v/>
      </c>
      <c r="Q189" s="37" t="str">
        <f>IF([3]道具信息!Q189="","",[3]道具信息!Q189)</f>
        <v/>
      </c>
    </row>
    <row r="190" spans="3:17" x14ac:dyDescent="0.15">
      <c r="C190" s="37">
        <f>IF([3]道具信息!C190="","",[3]道具信息!C190)</f>
        <v>21132</v>
      </c>
      <c r="D190" s="37" t="str">
        <f>IF([3]道具信息!D190="","",[3]道具信息!D190)</f>
        <v>训练20分钟加速令</v>
      </c>
      <c r="E190" s="37">
        <f>IF([3]道具信息!E190="","",[3]道具信息!E190)</f>
        <v>20</v>
      </c>
      <c r="F190" s="37">
        <f>IF([3]道具信息!F190="","",[3]道具信息!F190)</f>
        <v>1</v>
      </c>
      <c r="G190" s="37">
        <f>IF([3]道具信息!G190="","",[3]道具信息!G190)</f>
        <v>1</v>
      </c>
      <c r="H190" s="37">
        <f>IF([3]道具信息!H190="","",[3]道具信息!H190)</f>
        <v>1</v>
      </c>
      <c r="I190" s="37">
        <f>IF([3]道具信息!I190="","",[3]道具信息!I190)</f>
        <v>20</v>
      </c>
      <c r="J190" s="37">
        <f>IF([3]道具信息!J190="","",[3]道具信息!J190)</f>
        <v>20</v>
      </c>
      <c r="K190" s="37">
        <f>IF([3]道具信息!K190="","",[3]道具信息!K190)</f>
        <v>20</v>
      </c>
      <c r="L190" s="37" t="str">
        <f>IF([3]道具信息!L190="","",[3]道具信息!L190)</f>
        <v>使用后士兵训练加速20分钟</v>
      </c>
      <c r="M190" s="37" t="str">
        <f>IF([3]道具信息!M190="","",[3]道具信息!M190)</f>
        <v/>
      </c>
      <c r="N190" s="37"/>
      <c r="O190" s="37" t="str">
        <f>IF([3]道具信息!O190="","",[3]道具信息!O190)</f>
        <v/>
      </c>
      <c r="P190" s="37" t="str">
        <f>IF([3]道具信息!P190="","",[3]道具信息!P190)</f>
        <v/>
      </c>
      <c r="Q190" s="37" t="str">
        <f>IF([3]道具信息!Q190="","",[3]道具信息!Q190)</f>
        <v/>
      </c>
    </row>
    <row r="191" spans="3:17" x14ac:dyDescent="0.15">
      <c r="C191" s="37">
        <f>IF([3]道具信息!C191="","",[3]道具信息!C191)</f>
        <v>21133</v>
      </c>
      <c r="D191" s="37" t="str">
        <f>IF([3]道具信息!D191="","",[3]道具信息!D191)</f>
        <v>训练1小时加速令</v>
      </c>
      <c r="E191" s="37">
        <f>IF([3]道具信息!E191="","",[3]道具信息!E191)</f>
        <v>50</v>
      </c>
      <c r="F191" s="37">
        <f>IF([3]道具信息!F191="","",[3]道具信息!F191)</f>
        <v>1.2</v>
      </c>
      <c r="G191" s="37">
        <f>IF([3]道具信息!G191="","",[3]道具信息!G191)</f>
        <v>1</v>
      </c>
      <c r="H191" s="37">
        <f>IF([3]道具信息!H191="","",[3]道具信息!H191)</f>
        <v>1</v>
      </c>
      <c r="I191" s="37">
        <f>IF([3]道具信息!I191="","",[3]道具信息!I191)</f>
        <v>60</v>
      </c>
      <c r="J191" s="37">
        <f>IF([3]道具信息!J191="","",[3]道具信息!J191)</f>
        <v>50</v>
      </c>
      <c r="K191" s="37">
        <f>IF([3]道具信息!K191="","",[3]道具信息!K191)</f>
        <v>50</v>
      </c>
      <c r="L191" s="37" t="str">
        <f>IF([3]道具信息!L191="","",[3]道具信息!L191)</f>
        <v>使用后士兵训练加速1小时</v>
      </c>
      <c r="M191" s="37" t="str">
        <f>IF([3]道具信息!M191="","",[3]道具信息!M191)</f>
        <v/>
      </c>
      <c r="N191" s="37"/>
      <c r="O191" s="37" t="str">
        <f>IF([3]道具信息!O191="","",[3]道具信息!O191)</f>
        <v/>
      </c>
      <c r="P191" s="37" t="str">
        <f>IF([3]道具信息!P191="","",[3]道具信息!P191)</f>
        <v/>
      </c>
      <c r="Q191" s="37" t="str">
        <f>IF([3]道具信息!Q191="","",[3]道具信息!Q191)</f>
        <v/>
      </c>
    </row>
    <row r="192" spans="3:17" x14ac:dyDescent="0.15">
      <c r="C192" s="37">
        <f>IF([3]道具信息!C192="","",[3]道具信息!C192)</f>
        <v>21134</v>
      </c>
      <c r="D192" s="37" t="str">
        <f>IF([3]道具信息!D192="","",[3]道具信息!D192)</f>
        <v>训练3小时加速令</v>
      </c>
      <c r="E192" s="37">
        <f>IF([3]道具信息!E192="","",[3]道具信息!E192)</f>
        <v>100</v>
      </c>
      <c r="F192" s="37">
        <f>IF([3]道具信息!F192="","",[3]道具信息!F192)</f>
        <v>1.8</v>
      </c>
      <c r="G192" s="37">
        <f>IF([3]道具信息!G192="","",[3]道具信息!G192)</f>
        <v>1.5</v>
      </c>
      <c r="H192" s="37">
        <f>IF([3]道具信息!H192="","",[3]道具信息!H192)</f>
        <v>1</v>
      </c>
      <c r="I192" s="37">
        <f>IF([3]道具信息!I192="","",[3]道具信息!I192)</f>
        <v>180</v>
      </c>
      <c r="J192" s="37">
        <f>IF([3]道具信息!J192="","",[3]道具信息!J192)</f>
        <v>150</v>
      </c>
      <c r="K192" s="37">
        <f>IF([3]道具信息!K192="","",[3]道具信息!K192)</f>
        <v>100</v>
      </c>
      <c r="L192" s="37" t="str">
        <f>IF([3]道具信息!L192="","",[3]道具信息!L192)</f>
        <v>使用后士兵训练加速3小时</v>
      </c>
      <c r="M192" s="37" t="str">
        <f>IF([3]道具信息!M192="","",[3]道具信息!M192)</f>
        <v/>
      </c>
      <c r="N192" s="37"/>
      <c r="O192" s="37" t="str">
        <f>IF([3]道具信息!O192="","",[3]道具信息!O192)</f>
        <v/>
      </c>
      <c r="P192" s="37" t="str">
        <f>IF([3]道具信息!P192="","",[3]道具信息!P192)</f>
        <v/>
      </c>
      <c r="Q192" s="37" t="str">
        <f>IF([3]道具信息!Q192="","",[3]道具信息!Q192)</f>
        <v/>
      </c>
    </row>
    <row r="193" spans="3:17" x14ac:dyDescent="0.15">
      <c r="C193" s="37">
        <f>IF([3]道具信息!C193="","",[3]道具信息!C193)</f>
        <v>21139</v>
      </c>
      <c r="D193" s="37" t="str">
        <f>IF([3]道具信息!D193="","",[3]道具信息!D193)</f>
        <v>训练8小时加速令</v>
      </c>
      <c r="E193" s="37">
        <f>IF([3]道具信息!E193="","",[3]道具信息!E193)</f>
        <v>160</v>
      </c>
      <c r="F193" s="37">
        <f>IF([3]道具信息!F193="","",[3]道具信息!F193)</f>
        <v>3</v>
      </c>
      <c r="G193" s="37">
        <f>IF([3]道具信息!G193="","",[3]道具信息!G193)</f>
        <v>2.5</v>
      </c>
      <c r="H193" s="37">
        <f>IF([3]道具信息!H193="","",[3]道具信息!H193)</f>
        <v>1</v>
      </c>
      <c r="I193" s="37">
        <f>IF([3]道具信息!I193="","",[3]道具信息!I193)</f>
        <v>480</v>
      </c>
      <c r="J193" s="37">
        <f>IF([3]道具信息!J193="","",[3]道具信息!J193)</f>
        <v>400</v>
      </c>
      <c r="K193" s="37">
        <f>IF([3]道具信息!K193="","",[3]道具信息!K193)</f>
        <v>160</v>
      </c>
      <c r="L193" s="37" t="str">
        <f>IF([3]道具信息!L193="","",[3]道具信息!L193)</f>
        <v>使用后士兵训练加速8小时</v>
      </c>
      <c r="M193" s="37" t="str">
        <f>IF([3]道具信息!M193="","",[3]道具信息!M193)</f>
        <v/>
      </c>
      <c r="N193" s="37"/>
      <c r="O193" s="37" t="str">
        <f>IF([3]道具信息!O193="","",[3]道具信息!O193)</f>
        <v/>
      </c>
      <c r="P193" s="37" t="str">
        <f>IF([3]道具信息!P193="","",[3]道具信息!P193)</f>
        <v/>
      </c>
      <c r="Q193" s="37" t="str">
        <f>IF([3]道具信息!Q193="","",[3]道具信息!Q193)</f>
        <v/>
      </c>
    </row>
    <row r="194" spans="3:17" x14ac:dyDescent="0.15">
      <c r="C194" s="37" t="str">
        <f>IF([3]道具信息!C194="","",[3]道具信息!C194)</f>
        <v/>
      </c>
      <c r="D194" s="37" t="str">
        <f>IF([3]道具信息!D194="","",[3]道具信息!D194)</f>
        <v/>
      </c>
      <c r="E194" s="37" t="str">
        <f>IF([3]道具信息!E194="","",[3]道具信息!E194)</f>
        <v/>
      </c>
      <c r="F194" s="37" t="str">
        <f>IF([3]道具信息!F194="","",[3]道具信息!F194)</f>
        <v/>
      </c>
      <c r="G194" s="37" t="str">
        <f>IF([3]道具信息!G194="","",[3]道具信息!G194)</f>
        <v/>
      </c>
      <c r="H194" s="37" t="str">
        <f>IF([3]道具信息!H194="","",[3]道具信息!H194)</f>
        <v/>
      </c>
      <c r="I194" s="37" t="str">
        <f>IF([3]道具信息!I194="","",[3]道具信息!I194)</f>
        <v/>
      </c>
      <c r="J194" s="37" t="str">
        <f>IF([3]道具信息!J194="","",[3]道具信息!J194)</f>
        <v/>
      </c>
      <c r="K194" s="37" t="str">
        <f>IF([3]道具信息!K194="","",[3]道具信息!K194)</f>
        <v/>
      </c>
      <c r="L194" s="37" t="str">
        <f>IF([3]道具信息!L194="","",[3]道具信息!L194)</f>
        <v/>
      </c>
      <c r="M194" s="37" t="str">
        <f>IF([3]道具信息!M194="","",[3]道具信息!M194)</f>
        <v/>
      </c>
      <c r="N194" s="37"/>
      <c r="O194" s="37" t="str">
        <f>IF([3]道具信息!O194="","",[3]道具信息!O194)</f>
        <v/>
      </c>
      <c r="P194" s="37" t="str">
        <f>IF([3]道具信息!P194="","",[3]道具信息!P194)</f>
        <v/>
      </c>
      <c r="Q194" s="37" t="str">
        <f>IF([3]道具信息!Q194="","",[3]道具信息!Q194)</f>
        <v/>
      </c>
    </row>
    <row r="195" spans="3:17" x14ac:dyDescent="0.15">
      <c r="C195" s="37">
        <f>IF([3]道具信息!C195="","",[3]道具信息!C195)</f>
        <v>21140</v>
      </c>
      <c r="D195" s="37" t="str">
        <f>IF([3]道具信息!D195="","",[3]道具信息!D195)</f>
        <v>圣人1分钟加速令</v>
      </c>
      <c r="E195" s="37">
        <f>IF([3]道具信息!E195="","",[3]道具信息!E195)</f>
        <v>2</v>
      </c>
      <c r="F195" s="37">
        <f>IF([3]道具信息!F195="","",[3]道具信息!F195)</f>
        <v>1</v>
      </c>
      <c r="G195" s="37">
        <f>IF([3]道具信息!G195="","",[3]道具信息!G195)</f>
        <v>1</v>
      </c>
      <c r="H195" s="37">
        <f>IF([3]道具信息!H195="","",[3]道具信息!H195)</f>
        <v>1</v>
      </c>
      <c r="I195" s="37">
        <f>IF([3]道具信息!I195="","",[3]道具信息!I195)</f>
        <v>2</v>
      </c>
      <c r="J195" s="37">
        <f>IF([3]道具信息!J195="","",[3]道具信息!J195)</f>
        <v>2</v>
      </c>
      <c r="K195" s="37">
        <f>IF([3]道具信息!K195="","",[3]道具信息!K195)</f>
        <v>2</v>
      </c>
      <c r="L195" s="37" t="str">
        <f>IF([3]道具信息!L195="","",[3]道具信息!L195)</f>
        <v>使用后士兵训练加速1分钟</v>
      </c>
      <c r="M195" s="37" t="str">
        <f>IF([3]道具信息!M195="","",[3]道具信息!M195)</f>
        <v/>
      </c>
      <c r="N195" s="37"/>
      <c r="O195" s="37" t="str">
        <f>IF([3]道具信息!O195="","",[3]道具信息!O195)</f>
        <v/>
      </c>
      <c r="P195" s="37" t="str">
        <f>IF([3]道具信息!P195="","",[3]道具信息!P195)</f>
        <v/>
      </c>
      <c r="Q195" s="37" t="str">
        <f>IF([3]道具信息!Q195="","",[3]道具信息!Q195)</f>
        <v/>
      </c>
    </row>
    <row r="196" spans="3:17" x14ac:dyDescent="0.15">
      <c r="C196" s="37">
        <f>IF([3]道具信息!C196="","",[3]道具信息!C196)</f>
        <v>21141</v>
      </c>
      <c r="D196" s="37" t="str">
        <f>IF([3]道具信息!D196="","",[3]道具信息!D196)</f>
        <v>圣人5分钟加速令</v>
      </c>
      <c r="E196" s="37">
        <f>IF([3]道具信息!E196="","",[3]道具信息!E196)</f>
        <v>8</v>
      </c>
      <c r="F196" s="37">
        <f>IF([3]道具信息!F196="","",[3]道具信息!F196)</f>
        <v>1</v>
      </c>
      <c r="G196" s="37">
        <f>IF([3]道具信息!G196="","",[3]道具信息!G196)</f>
        <v>1</v>
      </c>
      <c r="H196" s="37">
        <f>IF([3]道具信息!H196="","",[3]道具信息!H196)</f>
        <v>1</v>
      </c>
      <c r="I196" s="37">
        <f>IF([3]道具信息!I196="","",[3]道具信息!I196)</f>
        <v>8</v>
      </c>
      <c r="J196" s="37">
        <f>IF([3]道具信息!J196="","",[3]道具信息!J196)</f>
        <v>8</v>
      </c>
      <c r="K196" s="37">
        <f>IF([3]道具信息!K196="","",[3]道具信息!K196)</f>
        <v>8</v>
      </c>
      <c r="L196" s="37" t="str">
        <f>IF([3]道具信息!L196="","",[3]道具信息!L196)</f>
        <v>使用后士兵训练加速5分钟</v>
      </c>
      <c r="M196" s="37" t="str">
        <f>IF([3]道具信息!M196="","",[3]道具信息!M196)</f>
        <v/>
      </c>
      <c r="N196" s="37"/>
      <c r="O196" s="37" t="str">
        <f>IF([3]道具信息!O196="","",[3]道具信息!O196)</f>
        <v/>
      </c>
      <c r="P196" s="37" t="str">
        <f>IF([3]道具信息!P196="","",[3]道具信息!P196)</f>
        <v/>
      </c>
      <c r="Q196" s="37" t="str">
        <f>IF([3]道具信息!Q196="","",[3]道具信息!Q196)</f>
        <v/>
      </c>
    </row>
    <row r="197" spans="3:17" x14ac:dyDescent="0.15">
      <c r="C197" s="37">
        <f>IF([3]道具信息!C197="","",[3]道具信息!C197)</f>
        <v>21142</v>
      </c>
      <c r="D197" s="37" t="str">
        <f>IF([3]道具信息!D197="","",[3]道具信息!D197)</f>
        <v>圣人20分钟加速令</v>
      </c>
      <c r="E197" s="37">
        <f>IF([3]道具信息!E197="","",[3]道具信息!E197)</f>
        <v>20</v>
      </c>
      <c r="F197" s="37">
        <f>IF([3]道具信息!F197="","",[3]道具信息!F197)</f>
        <v>1</v>
      </c>
      <c r="G197" s="37">
        <f>IF([3]道具信息!G197="","",[3]道具信息!G197)</f>
        <v>1</v>
      </c>
      <c r="H197" s="37">
        <f>IF([3]道具信息!H197="","",[3]道具信息!H197)</f>
        <v>1</v>
      </c>
      <c r="I197" s="37">
        <f>IF([3]道具信息!I197="","",[3]道具信息!I197)</f>
        <v>20</v>
      </c>
      <c r="J197" s="37">
        <f>IF([3]道具信息!J197="","",[3]道具信息!J197)</f>
        <v>20</v>
      </c>
      <c r="K197" s="37">
        <f>IF([3]道具信息!K197="","",[3]道具信息!K197)</f>
        <v>20</v>
      </c>
      <c r="L197" s="37" t="str">
        <f>IF([3]道具信息!L197="","",[3]道具信息!L197)</f>
        <v>使用后士兵训练加速20分钟</v>
      </c>
      <c r="M197" s="37" t="str">
        <f>IF([3]道具信息!M197="","",[3]道具信息!M197)</f>
        <v/>
      </c>
      <c r="N197" s="37"/>
      <c r="O197" s="37" t="str">
        <f>IF([3]道具信息!O197="","",[3]道具信息!O197)</f>
        <v/>
      </c>
      <c r="P197" s="37" t="str">
        <f>IF([3]道具信息!P197="","",[3]道具信息!P197)</f>
        <v/>
      </c>
      <c r="Q197" s="37" t="str">
        <f>IF([3]道具信息!Q197="","",[3]道具信息!Q197)</f>
        <v/>
      </c>
    </row>
    <row r="198" spans="3:17" x14ac:dyDescent="0.15">
      <c r="C198" s="37">
        <f>IF([3]道具信息!C198="","",[3]道具信息!C198)</f>
        <v>21143</v>
      </c>
      <c r="D198" s="37" t="str">
        <f>IF([3]道具信息!D198="","",[3]道具信息!D198)</f>
        <v>圣人1小时加速令</v>
      </c>
      <c r="E198" s="37">
        <f>IF([3]道具信息!E198="","",[3]道具信息!E198)</f>
        <v>50</v>
      </c>
      <c r="F198" s="37">
        <f>IF([3]道具信息!F198="","",[3]道具信息!F198)</f>
        <v>1.2</v>
      </c>
      <c r="G198" s="37">
        <f>IF([3]道具信息!G198="","",[3]道具信息!G198)</f>
        <v>1</v>
      </c>
      <c r="H198" s="37">
        <f>IF([3]道具信息!H198="","",[3]道具信息!H198)</f>
        <v>1</v>
      </c>
      <c r="I198" s="37">
        <f>IF([3]道具信息!I198="","",[3]道具信息!I198)</f>
        <v>60</v>
      </c>
      <c r="J198" s="37">
        <f>IF([3]道具信息!J198="","",[3]道具信息!J198)</f>
        <v>50</v>
      </c>
      <c r="K198" s="37">
        <f>IF([3]道具信息!K198="","",[3]道具信息!K198)</f>
        <v>50</v>
      </c>
      <c r="L198" s="37" t="str">
        <f>IF([3]道具信息!L198="","",[3]道具信息!L198)</f>
        <v>使用后士兵训练加速1小时</v>
      </c>
      <c r="M198" s="37" t="str">
        <f>IF([3]道具信息!M198="","",[3]道具信息!M198)</f>
        <v/>
      </c>
      <c r="N198" s="37"/>
      <c r="O198" s="37" t="str">
        <f>IF([3]道具信息!O198="","",[3]道具信息!O198)</f>
        <v/>
      </c>
      <c r="P198" s="37" t="str">
        <f>IF([3]道具信息!P198="","",[3]道具信息!P198)</f>
        <v/>
      </c>
      <c r="Q198" s="37" t="str">
        <f>IF([3]道具信息!Q198="","",[3]道具信息!Q198)</f>
        <v/>
      </c>
    </row>
    <row r="199" spans="3:17" x14ac:dyDescent="0.15">
      <c r="C199" s="37">
        <f>IF([3]道具信息!C199="","",[3]道具信息!C199)</f>
        <v>21144</v>
      </c>
      <c r="D199" s="37" t="str">
        <f>IF([3]道具信息!D199="","",[3]道具信息!D199)</f>
        <v>圣人3小时加速令</v>
      </c>
      <c r="E199" s="37">
        <f>IF([3]道具信息!E199="","",[3]道具信息!E199)</f>
        <v>100</v>
      </c>
      <c r="F199" s="37">
        <f>IF([3]道具信息!F199="","",[3]道具信息!F199)</f>
        <v>1.8</v>
      </c>
      <c r="G199" s="37">
        <f>IF([3]道具信息!G199="","",[3]道具信息!G199)</f>
        <v>1.5</v>
      </c>
      <c r="H199" s="37">
        <f>IF([3]道具信息!H199="","",[3]道具信息!H199)</f>
        <v>1</v>
      </c>
      <c r="I199" s="37">
        <f>IF([3]道具信息!I199="","",[3]道具信息!I199)</f>
        <v>180</v>
      </c>
      <c r="J199" s="37">
        <f>IF([3]道具信息!J199="","",[3]道具信息!J199)</f>
        <v>150</v>
      </c>
      <c r="K199" s="37">
        <f>IF([3]道具信息!K199="","",[3]道具信息!K199)</f>
        <v>100</v>
      </c>
      <c r="L199" s="37" t="str">
        <f>IF([3]道具信息!L199="","",[3]道具信息!L199)</f>
        <v>使用后士兵训练加速3小时</v>
      </c>
      <c r="M199" s="37" t="str">
        <f>IF([3]道具信息!M199="","",[3]道具信息!M199)</f>
        <v/>
      </c>
      <c r="N199" s="37"/>
      <c r="O199" s="37" t="str">
        <f>IF([3]道具信息!O199="","",[3]道具信息!O199)</f>
        <v/>
      </c>
      <c r="P199" s="37" t="str">
        <f>IF([3]道具信息!P199="","",[3]道具信息!P199)</f>
        <v/>
      </c>
      <c r="Q199" s="37" t="str">
        <f>IF([3]道具信息!Q199="","",[3]道具信息!Q199)</f>
        <v/>
      </c>
    </row>
    <row r="200" spans="3:17" x14ac:dyDescent="0.15">
      <c r="C200" s="37">
        <f>IF([3]道具信息!C200="","",[3]道具信息!C200)</f>
        <v>21145</v>
      </c>
      <c r="D200" s="37" t="str">
        <f>IF([3]道具信息!D200="","",[3]道具信息!D200)</f>
        <v>圣人8小时加速令</v>
      </c>
      <c r="E200" s="37">
        <f>IF([3]道具信息!E200="","",[3]道具信息!E200)</f>
        <v>160</v>
      </c>
      <c r="F200" s="37">
        <f>IF([3]道具信息!F200="","",[3]道具信息!F200)</f>
        <v>3</v>
      </c>
      <c r="G200" s="37">
        <f>IF([3]道具信息!G200="","",[3]道具信息!G200)</f>
        <v>2.5</v>
      </c>
      <c r="H200" s="37">
        <f>IF([3]道具信息!H200="","",[3]道具信息!H200)</f>
        <v>1</v>
      </c>
      <c r="I200" s="37">
        <f>IF([3]道具信息!I200="","",[3]道具信息!I200)</f>
        <v>480</v>
      </c>
      <c r="J200" s="37">
        <f>IF([3]道具信息!J200="","",[3]道具信息!J200)</f>
        <v>400</v>
      </c>
      <c r="K200" s="37">
        <f>IF([3]道具信息!K200="","",[3]道具信息!K200)</f>
        <v>160</v>
      </c>
      <c r="L200" s="37" t="str">
        <f>IF([3]道具信息!L200="","",[3]道具信息!L200)</f>
        <v>使用后士兵训练加速8小时</v>
      </c>
      <c r="M200" s="37" t="str">
        <f>IF([3]道具信息!M200="","",[3]道具信息!M200)</f>
        <v/>
      </c>
      <c r="N200" s="37"/>
      <c r="O200" s="37" t="str">
        <f>IF([3]道具信息!O200="","",[3]道具信息!O200)</f>
        <v/>
      </c>
      <c r="P200" s="37" t="str">
        <f>IF([3]道具信息!P200="","",[3]道具信息!P200)</f>
        <v/>
      </c>
      <c r="Q200" s="37" t="str">
        <f>IF([3]道具信息!Q200="","",[3]道具信息!Q200)</f>
        <v/>
      </c>
    </row>
    <row r="201" spans="3:17" x14ac:dyDescent="0.15">
      <c r="C201" s="37" t="str">
        <f>IF([3]道具信息!C201="","",[3]道具信息!C201)</f>
        <v/>
      </c>
      <c r="D201" s="37" t="str">
        <f>IF([3]道具信息!D201="","",[3]道具信息!D201)</f>
        <v/>
      </c>
      <c r="E201" s="37" t="str">
        <f>IF([3]道具信息!E201="","",[3]道具信息!E201)</f>
        <v/>
      </c>
      <c r="F201" s="37" t="str">
        <f>IF([3]道具信息!F201="","",[3]道具信息!F201)</f>
        <v/>
      </c>
      <c r="G201" s="37" t="str">
        <f>IF([3]道具信息!G201="","",[3]道具信息!G201)</f>
        <v/>
      </c>
      <c r="H201" s="37" t="str">
        <f>IF([3]道具信息!H201="","",[3]道具信息!H201)</f>
        <v/>
      </c>
      <c r="I201" s="37" t="str">
        <f>IF([3]道具信息!I201="","",[3]道具信息!I201)</f>
        <v/>
      </c>
      <c r="J201" s="37" t="str">
        <f>IF([3]道具信息!J201="","",[3]道具信息!J201)</f>
        <v/>
      </c>
      <c r="K201" s="37" t="str">
        <f>IF([3]道具信息!K201="","",[3]道具信息!K201)</f>
        <v/>
      </c>
      <c r="L201" s="37" t="str">
        <f>IF([3]道具信息!L201="","",[3]道具信息!L201)</f>
        <v/>
      </c>
      <c r="M201" s="37" t="str">
        <f>IF([3]道具信息!M201="","",[3]道具信息!M201)</f>
        <v/>
      </c>
      <c r="N201" s="37"/>
      <c r="O201" s="37" t="str">
        <f>IF([3]道具信息!O201="","",[3]道具信息!O201)</f>
        <v/>
      </c>
      <c r="P201" s="37" t="str">
        <f>IF([3]道具信息!P201="","",[3]道具信息!P201)</f>
        <v/>
      </c>
      <c r="Q201" s="37" t="str">
        <f>IF([3]道具信息!Q201="","",[3]道具信息!Q201)</f>
        <v/>
      </c>
    </row>
    <row r="202" spans="3:17" x14ac:dyDescent="0.15">
      <c r="C202" s="37">
        <f>IF([3]道具信息!C202="","",[3]道具信息!C202)</f>
        <v>21125</v>
      </c>
      <c r="D202" s="37" t="str">
        <f>IF([3]道具信息!D202="","",[3]道具信息!D202)</f>
        <v>通用1分钟加速令</v>
      </c>
      <c r="E202" s="37">
        <f>IF([3]道具信息!E202="","",[3]道具信息!E202)</f>
        <v>2</v>
      </c>
      <c r="F202" s="37">
        <f>IF([3]道具信息!F202="","",[3]道具信息!F202)</f>
        <v>1</v>
      </c>
      <c r="G202" s="37">
        <f>IF([3]道具信息!G202="","",[3]道具信息!G202)</f>
        <v>1</v>
      </c>
      <c r="H202" s="37">
        <f>IF([3]道具信息!H202="","",[3]道具信息!H202)</f>
        <v>1</v>
      </c>
      <c r="I202" s="37">
        <f>IF([3]道具信息!I202="","",[3]道具信息!I202)</f>
        <v>2</v>
      </c>
      <c r="J202" s="37">
        <f>IF([3]道具信息!J202="","",[3]道具信息!J202)</f>
        <v>2</v>
      </c>
      <c r="K202" s="37">
        <f>IF([3]道具信息!K202="","",[3]道具信息!K202)</f>
        <v>2</v>
      </c>
      <c r="L202" s="37" t="str">
        <f>IF([3]道具信息!L202="","",[3]道具信息!L202)</f>
        <v>使用后任意队列加速1分钟</v>
      </c>
      <c r="M202" s="37" t="str">
        <f>IF([3]道具信息!M202="","",[3]道具信息!M202)</f>
        <v/>
      </c>
      <c r="N202" s="37"/>
      <c r="O202" s="37" t="str">
        <f>IF([3]道具信息!O202="","",[3]道具信息!O202)</f>
        <v/>
      </c>
      <c r="P202" s="37" t="str">
        <f>IF([3]道具信息!P202="","",[3]道具信息!P202)</f>
        <v/>
      </c>
      <c r="Q202" s="37" t="str">
        <f>IF([3]道具信息!Q202="","",[3]道具信息!Q202)</f>
        <v/>
      </c>
    </row>
    <row r="203" spans="3:17" x14ac:dyDescent="0.15">
      <c r="C203" s="37">
        <f>IF([3]道具信息!C203="","",[3]道具信息!C203)</f>
        <v>21126</v>
      </c>
      <c r="D203" s="37" t="str">
        <f>IF([3]道具信息!D203="","",[3]道具信息!D203)</f>
        <v>通用5分钟加速令</v>
      </c>
      <c r="E203" s="37">
        <f>IF([3]道具信息!E203="","",[3]道具信息!E203)</f>
        <v>8</v>
      </c>
      <c r="F203" s="37">
        <f>IF([3]道具信息!F203="","",[3]道具信息!F203)</f>
        <v>1</v>
      </c>
      <c r="G203" s="37">
        <f>IF([3]道具信息!G203="","",[3]道具信息!G203)</f>
        <v>1</v>
      </c>
      <c r="H203" s="37">
        <f>IF([3]道具信息!H203="","",[3]道具信息!H203)</f>
        <v>1</v>
      </c>
      <c r="I203" s="37">
        <f>IF([3]道具信息!I203="","",[3]道具信息!I203)</f>
        <v>8</v>
      </c>
      <c r="J203" s="37">
        <f>IF([3]道具信息!J203="","",[3]道具信息!J203)</f>
        <v>8</v>
      </c>
      <c r="K203" s="37">
        <f>IF([3]道具信息!K203="","",[3]道具信息!K203)</f>
        <v>8</v>
      </c>
      <c r="L203" s="37" t="str">
        <f>IF([3]道具信息!L203="","",[3]道具信息!L203)</f>
        <v>使用后任意队列加速5分钟</v>
      </c>
      <c r="M203" s="37" t="str">
        <f>IF([3]道具信息!M203="","",[3]道具信息!M203)</f>
        <v/>
      </c>
      <c r="N203" s="37"/>
      <c r="O203" s="37" t="str">
        <f>IF([3]道具信息!O203="","",[3]道具信息!O203)</f>
        <v/>
      </c>
      <c r="P203" s="37" t="str">
        <f>IF([3]道具信息!P203="","",[3]道具信息!P203)</f>
        <v/>
      </c>
      <c r="Q203" s="37" t="str">
        <f>IF([3]道具信息!Q203="","",[3]道具信息!Q203)</f>
        <v/>
      </c>
    </row>
    <row r="204" spans="3:17" x14ac:dyDescent="0.15">
      <c r="C204" s="37">
        <f>IF([3]道具信息!C204="","",[3]道具信息!C204)</f>
        <v>21127</v>
      </c>
      <c r="D204" s="37" t="str">
        <f>IF([3]道具信息!D204="","",[3]道具信息!D204)</f>
        <v>通用20分钟加速令</v>
      </c>
      <c r="E204" s="37">
        <f>IF([3]道具信息!E204="","",[3]道具信息!E204)</f>
        <v>20</v>
      </c>
      <c r="F204" s="37">
        <f>IF([3]道具信息!F204="","",[3]道具信息!F204)</f>
        <v>1</v>
      </c>
      <c r="G204" s="37">
        <f>IF([3]道具信息!G204="","",[3]道具信息!G204)</f>
        <v>1</v>
      </c>
      <c r="H204" s="37">
        <f>IF([3]道具信息!H204="","",[3]道具信息!H204)</f>
        <v>1</v>
      </c>
      <c r="I204" s="37">
        <f>IF([3]道具信息!I204="","",[3]道具信息!I204)</f>
        <v>20</v>
      </c>
      <c r="J204" s="37">
        <f>IF([3]道具信息!J204="","",[3]道具信息!J204)</f>
        <v>20</v>
      </c>
      <c r="K204" s="37">
        <f>IF([3]道具信息!K204="","",[3]道具信息!K204)</f>
        <v>20</v>
      </c>
      <c r="L204" s="37" t="str">
        <f>IF([3]道具信息!L204="","",[3]道具信息!L204)</f>
        <v>使用后任意队列加速20分钟</v>
      </c>
      <c r="M204" s="37" t="str">
        <f>IF([3]道具信息!M204="","",[3]道具信息!M204)</f>
        <v/>
      </c>
      <c r="N204" s="37"/>
      <c r="O204" s="37" t="str">
        <f>IF([3]道具信息!O204="","",[3]道具信息!O204)</f>
        <v/>
      </c>
      <c r="P204" s="37" t="str">
        <f>IF([3]道具信息!P204="","",[3]道具信息!P204)</f>
        <v/>
      </c>
      <c r="Q204" s="37" t="str">
        <f>IF([3]道具信息!Q204="","",[3]道具信息!Q204)</f>
        <v/>
      </c>
    </row>
    <row r="205" spans="3:17" x14ac:dyDescent="0.15">
      <c r="C205" s="37">
        <f>IF([3]道具信息!C205="","",[3]道具信息!C205)</f>
        <v>21128</v>
      </c>
      <c r="D205" s="37" t="str">
        <f>IF([3]道具信息!D205="","",[3]道具信息!D205)</f>
        <v>通用1小时加速令</v>
      </c>
      <c r="E205" s="37">
        <f>IF([3]道具信息!E205="","",[3]道具信息!E205)</f>
        <v>50</v>
      </c>
      <c r="F205" s="37">
        <f>IF([3]道具信息!F205="","",[3]道具信息!F205)</f>
        <v>1.2</v>
      </c>
      <c r="G205" s="37">
        <f>IF([3]道具信息!G205="","",[3]道具信息!G205)</f>
        <v>1</v>
      </c>
      <c r="H205" s="37">
        <f>IF([3]道具信息!H205="","",[3]道具信息!H205)</f>
        <v>1</v>
      </c>
      <c r="I205" s="37">
        <f>IF([3]道具信息!I205="","",[3]道具信息!I205)</f>
        <v>60</v>
      </c>
      <c r="J205" s="37">
        <f>IF([3]道具信息!J205="","",[3]道具信息!J205)</f>
        <v>50</v>
      </c>
      <c r="K205" s="37">
        <f>IF([3]道具信息!K205="","",[3]道具信息!K205)</f>
        <v>50</v>
      </c>
      <c r="L205" s="37" t="str">
        <f>IF([3]道具信息!L205="","",[3]道具信息!L205)</f>
        <v>使用后任意队列加速1小时</v>
      </c>
      <c r="M205" s="37" t="str">
        <f>IF([3]道具信息!M205="","",[3]道具信息!M205)</f>
        <v/>
      </c>
      <c r="N205" s="37"/>
      <c r="O205" s="37" t="str">
        <f>IF([3]道具信息!O205="","",[3]道具信息!O205)</f>
        <v/>
      </c>
      <c r="P205" s="37" t="str">
        <f>IF([3]道具信息!P205="","",[3]道具信息!P205)</f>
        <v/>
      </c>
      <c r="Q205" s="37" t="str">
        <f>IF([3]道具信息!Q205="","",[3]道具信息!Q205)</f>
        <v/>
      </c>
    </row>
    <row r="206" spans="3:17" x14ac:dyDescent="0.15">
      <c r="C206" s="37">
        <f>IF([3]道具信息!C206="","",[3]道具信息!C206)</f>
        <v>21129</v>
      </c>
      <c r="D206" s="37" t="str">
        <f>IF([3]道具信息!D206="","",[3]道具信息!D206)</f>
        <v>通用3小时加速令</v>
      </c>
      <c r="E206" s="37">
        <f>IF([3]道具信息!E206="","",[3]道具信息!E206)</f>
        <v>100</v>
      </c>
      <c r="F206" s="37">
        <f>IF([3]道具信息!F206="","",[3]道具信息!F206)</f>
        <v>1.8</v>
      </c>
      <c r="G206" s="37">
        <f>IF([3]道具信息!G206="","",[3]道具信息!G206)</f>
        <v>1.5</v>
      </c>
      <c r="H206" s="37">
        <f>IF([3]道具信息!H206="","",[3]道具信息!H206)</f>
        <v>1</v>
      </c>
      <c r="I206" s="37">
        <f>IF([3]道具信息!I206="","",[3]道具信息!I206)</f>
        <v>180</v>
      </c>
      <c r="J206" s="37">
        <f>IF([3]道具信息!J206="","",[3]道具信息!J206)</f>
        <v>150</v>
      </c>
      <c r="K206" s="37">
        <f>IF([3]道具信息!K206="","",[3]道具信息!K206)</f>
        <v>100</v>
      </c>
      <c r="L206" s="37" t="str">
        <f>IF([3]道具信息!L206="","",[3]道具信息!L206)</f>
        <v>使用后任意队列加速3小时</v>
      </c>
      <c r="M206" s="37" t="str">
        <f>IF([3]道具信息!M206="","",[3]道具信息!M206)</f>
        <v/>
      </c>
      <c r="N206" s="37"/>
      <c r="O206" s="37" t="str">
        <f>IF([3]道具信息!O206="","",[3]道具信息!O206)</f>
        <v/>
      </c>
      <c r="P206" s="37" t="str">
        <f>IF([3]道具信息!P206="","",[3]道具信息!P206)</f>
        <v/>
      </c>
      <c r="Q206" s="37" t="str">
        <f>IF([3]道具信息!Q206="","",[3]道具信息!Q206)</f>
        <v/>
      </c>
    </row>
    <row r="207" spans="3:17" x14ac:dyDescent="0.15">
      <c r="C207" s="37">
        <f>IF([3]道具信息!C207="","",[3]道具信息!C207)</f>
        <v>21138</v>
      </c>
      <c r="D207" s="37" t="str">
        <f>IF([3]道具信息!D207="","",[3]道具信息!D207)</f>
        <v>通用8小时加速令</v>
      </c>
      <c r="E207" s="37">
        <f>IF([3]道具信息!E207="","",[3]道具信息!E207)</f>
        <v>160</v>
      </c>
      <c r="F207" s="37">
        <f>IF([3]道具信息!F207="","",[3]道具信息!F207)</f>
        <v>3</v>
      </c>
      <c r="G207" s="37">
        <f>IF([3]道具信息!G207="","",[3]道具信息!G207)</f>
        <v>2.5</v>
      </c>
      <c r="H207" s="37">
        <f>IF([3]道具信息!H207="","",[3]道具信息!H207)</f>
        <v>1</v>
      </c>
      <c r="I207" s="37">
        <f>IF([3]道具信息!I207="","",[3]道具信息!I207)</f>
        <v>480</v>
      </c>
      <c r="J207" s="37">
        <f>IF([3]道具信息!J207="","",[3]道具信息!J207)</f>
        <v>400</v>
      </c>
      <c r="K207" s="37">
        <f>IF([3]道具信息!K207="","",[3]道具信息!K207)</f>
        <v>160</v>
      </c>
      <c r="L207" s="37" t="str">
        <f>IF([3]道具信息!L207="","",[3]道具信息!L207)</f>
        <v>使用后任意队列加速8小时</v>
      </c>
      <c r="M207" s="37" t="str">
        <f>IF([3]道具信息!M207="","",[3]道具信息!M207)</f>
        <v/>
      </c>
      <c r="N207" s="37"/>
      <c r="O207" s="37" t="str">
        <f>IF([3]道具信息!O207="","",[3]道具信息!O207)</f>
        <v/>
      </c>
      <c r="P207" s="37" t="str">
        <f>IF([3]道具信息!P207="","",[3]道具信息!P207)</f>
        <v/>
      </c>
      <c r="Q207" s="37" t="str">
        <f>IF([3]道具信息!Q207="","",[3]道具信息!Q207)</f>
        <v/>
      </c>
    </row>
    <row r="208" spans="3:17" x14ac:dyDescent="0.15">
      <c r="C208" s="37" t="str">
        <f>IF([3]道具信息!C208="","",[3]道具信息!C208)</f>
        <v/>
      </c>
      <c r="D208" s="37" t="str">
        <f>IF([3]道具信息!D208="","",[3]道具信息!D208)</f>
        <v/>
      </c>
      <c r="E208" s="37" t="str">
        <f>IF([3]道具信息!E208="","",[3]道具信息!E208)</f>
        <v/>
      </c>
      <c r="F208" s="37" t="str">
        <f>IF([3]道具信息!F208="","",[3]道具信息!F208)</f>
        <v/>
      </c>
      <c r="G208" s="37" t="str">
        <f>IF([3]道具信息!G208="","",[3]道具信息!G208)</f>
        <v/>
      </c>
      <c r="H208" s="37" t="str">
        <f>IF([3]道具信息!H208="","",[3]道具信息!H208)</f>
        <v/>
      </c>
      <c r="I208" s="37" t="str">
        <f>IF([3]道具信息!I208="","",[3]道具信息!I208)</f>
        <v/>
      </c>
      <c r="J208" s="37" t="str">
        <f>IF([3]道具信息!J208="","",[3]道具信息!J208)</f>
        <v/>
      </c>
      <c r="K208" s="37" t="str">
        <f>IF([3]道具信息!K208="","",[3]道具信息!K208)</f>
        <v/>
      </c>
      <c r="L208" s="37" t="str">
        <f>IF([3]道具信息!L208="","",[3]道具信息!L208)</f>
        <v/>
      </c>
      <c r="M208" s="37" t="str">
        <f>IF([3]道具信息!M208="","",[3]道具信息!M208)</f>
        <v/>
      </c>
      <c r="N208" s="37"/>
      <c r="O208" s="37" t="str">
        <f>IF([3]道具信息!O208="","",[3]道具信息!O208)</f>
        <v/>
      </c>
      <c r="P208" s="37" t="str">
        <f>IF([3]道具信息!P208="","",[3]道具信息!P208)</f>
        <v/>
      </c>
      <c r="Q208" s="37" t="str">
        <f>IF([3]道具信息!Q208="","",[3]道具信息!Q208)</f>
        <v/>
      </c>
    </row>
    <row r="209" spans="3:17" x14ac:dyDescent="0.15">
      <c r="C209" s="37" t="str">
        <f>IF([3]道具信息!C209="","",[3]道具信息!C209)</f>
        <v/>
      </c>
      <c r="D209" s="37" t="str">
        <f>IF([3]道具信息!D209="","",[3]道具信息!D209)</f>
        <v/>
      </c>
      <c r="E209" s="37" t="str">
        <f>IF([3]道具信息!E209="","",[3]道具信息!E209)</f>
        <v/>
      </c>
      <c r="F209" s="37" t="str">
        <f>IF([3]道具信息!F209="","",[3]道具信息!F209)</f>
        <v/>
      </c>
      <c r="G209" s="37" t="str">
        <f>IF([3]道具信息!G209="","",[3]道具信息!G209)</f>
        <v/>
      </c>
      <c r="H209" s="37" t="str">
        <f>IF([3]道具信息!H209="","",[3]道具信息!H209)</f>
        <v/>
      </c>
      <c r="I209" s="37" t="str">
        <f>IF([3]道具信息!I209="","",[3]道具信息!I209)</f>
        <v/>
      </c>
      <c r="J209" s="37" t="str">
        <f>IF([3]道具信息!J209="","",[3]道具信息!J209)</f>
        <v/>
      </c>
      <c r="K209" s="37" t="str">
        <f>IF([3]道具信息!K209="","",[3]道具信息!K209)</f>
        <v/>
      </c>
      <c r="L209" s="37" t="str">
        <f>IF([3]道具信息!L209="","",[3]道具信息!L209)</f>
        <v/>
      </c>
      <c r="M209" s="37" t="str">
        <f>IF([3]道具信息!M209="","",[3]道具信息!M209)</f>
        <v/>
      </c>
      <c r="N209" s="37"/>
      <c r="O209" s="37" t="str">
        <f>IF([3]道具信息!O209="","",[3]道具信息!O209)</f>
        <v/>
      </c>
      <c r="P209" s="37" t="str">
        <f>IF([3]道具信息!P209="","",[3]道具信息!P209)</f>
        <v/>
      </c>
      <c r="Q209" s="37" t="str">
        <f>IF([3]道具信息!Q209="","",[3]道具信息!Q209)</f>
        <v/>
      </c>
    </row>
    <row r="210" spans="3:17" x14ac:dyDescent="0.15">
      <c r="C210" s="37">
        <f>IF([3]道具信息!C210="","",[3]道具信息!C210)</f>
        <v>21150</v>
      </c>
      <c r="D210" s="37" t="str">
        <f>IF([3]道具信息!D210="","",[3]道具信息!D210)</f>
        <v>初级装备淬炼</v>
      </c>
      <c r="E210" s="37">
        <f>IF([3]道具信息!E210="","",[3]道具信息!E210)</f>
        <v>10</v>
      </c>
      <c r="F210" s="37">
        <f>IF([3]道具信息!F210="","",[3]道具信息!F210)</f>
        <v>1</v>
      </c>
      <c r="G210" s="37">
        <f>IF([3]道具信息!G210="","",[3]道具信息!G210)</f>
        <v>1</v>
      </c>
      <c r="H210" s="37">
        <f>IF([3]道具信息!H210="","",[3]道具信息!H210)</f>
        <v>1</v>
      </c>
      <c r="I210" s="37">
        <f>IF([3]道具信息!I210="","",[3]道具信息!I210)</f>
        <v>10</v>
      </c>
      <c r="J210" s="37">
        <f>IF([3]道具信息!J210="","",[3]道具信息!J210)</f>
        <v>10</v>
      </c>
      <c r="K210" s="37">
        <f>IF([3]道具信息!K210="","",[3]道具信息!K210)</f>
        <v>10</v>
      </c>
      <c r="L210" s="37" t="str">
        <f>IF([3]道具信息!L210="","",[3]道具信息!L210)</f>
        <v>装备使用后获得10经验</v>
      </c>
      <c r="M210" s="37" t="str">
        <f>IF([3]道具信息!M210="","",[3]道具信息!M210)</f>
        <v/>
      </c>
      <c r="N210" s="37"/>
      <c r="O210" s="37" t="str">
        <f>IF([3]道具信息!O210="","",[3]道具信息!O210)</f>
        <v/>
      </c>
      <c r="P210" s="37" t="str">
        <f>IF([3]道具信息!P210="","",[3]道具信息!P210)</f>
        <v/>
      </c>
      <c r="Q210" s="37" t="str">
        <f>IF([3]道具信息!Q210="","",[3]道具信息!Q210)</f>
        <v/>
      </c>
    </row>
    <row r="211" spans="3:17" x14ac:dyDescent="0.15">
      <c r="C211" s="37">
        <f>IF([3]道具信息!C211="","",[3]道具信息!C211)</f>
        <v>21151</v>
      </c>
      <c r="D211" s="37" t="str">
        <f>IF([3]道具信息!D211="","",[3]道具信息!D211)</f>
        <v>中级装备淬炼</v>
      </c>
      <c r="E211" s="37">
        <f>IF([3]道具信息!E211="","",[3]道具信息!E211)</f>
        <v>20</v>
      </c>
      <c r="F211" s="37">
        <f>IF([3]道具信息!F211="","",[3]道具信息!F211)</f>
        <v>1</v>
      </c>
      <c r="G211" s="37">
        <f>IF([3]道具信息!G211="","",[3]道具信息!G211)</f>
        <v>1</v>
      </c>
      <c r="H211" s="37">
        <f>IF([3]道具信息!H211="","",[3]道具信息!H211)</f>
        <v>1</v>
      </c>
      <c r="I211" s="37">
        <f>IF([3]道具信息!I211="","",[3]道具信息!I211)</f>
        <v>20</v>
      </c>
      <c r="J211" s="37">
        <f>IF([3]道具信息!J211="","",[3]道具信息!J211)</f>
        <v>20</v>
      </c>
      <c r="K211" s="37">
        <f>IF([3]道具信息!K211="","",[3]道具信息!K211)</f>
        <v>20</v>
      </c>
      <c r="L211" s="37" t="str">
        <f>IF([3]道具信息!L211="","",[3]道具信息!L211)</f>
        <v>装备使用后获得20经验</v>
      </c>
      <c r="M211" s="37" t="str">
        <f>IF([3]道具信息!M211="","",[3]道具信息!M211)</f>
        <v/>
      </c>
      <c r="N211" s="37"/>
      <c r="O211" s="37" t="str">
        <f>IF([3]道具信息!O211="","",[3]道具信息!O211)</f>
        <v/>
      </c>
      <c r="P211" s="37" t="str">
        <f>IF([3]道具信息!P211="","",[3]道具信息!P211)</f>
        <v/>
      </c>
      <c r="Q211" s="37" t="str">
        <f>IF([3]道具信息!Q211="","",[3]道具信息!Q211)</f>
        <v/>
      </c>
    </row>
    <row r="212" spans="3:17" x14ac:dyDescent="0.15">
      <c r="C212" s="37">
        <f>IF([3]道具信息!C212="","",[3]道具信息!C212)</f>
        <v>21152</v>
      </c>
      <c r="D212" s="37" t="str">
        <f>IF([3]道具信息!D212="","",[3]道具信息!D212)</f>
        <v>高级装备淬炼</v>
      </c>
      <c r="E212" s="37">
        <f>IF([3]道具信息!E212="","",[3]道具信息!E212)</f>
        <v>40</v>
      </c>
      <c r="F212" s="37">
        <f>IF([3]道具信息!F212="","",[3]道具信息!F212)</f>
        <v>1</v>
      </c>
      <c r="G212" s="37">
        <f>IF([3]道具信息!G212="","",[3]道具信息!G212)</f>
        <v>1</v>
      </c>
      <c r="H212" s="37">
        <f>IF([3]道具信息!H212="","",[3]道具信息!H212)</f>
        <v>1</v>
      </c>
      <c r="I212" s="37">
        <f>IF([3]道具信息!I212="","",[3]道具信息!I212)</f>
        <v>40</v>
      </c>
      <c r="J212" s="37">
        <f>IF([3]道具信息!J212="","",[3]道具信息!J212)</f>
        <v>40</v>
      </c>
      <c r="K212" s="37">
        <f>IF([3]道具信息!K212="","",[3]道具信息!K212)</f>
        <v>40</v>
      </c>
      <c r="L212" s="37" t="str">
        <f>IF([3]道具信息!L212="","",[3]道具信息!L212)</f>
        <v>装备使用后获得40经验</v>
      </c>
      <c r="M212" s="37" t="str">
        <f>IF([3]道具信息!M212="","",[3]道具信息!M212)</f>
        <v/>
      </c>
      <c r="N212" s="37"/>
      <c r="O212" s="37" t="str">
        <f>IF([3]道具信息!O212="","",[3]道具信息!O212)</f>
        <v/>
      </c>
      <c r="P212" s="37" t="str">
        <f>IF([3]道具信息!P212="","",[3]道具信息!P212)</f>
        <v/>
      </c>
      <c r="Q212" s="37" t="str">
        <f>IF([3]道具信息!Q212="","",[3]道具信息!Q212)</f>
        <v/>
      </c>
    </row>
    <row r="213" spans="3:17" x14ac:dyDescent="0.15">
      <c r="C213" s="37">
        <f>IF([3]道具信息!C213="","",[3]道具信息!C213)</f>
        <v>21153</v>
      </c>
      <c r="D213" s="37" t="str">
        <f>IF([3]道具信息!D213="","",[3]道具信息!D213)</f>
        <v>特级装备淬炼</v>
      </c>
      <c r="E213" s="37">
        <f>IF([3]道具信息!E213="","",[3]道具信息!E213)</f>
        <v>75</v>
      </c>
      <c r="F213" s="37">
        <f>IF([3]道具信息!F213="","",[3]道具信息!F213)</f>
        <v>1.25</v>
      </c>
      <c r="G213" s="37">
        <f>IF([3]道具信息!G213="","",[3]道具信息!G213)</f>
        <v>1</v>
      </c>
      <c r="H213" s="37">
        <f>IF([3]道具信息!H213="","",[3]道具信息!H213)</f>
        <v>1</v>
      </c>
      <c r="I213" s="37">
        <f>IF([3]道具信息!I213="","",[3]道具信息!I213)</f>
        <v>93.75</v>
      </c>
      <c r="J213" s="37">
        <f>IF([3]道具信息!J213="","",[3]道具信息!J213)</f>
        <v>75</v>
      </c>
      <c r="K213" s="37">
        <f>IF([3]道具信息!K213="","",[3]道具信息!K213)</f>
        <v>75</v>
      </c>
      <c r="L213" s="37" t="str">
        <f>IF([3]道具信息!L213="","",[3]道具信息!L213)</f>
        <v>装备使用后获得75经验</v>
      </c>
      <c r="M213" s="37" t="str">
        <f>IF([3]道具信息!M213="","",[3]道具信息!M213)</f>
        <v/>
      </c>
      <c r="N213" s="37"/>
      <c r="O213" s="37" t="str">
        <f>IF([3]道具信息!O213="","",[3]道具信息!O213)</f>
        <v/>
      </c>
      <c r="P213" s="37" t="str">
        <f>IF([3]道具信息!P213="","",[3]道具信息!P213)</f>
        <v/>
      </c>
      <c r="Q213" s="37" t="str">
        <f>IF([3]道具信息!Q213="","",[3]道具信息!Q213)</f>
        <v/>
      </c>
    </row>
    <row r="214" spans="3:17" x14ac:dyDescent="0.15">
      <c r="C214" s="37">
        <f>IF([3]道具信息!C214="","",[3]道具信息!C214)</f>
        <v>21154</v>
      </c>
      <c r="D214" s="37" t="str">
        <f>IF([3]道具信息!D214="","",[3]道具信息!D214)</f>
        <v>超级装备淬炼</v>
      </c>
      <c r="E214" s="37">
        <f>IF([3]道具信息!E214="","",[3]道具信息!E214)</f>
        <v>150</v>
      </c>
      <c r="F214" s="37">
        <f>IF([3]道具信息!F214="","",[3]道具信息!F214)</f>
        <v>1.5</v>
      </c>
      <c r="G214" s="37">
        <f>IF([3]道具信息!G214="","",[3]道具信息!G214)</f>
        <v>1</v>
      </c>
      <c r="H214" s="37">
        <f>IF([3]道具信息!H214="","",[3]道具信息!H214)</f>
        <v>1</v>
      </c>
      <c r="I214" s="37">
        <f>IF([3]道具信息!I214="","",[3]道具信息!I214)</f>
        <v>225</v>
      </c>
      <c r="J214" s="37">
        <f>IF([3]道具信息!J214="","",[3]道具信息!J214)</f>
        <v>150</v>
      </c>
      <c r="K214" s="37">
        <f>IF([3]道具信息!K214="","",[3]道具信息!K214)</f>
        <v>150</v>
      </c>
      <c r="L214" s="37" t="str">
        <f>IF([3]道具信息!L214="","",[3]道具信息!L214)</f>
        <v>装备使用后获得150经验</v>
      </c>
      <c r="M214" s="37" t="str">
        <f>IF([3]道具信息!M214="","",[3]道具信息!M214)</f>
        <v/>
      </c>
      <c r="N214" s="37"/>
      <c r="O214" s="37" t="str">
        <f>IF([3]道具信息!O214="","",[3]道具信息!O214)</f>
        <v/>
      </c>
      <c r="P214" s="37" t="str">
        <f>IF([3]道具信息!P214="","",[3]道具信息!P214)</f>
        <v/>
      </c>
      <c r="Q214" s="37" t="str">
        <f>IF([3]道具信息!Q214="","",[3]道具信息!Q214)</f>
        <v/>
      </c>
    </row>
    <row r="215" spans="3:17" x14ac:dyDescent="0.15">
      <c r="C215" s="37" t="str">
        <f>IF([3]道具信息!C215="","",[3]道具信息!C215)</f>
        <v/>
      </c>
      <c r="D215" s="37" t="str">
        <f>IF([3]道具信息!D215="","",[3]道具信息!D215)</f>
        <v/>
      </c>
      <c r="E215" s="37" t="str">
        <f>IF([3]道具信息!E215="","",[3]道具信息!E215)</f>
        <v/>
      </c>
      <c r="F215" s="37" t="str">
        <f>IF([3]道具信息!F215="","",[3]道具信息!F215)</f>
        <v/>
      </c>
      <c r="G215" s="37" t="str">
        <f>IF([3]道具信息!G215="","",[3]道具信息!G215)</f>
        <v/>
      </c>
      <c r="H215" s="37" t="str">
        <f>IF([3]道具信息!H215="","",[3]道具信息!H215)</f>
        <v/>
      </c>
      <c r="I215" s="37" t="str">
        <f>IF([3]道具信息!I215="","",[3]道具信息!I215)</f>
        <v/>
      </c>
      <c r="J215" s="37" t="str">
        <f>IF([3]道具信息!J215="","",[3]道具信息!J215)</f>
        <v/>
      </c>
      <c r="K215" s="37" t="str">
        <f>IF([3]道具信息!K215="","",[3]道具信息!K215)</f>
        <v/>
      </c>
      <c r="L215" s="37" t="str">
        <f>IF([3]道具信息!L215="","",[3]道具信息!L215)</f>
        <v/>
      </c>
      <c r="M215" s="37" t="str">
        <f>IF([3]道具信息!M215="","",[3]道具信息!M215)</f>
        <v/>
      </c>
      <c r="N215" s="37"/>
      <c r="O215" s="37" t="str">
        <f>IF([3]道具信息!O215="","",[3]道具信息!O215)</f>
        <v/>
      </c>
      <c r="P215" s="37" t="str">
        <f>IF([3]道具信息!P215="","",[3]道具信息!P215)</f>
        <v/>
      </c>
      <c r="Q215" s="37" t="str">
        <f>IF([3]道具信息!Q215="","",[3]道具信息!Q215)</f>
        <v/>
      </c>
    </row>
    <row r="216" spans="3:17" x14ac:dyDescent="0.15">
      <c r="C216" s="37">
        <f>IF([3]道具信息!C216="","",[3]道具信息!C216)</f>
        <v>21500</v>
      </c>
      <c r="D216" s="37" t="str">
        <f>IF([3]道具信息!D216="","",[3]道具信息!D216)</f>
        <v>随机迁城令</v>
      </c>
      <c r="E216" s="37">
        <f>IF([3]道具信息!E216="","",[3]道具信息!E216)</f>
        <v>100</v>
      </c>
      <c r="F216" s="37">
        <f>IF([3]道具信息!F216="","",[3]道具信息!F216)</f>
        <v>1</v>
      </c>
      <c r="G216" s="37">
        <f>IF([3]道具信息!G216="","",[3]道具信息!G216)</f>
        <v>1</v>
      </c>
      <c r="H216" s="37">
        <f>IF([3]道具信息!H216="","",[3]道具信息!H216)</f>
        <v>1</v>
      </c>
      <c r="I216" s="37">
        <f>IF([3]道具信息!I216="","",[3]道具信息!I216)</f>
        <v>100</v>
      </c>
      <c r="J216" s="37">
        <f>IF([3]道具信息!J216="","",[3]道具信息!J216)</f>
        <v>100</v>
      </c>
      <c r="K216" s="37">
        <f>IF([3]道具信息!K216="","",[3]道具信息!K216)</f>
        <v>100</v>
      </c>
      <c r="L216" s="37" t="str">
        <f>IF([3]道具信息!L216="","",[3]道具信息!L216)</f>
        <v>使用后城池迁移到随机位置</v>
      </c>
      <c r="M216" s="37" t="str">
        <f>IF([3]道具信息!M216="","",[3]道具信息!M216)</f>
        <v/>
      </c>
      <c r="N216" s="37"/>
      <c r="O216" s="37" t="str">
        <f>IF([3]道具信息!O216="","",[3]道具信息!O216)</f>
        <v/>
      </c>
      <c r="P216" s="37" t="str">
        <f>IF([3]道具信息!P216="","",[3]道具信息!P216)</f>
        <v/>
      </c>
      <c r="Q216" s="37" t="str">
        <f>IF([3]道具信息!Q216="","",[3]道具信息!Q216)</f>
        <v/>
      </c>
    </row>
    <row r="217" spans="3:17" x14ac:dyDescent="0.15">
      <c r="C217" s="37">
        <f>IF([3]道具信息!C217="","",[3]道具信息!C217)</f>
        <v>21501</v>
      </c>
      <c r="D217" s="37" t="str">
        <f>IF([3]道具信息!D217="","",[3]道具信息!D217)</f>
        <v>九州迁城令</v>
      </c>
      <c r="E217" s="37">
        <f>IF([3]道具信息!E217="","",[3]道具信息!E217)</f>
        <v>300</v>
      </c>
      <c r="F217" s="37">
        <f>IF([3]道具信息!F217="","",[3]道具信息!F217)</f>
        <v>1</v>
      </c>
      <c r="G217" s="37">
        <f>IF([3]道具信息!G217="","",[3]道具信息!G217)</f>
        <v>1</v>
      </c>
      <c r="H217" s="37">
        <f>IF([3]道具信息!H217="","",[3]道具信息!H217)</f>
        <v>1</v>
      </c>
      <c r="I217" s="37">
        <f>IF([3]道具信息!I217="","",[3]道具信息!I217)</f>
        <v>300</v>
      </c>
      <c r="J217" s="37">
        <f>IF([3]道具信息!J217="","",[3]道具信息!J217)</f>
        <v>300</v>
      </c>
      <c r="K217" s="37">
        <f>IF([3]道具信息!K217="","",[3]道具信息!K217)</f>
        <v>300</v>
      </c>
      <c r="L217" s="37" t="str">
        <f>IF([3]道具信息!L217="","",[3]道具信息!L217)</f>
        <v>使用后城池迁移到指定位置</v>
      </c>
      <c r="M217" s="37" t="str">
        <f>IF([3]道具信息!M217="","",[3]道具信息!M217)</f>
        <v/>
      </c>
      <c r="N217" s="37"/>
      <c r="O217" s="37" t="str">
        <f>IF([3]道具信息!O217="","",[3]道具信息!O217)</f>
        <v/>
      </c>
      <c r="P217" s="37" t="str">
        <f>IF([3]道具信息!P217="","",[3]道具信息!P217)</f>
        <v/>
      </c>
      <c r="Q217" s="37" t="str">
        <f>IF([3]道具信息!Q217="","",[3]道具信息!Q217)</f>
        <v/>
      </c>
    </row>
    <row r="218" spans="3:17" x14ac:dyDescent="0.15">
      <c r="C218" s="37">
        <f>IF([3]道具信息!C218="","",[3]道具信息!C218)</f>
        <v>21504</v>
      </c>
      <c r="D218" s="37" t="str">
        <f>IF([3]道具信息!D218="","",[3]道具信息!D218)</f>
        <v>国内迁城令</v>
      </c>
      <c r="E218" s="37">
        <f>IF([3]道具信息!E218="","",[3]道具信息!E218)</f>
        <v>100</v>
      </c>
      <c r="F218" s="37">
        <f>IF([3]道具信息!F218="","",[3]道具信息!F218)</f>
        <v>1</v>
      </c>
      <c r="G218" s="37">
        <f>IF([3]道具信息!G218="","",[3]道具信息!G218)</f>
        <v>1</v>
      </c>
      <c r="H218" s="37">
        <f>IF([3]道具信息!H218="","",[3]道具信息!H218)</f>
        <v>1</v>
      </c>
      <c r="I218" s="37">
        <f>IF([3]道具信息!I218="","",[3]道具信息!I218)</f>
        <v>100</v>
      </c>
      <c r="J218" s="37">
        <f>IF([3]道具信息!J218="","",[3]道具信息!J218)</f>
        <v>100</v>
      </c>
      <c r="K218" s="37">
        <f>IF([3]道具信息!K218="","",[3]道具信息!K218)</f>
        <v>100</v>
      </c>
      <c r="L218" s="37" t="str">
        <f>IF([3]道具信息!L218="","",[3]道具信息!L218)</f>
        <v>使用后城池迁移到国内指定位置</v>
      </c>
      <c r="M218" s="37" t="str">
        <f>IF([3]道具信息!M218="","",[3]道具信息!M218)</f>
        <v/>
      </c>
      <c r="N218" s="37"/>
      <c r="O218" s="37" t="str">
        <f>IF([3]道具信息!O218="","",[3]道具信息!O218)</f>
        <v/>
      </c>
      <c r="P218" s="37" t="str">
        <f>IF([3]道具信息!P218="","",[3]道具信息!P218)</f>
        <v/>
      </c>
      <c r="Q218" s="37" t="str">
        <f>IF([3]道具信息!Q218="","",[3]道具信息!Q218)</f>
        <v/>
      </c>
    </row>
    <row r="219" spans="3:17" x14ac:dyDescent="0.15">
      <c r="C219" s="37">
        <f>IF([3]道具信息!C219="","",[3]道具信息!C219)</f>
        <v>21502</v>
      </c>
      <c r="D219" s="37" t="str">
        <f>IF([3]道具信息!D219="","",[3]道具信息!D219)</f>
        <v>校武牌</v>
      </c>
      <c r="E219" s="37">
        <f>IF([3]道具信息!E219="","",[3]道具信息!E219)</f>
        <v>20</v>
      </c>
      <c r="F219" s="37">
        <f>IF([3]道具信息!F219="","",[3]道具信息!F219)</f>
        <v>1</v>
      </c>
      <c r="G219" s="37">
        <f>IF([3]道具信息!G219="","",[3]道具信息!G219)</f>
        <v>1</v>
      </c>
      <c r="H219" s="37">
        <f>IF([3]道具信息!H219="","",[3]道具信息!H219)</f>
        <v>1</v>
      </c>
      <c r="I219" s="37">
        <f>IF([3]道具信息!I219="","",[3]道具信息!I219)</f>
        <v>20</v>
      </c>
      <c r="J219" s="37">
        <f>IF([3]道具信息!J219="","",[3]道具信息!J219)</f>
        <v>20</v>
      </c>
      <c r="K219" s="37">
        <f>IF([3]道具信息!K219="","",[3]道具信息!K219)</f>
        <v>20</v>
      </c>
      <c r="L219" s="37" t="str">
        <f>IF([3]道具信息!L219="","",[3]道具信息!L219)</f>
        <v>使用后增加1次校场挑战机会</v>
      </c>
      <c r="M219" s="37" t="str">
        <f>IF([3]道具信息!M219="","",[3]道具信息!M219)</f>
        <v/>
      </c>
      <c r="N219" s="37"/>
      <c r="O219" s="37" t="str">
        <f>IF([3]道具信息!O219="","",[3]道具信息!O219)</f>
        <v/>
      </c>
      <c r="P219" s="37" t="str">
        <f>IF([3]道具信息!P219="","",[3]道具信息!P219)</f>
        <v/>
      </c>
      <c r="Q219" s="37" t="str">
        <f>IF([3]道具信息!Q219="","",[3]道具信息!Q219)</f>
        <v/>
      </c>
    </row>
    <row r="220" spans="3:17" x14ac:dyDescent="0.15">
      <c r="C220" s="37">
        <f>IF([3]道具信息!C220="","",[3]道具信息!C220)</f>
        <v>21503</v>
      </c>
      <c r="D220" s="37" t="str">
        <f>IF([3]道具信息!D220="","",[3]道具信息!D220)</f>
        <v>复仇令</v>
      </c>
      <c r="E220" s="37">
        <f>IF([3]道具信息!E220="","",[3]道具信息!E220)</f>
        <v>50</v>
      </c>
      <c r="F220" s="37">
        <f>IF([3]道具信息!F220="","",[3]道具信息!F220)</f>
        <v>1</v>
      </c>
      <c r="G220" s="37">
        <f>IF([3]道具信息!G220="","",[3]道具信息!G220)</f>
        <v>1</v>
      </c>
      <c r="H220" s="37">
        <f>IF([3]道具信息!H220="","",[3]道具信息!H220)</f>
        <v>1</v>
      </c>
      <c r="I220" s="37">
        <f>IF([3]道具信息!I220="","",[3]道具信息!I220)</f>
        <v>50</v>
      </c>
      <c r="J220" s="37">
        <f>IF([3]道具信息!J220="","",[3]道具信息!J220)</f>
        <v>50</v>
      </c>
      <c r="K220" s="37">
        <f>IF([3]道具信息!K220="","",[3]道具信息!K220)</f>
        <v>50</v>
      </c>
      <c r="L220" s="37" t="str">
        <f>IF([3]道具信息!L220="","",[3]道具信息!L220)</f>
        <v>被其他玩家攻击后，可以通过复仇令追查到该玩家城池所在坐标</v>
      </c>
      <c r="M220" s="37" t="str">
        <f>IF([3]道具信息!M220="","",[3]道具信息!M220)</f>
        <v/>
      </c>
      <c r="N220" s="37"/>
      <c r="O220" s="37" t="str">
        <f>IF([3]道具信息!O220="","",[3]道具信息!O220)</f>
        <v/>
      </c>
      <c r="P220" s="37" t="str">
        <f>IF([3]道具信息!P220="","",[3]道具信息!P220)</f>
        <v/>
      </c>
      <c r="Q220" s="37" t="str">
        <f>IF([3]道具信息!Q220="","",[3]道具信息!Q220)</f>
        <v/>
      </c>
    </row>
    <row r="221" spans="3:17" x14ac:dyDescent="0.15">
      <c r="C221" s="37" t="str">
        <f>IF([3]道具信息!C221="","",[3]道具信息!C221)</f>
        <v/>
      </c>
      <c r="D221" s="37" t="str">
        <f>IF([3]道具信息!D221="","",[3]道具信息!D221)</f>
        <v/>
      </c>
      <c r="E221" s="37" t="str">
        <f>IF([3]道具信息!E221="","",[3]道具信息!E221)</f>
        <v/>
      </c>
      <c r="F221" s="37" t="str">
        <f>IF([3]道具信息!F221="","",[3]道具信息!F221)</f>
        <v/>
      </c>
      <c r="G221" s="37" t="str">
        <f>IF([3]道具信息!G221="","",[3]道具信息!G221)</f>
        <v/>
      </c>
      <c r="H221" s="37" t="str">
        <f>IF([3]道具信息!H221="","",[3]道具信息!H221)</f>
        <v/>
      </c>
      <c r="I221" s="37" t="str">
        <f>IF([3]道具信息!I221="","",[3]道具信息!I221)</f>
        <v/>
      </c>
      <c r="J221" s="37" t="str">
        <f>IF([3]道具信息!J221="","",[3]道具信息!J221)</f>
        <v/>
      </c>
      <c r="K221" s="37" t="str">
        <f>IF([3]道具信息!K221="","",[3]道具信息!K221)</f>
        <v/>
      </c>
      <c r="L221" s="37" t="str">
        <f>IF([3]道具信息!L221="","",[3]道具信息!L221)</f>
        <v/>
      </c>
      <c r="M221" s="37" t="str">
        <f>IF([3]道具信息!M221="","",[3]道具信息!M221)</f>
        <v/>
      </c>
      <c r="N221" s="37"/>
      <c r="O221" s="37" t="str">
        <f>IF([3]道具信息!O221="","",[3]道具信息!O221)</f>
        <v/>
      </c>
      <c r="P221" s="37" t="str">
        <f>IF([3]道具信息!P221="","",[3]道具信息!P221)</f>
        <v/>
      </c>
      <c r="Q221" s="37" t="str">
        <f>IF([3]道具信息!Q221="","",[3]道具信息!Q221)</f>
        <v/>
      </c>
    </row>
    <row r="222" spans="3:17" x14ac:dyDescent="0.15">
      <c r="C222" s="37">
        <f>IF([3]道具信息!C222="","",[3]道具信息!C222)</f>
        <v>26400</v>
      </c>
      <c r="D222" s="37" t="str">
        <f>IF([3]道具信息!D222="","",[3]道具信息!D222)</f>
        <v>步兵虎符</v>
      </c>
      <c r="E222" s="37">
        <f>IF([3]道具信息!E222="","",[3]道具信息!E222)</f>
        <v>200</v>
      </c>
      <c r="F222" s="37">
        <f>IF([3]道具信息!F222="","",[3]道具信息!F222)</f>
        <v>1</v>
      </c>
      <c r="G222" s="37">
        <f>IF([3]道具信息!G222="","",[3]道具信息!G222)</f>
        <v>1</v>
      </c>
      <c r="H222" s="37">
        <f>IF([3]道具信息!H222="","",[3]道具信息!H222)</f>
        <v>1</v>
      </c>
      <c r="I222" s="37">
        <f>IF([3]道具信息!I222="","",[3]道具信息!I222)</f>
        <v>200</v>
      </c>
      <c r="J222" s="37">
        <f>IF([3]道具信息!J222="","",[3]道具信息!J222)</f>
        <v>200</v>
      </c>
      <c r="K222" s="37">
        <f>IF([3]道具信息!K222="","",[3]道具信息!K222)</f>
        <v>200</v>
      </c>
      <c r="L222" s="37" t="str">
        <f>IF([3]道具信息!L222="","",[3]道具信息!L222)</f>
        <v>使用后立即获得10000步兵新兵</v>
      </c>
      <c r="M222" s="37" t="str">
        <f>IF([3]道具信息!M222="","",[3]道具信息!M222)</f>
        <v/>
      </c>
      <c r="N222" s="37"/>
      <c r="O222" s="37" t="str">
        <f>IF([3]道具信息!O222="","",[3]道具信息!O222)</f>
        <v/>
      </c>
      <c r="P222" s="37" t="str">
        <f>IF([3]道具信息!P222="","",[3]道具信息!P222)</f>
        <v/>
      </c>
      <c r="Q222" s="37" t="str">
        <f>IF([3]道具信息!Q222="","",[3]道具信息!Q222)</f>
        <v/>
      </c>
    </row>
    <row r="223" spans="3:17" x14ac:dyDescent="0.15">
      <c r="C223" s="37">
        <f>IF([3]道具信息!C223="","",[3]道具信息!C223)</f>
        <v>26401</v>
      </c>
      <c r="D223" s="37" t="str">
        <f>IF([3]道具信息!D223="","",[3]道具信息!D223)</f>
        <v>骑兵虎符</v>
      </c>
      <c r="E223" s="37">
        <f>IF([3]道具信息!E223="","",[3]道具信息!E223)</f>
        <v>200</v>
      </c>
      <c r="F223" s="37">
        <f>IF([3]道具信息!F223="","",[3]道具信息!F223)</f>
        <v>1</v>
      </c>
      <c r="G223" s="37">
        <f>IF([3]道具信息!G223="","",[3]道具信息!G223)</f>
        <v>1</v>
      </c>
      <c r="H223" s="37">
        <f>IF([3]道具信息!H223="","",[3]道具信息!H223)</f>
        <v>1</v>
      </c>
      <c r="I223" s="37">
        <f>IF([3]道具信息!I223="","",[3]道具信息!I223)</f>
        <v>200</v>
      </c>
      <c r="J223" s="37">
        <f>IF([3]道具信息!J223="","",[3]道具信息!J223)</f>
        <v>200</v>
      </c>
      <c r="K223" s="37">
        <f>IF([3]道具信息!K223="","",[3]道具信息!K223)</f>
        <v>200</v>
      </c>
      <c r="L223" s="37" t="str">
        <f>IF([3]道具信息!L223="","",[3]道具信息!L223)</f>
        <v>使用后立即获得10000骑兵新兵</v>
      </c>
      <c r="M223" s="37" t="str">
        <f>IF([3]道具信息!M223="","",[3]道具信息!M223)</f>
        <v/>
      </c>
      <c r="N223" s="37"/>
      <c r="O223" s="37" t="str">
        <f>IF([3]道具信息!O223="","",[3]道具信息!O223)</f>
        <v/>
      </c>
      <c r="P223" s="37" t="str">
        <f>IF([3]道具信息!P223="","",[3]道具信息!P223)</f>
        <v/>
      </c>
      <c r="Q223" s="37" t="str">
        <f>IF([3]道具信息!Q223="","",[3]道具信息!Q223)</f>
        <v/>
      </c>
    </row>
    <row r="224" spans="3:17" x14ac:dyDescent="0.15">
      <c r="C224" s="37">
        <f>IF([3]道具信息!C224="","",[3]道具信息!C224)</f>
        <v>26402</v>
      </c>
      <c r="D224" s="37" t="str">
        <f>IF([3]道具信息!D224="","",[3]道具信息!D224)</f>
        <v>弓箭虎符</v>
      </c>
      <c r="E224" s="37">
        <f>IF([3]道具信息!E224="","",[3]道具信息!E224)</f>
        <v>200</v>
      </c>
      <c r="F224" s="37">
        <f>IF([3]道具信息!F224="","",[3]道具信息!F224)</f>
        <v>1</v>
      </c>
      <c r="G224" s="37">
        <f>IF([3]道具信息!G224="","",[3]道具信息!G224)</f>
        <v>1</v>
      </c>
      <c r="H224" s="37">
        <f>IF([3]道具信息!H224="","",[3]道具信息!H224)</f>
        <v>1</v>
      </c>
      <c r="I224" s="37">
        <f>IF([3]道具信息!I224="","",[3]道具信息!I224)</f>
        <v>200</v>
      </c>
      <c r="J224" s="37">
        <f>IF([3]道具信息!J224="","",[3]道具信息!J224)</f>
        <v>200</v>
      </c>
      <c r="K224" s="37">
        <f>IF([3]道具信息!K224="","",[3]道具信息!K224)</f>
        <v>200</v>
      </c>
      <c r="L224" s="37" t="str">
        <f>IF([3]道具信息!L224="","",[3]道具信息!L224)</f>
        <v>使用后立即获得10000弓箭新兵</v>
      </c>
      <c r="M224" s="37" t="str">
        <f>IF([3]道具信息!M224="","",[3]道具信息!M224)</f>
        <v/>
      </c>
      <c r="N224" s="37"/>
      <c r="O224" s="37" t="str">
        <f>IF([3]道具信息!O224="","",[3]道具信息!O224)</f>
        <v/>
      </c>
      <c r="P224" s="37" t="str">
        <f>IF([3]道具信息!P224="","",[3]道具信息!P224)</f>
        <v/>
      </c>
      <c r="Q224" s="37" t="str">
        <f>IF([3]道具信息!Q224="","",[3]道具信息!Q224)</f>
        <v/>
      </c>
    </row>
    <row r="225" spans="3:17" x14ac:dyDescent="0.15">
      <c r="C225" s="37">
        <f>IF([3]道具信息!C225="","",[3]道具信息!C225)</f>
        <v>26403</v>
      </c>
      <c r="D225" s="37" t="str">
        <f>IF([3]道具信息!D225="","",[3]道具信息!D225)</f>
        <v>器械虎符</v>
      </c>
      <c r="E225" s="37">
        <f>IF([3]道具信息!E225="","",[3]道具信息!E225)</f>
        <v>200</v>
      </c>
      <c r="F225" s="37">
        <f>IF([3]道具信息!F225="","",[3]道具信息!F225)</f>
        <v>1</v>
      </c>
      <c r="G225" s="37">
        <f>IF([3]道具信息!G225="","",[3]道具信息!G225)</f>
        <v>1</v>
      </c>
      <c r="H225" s="37">
        <f>IF([3]道具信息!H225="","",[3]道具信息!H225)</f>
        <v>1</v>
      </c>
      <c r="I225" s="37">
        <f>IF([3]道具信息!I225="","",[3]道具信息!I225)</f>
        <v>200</v>
      </c>
      <c r="J225" s="37">
        <f>IF([3]道具信息!J225="","",[3]道具信息!J225)</f>
        <v>200</v>
      </c>
      <c r="K225" s="37">
        <f>IF([3]道具信息!K225="","",[3]道具信息!K225)</f>
        <v>200</v>
      </c>
      <c r="L225" s="37" t="str">
        <f>IF([3]道具信息!L225="","",[3]道具信息!L225)</f>
        <v>使用后立即获得10000器械兵新兵</v>
      </c>
      <c r="M225" s="37" t="str">
        <f>IF([3]道具信息!M225="","",[3]道具信息!M225)</f>
        <v/>
      </c>
      <c r="N225" s="37"/>
      <c r="O225" s="37" t="str">
        <f>IF([3]道具信息!O225="","",[3]道具信息!O225)</f>
        <v/>
      </c>
      <c r="P225" s="37" t="str">
        <f>IF([3]道具信息!P225="","",[3]道具信息!P225)</f>
        <v/>
      </c>
      <c r="Q225" s="37" t="str">
        <f>IF([3]道具信息!Q225="","",[3]道具信息!Q225)</f>
        <v/>
      </c>
    </row>
    <row r="226" spans="3:17" x14ac:dyDescent="0.15">
      <c r="C226" s="37" t="str">
        <f>IF([3]道具信息!C226="","",[3]道具信息!C226)</f>
        <v/>
      </c>
      <c r="D226" s="37" t="str">
        <f>IF([3]道具信息!D226="","",[3]道具信息!D226)</f>
        <v/>
      </c>
      <c r="E226" s="37" t="str">
        <f>IF([3]道具信息!E226="","",[3]道具信息!E226)</f>
        <v/>
      </c>
      <c r="F226" s="37" t="str">
        <f>IF([3]道具信息!F226="","",[3]道具信息!F226)</f>
        <v/>
      </c>
      <c r="G226" s="37" t="str">
        <f>IF([3]道具信息!G226="","",[3]道具信息!G226)</f>
        <v/>
      </c>
      <c r="H226" s="37" t="str">
        <f>IF([3]道具信息!H226="","",[3]道具信息!H226)</f>
        <v/>
      </c>
      <c r="I226" s="37" t="str">
        <f>IF([3]道具信息!I226="","",[3]道具信息!I226)</f>
        <v/>
      </c>
      <c r="J226" s="37" t="str">
        <f>IF([3]道具信息!J226="","",[3]道具信息!J226)</f>
        <v/>
      </c>
      <c r="K226" s="37" t="str">
        <f>IF([3]道具信息!K226="","",[3]道具信息!K226)</f>
        <v/>
      </c>
      <c r="L226" s="37" t="str">
        <f>IF([3]道具信息!L226="","",[3]道具信息!L226)</f>
        <v/>
      </c>
      <c r="M226" s="37" t="str">
        <f>IF([3]道具信息!M226="","",[3]道具信息!M226)</f>
        <v/>
      </c>
      <c r="N226" s="37"/>
      <c r="O226" s="37" t="str">
        <f>IF([3]道具信息!O226="","",[3]道具信息!O226)</f>
        <v/>
      </c>
      <c r="P226" s="37" t="str">
        <f>IF([3]道具信息!P226="","",[3]道具信息!P226)</f>
        <v/>
      </c>
      <c r="Q226" s="37" t="str">
        <f>IF([3]道具信息!Q226="","",[3]道具信息!Q226)</f>
        <v/>
      </c>
    </row>
    <row r="227" spans="3:17" x14ac:dyDescent="0.15">
      <c r="C227" s="37">
        <f>IF([3]道具信息!C227="","",[3]道具信息!C227)</f>
        <v>26500</v>
      </c>
      <c r="D227" s="37" t="str">
        <f>IF([3]道具信息!D227="","",[3]道具信息!D227)</f>
        <v>兵法宝箱</v>
      </c>
      <c r="E227" s="37">
        <f>IF([3]道具信息!E227="","",[3]道具信息!E227)</f>
        <v>250</v>
      </c>
      <c r="F227" s="37">
        <f>IF([3]道具信息!F227="","",[3]道具信息!F227)</f>
        <v>1</v>
      </c>
      <c r="G227" s="37">
        <f>IF([3]道具信息!G227="","",[3]道具信息!G227)</f>
        <v>1</v>
      </c>
      <c r="H227" s="37">
        <f>IF([3]道具信息!H227="","",[3]道具信息!H227)</f>
        <v>1</v>
      </c>
      <c r="I227" s="37">
        <f>IF([3]道具信息!I227="","",[3]道具信息!I227)</f>
        <v>250</v>
      </c>
      <c r="J227" s="37">
        <f>IF([3]道具信息!J227="","",[3]道具信息!J227)</f>
        <v>250</v>
      </c>
      <c r="K227" s="37">
        <f>IF([3]道具信息!K227="","",[3]道具信息!K227)</f>
        <v>250</v>
      </c>
      <c r="L227" s="37" t="str">
        <f>IF([3]道具信息!L227="","",[3]道具信息!L227)</f>
        <v>使用后随机获得1个兵法</v>
      </c>
      <c r="M227" s="37" t="str">
        <f>IF([3]道具信息!M227="","",[3]道具信息!M227)</f>
        <v/>
      </c>
      <c r="N227" s="37"/>
      <c r="O227" s="37" t="str">
        <f>IF([3]道具信息!O227="","",[3]道具信息!O227)</f>
        <v/>
      </c>
      <c r="P227" s="37" t="str">
        <f>IF([3]道具信息!P227="","",[3]道具信息!P227)</f>
        <v/>
      </c>
      <c r="Q227" s="37" t="str">
        <f>IF([3]道具信息!Q227="","",[3]道具信息!Q227)</f>
        <v/>
      </c>
    </row>
    <row r="228" spans="3:17" x14ac:dyDescent="0.15">
      <c r="C228" s="37">
        <f>IF([3]道具信息!C228="","",[3]道具信息!C228)</f>
        <v>26501</v>
      </c>
      <c r="D228" s="37" t="str">
        <f>IF([3]道具信息!D228="","",[3]道具信息!D228)</f>
        <v>蓝色兵法宝箱</v>
      </c>
      <c r="E228" s="37">
        <f>IF([3]道具信息!E228="","",[3]道具信息!E228)</f>
        <v>50</v>
      </c>
      <c r="F228" s="37">
        <f>IF([3]道具信息!F228="","",[3]道具信息!F228)</f>
        <v>1</v>
      </c>
      <c r="G228" s="37">
        <f>IF([3]道具信息!G228="","",[3]道具信息!G228)</f>
        <v>1</v>
      </c>
      <c r="H228" s="37">
        <f>IF([3]道具信息!H228="","",[3]道具信息!H228)</f>
        <v>1</v>
      </c>
      <c r="I228" s="37">
        <f>IF([3]道具信息!I228="","",[3]道具信息!I228)</f>
        <v>50</v>
      </c>
      <c r="J228" s="37">
        <f>IF([3]道具信息!J228="","",[3]道具信息!J228)</f>
        <v>50</v>
      </c>
      <c r="K228" s="37">
        <f>IF([3]道具信息!K228="","",[3]道具信息!K228)</f>
        <v>50</v>
      </c>
      <c r="L228" s="37" t="str">
        <f>IF([3]道具信息!L228="","",[3]道具信息!L228)</f>
        <v>使用后随机获得1个蓝色品质兵法</v>
      </c>
      <c r="M228" s="37" t="str">
        <f>IF([3]道具信息!M228="","",[3]道具信息!M228)</f>
        <v/>
      </c>
      <c r="N228" s="37"/>
      <c r="O228" s="37" t="str">
        <f>IF([3]道具信息!O228="","",[3]道具信息!O228)</f>
        <v/>
      </c>
      <c r="P228" s="37" t="str">
        <f>IF([3]道具信息!P228="","",[3]道具信息!P228)</f>
        <v/>
      </c>
      <c r="Q228" s="37" t="str">
        <f>IF([3]道具信息!Q228="","",[3]道具信息!Q228)</f>
        <v/>
      </c>
    </row>
    <row r="229" spans="3:17" x14ac:dyDescent="0.15">
      <c r="C229" s="37">
        <f>IF([3]道具信息!C229="","",[3]道具信息!C229)</f>
        <v>26502</v>
      </c>
      <c r="D229" s="37" t="str">
        <f>IF([3]道具信息!D229="","",[3]道具信息!D229)</f>
        <v>紫色兵法宝箱</v>
      </c>
      <c r="E229" s="37">
        <f>IF([3]道具信息!E229="","",[3]道具信息!E229)</f>
        <v>500</v>
      </c>
      <c r="F229" s="37">
        <f>IF([3]道具信息!F229="","",[3]道具信息!F229)</f>
        <v>1</v>
      </c>
      <c r="G229" s="37">
        <f>IF([3]道具信息!G229="","",[3]道具信息!G229)</f>
        <v>1</v>
      </c>
      <c r="H229" s="37">
        <f>IF([3]道具信息!H229="","",[3]道具信息!H229)</f>
        <v>1</v>
      </c>
      <c r="I229" s="37">
        <f>IF([3]道具信息!I229="","",[3]道具信息!I229)</f>
        <v>500</v>
      </c>
      <c r="J229" s="37">
        <f>IF([3]道具信息!J229="","",[3]道具信息!J229)</f>
        <v>500</v>
      </c>
      <c r="K229" s="37">
        <f>IF([3]道具信息!K229="","",[3]道具信息!K229)</f>
        <v>500</v>
      </c>
      <c r="L229" s="37" t="str">
        <f>IF([3]道具信息!L229="","",[3]道具信息!L229)</f>
        <v>使用后随机获得1个紫色品质兵法</v>
      </c>
      <c r="M229" s="37" t="str">
        <f>IF([3]道具信息!M229="","",[3]道具信息!M229)</f>
        <v/>
      </c>
      <c r="N229" s="37"/>
      <c r="O229" s="37" t="str">
        <f>IF([3]道具信息!O229="","",[3]道具信息!O229)</f>
        <v/>
      </c>
      <c r="P229" s="37" t="str">
        <f>IF([3]道具信息!P229="","",[3]道具信息!P229)</f>
        <v/>
      </c>
      <c r="Q229" s="37" t="str">
        <f>IF([3]道具信息!Q229="","",[3]道具信息!Q229)</f>
        <v/>
      </c>
    </row>
    <row r="230" spans="3:17" x14ac:dyDescent="0.15">
      <c r="C230" s="37">
        <f>IF([3]道具信息!C230="","",[3]道具信息!C230)</f>
        <v>26503</v>
      </c>
      <c r="D230" s="37" t="str">
        <f>IF([3]道具信息!D230="","",[3]道具信息!D230)</f>
        <v>橙色兵法宝箱</v>
      </c>
      <c r="E230" s="37">
        <f>IF([3]道具信息!E230="","",[3]道具信息!E230)</f>
        <v>1680</v>
      </c>
      <c r="F230" s="37">
        <f>IF([3]道具信息!F230="","",[3]道具信息!F230)</f>
        <v>1</v>
      </c>
      <c r="G230" s="37">
        <f>IF([3]道具信息!G230="","",[3]道具信息!G230)</f>
        <v>1</v>
      </c>
      <c r="H230" s="37">
        <f>IF([3]道具信息!H230="","",[3]道具信息!H230)</f>
        <v>1</v>
      </c>
      <c r="I230" s="37">
        <f>IF([3]道具信息!I230="","",[3]道具信息!I230)</f>
        <v>1680</v>
      </c>
      <c r="J230" s="37">
        <f>IF([3]道具信息!J230="","",[3]道具信息!J230)</f>
        <v>1680</v>
      </c>
      <c r="K230" s="37">
        <f>IF([3]道具信息!K230="","",[3]道具信息!K230)</f>
        <v>1680</v>
      </c>
      <c r="L230" s="37" t="str">
        <f>IF([3]道具信息!L230="","",[3]道具信息!L230)</f>
        <v>使用后随机获得1个橙色品质兵法</v>
      </c>
      <c r="M230" s="37" t="str">
        <f>IF([3]道具信息!M230="","",[3]道具信息!M230)</f>
        <v/>
      </c>
      <c r="N230" s="37"/>
      <c r="O230" s="37" t="str">
        <f>IF([3]道具信息!O230="","",[3]道具信息!O230)</f>
        <v/>
      </c>
      <c r="P230" s="37" t="str">
        <f>IF([3]道具信息!P230="","",[3]道具信息!P230)</f>
        <v/>
      </c>
      <c r="Q230" s="37" t="str">
        <f>IF([3]道具信息!Q230="","",[3]道具信息!Q230)</f>
        <v/>
      </c>
    </row>
    <row r="231" spans="3:17" x14ac:dyDescent="0.15">
      <c r="C231" s="37">
        <f>IF([3]道具信息!C231="","",[3]道具信息!C231)</f>
        <v>26504</v>
      </c>
      <c r="D231" s="37" t="str">
        <f>IF([3]道具信息!D231="","",[3]道具信息!D231)</f>
        <v>橙色+兵法宝箱</v>
      </c>
      <c r="E231" s="37">
        <f>IF([3]道具信息!E231="","",[3]道具信息!E231)</f>
        <v>14100</v>
      </c>
      <c r="F231" s="37">
        <f>IF([3]道具信息!F231="","",[3]道具信息!F231)</f>
        <v>1</v>
      </c>
      <c r="G231" s="37">
        <f>IF([3]道具信息!G231="","",[3]道具信息!G231)</f>
        <v>1</v>
      </c>
      <c r="H231" s="37">
        <f>IF([3]道具信息!H231="","",[3]道具信息!H231)</f>
        <v>1</v>
      </c>
      <c r="I231" s="37">
        <f>IF([3]道具信息!I231="","",[3]道具信息!I231)</f>
        <v>14100</v>
      </c>
      <c r="J231" s="37">
        <f>IF([3]道具信息!J231="","",[3]道具信息!J231)</f>
        <v>14100</v>
      </c>
      <c r="K231" s="37">
        <f>IF([3]道具信息!K231="","",[3]道具信息!K231)</f>
        <v>14100</v>
      </c>
      <c r="L231" s="37" t="str">
        <f>IF([3]道具信息!L231="","",[3]道具信息!L231)</f>
        <v>使用后随机获得1个红色品质兵法</v>
      </c>
      <c r="M231" s="37" t="str">
        <f>IF([3]道具信息!M231="","",[3]道具信息!M231)</f>
        <v/>
      </c>
      <c r="N231" s="37"/>
      <c r="O231" s="37" t="str">
        <f>IF([3]道具信息!O231="","",[3]道具信息!O231)</f>
        <v/>
      </c>
      <c r="P231" s="37" t="str">
        <f>IF([3]道具信息!P231="","",[3]道具信息!P231)</f>
        <v/>
      </c>
      <c r="Q231" s="37" t="str">
        <f>IF([3]道具信息!Q231="","",[3]道具信息!Q231)</f>
        <v/>
      </c>
    </row>
    <row r="232" spans="3:17" x14ac:dyDescent="0.15">
      <c r="C232" s="37" t="str">
        <f>IF([3]道具信息!C232="","",[3]道具信息!C232)</f>
        <v/>
      </c>
      <c r="D232" s="37" t="str">
        <f>IF([3]道具信息!D232="","",[3]道具信息!D232)</f>
        <v>指定or任选蓝色兵法</v>
      </c>
      <c r="E232" s="37">
        <f>IF([3]道具信息!E232="","",[3]道具信息!E232)</f>
        <v>35</v>
      </c>
      <c r="F232" s="37">
        <f>IF([3]道具信息!F232="","",[3]道具信息!F232)</f>
        <v>1</v>
      </c>
      <c r="G232" s="37">
        <f>IF([3]道具信息!G232="","",[3]道具信息!G232)</f>
        <v>1</v>
      </c>
      <c r="H232" s="37">
        <f>IF([3]道具信息!H232="","",[3]道具信息!H232)</f>
        <v>1</v>
      </c>
      <c r="I232" s="37">
        <f>IF([3]道具信息!I232="","",[3]道具信息!I232)</f>
        <v>35</v>
      </c>
      <c r="J232" s="37">
        <f>IF([3]道具信息!J232="","",[3]道具信息!J232)</f>
        <v>35</v>
      </c>
      <c r="K232" s="37">
        <f>IF([3]道具信息!K232="","",[3]道具信息!K232)</f>
        <v>35</v>
      </c>
      <c r="L232" s="37" t="str">
        <f>IF([3]道具信息!L232="","",[3]道具信息!L232)</f>
        <v/>
      </c>
      <c r="M232" s="37" t="str">
        <f>IF([3]道具信息!M232="","",[3]道具信息!M232)</f>
        <v/>
      </c>
      <c r="N232" s="37"/>
      <c r="O232" s="37" t="str">
        <f>IF([3]道具信息!O232="","",[3]道具信息!O232)</f>
        <v/>
      </c>
      <c r="P232" s="37" t="str">
        <f>IF([3]道具信息!P232="","",[3]道具信息!P232)</f>
        <v/>
      </c>
      <c r="Q232" s="37" t="str">
        <f>IF([3]道具信息!Q232="","",[3]道具信息!Q232)</f>
        <v/>
      </c>
    </row>
    <row r="233" spans="3:17" x14ac:dyDescent="0.15">
      <c r="C233" s="37" t="str">
        <f>IF([3]道具信息!C233="","",[3]道具信息!C233)</f>
        <v/>
      </c>
      <c r="D233" s="37" t="str">
        <f>IF([3]道具信息!D233="","",[3]道具信息!D233)</f>
        <v>指定or任选紫色兵法</v>
      </c>
      <c r="E233" s="37">
        <f>IF([3]道具信息!E233="","",[3]道具信息!E233)</f>
        <v>750</v>
      </c>
      <c r="F233" s="37">
        <f>IF([3]道具信息!F233="","",[3]道具信息!F233)</f>
        <v>1</v>
      </c>
      <c r="G233" s="37">
        <f>IF([3]道具信息!G233="","",[3]道具信息!G233)</f>
        <v>1</v>
      </c>
      <c r="H233" s="37">
        <f>IF([3]道具信息!H233="","",[3]道具信息!H233)</f>
        <v>1</v>
      </c>
      <c r="I233" s="37">
        <f>IF([3]道具信息!I233="","",[3]道具信息!I233)</f>
        <v>750</v>
      </c>
      <c r="J233" s="37">
        <f>IF([3]道具信息!J233="","",[3]道具信息!J233)</f>
        <v>750</v>
      </c>
      <c r="K233" s="37">
        <f>IF([3]道具信息!K233="","",[3]道具信息!K233)</f>
        <v>750</v>
      </c>
      <c r="L233" s="37" t="str">
        <f>IF([3]道具信息!L233="","",[3]道具信息!L233)</f>
        <v/>
      </c>
      <c r="M233" s="37" t="str">
        <f>IF([3]道具信息!M233="","",[3]道具信息!M233)</f>
        <v/>
      </c>
      <c r="N233" s="37"/>
      <c r="O233" s="37" t="str">
        <f>IF([3]道具信息!O233="","",[3]道具信息!O233)</f>
        <v/>
      </c>
      <c r="P233" s="37" t="str">
        <f>IF([3]道具信息!P233="","",[3]道具信息!P233)</f>
        <v/>
      </c>
      <c r="Q233" s="37" t="str">
        <f>IF([3]道具信息!Q233="","",[3]道具信息!Q233)</f>
        <v/>
      </c>
    </row>
    <row r="234" spans="3:17" x14ac:dyDescent="0.15">
      <c r="C234" s="37" t="str">
        <f>IF([3]道具信息!C234="","",[3]道具信息!C234)</f>
        <v/>
      </c>
      <c r="D234" s="37" t="str">
        <f>IF([3]道具信息!D234="","",[3]道具信息!D234)</f>
        <v>指定or任选橙色兵法</v>
      </c>
      <c r="E234" s="37">
        <f>IF([3]道具信息!E234="","",[3]道具信息!E234)</f>
        <v>3350</v>
      </c>
      <c r="F234" s="37">
        <f>IF([3]道具信息!F234="","",[3]道具信息!F234)</f>
        <v>1</v>
      </c>
      <c r="G234" s="37">
        <f>IF([3]道具信息!G234="","",[3]道具信息!G234)</f>
        <v>1</v>
      </c>
      <c r="H234" s="37">
        <f>IF([3]道具信息!H234="","",[3]道具信息!H234)</f>
        <v>1</v>
      </c>
      <c r="I234" s="37">
        <f>IF([3]道具信息!I234="","",[3]道具信息!I234)</f>
        <v>3350</v>
      </c>
      <c r="J234" s="37">
        <f>IF([3]道具信息!J234="","",[3]道具信息!J234)</f>
        <v>3350</v>
      </c>
      <c r="K234" s="37">
        <f>IF([3]道具信息!K234="","",[3]道具信息!K234)</f>
        <v>3350</v>
      </c>
      <c r="L234" s="37" t="str">
        <f>IF([3]道具信息!L234="","",[3]道具信息!L234)</f>
        <v/>
      </c>
      <c r="M234" s="37" t="str">
        <f>IF([3]道具信息!M234="","",[3]道具信息!M234)</f>
        <v/>
      </c>
      <c r="N234" s="37"/>
      <c r="O234" s="37" t="str">
        <f>IF([3]道具信息!O234="","",[3]道具信息!O234)</f>
        <v/>
      </c>
      <c r="P234" s="37" t="str">
        <f>IF([3]道具信息!P234="","",[3]道具信息!P234)</f>
        <v/>
      </c>
      <c r="Q234" s="37" t="str">
        <f>IF([3]道具信息!Q234="","",[3]道具信息!Q234)</f>
        <v/>
      </c>
    </row>
    <row r="235" spans="3:17" x14ac:dyDescent="0.15">
      <c r="C235" s="37" t="str">
        <f>IF([3]道具信息!C235="","",[3]道具信息!C235)</f>
        <v/>
      </c>
      <c r="D235" s="37" t="str">
        <f>IF([3]道具信息!D235="","",[3]道具信息!D235)</f>
        <v>指定or任选橙色+兵法</v>
      </c>
      <c r="E235" s="37">
        <f>IF([3]道具信息!E235="","",[3]道具信息!E235)</f>
        <v>9165</v>
      </c>
      <c r="F235" s="37">
        <f>IF([3]道具信息!F235="","",[3]道具信息!F235)</f>
        <v>1</v>
      </c>
      <c r="G235" s="37">
        <f>IF([3]道具信息!G235="","",[3]道具信息!G235)</f>
        <v>1</v>
      </c>
      <c r="H235" s="37">
        <f>IF([3]道具信息!H235="","",[3]道具信息!H235)</f>
        <v>1</v>
      </c>
      <c r="I235" s="37">
        <f>IF([3]道具信息!I235="","",[3]道具信息!I235)</f>
        <v>9165</v>
      </c>
      <c r="J235" s="37">
        <f>IF([3]道具信息!J235="","",[3]道具信息!J235)</f>
        <v>9165</v>
      </c>
      <c r="K235" s="37">
        <f>IF([3]道具信息!K235="","",[3]道具信息!K235)</f>
        <v>9165</v>
      </c>
      <c r="L235" s="37" t="str">
        <f>IF([3]道具信息!L235="","",[3]道具信息!L235)</f>
        <v/>
      </c>
      <c r="M235" s="37" t="str">
        <f>IF([3]道具信息!M235="","",[3]道具信息!M235)</f>
        <v/>
      </c>
      <c r="N235" s="37"/>
      <c r="O235" s="37" t="str">
        <f>IF([3]道具信息!O235="","",[3]道具信息!O235)</f>
        <v/>
      </c>
      <c r="P235" s="37" t="str">
        <f>IF([3]道具信息!P235="","",[3]道具信息!P235)</f>
        <v/>
      </c>
      <c r="Q235" s="37" t="str">
        <f>IF([3]道具信息!Q235="","",[3]道具信息!Q235)</f>
        <v/>
      </c>
    </row>
    <row r="236" spans="3:17" x14ac:dyDescent="0.15">
      <c r="C236" s="37">
        <f>IF([3]道具信息!C236="","",[3]道具信息!C236)</f>
        <v>26505</v>
      </c>
      <c r="D236" s="37" t="str">
        <f>IF([3]道具信息!D236="","",[3]道具信息!D236)</f>
        <v>兵家信物</v>
      </c>
      <c r="E236" s="37">
        <f>IF([3]道具信息!E236="","",[3]道具信息!E236)</f>
        <v>300</v>
      </c>
      <c r="F236" s="37">
        <f>IF([3]道具信息!F236="","",[3]道具信息!F236)</f>
        <v>1</v>
      </c>
      <c r="G236" s="37">
        <f>IF([3]道具信息!G236="","",[3]道具信息!G236)</f>
        <v>1</v>
      </c>
      <c r="H236" s="37">
        <f>IF([3]道具信息!H236="","",[3]道具信息!H236)</f>
        <v>1</v>
      </c>
      <c r="I236" s="37">
        <f>IF([3]道具信息!I236="","",[3]道具信息!I236)</f>
        <v>300</v>
      </c>
      <c r="J236" s="37">
        <f>IF([3]道具信息!J236="","",[3]道具信息!J236)</f>
        <v>300</v>
      </c>
      <c r="K236" s="37">
        <f>IF([3]道具信息!K236="","",[3]道具信息!K236)</f>
        <v>300</v>
      </c>
      <c r="L236" s="37" t="str">
        <f>IF([3]道具信息!L236="","",[3]道具信息!L236)</f>
        <v>抽取兵法时消耗的道具（赠送10个5分钟通用加速）</v>
      </c>
      <c r="M236" s="37" t="str">
        <f>IF([3]道具信息!M236="","",[3]道具信息!M236)</f>
        <v/>
      </c>
      <c r="N236" s="37"/>
      <c r="O236" s="37" t="str">
        <f>IF([3]道具信息!O236="","",[3]道具信息!O236)</f>
        <v/>
      </c>
      <c r="P236" s="37" t="str">
        <f>IF([3]道具信息!P236="","",[3]道具信息!P236)</f>
        <v/>
      </c>
      <c r="Q236" s="37" t="str">
        <f>IF([3]道具信息!Q236="","",[3]道具信息!Q236)</f>
        <v/>
      </c>
    </row>
    <row r="237" spans="3:17" x14ac:dyDescent="0.15">
      <c r="C237" s="37" t="str">
        <f>IF([3]道具信息!C237="","",[3]道具信息!C237)</f>
        <v/>
      </c>
      <c r="D237" s="37" t="str">
        <f>IF([3]道具信息!D237="","",[3]道具信息!D237)</f>
        <v/>
      </c>
      <c r="E237" s="37" t="str">
        <f>IF([3]道具信息!E237="","",[3]道具信息!E237)</f>
        <v/>
      </c>
      <c r="F237" s="37" t="str">
        <f>IF([3]道具信息!F237="","",[3]道具信息!F237)</f>
        <v/>
      </c>
      <c r="G237" s="37" t="str">
        <f>IF([3]道具信息!G237="","",[3]道具信息!G237)</f>
        <v/>
      </c>
      <c r="H237" s="37" t="str">
        <f>IF([3]道具信息!H237="","",[3]道具信息!H237)</f>
        <v/>
      </c>
      <c r="I237" s="37" t="str">
        <f>IF([3]道具信息!I237="","",[3]道具信息!I237)</f>
        <v/>
      </c>
      <c r="J237" s="37" t="str">
        <f>IF([3]道具信息!J237="","",[3]道具信息!J237)</f>
        <v/>
      </c>
      <c r="K237" s="37" t="str">
        <f>IF([3]道具信息!K237="","",[3]道具信息!K237)</f>
        <v/>
      </c>
      <c r="L237" s="37" t="str">
        <f>IF([3]道具信息!L237="","",[3]道具信息!L237)</f>
        <v/>
      </c>
      <c r="M237" s="37" t="str">
        <f>IF([3]道具信息!M237="","",[3]道具信息!M237)</f>
        <v/>
      </c>
      <c r="N237" s="37"/>
      <c r="O237" s="37" t="str">
        <f>IF([3]道具信息!O237="","",[3]道具信息!O237)</f>
        <v/>
      </c>
      <c r="P237" s="37" t="str">
        <f>IF([3]道具信息!P237="","",[3]道具信息!P237)</f>
        <v/>
      </c>
      <c r="Q237" s="37" t="str">
        <f>IF([3]道具信息!Q237="","",[3]道具信息!Q237)</f>
        <v/>
      </c>
    </row>
    <row r="238" spans="3:17" x14ac:dyDescent="0.15">
      <c r="C238" s="37" t="str">
        <f>IF([3]道具信息!C238="","",[3]道具信息!C238)</f>
        <v/>
      </c>
      <c r="D238" s="37" t="str">
        <f>IF([3]道具信息!D238="","",[3]道具信息!D238)</f>
        <v/>
      </c>
      <c r="E238" s="37" t="str">
        <f>IF([3]道具信息!E238="","",[3]道具信息!E238)</f>
        <v/>
      </c>
      <c r="F238" s="37" t="str">
        <f>IF([3]道具信息!F238="","",[3]道具信息!F238)</f>
        <v/>
      </c>
      <c r="G238" s="37" t="str">
        <f>IF([3]道具信息!G238="","",[3]道具信息!G238)</f>
        <v/>
      </c>
      <c r="H238" s="37" t="str">
        <f>IF([3]道具信息!H238="","",[3]道具信息!H238)</f>
        <v/>
      </c>
      <c r="I238" s="37" t="str">
        <f>IF([3]道具信息!I238="","",[3]道具信息!I238)</f>
        <v/>
      </c>
      <c r="J238" s="37" t="str">
        <f>IF([3]道具信息!J238="","",[3]道具信息!J238)</f>
        <v/>
      </c>
      <c r="K238" s="37" t="str">
        <f>IF([3]道具信息!K238="","",[3]道具信息!K238)</f>
        <v/>
      </c>
      <c r="L238" s="37" t="str">
        <f>IF([3]道具信息!L238="","",[3]道具信息!L238)</f>
        <v/>
      </c>
      <c r="M238" s="37" t="str">
        <f>IF([3]道具信息!M238="","",[3]道具信息!M238)</f>
        <v/>
      </c>
      <c r="N238" s="37"/>
      <c r="O238" s="37" t="str">
        <f>IF([3]道具信息!O238="","",[3]道具信息!O238)</f>
        <v/>
      </c>
      <c r="P238" s="37" t="str">
        <f>IF([3]道具信息!P238="","",[3]道具信息!P238)</f>
        <v/>
      </c>
      <c r="Q238" s="37" t="str">
        <f>IF([3]道具信息!Q238="","",[3]道具信息!Q238)</f>
        <v/>
      </c>
    </row>
    <row r="239" spans="3:17" x14ac:dyDescent="0.15">
      <c r="C239" s="37">
        <f>IF([3]道具信息!C239="","",[3]道具信息!C239)</f>
        <v>26520</v>
      </c>
      <c r="D239" s="37" t="str">
        <f>IF([3]道具信息!D239="","",[3]道具信息!D239)</f>
        <v>紫色兵法自选宝箱</v>
      </c>
      <c r="E239" s="37">
        <f>IF([3]道具信息!E239="","",[3]道具信息!E239)</f>
        <v>750</v>
      </c>
      <c r="F239" s="37">
        <f>IF([3]道具信息!F239="","",[3]道具信息!F239)</f>
        <v>1</v>
      </c>
      <c r="G239" s="37">
        <f>IF([3]道具信息!G239="","",[3]道具信息!G239)</f>
        <v>1</v>
      </c>
      <c r="H239" s="37">
        <f>IF([3]道具信息!H239="","",[3]道具信息!H239)</f>
        <v>1</v>
      </c>
      <c r="I239" s="37">
        <f>IF([3]道具信息!I239="","",[3]道具信息!I239)</f>
        <v>750</v>
      </c>
      <c r="J239" s="37">
        <f>IF([3]道具信息!J239="","",[3]道具信息!J239)</f>
        <v>750</v>
      </c>
      <c r="K239" s="37">
        <f>IF([3]道具信息!K239="","",[3]道具信息!K239)</f>
        <v>750</v>
      </c>
      <c r="L239" s="37" t="str">
        <f>IF([3]道具信息!L239="","",[3]道具信息!L239)</f>
        <v>使用后可选择一个紫色兵法。紫色兵法：攻其不备、出奇制胜、破军夺志</v>
      </c>
      <c r="M239" s="37" t="str">
        <f>IF([3]道具信息!M239="","",[3]道具信息!M239)</f>
        <v/>
      </c>
      <c r="N239" s="37"/>
      <c r="O239" s="37" t="str">
        <f>IF([3]道具信息!O239="","",[3]道具信息!O239)</f>
        <v/>
      </c>
      <c r="P239" s="37" t="str">
        <f>IF([3]道具信息!P239="","",[3]道具信息!P239)</f>
        <v/>
      </c>
      <c r="Q239" s="37" t="str">
        <f>IF([3]道具信息!Q239="","",[3]道具信息!Q239)</f>
        <v/>
      </c>
    </row>
    <row r="240" spans="3:17" x14ac:dyDescent="0.15">
      <c r="C240" s="37">
        <f>IF([3]道具信息!C240="","",[3]道具信息!C240)</f>
        <v>26521</v>
      </c>
      <c r="D240" s="37" t="str">
        <f>IF([3]道具信息!D240="","",[3]道具信息!D240)</f>
        <v>橙色兵法自选宝箱</v>
      </c>
      <c r="E240" s="37">
        <f>IF([3]道具信息!E240="","",[3]道具信息!E240)</f>
        <v>3350</v>
      </c>
      <c r="F240" s="37">
        <f>IF([3]道具信息!F240="","",[3]道具信息!F240)</f>
        <v>1</v>
      </c>
      <c r="G240" s="37">
        <f>IF([3]道具信息!G240="","",[3]道具信息!G240)</f>
        <v>1</v>
      </c>
      <c r="H240" s="37">
        <f>IF([3]道具信息!H240="","",[3]道具信息!H240)</f>
        <v>1</v>
      </c>
      <c r="I240" s="37">
        <f>IF([3]道具信息!I240="","",[3]道具信息!I240)</f>
        <v>3350</v>
      </c>
      <c r="J240" s="37">
        <f>IF([3]道具信息!J240="","",[3]道具信息!J240)</f>
        <v>3350</v>
      </c>
      <c r="K240" s="37">
        <f>IF([3]道具信息!K240="","",[3]道具信息!K240)</f>
        <v>3350</v>
      </c>
      <c r="L240" s="37" t="str">
        <f>IF([3]道具信息!L240="","",[3]道具信息!L240)</f>
        <v>使用后可选择一个橙色兵法。橙色兵法：援军秘策、养精蓄锐、退敌千里、奇佐鬼谋</v>
      </c>
      <c r="M240" s="37" t="str">
        <f>IF([3]道具信息!M240="","",[3]道具信息!M240)</f>
        <v/>
      </c>
      <c r="N240" s="37"/>
      <c r="O240" s="37" t="str">
        <f>IF([3]道具信息!O240="","",[3]道具信息!O240)</f>
        <v/>
      </c>
      <c r="P240" s="37" t="str">
        <f>IF([3]道具信息!P240="","",[3]道具信息!P240)</f>
        <v/>
      </c>
      <c r="Q240" s="37" t="str">
        <f>IF([3]道具信息!Q240="","",[3]道具信息!Q240)</f>
        <v/>
      </c>
    </row>
    <row r="241" spans="3:17" x14ac:dyDescent="0.15">
      <c r="C241" s="37" t="str">
        <f>IF([3]道具信息!C241="","",[3]道具信息!C241)</f>
        <v/>
      </c>
      <c r="D241" s="37" t="str">
        <f>IF([3]道具信息!D241="","",[3]道具信息!D241)</f>
        <v/>
      </c>
      <c r="E241" s="37" t="str">
        <f>IF([3]道具信息!E241="","",[3]道具信息!E241)</f>
        <v/>
      </c>
      <c r="F241" s="37" t="str">
        <f>IF([3]道具信息!F241="","",[3]道具信息!F241)</f>
        <v/>
      </c>
      <c r="G241" s="37" t="str">
        <f>IF([3]道具信息!G241="","",[3]道具信息!G241)</f>
        <v/>
      </c>
      <c r="H241" s="37" t="str">
        <f>IF([3]道具信息!H241="","",[3]道具信息!H241)</f>
        <v/>
      </c>
      <c r="I241" s="37" t="str">
        <f>IF([3]道具信息!I241="","",[3]道具信息!I241)</f>
        <v/>
      </c>
      <c r="J241" s="37" t="str">
        <f>IF([3]道具信息!J241="","",[3]道具信息!J241)</f>
        <v/>
      </c>
      <c r="K241" s="37" t="str">
        <f>IF([3]道具信息!K241="","",[3]道具信息!K241)</f>
        <v/>
      </c>
      <c r="L241" s="37" t="str">
        <f>IF([3]道具信息!L241="","",[3]道具信息!L241)</f>
        <v/>
      </c>
      <c r="M241" s="37" t="str">
        <f>IF([3]道具信息!M241="","",[3]道具信息!M241)</f>
        <v/>
      </c>
      <c r="N241" s="37"/>
      <c r="O241" s="37" t="str">
        <f>IF([3]道具信息!O241="","",[3]道具信息!O241)</f>
        <v/>
      </c>
      <c r="P241" s="37" t="str">
        <f>IF([3]道具信息!P241="","",[3]道具信息!P241)</f>
        <v/>
      </c>
      <c r="Q241" s="37" t="str">
        <f>IF([3]道具信息!Q241="","",[3]道具信息!Q241)</f>
        <v/>
      </c>
    </row>
    <row r="242" spans="3:17" x14ac:dyDescent="0.15">
      <c r="C242" s="37">
        <f>IF([3]道具信息!C242="","",[3]道具信息!C242)</f>
        <v>26551</v>
      </c>
      <c r="D242" s="37" t="str">
        <f>IF([3]道具信息!D242="","",[3]道具信息!D242)</f>
        <v>虎符宝箱</v>
      </c>
      <c r="E242" s="37">
        <f>IF([3]道具信息!E242="","",[3]道具信息!E242)</f>
        <v>160</v>
      </c>
      <c r="F242" s="37">
        <f>IF([3]道具信息!F242="","",[3]道具信息!F242)</f>
        <v>1</v>
      </c>
      <c r="G242" s="37">
        <f>IF([3]道具信息!G242="","",[3]道具信息!G242)</f>
        <v>1</v>
      </c>
      <c r="H242" s="37">
        <f>IF([3]道具信息!H242="","",[3]道具信息!H242)</f>
        <v>1</v>
      </c>
      <c r="I242" s="37">
        <f>IF([3]道具信息!I242="","",[3]道具信息!I242)</f>
        <v>160</v>
      </c>
      <c r="J242" s="37">
        <f>IF([3]道具信息!J242="","",[3]道具信息!J242)</f>
        <v>160</v>
      </c>
      <c r="K242" s="37">
        <f>IF([3]道具信息!K242="","",[3]道具信息!K242)</f>
        <v>160</v>
      </c>
      <c r="L242" s="37" t="str">
        <f>IF([3]道具信息!L242="","",[3]道具信息!L242)</f>
        <v>使用后随机获得1个虎符</v>
      </c>
      <c r="M242" s="37" t="str">
        <f>IF([3]道具信息!M242="","",[3]道具信息!M242)</f>
        <v/>
      </c>
      <c r="N242" s="37"/>
      <c r="O242" s="37" t="str">
        <f>IF([3]道具信息!O242="","",[3]道具信息!O242)</f>
        <v/>
      </c>
      <c r="P242" s="37" t="str">
        <f>IF([3]道具信息!P242="","",[3]道具信息!P242)</f>
        <v/>
      </c>
      <c r="Q242" s="37" t="str">
        <f>IF([3]道具信息!Q242="","",[3]道具信息!Q242)</f>
        <v/>
      </c>
    </row>
    <row r="243" spans="3:17" x14ac:dyDescent="0.15">
      <c r="C243" s="37">
        <f>IF([3]道具信息!C243="","",[3]道具信息!C243)</f>
        <v>26552</v>
      </c>
      <c r="D243" s="37" t="str">
        <f>IF([3]道具信息!D243="","",[3]道具信息!D243)</f>
        <v>1级贡品宝箱</v>
      </c>
      <c r="E243" s="37">
        <f>IF([3]道具信息!E243="","",[3]道具信息!E243)</f>
        <v>40</v>
      </c>
      <c r="F243" s="37">
        <f>IF([3]道具信息!F243="","",[3]道具信息!F243)</f>
        <v>1</v>
      </c>
      <c r="G243" s="37">
        <f>IF([3]道具信息!G243="","",[3]道具信息!G243)</f>
        <v>1</v>
      </c>
      <c r="H243" s="37">
        <f>IF([3]道具信息!H243="","",[3]道具信息!H243)</f>
        <v>1</v>
      </c>
      <c r="I243" s="37">
        <f>IF([3]道具信息!I243="","",[3]道具信息!I243)</f>
        <v>40</v>
      </c>
      <c r="J243" s="37">
        <f>IF([3]道具信息!J243="","",[3]道具信息!J243)</f>
        <v>40</v>
      </c>
      <c r="K243" s="37">
        <f>IF([3]道具信息!K243="","",[3]道具信息!K243)</f>
        <v>40</v>
      </c>
      <c r="L243" s="37" t="str">
        <f>IF([3]道具信息!L243="","",[3]道具信息!L243)</f>
        <v>使用后随机获得铜镜、陶罐中的1个贡品</v>
      </c>
      <c r="M243" s="37" t="str">
        <f>IF([3]道具信息!M243="","",[3]道具信息!M243)</f>
        <v/>
      </c>
      <c r="N243" s="37"/>
      <c r="O243" s="37" t="str">
        <f>IF([3]道具信息!O243="","",[3]道具信息!O243)</f>
        <v/>
      </c>
      <c r="P243" s="37" t="str">
        <f>IF([3]道具信息!P243="","",[3]道具信息!P243)</f>
        <v/>
      </c>
      <c r="Q243" s="37" t="str">
        <f>IF([3]道具信息!Q243="","",[3]道具信息!Q243)</f>
        <v/>
      </c>
    </row>
    <row r="244" spans="3:17" x14ac:dyDescent="0.15">
      <c r="C244" s="37">
        <f>IF([3]道具信息!C244="","",[3]道具信息!C244)</f>
        <v>26553</v>
      </c>
      <c r="D244" s="37" t="str">
        <f>IF([3]道具信息!D244="","",[3]道具信息!D244)</f>
        <v>2级贡品宝箱</v>
      </c>
      <c r="E244" s="37">
        <f>IF([3]道具信息!E244="","",[3]道具信息!E244)</f>
        <v>60</v>
      </c>
      <c r="F244" s="37">
        <f>IF([3]道具信息!F244="","",[3]道具信息!F244)</f>
        <v>1</v>
      </c>
      <c r="G244" s="37">
        <f>IF([3]道具信息!G244="","",[3]道具信息!G244)</f>
        <v>1</v>
      </c>
      <c r="H244" s="37">
        <f>IF([3]道具信息!H244="","",[3]道具信息!H244)</f>
        <v>1</v>
      </c>
      <c r="I244" s="37">
        <f>IF([3]道具信息!I244="","",[3]道具信息!I244)</f>
        <v>60</v>
      </c>
      <c r="J244" s="37">
        <f>IF([3]道具信息!J244="","",[3]道具信息!J244)</f>
        <v>60</v>
      </c>
      <c r="K244" s="37">
        <f>IF([3]道具信息!K244="","",[3]道具信息!K244)</f>
        <v>60</v>
      </c>
      <c r="L244" s="37" t="str">
        <f>IF([3]道具信息!L244="","",[3]道具信息!L244)</f>
        <v>使用后随机获得水晶杯、香鼎、铜壶中的1个贡品</v>
      </c>
      <c r="M244" s="37" t="str">
        <f>IF([3]道具信息!M244="","",[3]道具信息!M244)</f>
        <v/>
      </c>
      <c r="N244" s="37"/>
      <c r="O244" s="37" t="str">
        <f>IF([3]道具信息!O244="","",[3]道具信息!O244)</f>
        <v/>
      </c>
      <c r="P244" s="37" t="str">
        <f>IF([3]道具信息!P244="","",[3]道具信息!P244)</f>
        <v/>
      </c>
      <c r="Q244" s="37" t="str">
        <f>IF([3]道具信息!Q244="","",[3]道具信息!Q244)</f>
        <v/>
      </c>
    </row>
    <row r="245" spans="3:17" x14ac:dyDescent="0.15">
      <c r="C245" s="37">
        <f>IF([3]道具信息!C245="","",[3]道具信息!C245)</f>
        <v>26554</v>
      </c>
      <c r="D245" s="37" t="str">
        <f>IF([3]道具信息!D245="","",[3]道具信息!D245)</f>
        <v>3级贡品宝箱</v>
      </c>
      <c r="E245" s="37">
        <f>IF([3]道具信息!E245="","",[3]道具信息!E245)</f>
        <v>80</v>
      </c>
      <c r="F245" s="37">
        <f>IF([3]道具信息!F245="","",[3]道具信息!F245)</f>
        <v>1</v>
      </c>
      <c r="G245" s="37">
        <f>IF([3]道具信息!G245="","",[3]道具信息!G245)</f>
        <v>1</v>
      </c>
      <c r="H245" s="37">
        <f>IF([3]道具信息!H245="","",[3]道具信息!H245)</f>
        <v>1</v>
      </c>
      <c r="I245" s="37">
        <f>IF([3]道具信息!I245="","",[3]道具信息!I245)</f>
        <v>80</v>
      </c>
      <c r="J245" s="37">
        <f>IF([3]道具信息!J245="","",[3]道具信息!J245)</f>
        <v>80</v>
      </c>
      <c r="K245" s="37">
        <f>IF([3]道具信息!K245="","",[3]道具信息!K245)</f>
        <v>80</v>
      </c>
      <c r="L245" s="37" t="str">
        <f>IF([3]道具信息!L245="","",[3]道具信息!L245)</f>
        <v>使用后随机获得长颈壶、方陶皿、兽头觥、象形尊中的1个贡品</v>
      </c>
      <c r="M245" s="37" t="str">
        <f>IF([3]道具信息!M245="","",[3]道具信息!M245)</f>
        <v/>
      </c>
      <c r="N245" s="37"/>
      <c r="O245" s="37" t="str">
        <f>IF([3]道具信息!O245="","",[3]道具信息!O245)</f>
        <v/>
      </c>
      <c r="P245" s="37" t="str">
        <f>IF([3]道具信息!P245="","",[3]道具信息!P245)</f>
        <v/>
      </c>
      <c r="Q245" s="37" t="str">
        <f>IF([3]道具信息!Q245="","",[3]道具信息!Q245)</f>
        <v/>
      </c>
    </row>
    <row r="246" spans="3:17" x14ac:dyDescent="0.15">
      <c r="C246" s="37">
        <f>IF([3]道具信息!C246="","",[3]道具信息!C246)</f>
        <v>26555</v>
      </c>
      <c r="D246" s="37" t="str">
        <f>IF([3]道具信息!D246="","",[3]道具信息!D246)</f>
        <v>4级贡品宝箱</v>
      </c>
      <c r="E246" s="37">
        <f>IF([3]道具信息!E246="","",[3]道具信息!E246)</f>
        <v>100</v>
      </c>
      <c r="F246" s="37">
        <f>IF([3]道具信息!F246="","",[3]道具信息!F246)</f>
        <v>1</v>
      </c>
      <c r="G246" s="37">
        <f>IF([3]道具信息!G246="","",[3]道具信息!G246)</f>
        <v>1</v>
      </c>
      <c r="H246" s="37">
        <f>IF([3]道具信息!H246="","",[3]道具信息!H246)</f>
        <v>1</v>
      </c>
      <c r="I246" s="37">
        <f>IF([3]道具信息!I246="","",[3]道具信息!I246)</f>
        <v>100</v>
      </c>
      <c r="J246" s="37">
        <f>IF([3]道具信息!J246="","",[3]道具信息!J246)</f>
        <v>100</v>
      </c>
      <c r="K246" s="37">
        <f>IF([3]道具信息!K246="","",[3]道具信息!K246)</f>
        <v>100</v>
      </c>
      <c r="L246" s="37" t="str">
        <f>IF([3]道具信息!L246="","",[3]道具信息!L246)</f>
        <v>使用后随机获得冰鉴、螭首盉、三足爵、鎏金缶中的1个贡品</v>
      </c>
      <c r="M246" s="37" t="str">
        <f>IF([3]道具信息!M246="","",[3]道具信息!M246)</f>
        <v/>
      </c>
      <c r="N246" s="37"/>
      <c r="O246" s="37" t="str">
        <f>IF([3]道具信息!O246="","",[3]道具信息!O246)</f>
        <v/>
      </c>
      <c r="P246" s="37" t="str">
        <f>IF([3]道具信息!P246="","",[3]道具信息!P246)</f>
        <v/>
      </c>
      <c r="Q246" s="37" t="str">
        <f>IF([3]道具信息!Q246="","",[3]道具信息!Q246)</f>
        <v/>
      </c>
    </row>
    <row r="247" spans="3:17" x14ac:dyDescent="0.15">
      <c r="C247" s="37">
        <f>IF([3]道具信息!C247="","",[3]道具信息!C247)</f>
        <v>26556</v>
      </c>
      <c r="D247" s="37" t="str">
        <f>IF([3]道具信息!D247="","",[3]道具信息!D247)</f>
        <v>5级贡品宝箱</v>
      </c>
      <c r="E247" s="37">
        <f>IF([3]道具信息!E247="","",[3]道具信息!E247)</f>
        <v>120</v>
      </c>
      <c r="F247" s="37">
        <f>IF([3]道具信息!F247="","",[3]道具信息!F247)</f>
        <v>1</v>
      </c>
      <c r="G247" s="37">
        <f>IF([3]道具信息!G247="","",[3]道具信息!G247)</f>
        <v>1</v>
      </c>
      <c r="H247" s="37">
        <f>IF([3]道具信息!H247="","",[3]道具信息!H247)</f>
        <v>1</v>
      </c>
      <c r="I247" s="37">
        <f>IF([3]道具信息!I247="","",[3]道具信息!I247)</f>
        <v>120</v>
      </c>
      <c r="J247" s="37">
        <f>IF([3]道具信息!J247="","",[3]道具信息!J247)</f>
        <v>120</v>
      </c>
      <c r="K247" s="37">
        <f>IF([3]道具信息!K247="","",[3]道具信息!K247)</f>
        <v>120</v>
      </c>
      <c r="L247" s="37" t="str">
        <f>IF([3]道具信息!L247="","",[3]道具信息!L247)</f>
        <v>使用后随机获得锦瑟、编钟、石磬、瑶琴中的1个贡品</v>
      </c>
      <c r="M247" s="37" t="str">
        <f>IF([3]道具信息!M247="","",[3]道具信息!M247)</f>
        <v/>
      </c>
      <c r="N247" s="37"/>
      <c r="O247" s="37" t="str">
        <f>IF([3]道具信息!O247="","",[3]道具信息!O247)</f>
        <v/>
      </c>
      <c r="P247" s="37" t="str">
        <f>IF([3]道具信息!P247="","",[3]道具信息!P247)</f>
        <v/>
      </c>
      <c r="Q247" s="37" t="str">
        <f>IF([3]道具信息!Q247="","",[3]道具信息!Q247)</f>
        <v/>
      </c>
    </row>
    <row r="248" spans="3:17" x14ac:dyDescent="0.15">
      <c r="C248" s="37">
        <f>IF([3]道具信息!C248="","",[3]道具信息!C248)</f>
        <v>26557</v>
      </c>
      <c r="D248" s="37" t="str">
        <f>IF([3]道具信息!D248="","",[3]道具信息!D248)</f>
        <v>6级贡品宝箱</v>
      </c>
      <c r="E248" s="37">
        <f>IF([3]道具信息!E248="","",[3]道具信息!E248)</f>
        <v>140</v>
      </c>
      <c r="F248" s="37">
        <f>IF([3]道具信息!F248="","",[3]道具信息!F248)</f>
        <v>1</v>
      </c>
      <c r="G248" s="37">
        <f>IF([3]道具信息!G248="","",[3]道具信息!G248)</f>
        <v>1</v>
      </c>
      <c r="H248" s="37">
        <f>IF([3]道具信息!H248="","",[3]道具信息!H248)</f>
        <v>1</v>
      </c>
      <c r="I248" s="37">
        <f>IF([3]道具信息!I248="","",[3]道具信息!I248)</f>
        <v>140</v>
      </c>
      <c r="J248" s="37">
        <f>IF([3]道具信息!J248="","",[3]道具信息!J248)</f>
        <v>140</v>
      </c>
      <c r="K248" s="37">
        <f>IF([3]道具信息!K248="","",[3]道具信息!K248)</f>
        <v>140</v>
      </c>
      <c r="L248" s="37" t="str">
        <f>IF([3]道具信息!L248="","",[3]道具信息!L248)</f>
        <v>使用后随机获得青圭、赤璋、白琥、玄璜中的1个贡品</v>
      </c>
      <c r="M248" s="37" t="str">
        <f>IF([3]道具信息!M248="","",[3]道具信息!M248)</f>
        <v/>
      </c>
      <c r="N248" s="37"/>
      <c r="O248" s="37" t="str">
        <f>IF([3]道具信息!O248="","",[3]道具信息!O248)</f>
        <v/>
      </c>
      <c r="P248" s="37" t="str">
        <f>IF([3]道具信息!P248="","",[3]道具信息!P248)</f>
        <v/>
      </c>
      <c r="Q248" s="37" t="str">
        <f>IF([3]道具信息!Q248="","",[3]道具信息!Q248)</f>
        <v/>
      </c>
    </row>
    <row r="249" spans="3:17" x14ac:dyDescent="0.15">
      <c r="C249" s="37" t="str">
        <f>IF([3]道具信息!C249="","",[3]道具信息!C249)</f>
        <v/>
      </c>
      <c r="D249" s="37" t="str">
        <f>IF([3]道具信息!D249="","",[3]道具信息!D249)</f>
        <v/>
      </c>
      <c r="E249" s="37" t="str">
        <f>IF([3]道具信息!E249="","",[3]道具信息!E249)</f>
        <v/>
      </c>
      <c r="F249" s="37" t="str">
        <f>IF([3]道具信息!F249="","",[3]道具信息!F249)</f>
        <v/>
      </c>
      <c r="G249" s="37" t="str">
        <f>IF([3]道具信息!G249="","",[3]道具信息!G249)</f>
        <v/>
      </c>
      <c r="H249" s="37" t="str">
        <f>IF([3]道具信息!H249="","",[3]道具信息!H249)</f>
        <v/>
      </c>
      <c r="I249" s="37" t="str">
        <f>IF([3]道具信息!I249="","",[3]道具信息!I249)</f>
        <v/>
      </c>
      <c r="J249" s="37" t="str">
        <f>IF([3]道具信息!J249="","",[3]道具信息!J249)</f>
        <v/>
      </c>
      <c r="K249" s="37" t="str">
        <f>IF([3]道具信息!K249="","",[3]道具信息!K249)</f>
        <v/>
      </c>
      <c r="L249" s="37" t="str">
        <f>IF([3]道具信息!L249="","",[3]道具信息!L249)</f>
        <v/>
      </c>
      <c r="M249" s="37" t="str">
        <f>IF([3]道具信息!M249="","",[3]道具信息!M249)</f>
        <v/>
      </c>
      <c r="N249" s="37"/>
      <c r="O249" s="37" t="str">
        <f>IF([3]道具信息!O249="","",[3]道具信息!O249)</f>
        <v/>
      </c>
      <c r="P249" s="37" t="str">
        <f>IF([3]道具信息!P249="","",[3]道具信息!P249)</f>
        <v/>
      </c>
      <c r="Q249" s="37" t="str">
        <f>IF([3]道具信息!Q249="","",[3]道具信息!Q249)</f>
        <v/>
      </c>
    </row>
    <row r="250" spans="3:17" x14ac:dyDescent="0.15">
      <c r="C250" s="37">
        <f>IF([3]道具信息!C250="","",[3]道具信息!C250)</f>
        <v>21251</v>
      </c>
      <c r="D250" s="37" t="str">
        <f>IF([3]道具信息!D250="","",[3]道具信息!D250)</f>
        <v>绿色装备宝箱</v>
      </c>
      <c r="E250" s="37">
        <f>IF([3]道具信息!E250="","",[3]道具信息!E250)</f>
        <v>35</v>
      </c>
      <c r="F250" s="37">
        <f>IF([3]道具信息!F250="","",[3]道具信息!F250)</f>
        <v>1</v>
      </c>
      <c r="G250" s="37">
        <f>IF([3]道具信息!G250="","",[3]道具信息!G250)</f>
        <v>1</v>
      </c>
      <c r="H250" s="37">
        <f>IF([3]道具信息!H250="","",[3]道具信息!H250)</f>
        <v>1</v>
      </c>
      <c r="I250" s="37">
        <f>IF([3]道具信息!I250="","",[3]道具信息!I250)</f>
        <v>35</v>
      </c>
      <c r="J250" s="37">
        <f>IF([3]道具信息!J250="","",[3]道具信息!J250)</f>
        <v>35</v>
      </c>
      <c r="K250" s="37">
        <f>IF([3]道具信息!K250="","",[3]道具信息!K250)</f>
        <v>35</v>
      </c>
      <c r="L250" s="37" t="str">
        <f>IF([3]道具信息!L250="","",[3]道具信息!L250)</f>
        <v>使用后随机获得1件品质为绿色的装备</v>
      </c>
      <c r="M250" s="37" t="str">
        <f>IF([3]道具信息!M250="","",[3]道具信息!M250)</f>
        <v/>
      </c>
      <c r="N250" s="37"/>
      <c r="O250" s="37" t="str">
        <f>IF([3]道具信息!O250="","",[3]道具信息!O250)</f>
        <v/>
      </c>
      <c r="P250" s="37" t="str">
        <f>IF([3]道具信息!P250="","",[3]道具信息!P250)</f>
        <v/>
      </c>
      <c r="Q250" s="37" t="str">
        <f>IF([3]道具信息!Q250="","",[3]道具信息!Q250)</f>
        <v/>
      </c>
    </row>
    <row r="251" spans="3:17" x14ac:dyDescent="0.15">
      <c r="C251" s="37">
        <f>IF([3]道具信息!C251="","",[3]道具信息!C251)</f>
        <v>21252</v>
      </c>
      <c r="D251" s="37" t="str">
        <f>IF([3]道具信息!D251="","",[3]道具信息!D251)</f>
        <v>蓝色装备宝箱</v>
      </c>
      <c r="E251" s="37">
        <f>IF([3]道具信息!E251="","",[3]道具信息!E251)</f>
        <v>75</v>
      </c>
      <c r="F251" s="37">
        <f>IF([3]道具信息!F251="","",[3]道具信息!F251)</f>
        <v>1</v>
      </c>
      <c r="G251" s="37">
        <f>IF([3]道具信息!G251="","",[3]道具信息!G251)</f>
        <v>1</v>
      </c>
      <c r="H251" s="37">
        <f>IF([3]道具信息!H251="","",[3]道具信息!H251)</f>
        <v>1</v>
      </c>
      <c r="I251" s="37">
        <f>IF([3]道具信息!I251="","",[3]道具信息!I251)</f>
        <v>75</v>
      </c>
      <c r="J251" s="37">
        <f>IF([3]道具信息!J251="","",[3]道具信息!J251)</f>
        <v>75</v>
      </c>
      <c r="K251" s="37">
        <f>IF([3]道具信息!K251="","",[3]道具信息!K251)</f>
        <v>75</v>
      </c>
      <c r="L251" s="37" t="str">
        <f>IF([3]道具信息!L251="","",[3]道具信息!L251)</f>
        <v>使用后随机获得1件品质为蓝色的装备</v>
      </c>
      <c r="M251" s="37" t="str">
        <f>IF([3]道具信息!M251="","",[3]道具信息!M251)</f>
        <v/>
      </c>
      <c r="N251" s="37"/>
      <c r="O251" s="37" t="str">
        <f>IF([3]道具信息!O251="","",[3]道具信息!O251)</f>
        <v/>
      </c>
      <c r="P251" s="37" t="str">
        <f>IF([3]道具信息!P251="","",[3]道具信息!P251)</f>
        <v/>
      </c>
      <c r="Q251" s="37" t="str">
        <f>IF([3]道具信息!Q251="","",[3]道具信息!Q251)</f>
        <v/>
      </c>
    </row>
    <row r="252" spans="3:17" x14ac:dyDescent="0.15">
      <c r="C252" s="37">
        <f>IF([3]道具信息!C252="","",[3]道具信息!C252)</f>
        <v>21253</v>
      </c>
      <c r="D252" s="37" t="str">
        <f>IF([3]道具信息!D252="","",[3]道具信息!D252)</f>
        <v>紫色装备宝箱</v>
      </c>
      <c r="E252" s="37">
        <f>IF([3]道具信息!E252="","",[3]道具信息!E252)</f>
        <v>150</v>
      </c>
      <c r="F252" s="37">
        <f>IF([3]道具信息!F252="","",[3]道具信息!F252)</f>
        <v>1</v>
      </c>
      <c r="G252" s="37">
        <f>IF([3]道具信息!G252="","",[3]道具信息!G252)</f>
        <v>1</v>
      </c>
      <c r="H252" s="37">
        <f>IF([3]道具信息!H252="","",[3]道具信息!H252)</f>
        <v>1</v>
      </c>
      <c r="I252" s="37">
        <f>IF([3]道具信息!I252="","",[3]道具信息!I252)</f>
        <v>150</v>
      </c>
      <c r="J252" s="37">
        <f>IF([3]道具信息!J252="","",[3]道具信息!J252)</f>
        <v>150</v>
      </c>
      <c r="K252" s="37">
        <f>IF([3]道具信息!K252="","",[3]道具信息!K252)</f>
        <v>150</v>
      </c>
      <c r="L252" s="37" t="str">
        <f>IF([3]道具信息!L252="","",[3]道具信息!L252)</f>
        <v>使用后随机获得1件品质为紫色的装备</v>
      </c>
      <c r="M252" s="37" t="str">
        <f>IF([3]道具信息!M252="","",[3]道具信息!M252)</f>
        <v/>
      </c>
      <c r="N252" s="37"/>
      <c r="O252" s="37" t="str">
        <f>IF([3]道具信息!O252="","",[3]道具信息!O252)</f>
        <v/>
      </c>
      <c r="P252" s="37" t="str">
        <f>IF([3]道具信息!P252="","",[3]道具信息!P252)</f>
        <v/>
      </c>
      <c r="Q252" s="37" t="str">
        <f>IF([3]道具信息!Q252="","",[3]道具信息!Q252)</f>
        <v/>
      </c>
    </row>
    <row r="253" spans="3:17" x14ac:dyDescent="0.15">
      <c r="C253" s="37">
        <f>IF([3]道具信息!C253="","",[3]道具信息!C253)</f>
        <v>21254</v>
      </c>
      <c r="D253" s="37" t="str">
        <f>IF([3]道具信息!D253="","",[3]道具信息!D253)</f>
        <v>橙色装备宝箱</v>
      </c>
      <c r="E253" s="37">
        <f>IF([3]道具信息!E253="","",[3]道具信息!E253)</f>
        <v>320</v>
      </c>
      <c r="F253" s="37">
        <f>IF([3]道具信息!F253="","",[3]道具信息!F253)</f>
        <v>1</v>
      </c>
      <c r="G253" s="37">
        <f>IF([3]道具信息!G253="","",[3]道具信息!G253)</f>
        <v>1</v>
      </c>
      <c r="H253" s="37">
        <f>IF([3]道具信息!H253="","",[3]道具信息!H253)</f>
        <v>1</v>
      </c>
      <c r="I253" s="37">
        <f>IF([3]道具信息!I253="","",[3]道具信息!I253)</f>
        <v>320</v>
      </c>
      <c r="J253" s="37">
        <f>IF([3]道具信息!J253="","",[3]道具信息!J253)</f>
        <v>320</v>
      </c>
      <c r="K253" s="37">
        <f>IF([3]道具信息!K253="","",[3]道具信息!K253)</f>
        <v>320</v>
      </c>
      <c r="L253" s="37" t="str">
        <f>IF([3]道具信息!L253="","",[3]道具信息!L253)</f>
        <v>使用后随机获得1件品质为橙色的装备</v>
      </c>
      <c r="M253" s="37" t="str">
        <f>IF([3]道具信息!M253="","",[3]道具信息!M253)</f>
        <v/>
      </c>
      <c r="N253" s="37"/>
      <c r="O253" s="37" t="str">
        <f>IF([3]道具信息!O253="","",[3]道具信息!O253)</f>
        <v/>
      </c>
      <c r="P253" s="37" t="str">
        <f>IF([3]道具信息!P253="","",[3]道具信息!P253)</f>
        <v/>
      </c>
      <c r="Q253" s="37" t="str">
        <f>IF([3]道具信息!Q253="","",[3]道具信息!Q253)</f>
        <v/>
      </c>
    </row>
    <row r="254" spans="3:17" x14ac:dyDescent="0.15">
      <c r="C254" s="37">
        <f>IF([3]道具信息!C254="","",[3]道具信息!C254)</f>
        <v>21255</v>
      </c>
      <c r="D254" s="37" t="str">
        <f>IF([3]道具信息!D254="","",[3]道具信息!D254)</f>
        <v>红色装备宝箱</v>
      </c>
      <c r="E254" s="37">
        <f>IF([3]道具信息!E254="","",[3]道具信息!E254)</f>
        <v>2400</v>
      </c>
      <c r="F254" s="37">
        <f>IF([3]道具信息!F254="","",[3]道具信息!F254)</f>
        <v>1</v>
      </c>
      <c r="G254" s="37">
        <f>IF([3]道具信息!G254="","",[3]道具信息!G254)</f>
        <v>1</v>
      </c>
      <c r="H254" s="37">
        <f>IF([3]道具信息!H254="","",[3]道具信息!H254)</f>
        <v>1</v>
      </c>
      <c r="I254" s="37">
        <f>IF([3]道具信息!I254="","",[3]道具信息!I254)</f>
        <v>2400</v>
      </c>
      <c r="J254" s="37">
        <f>IF([3]道具信息!J254="","",[3]道具信息!J254)</f>
        <v>2400</v>
      </c>
      <c r="K254" s="37">
        <f>IF([3]道具信息!K254="","",[3]道具信息!K254)</f>
        <v>2400</v>
      </c>
      <c r="L254" s="37" t="str">
        <f>IF([3]道具信息!L254="","",[3]道具信息!L254)</f>
        <v>使用后随机获得1件品质为红色的装备</v>
      </c>
      <c r="M254" s="37" t="str">
        <f>IF([3]道具信息!M254="","",[3]道具信息!M254)</f>
        <v/>
      </c>
      <c r="N254" s="37"/>
      <c r="O254" s="37" t="str">
        <f>IF([3]道具信息!O254="","",[3]道具信息!O254)</f>
        <v/>
      </c>
      <c r="P254" s="37" t="str">
        <f>IF([3]道具信息!P254="","",[3]道具信息!P254)</f>
        <v/>
      </c>
      <c r="Q254" s="37" t="str">
        <f>IF([3]道具信息!Q254="","",[3]道具信息!Q254)</f>
        <v/>
      </c>
    </row>
    <row r="255" spans="3:17" x14ac:dyDescent="0.15">
      <c r="C255" s="37" t="str">
        <f>IF([3]道具信息!C255="","",[3]道具信息!C255)</f>
        <v/>
      </c>
      <c r="D255" s="37" t="str">
        <f>IF([3]道具信息!D255="","",[3]道具信息!D255)</f>
        <v/>
      </c>
      <c r="E255" s="37" t="str">
        <f>IF([3]道具信息!E255="","",[3]道具信息!E255)</f>
        <v/>
      </c>
      <c r="F255" s="37" t="str">
        <f>IF([3]道具信息!F255="","",[3]道具信息!F255)</f>
        <v/>
      </c>
      <c r="G255" s="37" t="str">
        <f>IF([3]道具信息!G255="","",[3]道具信息!G255)</f>
        <v/>
      </c>
      <c r="H255" s="37" t="str">
        <f>IF([3]道具信息!H255="","",[3]道具信息!H255)</f>
        <v/>
      </c>
      <c r="I255" s="37" t="str">
        <f>IF([3]道具信息!I255="","",[3]道具信息!I255)</f>
        <v/>
      </c>
      <c r="J255" s="37" t="str">
        <f>IF([3]道具信息!J255="","",[3]道具信息!J255)</f>
        <v/>
      </c>
      <c r="K255" s="37" t="str">
        <f>IF([3]道具信息!K255="","",[3]道具信息!K255)</f>
        <v/>
      </c>
      <c r="L255" s="37" t="str">
        <f>IF([3]道具信息!L255="","",[3]道具信息!L255)</f>
        <v/>
      </c>
      <c r="M255" s="37" t="str">
        <f>IF([3]道具信息!M255="","",[3]道具信息!M255)</f>
        <v/>
      </c>
      <c r="N255" s="37"/>
      <c r="O255" s="37" t="str">
        <f>IF([3]道具信息!O255="","",[3]道具信息!O255)</f>
        <v/>
      </c>
      <c r="P255" s="37" t="str">
        <f>IF([3]道具信息!P255="","",[3]道具信息!P255)</f>
        <v/>
      </c>
      <c r="Q255" s="37" t="str">
        <f>IF([3]道具信息!Q255="","",[3]道具信息!Q255)</f>
        <v/>
      </c>
    </row>
    <row r="256" spans="3:17" x14ac:dyDescent="0.15">
      <c r="C256" s="37">
        <f>IF([3]道具信息!C256="","",[3]道具信息!C256)</f>
        <v>20052</v>
      </c>
      <c r="D256" s="37" t="str">
        <f>IF([3]道具信息!D256="","",[3]道具信息!D256)</f>
        <v>练军心得·觉</v>
      </c>
      <c r="E256" s="37">
        <f>IF([3]道具信息!E256="","",[3]道具信息!E256)</f>
        <v>40</v>
      </c>
      <c r="F256" s="37">
        <f>IF([3]道具信息!F256="","",[3]道具信息!F256)</f>
        <v>1</v>
      </c>
      <c r="G256" s="37">
        <f>IF([3]道具信息!G256="","",[3]道具信息!G256)</f>
        <v>1</v>
      </c>
      <c r="H256" s="37">
        <f>IF([3]道具信息!H256="","",[3]道具信息!H256)</f>
        <v>1</v>
      </c>
      <c r="I256" s="37">
        <f>IF([3]道具信息!I256="","",[3]道具信息!I256)</f>
        <v>40</v>
      </c>
      <c r="J256" s="37">
        <f>IF([3]道具信息!J256="","",[3]道具信息!J256)</f>
        <v>40</v>
      </c>
      <c r="K256" s="37">
        <f>IF([3]道具信息!K256="","",[3]道具信息!K256)</f>
        <v>40</v>
      </c>
      <c r="L256" s="37" t="str">
        <f>IF([3]道具信息!L256="","",[3]道具信息!L256)</f>
        <v>掌军之策，厉兵秣马，可用于武将觉醒</v>
      </c>
      <c r="M256" s="37" t="str">
        <f>IF([3]道具信息!M256="","",[3]道具信息!M256)</f>
        <v/>
      </c>
      <c r="N256" s="37"/>
      <c r="O256" s="37" t="str">
        <f>IF([3]道具信息!O256="","",[3]道具信息!O256)</f>
        <v/>
      </c>
      <c r="P256" s="37" t="str">
        <f>IF([3]道具信息!P256="","",[3]道具信息!P256)</f>
        <v/>
      </c>
      <c r="Q256" s="37" t="str">
        <f>IF([3]道具信息!Q256="","",[3]道具信息!Q256)</f>
        <v/>
      </c>
    </row>
    <row r="257" spans="3:17" x14ac:dyDescent="0.15">
      <c r="C257" s="37">
        <f>IF([3]道具信息!C257="","",[3]道具信息!C257)</f>
        <v>20053</v>
      </c>
      <c r="D257" s="37" t="str">
        <f>IF([3]道具信息!D257="","",[3]道具信息!D257)</f>
        <v>策论心得·觉</v>
      </c>
      <c r="E257" s="37">
        <f>IF([3]道具信息!E257="","",[3]道具信息!E257)</f>
        <v>40</v>
      </c>
      <c r="F257" s="37">
        <f>IF([3]道具信息!F257="","",[3]道具信息!F257)</f>
        <v>1</v>
      </c>
      <c r="G257" s="37">
        <f>IF([3]道具信息!G257="","",[3]道具信息!G257)</f>
        <v>1</v>
      </c>
      <c r="H257" s="37">
        <f>IF([3]道具信息!H257="","",[3]道具信息!H257)</f>
        <v>1</v>
      </c>
      <c r="I257" s="37">
        <f>IF([3]道具信息!I257="","",[3]道具信息!I257)</f>
        <v>40</v>
      </c>
      <c r="J257" s="37">
        <f>IF([3]道具信息!J257="","",[3]道具信息!J257)</f>
        <v>40</v>
      </c>
      <c r="K257" s="37">
        <f>IF([3]道具信息!K257="","",[3]道具信息!K257)</f>
        <v>40</v>
      </c>
      <c r="L257" s="37" t="str">
        <f>IF([3]道具信息!L257="","",[3]道具信息!L257)</f>
        <v>书山万卷，算无遗策，可用于武将觉醒</v>
      </c>
      <c r="M257" s="37" t="str">
        <f>IF([3]道具信息!M257="","",[3]道具信息!M257)</f>
        <v/>
      </c>
      <c r="N257" s="37"/>
      <c r="O257" s="37" t="str">
        <f>IF([3]道具信息!O257="","",[3]道具信息!O257)</f>
        <v/>
      </c>
      <c r="P257" s="37" t="str">
        <f>IF([3]道具信息!P257="","",[3]道具信息!P257)</f>
        <v/>
      </c>
      <c r="Q257" s="37" t="str">
        <f>IF([3]道具信息!Q257="","",[3]道具信息!Q257)</f>
        <v/>
      </c>
    </row>
    <row r="258" spans="3:17" x14ac:dyDescent="0.15">
      <c r="C258" s="37">
        <f>IF([3]道具信息!C258="","",[3]道具信息!C258)</f>
        <v>20054</v>
      </c>
      <c r="D258" s="37" t="str">
        <f>IF([3]道具信息!D258="","",[3]道具信息!D258)</f>
        <v>兵书心得·觉</v>
      </c>
      <c r="E258" s="37">
        <f>IF([3]道具信息!E258="","",[3]道具信息!E258)</f>
        <v>40</v>
      </c>
      <c r="F258" s="37">
        <f>IF([3]道具信息!F258="","",[3]道具信息!F258)</f>
        <v>1</v>
      </c>
      <c r="G258" s="37">
        <f>IF([3]道具信息!G258="","",[3]道具信息!G258)</f>
        <v>1</v>
      </c>
      <c r="H258" s="37">
        <f>IF([3]道具信息!H258="","",[3]道具信息!H258)</f>
        <v>1</v>
      </c>
      <c r="I258" s="37">
        <f>IF([3]道具信息!I258="","",[3]道具信息!I258)</f>
        <v>40</v>
      </c>
      <c r="J258" s="37">
        <f>IF([3]道具信息!J258="","",[3]道具信息!J258)</f>
        <v>40</v>
      </c>
      <c r="K258" s="37">
        <f>IF([3]道具信息!K258="","",[3]道具信息!K258)</f>
        <v>40</v>
      </c>
      <c r="L258" s="37" t="str">
        <f>IF([3]道具信息!L258="","",[3]道具信息!L258)</f>
        <v>千军万马，文韬武略，可用于武将觉醒</v>
      </c>
      <c r="M258" s="37" t="str">
        <f>IF([3]道具信息!M258="","",[3]道具信息!M258)</f>
        <v/>
      </c>
      <c r="N258" s="37"/>
      <c r="O258" s="37" t="str">
        <f>IF([3]道具信息!O258="","",[3]道具信息!O258)</f>
        <v/>
      </c>
      <c r="P258" s="37" t="str">
        <f>IF([3]道具信息!P258="","",[3]道具信息!P258)</f>
        <v/>
      </c>
      <c r="Q258" s="37" t="str">
        <f>IF([3]道具信息!Q258="","",[3]道具信息!Q258)</f>
        <v/>
      </c>
    </row>
    <row r="259" spans="3:17" x14ac:dyDescent="0.15">
      <c r="C259" s="37" t="str">
        <f>IF([3]道具信息!C259="","",[3]道具信息!C259)</f>
        <v/>
      </c>
      <c r="D259" s="37" t="str">
        <f>IF([3]道具信息!D259="","",[3]道具信息!D259)</f>
        <v/>
      </c>
      <c r="E259" s="37" t="str">
        <f>IF([3]道具信息!E259="","",[3]道具信息!E259)</f>
        <v/>
      </c>
      <c r="F259" s="37" t="str">
        <f>IF([3]道具信息!F259="","",[3]道具信息!F259)</f>
        <v/>
      </c>
      <c r="G259" s="37" t="str">
        <f>IF([3]道具信息!G259="","",[3]道具信息!G259)</f>
        <v/>
      </c>
      <c r="H259" s="37" t="str">
        <f>IF([3]道具信息!H259="","",[3]道具信息!H259)</f>
        <v/>
      </c>
      <c r="I259" s="37" t="str">
        <f>IF([3]道具信息!I259="","",[3]道具信息!I259)</f>
        <v/>
      </c>
      <c r="J259" s="37" t="str">
        <f>IF([3]道具信息!J259="","",[3]道具信息!J259)</f>
        <v/>
      </c>
      <c r="K259" s="37" t="str">
        <f>IF([3]道具信息!K259="","",[3]道具信息!K259)</f>
        <v/>
      </c>
      <c r="L259" s="37" t="str">
        <f>IF([3]道具信息!L259="","",[3]道具信息!L259)</f>
        <v/>
      </c>
      <c r="M259" s="37" t="str">
        <f>IF([3]道具信息!M259="","",[3]道具信息!M259)</f>
        <v/>
      </c>
      <c r="N259" s="37"/>
      <c r="O259" s="37" t="str">
        <f>IF([3]道具信息!O259="","",[3]道具信息!O259)</f>
        <v/>
      </c>
      <c r="P259" s="37" t="str">
        <f>IF([3]道具信息!P259="","",[3]道具信息!P259)</f>
        <v/>
      </c>
      <c r="Q259" s="37" t="str">
        <f>IF([3]道具信息!Q259="","",[3]道具信息!Q259)</f>
        <v/>
      </c>
    </row>
    <row r="260" spans="3:17" x14ac:dyDescent="0.15">
      <c r="C260" s="37">
        <f>IF([3]道具信息!C260="","",[3]道具信息!C260)</f>
        <v>20055</v>
      </c>
      <c r="D260" s="37" t="str">
        <f>IF([3]道具信息!D260="","",[3]道具信息!D260)</f>
        <v>虎咬佩剑·觉</v>
      </c>
      <c r="E260" s="37">
        <f>IF([3]道具信息!E260="","",[3]道具信息!E260)</f>
        <v>60</v>
      </c>
      <c r="F260" s="37">
        <f>IF([3]道具信息!F260="","",[3]道具信息!F260)</f>
        <v>1</v>
      </c>
      <c r="G260" s="37">
        <f>IF([3]道具信息!G260="","",[3]道具信息!G260)</f>
        <v>1</v>
      </c>
      <c r="H260" s="37">
        <f>IF([3]道具信息!H260="","",[3]道具信息!H260)</f>
        <v>1</v>
      </c>
      <c r="I260" s="37">
        <f>IF([3]道具信息!I260="","",[3]道具信息!I260)</f>
        <v>60</v>
      </c>
      <c r="J260" s="37">
        <f>IF([3]道具信息!J260="","",[3]道具信息!J260)</f>
        <v>60</v>
      </c>
      <c r="K260" s="37">
        <f>IF([3]道具信息!K260="","",[3]道具信息!K260)</f>
        <v>60</v>
      </c>
      <c r="L260" s="37" t="str">
        <f>IF([3]道具信息!L260="","",[3]道具信息!L260)</f>
        <v>卧虎藏龙，剑及履及，可用于武将觉醒</v>
      </c>
      <c r="M260" s="37" t="str">
        <f>IF([3]道具信息!M260="","",[3]道具信息!M260)</f>
        <v/>
      </c>
      <c r="N260" s="37"/>
      <c r="O260" s="37" t="str">
        <f>IF([3]道具信息!O260="","",[3]道具信息!O260)</f>
        <v/>
      </c>
      <c r="P260" s="37" t="str">
        <f>IF([3]道具信息!P260="","",[3]道具信息!P260)</f>
        <v/>
      </c>
      <c r="Q260" s="37" t="str">
        <f>IF([3]道具信息!Q260="","",[3]道具信息!Q260)</f>
        <v/>
      </c>
    </row>
    <row r="261" spans="3:17" x14ac:dyDescent="0.15">
      <c r="C261" s="37">
        <f>IF([3]道具信息!C261="","",[3]道具信息!C261)</f>
        <v>20056</v>
      </c>
      <c r="D261" s="37" t="str">
        <f>IF([3]道具信息!D261="","",[3]道具信息!D261)</f>
        <v>灵蛇佩剑·觉</v>
      </c>
      <c r="E261" s="37">
        <f>IF([3]道具信息!E261="","",[3]道具信息!E261)</f>
        <v>60</v>
      </c>
      <c r="F261" s="37">
        <f>IF([3]道具信息!F261="","",[3]道具信息!F261)</f>
        <v>1</v>
      </c>
      <c r="G261" s="37">
        <f>IF([3]道具信息!G261="","",[3]道具信息!G261)</f>
        <v>1</v>
      </c>
      <c r="H261" s="37">
        <f>IF([3]道具信息!H261="","",[3]道具信息!H261)</f>
        <v>1</v>
      </c>
      <c r="I261" s="37">
        <f>IF([3]道具信息!I261="","",[3]道具信息!I261)</f>
        <v>60</v>
      </c>
      <c r="J261" s="37">
        <f>IF([3]道具信息!J261="","",[3]道具信息!J261)</f>
        <v>60</v>
      </c>
      <c r="K261" s="37">
        <f>IF([3]道具信息!K261="","",[3]道具信息!K261)</f>
        <v>60</v>
      </c>
      <c r="L261" s="37" t="str">
        <f>IF([3]道具信息!L261="","",[3]道具信息!L261)</f>
        <v>灵蛇之珠，剑态箫心，可用于武将觉醒</v>
      </c>
      <c r="M261" s="37" t="str">
        <f>IF([3]道具信息!M261="","",[3]道具信息!M261)</f>
        <v/>
      </c>
      <c r="N261" s="37"/>
      <c r="O261" s="37" t="str">
        <f>IF([3]道具信息!O261="","",[3]道具信息!O261)</f>
        <v/>
      </c>
      <c r="P261" s="37" t="str">
        <f>IF([3]道具信息!P261="","",[3]道具信息!P261)</f>
        <v/>
      </c>
      <c r="Q261" s="37" t="str">
        <f>IF([3]道具信息!Q261="","",[3]道具信息!Q261)</f>
        <v/>
      </c>
    </row>
    <row r="262" spans="3:17" x14ac:dyDescent="0.15">
      <c r="C262" s="37">
        <f>IF([3]道具信息!C262="","",[3]道具信息!C262)</f>
        <v>20057</v>
      </c>
      <c r="D262" s="37" t="str">
        <f>IF([3]道具信息!D262="","",[3]道具信息!D262)</f>
        <v>狼头佩剑·觉</v>
      </c>
      <c r="E262" s="37">
        <f>IF([3]道具信息!E262="","",[3]道具信息!E262)</f>
        <v>60</v>
      </c>
      <c r="F262" s="37">
        <f>IF([3]道具信息!F262="","",[3]道具信息!F262)</f>
        <v>1</v>
      </c>
      <c r="G262" s="37">
        <f>IF([3]道具信息!G262="","",[3]道具信息!G262)</f>
        <v>1</v>
      </c>
      <c r="H262" s="37">
        <f>IF([3]道具信息!H262="","",[3]道具信息!H262)</f>
        <v>1</v>
      </c>
      <c r="I262" s="37">
        <f>IF([3]道具信息!I262="","",[3]道具信息!I262)</f>
        <v>60</v>
      </c>
      <c r="J262" s="37">
        <f>IF([3]道具信息!J262="","",[3]道具信息!J262)</f>
        <v>60</v>
      </c>
      <c r="K262" s="37">
        <f>IF([3]道具信息!K262="","",[3]道具信息!K262)</f>
        <v>60</v>
      </c>
      <c r="L262" s="37" t="str">
        <f>IF([3]道具信息!L262="","",[3]道具信息!L262)</f>
        <v>封狼居胥，剑气纵横，可用于武将觉醒</v>
      </c>
      <c r="M262" s="37" t="str">
        <f>IF([3]道具信息!M262="","",[3]道具信息!M262)</f>
        <v/>
      </c>
      <c r="N262" s="37"/>
      <c r="O262" s="37" t="str">
        <f>IF([3]道具信息!O262="","",[3]道具信息!O262)</f>
        <v/>
      </c>
      <c r="P262" s="37" t="str">
        <f>IF([3]道具信息!P262="","",[3]道具信息!P262)</f>
        <v/>
      </c>
      <c r="Q262" s="37" t="str">
        <f>IF([3]道具信息!Q262="","",[3]道具信息!Q262)</f>
        <v/>
      </c>
    </row>
    <row r="263" spans="3:17" x14ac:dyDescent="0.15">
      <c r="C263" s="37" t="str">
        <f>IF([3]道具信息!C263="","",[3]道具信息!C263)</f>
        <v/>
      </c>
      <c r="D263" s="37" t="str">
        <f>IF([3]道具信息!D263="","",[3]道具信息!D263)</f>
        <v/>
      </c>
      <c r="E263" s="37" t="str">
        <f>IF([3]道具信息!E263="","",[3]道具信息!E263)</f>
        <v/>
      </c>
      <c r="F263" s="37" t="str">
        <f>IF([3]道具信息!F263="","",[3]道具信息!F263)</f>
        <v/>
      </c>
      <c r="G263" s="37" t="str">
        <f>IF([3]道具信息!G263="","",[3]道具信息!G263)</f>
        <v/>
      </c>
      <c r="H263" s="37" t="str">
        <f>IF([3]道具信息!H263="","",[3]道具信息!H263)</f>
        <v/>
      </c>
      <c r="I263" s="37" t="str">
        <f>IF([3]道具信息!I263="","",[3]道具信息!I263)</f>
        <v/>
      </c>
      <c r="J263" s="37" t="str">
        <f>IF([3]道具信息!J263="","",[3]道具信息!J263)</f>
        <v/>
      </c>
      <c r="K263" s="37" t="str">
        <f>IF([3]道具信息!K263="","",[3]道具信息!K263)</f>
        <v/>
      </c>
      <c r="L263" s="37" t="str">
        <f>IF([3]道具信息!L263="","",[3]道具信息!L263)</f>
        <v/>
      </c>
      <c r="M263" s="37" t="str">
        <f>IF([3]道具信息!M263="","",[3]道具信息!M263)</f>
        <v/>
      </c>
      <c r="N263" s="37"/>
      <c r="O263" s="37" t="str">
        <f>IF([3]道具信息!O263="","",[3]道具信息!O263)</f>
        <v/>
      </c>
      <c r="P263" s="37" t="str">
        <f>IF([3]道具信息!P263="","",[3]道具信息!P263)</f>
        <v/>
      </c>
      <c r="Q263" s="37" t="str">
        <f>IF([3]道具信息!Q263="","",[3]道具信息!Q263)</f>
        <v/>
      </c>
    </row>
    <row r="264" spans="3:17" x14ac:dyDescent="0.15">
      <c r="C264" s="37">
        <f>IF([3]道具信息!C264="","",[3]道具信息!C264)</f>
        <v>20059</v>
      </c>
      <c r="D264" s="37" t="str">
        <f>IF([3]道具信息!D264="","",[3]道具信息!D264)</f>
        <v>勇之授印·觉</v>
      </c>
      <c r="E264" s="37">
        <f>IF([3]道具信息!E264="","",[3]道具信息!E264)</f>
        <v>80</v>
      </c>
      <c r="F264" s="37">
        <f>IF([3]道具信息!F264="","",[3]道具信息!F264)</f>
        <v>1</v>
      </c>
      <c r="G264" s="37">
        <f>IF([3]道具信息!G264="","",[3]道具信息!G264)</f>
        <v>1</v>
      </c>
      <c r="H264" s="37">
        <f>IF([3]道具信息!H264="","",[3]道具信息!H264)</f>
        <v>1</v>
      </c>
      <c r="I264" s="37">
        <f>IF([3]道具信息!I264="","",[3]道具信息!I264)</f>
        <v>80</v>
      </c>
      <c r="J264" s="37">
        <f>IF([3]道具信息!J264="","",[3]道具信息!J264)</f>
        <v>80</v>
      </c>
      <c r="K264" s="37">
        <f>IF([3]道具信息!K264="","",[3]道具信息!K264)</f>
        <v>80</v>
      </c>
      <c r="L264" s="37" t="str">
        <f>IF([3]道具信息!L264="","",[3]道具信息!L264)</f>
        <v>拔山盖世，气吞山河，可用于武将觉醒</v>
      </c>
      <c r="M264" s="37" t="str">
        <f>IF([3]道具信息!M264="","",[3]道具信息!M264)</f>
        <v/>
      </c>
      <c r="N264" s="37"/>
      <c r="O264" s="37" t="str">
        <f>IF([3]道具信息!O264="","",[3]道具信息!O264)</f>
        <v/>
      </c>
      <c r="P264" s="37" t="str">
        <f>IF([3]道具信息!P264="","",[3]道具信息!P264)</f>
        <v/>
      </c>
      <c r="Q264" s="37" t="str">
        <f>IF([3]道具信息!Q264="","",[3]道具信息!Q264)</f>
        <v/>
      </c>
    </row>
    <row r="265" spans="3:17" x14ac:dyDescent="0.15">
      <c r="C265" s="37">
        <f>IF([3]道具信息!C265="","",[3]道具信息!C265)</f>
        <v>20060</v>
      </c>
      <c r="D265" s="37" t="str">
        <f>IF([3]道具信息!D265="","",[3]道具信息!D265)</f>
        <v>谋之授印·觉</v>
      </c>
      <c r="E265" s="37">
        <f>IF([3]道具信息!E265="","",[3]道具信息!E265)</f>
        <v>80</v>
      </c>
      <c r="F265" s="37">
        <f>IF([3]道具信息!F265="","",[3]道具信息!F265)</f>
        <v>1</v>
      </c>
      <c r="G265" s="37">
        <f>IF([3]道具信息!G265="","",[3]道具信息!G265)</f>
        <v>1</v>
      </c>
      <c r="H265" s="37">
        <f>IF([3]道具信息!H265="","",[3]道具信息!H265)</f>
        <v>1</v>
      </c>
      <c r="I265" s="37">
        <f>IF([3]道具信息!I265="","",[3]道具信息!I265)</f>
        <v>80</v>
      </c>
      <c r="J265" s="37">
        <f>IF([3]道具信息!J265="","",[3]道具信息!J265)</f>
        <v>80</v>
      </c>
      <c r="K265" s="37">
        <f>IF([3]道具信息!K265="","",[3]道具信息!K265)</f>
        <v>80</v>
      </c>
      <c r="L265" s="37" t="str">
        <f>IF([3]道具信息!L265="","",[3]道具信息!L265)</f>
        <v>渊谋远略，运筹帷幄，可用于武将觉醒</v>
      </c>
      <c r="M265" s="37" t="str">
        <f>IF([3]道具信息!M265="","",[3]道具信息!M265)</f>
        <v/>
      </c>
      <c r="N265" s="37"/>
      <c r="O265" s="37" t="str">
        <f>IF([3]道具信息!O265="","",[3]道具信息!O265)</f>
        <v/>
      </c>
      <c r="P265" s="37" t="str">
        <f>IF([3]道具信息!P265="","",[3]道具信息!P265)</f>
        <v/>
      </c>
      <c r="Q265" s="37" t="str">
        <f>IF([3]道具信息!Q265="","",[3]道具信息!Q265)</f>
        <v/>
      </c>
    </row>
    <row r="266" spans="3:17" x14ac:dyDescent="0.15">
      <c r="C266" s="37">
        <f>IF([3]道具信息!C266="","",[3]道具信息!C266)</f>
        <v>20061</v>
      </c>
      <c r="D266" s="37" t="str">
        <f>IF([3]道具信息!D266="","",[3]道具信息!D266)</f>
        <v>御之授印·觉</v>
      </c>
      <c r="E266" s="37">
        <f>IF([3]道具信息!E266="","",[3]道具信息!E266)</f>
        <v>80</v>
      </c>
      <c r="F266" s="37">
        <f>IF([3]道具信息!F266="","",[3]道具信息!F266)</f>
        <v>1</v>
      </c>
      <c r="G266" s="37">
        <f>IF([3]道具信息!G266="","",[3]道具信息!G266)</f>
        <v>1</v>
      </c>
      <c r="H266" s="37">
        <f>IF([3]道具信息!H266="","",[3]道具信息!H266)</f>
        <v>1</v>
      </c>
      <c r="I266" s="37">
        <f>IF([3]道具信息!I266="","",[3]道具信息!I266)</f>
        <v>80</v>
      </c>
      <c r="J266" s="37">
        <f>IF([3]道具信息!J266="","",[3]道具信息!J266)</f>
        <v>80</v>
      </c>
      <c r="K266" s="37">
        <f>IF([3]道具信息!K266="","",[3]道具信息!K266)</f>
        <v>80</v>
      </c>
      <c r="L266" s="37" t="str">
        <f>IF([3]道具信息!L266="","",[3]道具信息!L266)</f>
        <v>御下有方，论功行赏，可用于武将觉醒</v>
      </c>
      <c r="M266" s="37" t="str">
        <f>IF([3]道具信息!M266="","",[3]道具信息!M266)</f>
        <v/>
      </c>
      <c r="N266" s="37"/>
      <c r="O266" s="37" t="str">
        <f>IF([3]道具信息!O266="","",[3]道具信息!O266)</f>
        <v/>
      </c>
      <c r="P266" s="37" t="str">
        <f>IF([3]道具信息!P266="","",[3]道具信息!P266)</f>
        <v/>
      </c>
      <c r="Q266" s="37" t="str">
        <f>IF([3]道具信息!Q266="","",[3]道具信息!Q266)</f>
        <v/>
      </c>
    </row>
    <row r="267" spans="3:17" x14ac:dyDescent="0.15">
      <c r="C267" s="37" t="str">
        <f>IF([3]道具信息!C267="","",[3]道具信息!C267)</f>
        <v/>
      </c>
      <c r="D267" s="37" t="str">
        <f>IF([3]道具信息!D267="","",[3]道具信息!D267)</f>
        <v/>
      </c>
      <c r="E267" s="37" t="str">
        <f>IF([3]道具信息!E267="","",[3]道具信息!E267)</f>
        <v/>
      </c>
      <c r="F267" s="37" t="str">
        <f>IF([3]道具信息!F267="","",[3]道具信息!F267)</f>
        <v/>
      </c>
      <c r="G267" s="37" t="str">
        <f>IF([3]道具信息!G267="","",[3]道具信息!G267)</f>
        <v/>
      </c>
      <c r="H267" s="37" t="str">
        <f>IF([3]道具信息!H267="","",[3]道具信息!H267)</f>
        <v/>
      </c>
      <c r="I267" s="37" t="str">
        <f>IF([3]道具信息!I267="","",[3]道具信息!I267)</f>
        <v/>
      </c>
      <c r="J267" s="37" t="str">
        <f>IF([3]道具信息!J267="","",[3]道具信息!J267)</f>
        <v/>
      </c>
      <c r="K267" s="37" t="str">
        <f>IF([3]道具信息!K267="","",[3]道具信息!K267)</f>
        <v/>
      </c>
      <c r="L267" s="37" t="str">
        <f>IF([3]道具信息!L267="","",[3]道具信息!L267)</f>
        <v/>
      </c>
      <c r="M267" s="37" t="str">
        <f>IF([3]道具信息!M267="","",[3]道具信息!M267)</f>
        <v/>
      </c>
      <c r="N267" s="37"/>
      <c r="O267" s="37" t="str">
        <f>IF([3]道具信息!O267="","",[3]道具信息!O267)</f>
        <v/>
      </c>
      <c r="P267" s="37" t="str">
        <f>IF([3]道具信息!P267="","",[3]道具信息!P267)</f>
        <v/>
      </c>
      <c r="Q267" s="37" t="str">
        <f>IF([3]道具信息!Q267="","",[3]道具信息!Q267)</f>
        <v/>
      </c>
    </row>
    <row r="268" spans="3:17" x14ac:dyDescent="0.15">
      <c r="C268" s="37">
        <f>IF([3]道具信息!C268="","",[3]道具信息!C268)</f>
        <v>20064</v>
      </c>
      <c r="D268" s="37" t="str">
        <f>IF([3]道具信息!D268="","",[3]道具信息!D268)</f>
        <v>战阵精研·极</v>
      </c>
      <c r="E268" s="37">
        <f>IF([3]道具信息!E268="","",[3]道具信息!E268)</f>
        <v>100</v>
      </c>
      <c r="F268" s="37">
        <f>IF([3]道具信息!F268="","",[3]道具信息!F268)</f>
        <v>1</v>
      </c>
      <c r="G268" s="37">
        <f>IF([3]道具信息!G268="","",[3]道具信息!G268)</f>
        <v>1</v>
      </c>
      <c r="H268" s="37">
        <f>IF([3]道具信息!H268="","",[3]道具信息!H268)</f>
        <v>1</v>
      </c>
      <c r="I268" s="37">
        <f>IF([3]道具信息!I268="","",[3]道具信息!I268)</f>
        <v>100</v>
      </c>
      <c r="J268" s="37">
        <f>IF([3]道具信息!J268="","",[3]道具信息!J268)</f>
        <v>100</v>
      </c>
      <c r="K268" s="37">
        <f>IF([3]道具信息!K268="","",[3]道具信息!K268)</f>
        <v>100</v>
      </c>
      <c r="L268" s="37" t="str">
        <f>IF([3]道具信息!L268="","",[3]道具信息!L268)</f>
        <v>行兵布阵，勇往直前，可用于武将觉醒</v>
      </c>
      <c r="M268" s="37" t="str">
        <f>IF([3]道具信息!M268="","",[3]道具信息!M268)</f>
        <v/>
      </c>
      <c r="N268" s="37"/>
      <c r="O268" s="37" t="str">
        <f>IF([3]道具信息!O268="","",[3]道具信息!O268)</f>
        <v/>
      </c>
      <c r="P268" s="37" t="str">
        <f>IF([3]道具信息!P268="","",[3]道具信息!P268)</f>
        <v/>
      </c>
      <c r="Q268" s="37" t="str">
        <f>IF([3]道具信息!Q268="","",[3]道具信息!Q268)</f>
        <v/>
      </c>
    </row>
    <row r="269" spans="3:17" x14ac:dyDescent="0.15">
      <c r="C269" s="37">
        <f>IF([3]道具信息!C269="","",[3]道具信息!C269)</f>
        <v>20065</v>
      </c>
      <c r="D269" s="37" t="str">
        <f>IF([3]道具信息!D269="","",[3]道具信息!D269)</f>
        <v>谋略精研·极</v>
      </c>
      <c r="E269" s="37">
        <f>IF([3]道具信息!E269="","",[3]道具信息!E269)</f>
        <v>100</v>
      </c>
      <c r="F269" s="37">
        <f>IF([3]道具信息!F269="","",[3]道具信息!F269)</f>
        <v>1</v>
      </c>
      <c r="G269" s="37">
        <f>IF([3]道具信息!G269="","",[3]道具信息!G269)</f>
        <v>1</v>
      </c>
      <c r="H269" s="37">
        <f>IF([3]道具信息!H269="","",[3]道具信息!H269)</f>
        <v>1</v>
      </c>
      <c r="I269" s="37">
        <f>IF([3]道具信息!I269="","",[3]道具信息!I269)</f>
        <v>100</v>
      </c>
      <c r="J269" s="37">
        <f>IF([3]道具信息!J269="","",[3]道具信息!J269)</f>
        <v>100</v>
      </c>
      <c r="K269" s="37">
        <f>IF([3]道具信息!K269="","",[3]道具信息!K269)</f>
        <v>100</v>
      </c>
      <c r="L269" s="37" t="str">
        <f>IF([3]道具信息!L269="","",[3]道具信息!L269)</f>
        <v>目达耳通，上兵伐谋，可用于武将觉醒</v>
      </c>
      <c r="M269" s="37" t="str">
        <f>IF([3]道具信息!M269="","",[3]道具信息!M269)</f>
        <v/>
      </c>
      <c r="N269" s="37"/>
      <c r="O269" s="37" t="str">
        <f>IF([3]道具信息!O269="","",[3]道具信息!O269)</f>
        <v/>
      </c>
      <c r="P269" s="37" t="str">
        <f>IF([3]道具信息!P269="","",[3]道具信息!P269)</f>
        <v/>
      </c>
      <c r="Q269" s="37" t="str">
        <f>IF([3]道具信息!Q269="","",[3]道具信息!Q269)</f>
        <v/>
      </c>
    </row>
    <row r="270" spans="3:17" x14ac:dyDescent="0.15">
      <c r="C270" s="37">
        <f>IF([3]道具信息!C270="","",[3]道具信息!C270)</f>
        <v>20066</v>
      </c>
      <c r="D270" s="37" t="str">
        <f>IF([3]道具信息!D270="","",[3]道具信息!D270)</f>
        <v>御军精研·极</v>
      </c>
      <c r="E270" s="37">
        <f>IF([3]道具信息!E270="","",[3]道具信息!E270)</f>
        <v>100</v>
      </c>
      <c r="F270" s="37">
        <f>IF([3]道具信息!F270="","",[3]道具信息!F270)</f>
        <v>1</v>
      </c>
      <c r="G270" s="37">
        <f>IF([3]道具信息!G270="","",[3]道具信息!G270)</f>
        <v>1</v>
      </c>
      <c r="H270" s="37">
        <f>IF([3]道具信息!H270="","",[3]道具信息!H270)</f>
        <v>1</v>
      </c>
      <c r="I270" s="37">
        <f>IF([3]道具信息!I270="","",[3]道具信息!I270)</f>
        <v>100</v>
      </c>
      <c r="J270" s="37">
        <f>IF([3]道具信息!J270="","",[3]道具信息!J270)</f>
        <v>100</v>
      </c>
      <c r="K270" s="37">
        <f>IF([3]道具信息!K270="","",[3]道具信息!K270)</f>
        <v>100</v>
      </c>
      <c r="L270" s="37" t="str">
        <f>IF([3]道具信息!L270="","",[3]道具信息!L270)</f>
        <v>持筹握算，精兵简政，可用于武将觉醒</v>
      </c>
      <c r="M270" s="37" t="str">
        <f>IF([3]道具信息!M270="","",[3]道具信息!M270)</f>
        <v/>
      </c>
      <c r="N270" s="37"/>
      <c r="O270" s="37" t="str">
        <f>IF([3]道具信息!O270="","",[3]道具信息!O270)</f>
        <v/>
      </c>
      <c r="P270" s="37" t="str">
        <f>IF([3]道具信息!P270="","",[3]道具信息!P270)</f>
        <v/>
      </c>
      <c r="Q270" s="37" t="str">
        <f>IF([3]道具信息!Q270="","",[3]道具信息!Q270)</f>
        <v/>
      </c>
    </row>
    <row r="271" spans="3:17" x14ac:dyDescent="0.15">
      <c r="C271" s="37" t="str">
        <f>IF([3]道具信息!C271="","",[3]道具信息!C271)</f>
        <v/>
      </c>
      <c r="D271" s="37" t="str">
        <f>IF([3]道具信息!D271="","",[3]道具信息!D271)</f>
        <v/>
      </c>
      <c r="E271" s="37" t="str">
        <f>IF([3]道具信息!E271="","",[3]道具信息!E271)</f>
        <v/>
      </c>
      <c r="F271" s="37" t="str">
        <f>IF([3]道具信息!F271="","",[3]道具信息!F271)</f>
        <v/>
      </c>
      <c r="G271" s="37" t="str">
        <f>IF([3]道具信息!G271="","",[3]道具信息!G271)</f>
        <v/>
      </c>
      <c r="H271" s="37" t="str">
        <f>IF([3]道具信息!H271="","",[3]道具信息!H271)</f>
        <v/>
      </c>
      <c r="I271" s="37" t="str">
        <f>IF([3]道具信息!I271="","",[3]道具信息!I271)</f>
        <v/>
      </c>
      <c r="J271" s="37" t="str">
        <f>IF([3]道具信息!J271="","",[3]道具信息!J271)</f>
        <v/>
      </c>
      <c r="K271" s="37" t="str">
        <f>IF([3]道具信息!K271="","",[3]道具信息!K271)</f>
        <v/>
      </c>
      <c r="L271" s="37" t="str">
        <f>IF([3]道具信息!L271="","",[3]道具信息!L271)</f>
        <v/>
      </c>
      <c r="M271" s="37" t="str">
        <f>IF([3]道具信息!M271="","",[3]道具信息!M271)</f>
        <v/>
      </c>
      <c r="N271" s="37"/>
      <c r="O271" s="37" t="str">
        <f>IF([3]道具信息!O271="","",[3]道具信息!O271)</f>
        <v/>
      </c>
      <c r="P271" s="37" t="str">
        <f>IF([3]道具信息!P271="","",[3]道具信息!P271)</f>
        <v/>
      </c>
      <c r="Q271" s="37" t="str">
        <f>IF([3]道具信息!Q271="","",[3]道具信息!Q271)</f>
        <v/>
      </c>
    </row>
    <row r="272" spans="3:17" x14ac:dyDescent="0.15">
      <c r="C272" s="37">
        <f>IF([3]道具信息!C272="","",[3]道具信息!C272)</f>
        <v>20070</v>
      </c>
      <c r="D272" s="37" t="str">
        <f>IF([3]道具信息!D272="","",[3]道具信息!D272)</f>
        <v>白虎白琥·极</v>
      </c>
      <c r="E272" s="37">
        <f>IF([3]道具信息!E272="","",[3]道具信息!E272)</f>
        <v>120</v>
      </c>
      <c r="F272" s="37">
        <f>IF([3]道具信息!F272="","",[3]道具信息!F272)</f>
        <v>1</v>
      </c>
      <c r="G272" s="37">
        <f>IF([3]道具信息!G272="","",[3]道具信息!G272)</f>
        <v>1</v>
      </c>
      <c r="H272" s="37">
        <f>IF([3]道具信息!H272="","",[3]道具信息!H272)</f>
        <v>1</v>
      </c>
      <c r="I272" s="37">
        <f>IF([3]道具信息!I272="","",[3]道具信息!I272)</f>
        <v>120</v>
      </c>
      <c r="J272" s="37">
        <f>IF([3]道具信息!J272="","",[3]道具信息!J272)</f>
        <v>120</v>
      </c>
      <c r="K272" s="37">
        <f>IF([3]道具信息!K272="","",[3]道具信息!K272)</f>
        <v>120</v>
      </c>
      <c r="L272" s="37" t="str">
        <f>IF([3]道具信息!L272="","",[3]道具信息!L272)</f>
        <v>形神兼备，虎啸龙吟，可用于武将觉醒</v>
      </c>
      <c r="M272" s="37" t="str">
        <f>IF([3]道具信息!M272="","",[3]道具信息!M272)</f>
        <v/>
      </c>
      <c r="N272" s="37"/>
      <c r="O272" s="37" t="str">
        <f>IF([3]道具信息!O272="","",[3]道具信息!O272)</f>
        <v/>
      </c>
      <c r="P272" s="37" t="str">
        <f>IF([3]道具信息!P272="","",[3]道具信息!P272)</f>
        <v/>
      </c>
      <c r="Q272" s="37" t="str">
        <f>IF([3]道具信息!Q272="","",[3]道具信息!Q272)</f>
        <v/>
      </c>
    </row>
    <row r="273" spans="3:17" x14ac:dyDescent="0.15">
      <c r="C273" s="37">
        <f>IF([3]道具信息!C273="","",[3]道具信息!C273)</f>
        <v>20071</v>
      </c>
      <c r="D273" s="37" t="str">
        <f>IF([3]道具信息!D273="","",[3]道具信息!D273)</f>
        <v>朱雀赤璋·极</v>
      </c>
      <c r="E273" s="37">
        <f>IF([3]道具信息!E273="","",[3]道具信息!E273)</f>
        <v>120</v>
      </c>
      <c r="F273" s="37">
        <f>IF([3]道具信息!F273="","",[3]道具信息!F273)</f>
        <v>1</v>
      </c>
      <c r="G273" s="37">
        <f>IF([3]道具信息!G273="","",[3]道具信息!G273)</f>
        <v>1</v>
      </c>
      <c r="H273" s="37">
        <f>IF([3]道具信息!H273="","",[3]道具信息!H273)</f>
        <v>1</v>
      </c>
      <c r="I273" s="37">
        <f>IF([3]道具信息!I273="","",[3]道具信息!I273)</f>
        <v>120</v>
      </c>
      <c r="J273" s="37">
        <f>IF([3]道具信息!J273="","",[3]道具信息!J273)</f>
        <v>120</v>
      </c>
      <c r="K273" s="37">
        <f>IF([3]道具信息!K273="","",[3]道具信息!K273)</f>
        <v>120</v>
      </c>
      <c r="L273" s="37" t="str">
        <f>IF([3]道具信息!L273="","",[3]道具信息!L273)</f>
        <v>烈火真金，朱雀玄武，可用于武将觉醒</v>
      </c>
      <c r="M273" s="37" t="str">
        <f>IF([3]道具信息!M273="","",[3]道具信息!M273)</f>
        <v/>
      </c>
      <c r="N273" s="37"/>
      <c r="O273" s="37" t="str">
        <f>IF([3]道具信息!O273="","",[3]道具信息!O273)</f>
        <v/>
      </c>
      <c r="P273" s="37" t="str">
        <f>IF([3]道具信息!P273="","",[3]道具信息!P273)</f>
        <v/>
      </c>
      <c r="Q273" s="37" t="str">
        <f>IF([3]道具信息!Q273="","",[3]道具信息!Q273)</f>
        <v/>
      </c>
    </row>
    <row r="274" spans="3:17" x14ac:dyDescent="0.15">
      <c r="C274" s="37">
        <f>IF([3]道具信息!C274="","",[3]道具信息!C274)</f>
        <v>20072</v>
      </c>
      <c r="D274" s="37" t="str">
        <f>IF([3]道具信息!D274="","",[3]道具信息!D274)</f>
        <v>青龙青圭·极</v>
      </c>
      <c r="E274" s="37">
        <f>IF([3]道具信息!E274="","",[3]道具信息!E274)</f>
        <v>120</v>
      </c>
      <c r="F274" s="37">
        <f>IF([3]道具信息!F274="","",[3]道具信息!F274)</f>
        <v>1</v>
      </c>
      <c r="G274" s="37">
        <f>IF([3]道具信息!G274="","",[3]道具信息!G274)</f>
        <v>1</v>
      </c>
      <c r="H274" s="37">
        <f>IF([3]道具信息!H274="","",[3]道具信息!H274)</f>
        <v>1</v>
      </c>
      <c r="I274" s="37">
        <f>IF([3]道具信息!I274="","",[3]道具信息!I274)</f>
        <v>120</v>
      </c>
      <c r="J274" s="37">
        <f>IF([3]道具信息!J274="","",[3]道具信息!J274)</f>
        <v>120</v>
      </c>
      <c r="K274" s="37">
        <f>IF([3]道具信息!K274="","",[3]道具信息!K274)</f>
        <v>120</v>
      </c>
      <c r="L274" s="37" t="str">
        <f>IF([3]道具信息!L274="","",[3]道具信息!L274)</f>
        <v>青云直上，龙飞凤舞，可用于武将觉醒</v>
      </c>
      <c r="M274" s="37" t="str">
        <f>IF([3]道具信息!M274="","",[3]道具信息!M274)</f>
        <v/>
      </c>
      <c r="N274" s="37"/>
      <c r="O274" s="37" t="str">
        <f>IF([3]道具信息!O274="","",[3]道具信息!O274)</f>
        <v/>
      </c>
      <c r="P274" s="37" t="str">
        <f>IF([3]道具信息!P274="","",[3]道具信息!P274)</f>
        <v/>
      </c>
      <c r="Q274" s="37" t="str">
        <f>IF([3]道具信息!Q274="","",[3]道具信息!Q274)</f>
        <v/>
      </c>
    </row>
    <row r="275" spans="3:17" x14ac:dyDescent="0.15">
      <c r="C275" s="37" t="str">
        <f>IF([3]道具信息!C275="","",[3]道具信息!C275)</f>
        <v/>
      </c>
      <c r="D275" s="37" t="str">
        <f>IF([3]道具信息!D275="","",[3]道具信息!D275)</f>
        <v/>
      </c>
      <c r="E275" s="37" t="str">
        <f>IF([3]道具信息!E275="","",[3]道具信息!E275)</f>
        <v/>
      </c>
      <c r="F275" s="37" t="str">
        <f>IF([3]道具信息!F275="","",[3]道具信息!F275)</f>
        <v/>
      </c>
      <c r="G275" s="37" t="str">
        <f>IF([3]道具信息!G275="","",[3]道具信息!G275)</f>
        <v/>
      </c>
      <c r="H275" s="37" t="str">
        <f>IF([3]道具信息!H275="","",[3]道具信息!H275)</f>
        <v/>
      </c>
      <c r="I275" s="37" t="str">
        <f>IF([3]道具信息!I275="","",[3]道具信息!I275)</f>
        <v/>
      </c>
      <c r="J275" s="37" t="str">
        <f>IF([3]道具信息!J275="","",[3]道具信息!J275)</f>
        <v/>
      </c>
      <c r="K275" s="37" t="str">
        <f>IF([3]道具信息!K275="","",[3]道具信息!K275)</f>
        <v/>
      </c>
      <c r="L275" s="37" t="str">
        <f>IF([3]道具信息!L275="","",[3]道具信息!L275)</f>
        <v/>
      </c>
      <c r="M275" s="37" t="str">
        <f>IF([3]道具信息!M275="","",[3]道具信息!M275)</f>
        <v/>
      </c>
      <c r="N275" s="37"/>
      <c r="O275" s="37" t="str">
        <f>IF([3]道具信息!O275="","",[3]道具信息!O275)</f>
        <v/>
      </c>
      <c r="P275" s="37" t="str">
        <f>IF([3]道具信息!P275="","",[3]道具信息!P275)</f>
        <v/>
      </c>
      <c r="Q275" s="37" t="str">
        <f>IF([3]道具信息!Q275="","",[3]道具信息!Q275)</f>
        <v/>
      </c>
    </row>
    <row r="276" spans="3:17" x14ac:dyDescent="0.15">
      <c r="C276" s="37">
        <f>IF([3]道具信息!C276="","",[3]道具信息!C276)</f>
        <v>20077</v>
      </c>
      <c r="D276" s="37" t="str">
        <f>IF([3]道具信息!D276="","",[3]道具信息!D276)</f>
        <v>战将护符·极</v>
      </c>
      <c r="E276" s="37">
        <f>IF([3]道具信息!E276="","",[3]道具信息!E276)</f>
        <v>140</v>
      </c>
      <c r="F276" s="37">
        <f>IF([3]道具信息!F276="","",[3]道具信息!F276)</f>
        <v>1</v>
      </c>
      <c r="G276" s="37">
        <f>IF([3]道具信息!G276="","",[3]道具信息!G276)</f>
        <v>1</v>
      </c>
      <c r="H276" s="37">
        <f>IF([3]道具信息!H276="","",[3]道具信息!H276)</f>
        <v>1</v>
      </c>
      <c r="I276" s="37">
        <f>IF([3]道具信息!I276="","",[3]道具信息!I276)</f>
        <v>140</v>
      </c>
      <c r="J276" s="37">
        <f>IF([3]道具信息!J276="","",[3]道具信息!J276)</f>
        <v>140</v>
      </c>
      <c r="K276" s="37">
        <f>IF([3]道具信息!K276="","",[3]道具信息!K276)</f>
        <v>140</v>
      </c>
      <c r="L276" s="37" t="str">
        <f>IF([3]道具信息!L276="","",[3]道具信息!L276)</f>
        <v>王侯将相，功成名就，可用于武将觉醒</v>
      </c>
      <c r="M276" s="37" t="str">
        <f>IF([3]道具信息!M276="","",[3]道具信息!M276)</f>
        <v/>
      </c>
      <c r="N276" s="37"/>
      <c r="O276" s="37" t="str">
        <f>IF([3]道具信息!O276="","",[3]道具信息!O276)</f>
        <v/>
      </c>
      <c r="P276" s="37" t="str">
        <f>IF([3]道具信息!P276="","",[3]道具信息!P276)</f>
        <v/>
      </c>
      <c r="Q276" s="37" t="str">
        <f>IF([3]道具信息!Q276="","",[3]道具信息!Q276)</f>
        <v/>
      </c>
    </row>
    <row r="277" spans="3:17" x14ac:dyDescent="0.15">
      <c r="C277" s="37">
        <f>IF([3]道具信息!C277="","",[3]道具信息!C277)</f>
        <v>20078</v>
      </c>
      <c r="D277" s="37" t="str">
        <f>IF([3]道具信息!D277="","",[3]道具信息!D277)</f>
        <v>军师护符·极</v>
      </c>
      <c r="E277" s="37">
        <f>IF([3]道具信息!E277="","",[3]道具信息!E277)</f>
        <v>140</v>
      </c>
      <c r="F277" s="37">
        <f>IF([3]道具信息!F277="","",[3]道具信息!F277)</f>
        <v>1</v>
      </c>
      <c r="G277" s="37">
        <f>IF([3]道具信息!G277="","",[3]道具信息!G277)</f>
        <v>1</v>
      </c>
      <c r="H277" s="37">
        <f>IF([3]道具信息!H277="","",[3]道具信息!H277)</f>
        <v>1</v>
      </c>
      <c r="I277" s="37">
        <f>IF([3]道具信息!I277="","",[3]道具信息!I277)</f>
        <v>140</v>
      </c>
      <c r="J277" s="37">
        <f>IF([3]道具信息!J277="","",[3]道具信息!J277)</f>
        <v>140</v>
      </c>
      <c r="K277" s="37">
        <f>IF([3]道具信息!K277="","",[3]道具信息!K277)</f>
        <v>140</v>
      </c>
      <c r="L277" s="37" t="str">
        <f>IF([3]道具信息!L277="","",[3]道具信息!L277)</f>
        <v>神机妙算，才华横溢，可用于武将觉醒</v>
      </c>
      <c r="M277" s="37" t="str">
        <f>IF([3]道具信息!M277="","",[3]道具信息!M277)</f>
        <v/>
      </c>
      <c r="N277" s="37"/>
      <c r="O277" s="37" t="str">
        <f>IF([3]道具信息!O277="","",[3]道具信息!O277)</f>
        <v/>
      </c>
      <c r="P277" s="37" t="str">
        <f>IF([3]道具信息!P277="","",[3]道具信息!P277)</f>
        <v/>
      </c>
      <c r="Q277" s="37" t="str">
        <f>IF([3]道具信息!Q277="","",[3]道具信息!Q277)</f>
        <v/>
      </c>
    </row>
    <row r="278" spans="3:17" x14ac:dyDescent="0.15">
      <c r="C278" s="37">
        <f>IF([3]道具信息!C278="","",[3]道具信息!C278)</f>
        <v>20079</v>
      </c>
      <c r="D278" s="37" t="str">
        <f>IF([3]道具信息!D278="","",[3]道具信息!D278)</f>
        <v>统帅护符·极</v>
      </c>
      <c r="E278" s="37">
        <f>IF([3]道具信息!E278="","",[3]道具信息!E278)</f>
        <v>140</v>
      </c>
      <c r="F278" s="37">
        <f>IF([3]道具信息!F278="","",[3]道具信息!F278)</f>
        <v>1</v>
      </c>
      <c r="G278" s="37">
        <f>IF([3]道具信息!G278="","",[3]道具信息!G278)</f>
        <v>1</v>
      </c>
      <c r="H278" s="37">
        <f>IF([3]道具信息!H278="","",[3]道具信息!H278)</f>
        <v>1</v>
      </c>
      <c r="I278" s="37">
        <f>IF([3]道具信息!I278="","",[3]道具信息!I278)</f>
        <v>140</v>
      </c>
      <c r="J278" s="37">
        <f>IF([3]道具信息!J278="","",[3]道具信息!J278)</f>
        <v>140</v>
      </c>
      <c r="K278" s="37">
        <f>IF([3]道具信息!K278="","",[3]道具信息!K278)</f>
        <v>140</v>
      </c>
      <c r="L278" s="37" t="str">
        <f>IF([3]道具信息!L278="","",[3]道具信息!L278)</f>
        <v>号令如山，统帅三军，可用于武将觉醒</v>
      </c>
      <c r="M278" s="37" t="str">
        <f>IF([3]道具信息!M278="","",[3]道具信息!M278)</f>
        <v/>
      </c>
      <c r="N278" s="37"/>
      <c r="O278" s="37" t="str">
        <f>IF([3]道具信息!O278="","",[3]道具信息!O278)</f>
        <v/>
      </c>
      <c r="P278" s="37" t="str">
        <f>IF([3]道具信息!P278="","",[3]道具信息!P278)</f>
        <v/>
      </c>
      <c r="Q278" s="37" t="str">
        <f>IF([3]道具信息!Q278="","",[3]道具信息!Q278)</f>
        <v/>
      </c>
    </row>
    <row r="279" spans="3:17" x14ac:dyDescent="0.15">
      <c r="C279" s="37" t="str">
        <f>IF([3]道具信息!C279="","",[3]道具信息!C279)</f>
        <v/>
      </c>
      <c r="D279" s="37" t="str">
        <f>IF([3]道具信息!D279="","",[3]道具信息!D279)</f>
        <v/>
      </c>
      <c r="E279" s="37" t="str">
        <f>IF([3]道具信息!E279="","",[3]道具信息!E279)</f>
        <v/>
      </c>
      <c r="F279" s="37" t="str">
        <f>IF([3]道具信息!F279="","",[3]道具信息!F279)</f>
        <v/>
      </c>
      <c r="G279" s="37" t="str">
        <f>IF([3]道具信息!G279="","",[3]道具信息!G279)</f>
        <v/>
      </c>
      <c r="H279" s="37" t="str">
        <f>IF([3]道具信息!H279="","",[3]道具信息!H279)</f>
        <v/>
      </c>
      <c r="I279" s="37" t="str">
        <f>IF([3]道具信息!I279="","",[3]道具信息!I279)</f>
        <v/>
      </c>
      <c r="J279" s="37" t="str">
        <f>IF([3]道具信息!J279="","",[3]道具信息!J279)</f>
        <v/>
      </c>
      <c r="K279" s="37" t="str">
        <f>IF([3]道具信息!K279="","",[3]道具信息!K279)</f>
        <v/>
      </c>
      <c r="L279" s="37" t="str">
        <f>IF([3]道具信息!L279="","",[3]道具信息!L279)</f>
        <v/>
      </c>
      <c r="M279" s="37" t="str">
        <f>IF([3]道具信息!M279="","",[3]道具信息!M279)</f>
        <v/>
      </c>
      <c r="N279" s="37"/>
      <c r="O279" s="37" t="str">
        <f>IF([3]道具信息!O279="","",[3]道具信息!O279)</f>
        <v/>
      </c>
      <c r="P279" s="37" t="str">
        <f>IF([3]道具信息!P279="","",[3]道具信息!P279)</f>
        <v/>
      </c>
      <c r="Q279" s="37" t="str">
        <f>IF([3]道具信息!Q279="","",[3]道具信息!Q279)</f>
        <v/>
      </c>
    </row>
    <row r="280" spans="3:17" x14ac:dyDescent="0.15">
      <c r="C280" s="37" t="str">
        <f>IF([3]道具信息!C280="","",[3]道具信息!C280)</f>
        <v/>
      </c>
      <c r="D280" s="37" t="str">
        <f>IF([3]道具信息!D280="","",[3]道具信息!D280)</f>
        <v/>
      </c>
      <c r="E280" s="37" t="str">
        <f>IF([3]道具信息!E280="","",[3]道具信息!E280)</f>
        <v/>
      </c>
      <c r="F280" s="37" t="str">
        <f>IF([3]道具信息!F280="","",[3]道具信息!F280)</f>
        <v/>
      </c>
      <c r="G280" s="37" t="str">
        <f>IF([3]道具信息!G280="","",[3]道具信息!G280)</f>
        <v/>
      </c>
      <c r="H280" s="37" t="str">
        <f>IF([3]道具信息!H280="","",[3]道具信息!H280)</f>
        <v/>
      </c>
      <c r="I280" s="37" t="str">
        <f>IF([3]道具信息!I280="","",[3]道具信息!I280)</f>
        <v/>
      </c>
      <c r="J280" s="37" t="str">
        <f>IF([3]道具信息!J280="","",[3]道具信息!J280)</f>
        <v/>
      </c>
      <c r="K280" s="37" t="str">
        <f>IF([3]道具信息!K280="","",[3]道具信息!K280)</f>
        <v/>
      </c>
      <c r="L280" s="37" t="str">
        <f>IF([3]道具信息!L280="","",[3]道具信息!L280)</f>
        <v/>
      </c>
      <c r="M280" s="37" t="str">
        <f>IF([3]道具信息!M280="","",[3]道具信息!M280)</f>
        <v/>
      </c>
      <c r="N280" s="37"/>
      <c r="O280" s="37" t="str">
        <f>IF([3]道具信息!O280="","",[3]道具信息!O280)</f>
        <v/>
      </c>
      <c r="P280" s="37" t="str">
        <f>IF([3]道具信息!P280="","",[3]道具信息!P280)</f>
        <v/>
      </c>
      <c r="Q280" s="37" t="str">
        <f>IF([3]道具信息!Q280="","",[3]道具信息!Q280)</f>
        <v/>
      </c>
    </row>
    <row r="281" spans="3:17" x14ac:dyDescent="0.15">
      <c r="C281" s="37">
        <f>IF([3]道具信息!C281="","",[3]道具信息!C281)</f>
        <v>23001</v>
      </c>
      <c r="D281" s="37" t="str">
        <f>IF([3]道具信息!D281="","",[3]道具信息!D281)</f>
        <v>紫色步将自选宝箱</v>
      </c>
      <c r="E281" s="37">
        <f>IF([3]道具信息!E281="","",[3]道具信息!E281)</f>
        <v>600</v>
      </c>
      <c r="F281" s="37">
        <f>IF([3]道具信息!F281="","",[3]道具信息!F281)</f>
        <v>1.2</v>
      </c>
      <c r="G281" s="37">
        <f>IF([3]道具信息!G281="","",[3]道具信息!G281)</f>
        <v>1</v>
      </c>
      <c r="H281" s="37">
        <f>IF([3]道具信息!H281="","",[3]道具信息!H281)</f>
        <v>1</v>
      </c>
      <c r="I281" s="37">
        <f>IF([3]道具信息!I281="","",[3]道具信息!I281)</f>
        <v>720</v>
      </c>
      <c r="J281" s="37">
        <f>IF([3]道具信息!J281="","",[3]道具信息!J281)</f>
        <v>600</v>
      </c>
      <c r="K281" s="37">
        <f>IF([3]道具信息!K281="","",[3]道具信息!K281)</f>
        <v>600</v>
      </c>
      <c r="L281" s="37" t="str">
        <f>IF([3]道具信息!L281="","",[3]道具信息!L281)</f>
        <v>使用后选择获得一个紫色步将</v>
      </c>
      <c r="M281" s="37" t="str">
        <f>IF([3]道具信息!M281="","",[3]道具信息!M281)</f>
        <v/>
      </c>
      <c r="N281" s="37"/>
      <c r="O281" s="37" t="str">
        <f>IF([3]道具信息!O281="","",[3]道具信息!O281)</f>
        <v/>
      </c>
      <c r="P281" s="37" t="str">
        <f>IF([3]道具信息!P281="","",[3]道具信息!P281)</f>
        <v/>
      </c>
      <c r="Q281" s="37" t="str">
        <f>IF([3]道具信息!Q281="","",[3]道具信息!Q281)</f>
        <v/>
      </c>
    </row>
    <row r="282" spans="3:17" x14ac:dyDescent="0.15">
      <c r="C282" s="37">
        <f>IF([3]道具信息!C282="","",[3]道具信息!C282)</f>
        <v>23002</v>
      </c>
      <c r="D282" s="37" t="str">
        <f>IF([3]道具信息!D282="","",[3]道具信息!D282)</f>
        <v>橙色步将自选宝箱</v>
      </c>
      <c r="E282" s="37">
        <f>IF([3]道具信息!E282="","",[3]道具信息!E282)</f>
        <v>4800</v>
      </c>
      <c r="F282" s="37">
        <f>IF([3]道具信息!F282="","",[3]道具信息!F282)</f>
        <v>1.2</v>
      </c>
      <c r="G282" s="37">
        <f>IF([3]道具信息!G282="","",[3]道具信息!G282)</f>
        <v>1</v>
      </c>
      <c r="H282" s="37">
        <f>IF([3]道具信息!H282="","",[3]道具信息!H282)</f>
        <v>1</v>
      </c>
      <c r="I282" s="37">
        <f>IF([3]道具信息!I282="","",[3]道具信息!I282)</f>
        <v>5760</v>
      </c>
      <c r="J282" s="37">
        <f>IF([3]道具信息!J282="","",[3]道具信息!J282)</f>
        <v>4800</v>
      </c>
      <c r="K282" s="37">
        <f>IF([3]道具信息!K282="","",[3]道具信息!K282)</f>
        <v>4800</v>
      </c>
      <c r="L282" s="37" t="str">
        <f>IF([3]道具信息!L282="","",[3]道具信息!L282)</f>
        <v>使用后选择获得一个橙色武将</v>
      </c>
      <c r="M282" s="37" t="str">
        <f>IF([3]道具信息!M282="","",[3]道具信息!M282)</f>
        <v/>
      </c>
      <c r="N282" s="37"/>
      <c r="O282" s="37" t="str">
        <f>IF([3]道具信息!O282="","",[3]道具信息!O282)</f>
        <v/>
      </c>
      <c r="P282" s="37" t="str">
        <f>IF([3]道具信息!P282="","",[3]道具信息!P282)</f>
        <v/>
      </c>
      <c r="Q282" s="37" t="str">
        <f>IF([3]道具信息!Q282="","",[3]道具信息!Q282)</f>
        <v/>
      </c>
    </row>
    <row r="283" spans="3:17" x14ac:dyDescent="0.15">
      <c r="C283" s="37">
        <f>IF([3]道具信息!C283="","",[3]道具信息!C283)</f>
        <v>23003</v>
      </c>
      <c r="D283" s="37" t="str">
        <f>IF([3]道具信息!D283="","",[3]道具信息!D283)</f>
        <v>红色步将自选宝箱</v>
      </c>
      <c r="E283" s="37">
        <f>IF([3]道具信息!E283="","",[3]道具信息!E283)</f>
        <v>14400</v>
      </c>
      <c r="F283" s="37">
        <f>IF([3]道具信息!F283="","",[3]道具信息!F283)</f>
        <v>1.2</v>
      </c>
      <c r="G283" s="37">
        <f>IF([3]道具信息!G283="","",[3]道具信息!G283)</f>
        <v>1</v>
      </c>
      <c r="H283" s="37">
        <f>IF([3]道具信息!H283="","",[3]道具信息!H283)</f>
        <v>1</v>
      </c>
      <c r="I283" s="37">
        <f>IF([3]道具信息!I283="","",[3]道具信息!I283)</f>
        <v>17280</v>
      </c>
      <c r="J283" s="37">
        <f>IF([3]道具信息!J283="","",[3]道具信息!J283)</f>
        <v>14400</v>
      </c>
      <c r="K283" s="37">
        <f>IF([3]道具信息!K283="","",[3]道具信息!K283)</f>
        <v>14400</v>
      </c>
      <c r="L283" s="37" t="str">
        <f>IF([3]道具信息!L283="","",[3]道具信息!L283)</f>
        <v>使用后选择获得一个红色步将</v>
      </c>
      <c r="M283" s="37" t="str">
        <f>IF([3]道具信息!M283="","",[3]道具信息!M283)</f>
        <v/>
      </c>
      <c r="N283" s="37"/>
      <c r="O283" s="37" t="str">
        <f>IF([3]道具信息!O283="","",[3]道具信息!O283)</f>
        <v/>
      </c>
      <c r="P283" s="37" t="str">
        <f>IF([3]道具信息!P283="","",[3]道具信息!P283)</f>
        <v/>
      </c>
      <c r="Q283" s="37" t="str">
        <f>IF([3]道具信息!Q283="","",[3]道具信息!Q283)</f>
        <v/>
      </c>
    </row>
    <row r="284" spans="3:17" x14ac:dyDescent="0.15">
      <c r="C284" s="37">
        <f>IF([3]道具信息!C284="","",[3]道具信息!C284)</f>
        <v>23004</v>
      </c>
      <c r="D284" s="37" t="str">
        <f>IF([3]道具信息!D284="","",[3]道具信息!D284)</f>
        <v>紫色骑将自选宝箱</v>
      </c>
      <c r="E284" s="37">
        <f>IF([3]道具信息!E284="","",[3]道具信息!E284)</f>
        <v>600</v>
      </c>
      <c r="F284" s="37">
        <f>IF([3]道具信息!F284="","",[3]道具信息!F284)</f>
        <v>1.2</v>
      </c>
      <c r="G284" s="37">
        <f>IF([3]道具信息!G284="","",[3]道具信息!G284)</f>
        <v>1</v>
      </c>
      <c r="H284" s="37">
        <f>IF([3]道具信息!H284="","",[3]道具信息!H284)</f>
        <v>1</v>
      </c>
      <c r="I284" s="37">
        <f>IF([3]道具信息!I284="","",[3]道具信息!I284)</f>
        <v>720</v>
      </c>
      <c r="J284" s="37">
        <f>IF([3]道具信息!J284="","",[3]道具信息!J284)</f>
        <v>600</v>
      </c>
      <c r="K284" s="37">
        <f>IF([3]道具信息!K284="","",[3]道具信息!K284)</f>
        <v>600</v>
      </c>
      <c r="L284" s="37" t="str">
        <f>IF([3]道具信息!L284="","",[3]道具信息!L284)</f>
        <v>使用后选择获得一个紫色骑将</v>
      </c>
      <c r="M284" s="37" t="str">
        <f>IF([3]道具信息!M284="","",[3]道具信息!M284)</f>
        <v/>
      </c>
      <c r="N284" s="37"/>
      <c r="O284" s="37" t="str">
        <f>IF([3]道具信息!O284="","",[3]道具信息!O284)</f>
        <v/>
      </c>
      <c r="P284" s="37" t="str">
        <f>IF([3]道具信息!P284="","",[3]道具信息!P284)</f>
        <v/>
      </c>
      <c r="Q284" s="37" t="str">
        <f>IF([3]道具信息!Q284="","",[3]道具信息!Q284)</f>
        <v/>
      </c>
    </row>
    <row r="285" spans="3:17" x14ac:dyDescent="0.15">
      <c r="C285" s="37">
        <f>IF([3]道具信息!C285="","",[3]道具信息!C285)</f>
        <v>23005</v>
      </c>
      <c r="D285" s="37" t="str">
        <f>IF([3]道具信息!D285="","",[3]道具信息!D285)</f>
        <v>橙色骑将自选宝箱</v>
      </c>
      <c r="E285" s="37">
        <f>IF([3]道具信息!E285="","",[3]道具信息!E285)</f>
        <v>4800</v>
      </c>
      <c r="F285" s="37">
        <f>IF([3]道具信息!F285="","",[3]道具信息!F285)</f>
        <v>1.2</v>
      </c>
      <c r="G285" s="37">
        <f>IF([3]道具信息!G285="","",[3]道具信息!G285)</f>
        <v>1</v>
      </c>
      <c r="H285" s="37">
        <f>IF([3]道具信息!H285="","",[3]道具信息!H285)</f>
        <v>1</v>
      </c>
      <c r="I285" s="37">
        <f>IF([3]道具信息!I285="","",[3]道具信息!I285)</f>
        <v>5760</v>
      </c>
      <c r="J285" s="37">
        <f>IF([3]道具信息!J285="","",[3]道具信息!J285)</f>
        <v>4800</v>
      </c>
      <c r="K285" s="37">
        <f>IF([3]道具信息!K285="","",[3]道具信息!K285)</f>
        <v>4800</v>
      </c>
      <c r="L285" s="37" t="str">
        <f>IF([3]道具信息!L285="","",[3]道具信息!L285)</f>
        <v>使用后选择获得一个橙色骑将</v>
      </c>
      <c r="M285" s="37" t="str">
        <f>IF([3]道具信息!M285="","",[3]道具信息!M285)</f>
        <v/>
      </c>
      <c r="N285" s="37"/>
      <c r="O285" s="37" t="str">
        <f>IF([3]道具信息!O285="","",[3]道具信息!O285)</f>
        <v/>
      </c>
      <c r="P285" s="37" t="str">
        <f>IF([3]道具信息!P285="","",[3]道具信息!P285)</f>
        <v/>
      </c>
      <c r="Q285" s="37" t="str">
        <f>IF([3]道具信息!Q285="","",[3]道具信息!Q285)</f>
        <v/>
      </c>
    </row>
    <row r="286" spans="3:17" x14ac:dyDescent="0.15">
      <c r="C286" s="37">
        <f>IF([3]道具信息!C286="","",[3]道具信息!C286)</f>
        <v>23006</v>
      </c>
      <c r="D286" s="37" t="str">
        <f>IF([3]道具信息!D286="","",[3]道具信息!D286)</f>
        <v>红色骑将自选宝箱</v>
      </c>
      <c r="E286" s="37">
        <f>IF([3]道具信息!E286="","",[3]道具信息!E286)</f>
        <v>14400</v>
      </c>
      <c r="F286" s="37">
        <f>IF([3]道具信息!F286="","",[3]道具信息!F286)</f>
        <v>1.2</v>
      </c>
      <c r="G286" s="37">
        <f>IF([3]道具信息!G286="","",[3]道具信息!G286)</f>
        <v>1</v>
      </c>
      <c r="H286" s="37">
        <f>IF([3]道具信息!H286="","",[3]道具信息!H286)</f>
        <v>1</v>
      </c>
      <c r="I286" s="37">
        <f>IF([3]道具信息!I286="","",[3]道具信息!I286)</f>
        <v>17280</v>
      </c>
      <c r="J286" s="37">
        <f>IF([3]道具信息!J286="","",[3]道具信息!J286)</f>
        <v>14400</v>
      </c>
      <c r="K286" s="37">
        <f>IF([3]道具信息!K286="","",[3]道具信息!K286)</f>
        <v>14400</v>
      </c>
      <c r="L286" s="37" t="str">
        <f>IF([3]道具信息!L286="","",[3]道具信息!L286)</f>
        <v>使用后选择获得一个红色骑将</v>
      </c>
      <c r="M286" s="37" t="str">
        <f>IF([3]道具信息!M286="","",[3]道具信息!M286)</f>
        <v/>
      </c>
      <c r="N286" s="37"/>
      <c r="O286" s="37" t="str">
        <f>IF([3]道具信息!O286="","",[3]道具信息!O286)</f>
        <v/>
      </c>
      <c r="P286" s="37" t="str">
        <f>IF([3]道具信息!P286="","",[3]道具信息!P286)</f>
        <v/>
      </c>
      <c r="Q286" s="37" t="str">
        <f>IF([3]道具信息!Q286="","",[3]道具信息!Q286)</f>
        <v/>
      </c>
    </row>
    <row r="287" spans="3:17" x14ac:dyDescent="0.15">
      <c r="C287" s="37">
        <f>IF([3]道具信息!C287="","",[3]道具信息!C287)</f>
        <v>23007</v>
      </c>
      <c r="D287" s="37" t="str">
        <f>IF([3]道具信息!D287="","",[3]道具信息!D287)</f>
        <v>紫色弓将自选宝箱</v>
      </c>
      <c r="E287" s="37">
        <f>IF([3]道具信息!E287="","",[3]道具信息!E287)</f>
        <v>600</v>
      </c>
      <c r="F287" s="37">
        <f>IF([3]道具信息!F287="","",[3]道具信息!F287)</f>
        <v>1.2</v>
      </c>
      <c r="G287" s="37">
        <f>IF([3]道具信息!G287="","",[3]道具信息!G287)</f>
        <v>1</v>
      </c>
      <c r="H287" s="37">
        <f>IF([3]道具信息!H287="","",[3]道具信息!H287)</f>
        <v>1</v>
      </c>
      <c r="I287" s="37">
        <f>IF([3]道具信息!I287="","",[3]道具信息!I287)</f>
        <v>720</v>
      </c>
      <c r="J287" s="37">
        <f>IF([3]道具信息!J287="","",[3]道具信息!J287)</f>
        <v>600</v>
      </c>
      <c r="K287" s="37">
        <f>IF([3]道具信息!K287="","",[3]道具信息!K287)</f>
        <v>600</v>
      </c>
      <c r="L287" s="37" t="str">
        <f>IF([3]道具信息!L287="","",[3]道具信息!L287)</f>
        <v>使用后选择获得一个紫色弓将</v>
      </c>
      <c r="M287" s="37" t="str">
        <f>IF([3]道具信息!M287="","",[3]道具信息!M287)</f>
        <v/>
      </c>
      <c r="N287" s="37"/>
      <c r="O287" s="37" t="str">
        <f>IF([3]道具信息!O287="","",[3]道具信息!O287)</f>
        <v/>
      </c>
      <c r="P287" s="37" t="str">
        <f>IF([3]道具信息!P287="","",[3]道具信息!P287)</f>
        <v/>
      </c>
      <c r="Q287" s="37" t="str">
        <f>IF([3]道具信息!Q287="","",[3]道具信息!Q287)</f>
        <v/>
      </c>
    </row>
    <row r="288" spans="3:17" x14ac:dyDescent="0.15">
      <c r="C288" s="37">
        <f>IF([3]道具信息!C288="","",[3]道具信息!C288)</f>
        <v>23008</v>
      </c>
      <c r="D288" s="37" t="str">
        <f>IF([3]道具信息!D288="","",[3]道具信息!D288)</f>
        <v>橙色弓将自选宝箱</v>
      </c>
      <c r="E288" s="37">
        <f>IF([3]道具信息!E288="","",[3]道具信息!E288)</f>
        <v>4800</v>
      </c>
      <c r="F288" s="37">
        <f>IF([3]道具信息!F288="","",[3]道具信息!F288)</f>
        <v>1.2</v>
      </c>
      <c r="G288" s="37">
        <f>IF([3]道具信息!G288="","",[3]道具信息!G288)</f>
        <v>1</v>
      </c>
      <c r="H288" s="37">
        <f>IF([3]道具信息!H288="","",[3]道具信息!H288)</f>
        <v>1</v>
      </c>
      <c r="I288" s="37">
        <f>IF([3]道具信息!I288="","",[3]道具信息!I288)</f>
        <v>5760</v>
      </c>
      <c r="J288" s="37">
        <f>IF([3]道具信息!J288="","",[3]道具信息!J288)</f>
        <v>4800</v>
      </c>
      <c r="K288" s="37">
        <f>IF([3]道具信息!K288="","",[3]道具信息!K288)</f>
        <v>4800</v>
      </c>
      <c r="L288" s="37" t="str">
        <f>IF([3]道具信息!L288="","",[3]道具信息!L288)</f>
        <v>使用后选择获得一个橙色弓将</v>
      </c>
      <c r="M288" s="37" t="str">
        <f>IF([3]道具信息!M288="","",[3]道具信息!M288)</f>
        <v/>
      </c>
      <c r="N288" s="37"/>
      <c r="O288" s="37" t="str">
        <f>IF([3]道具信息!O288="","",[3]道具信息!O288)</f>
        <v/>
      </c>
      <c r="P288" s="37" t="str">
        <f>IF([3]道具信息!P288="","",[3]道具信息!P288)</f>
        <v/>
      </c>
      <c r="Q288" s="37" t="str">
        <f>IF([3]道具信息!Q288="","",[3]道具信息!Q288)</f>
        <v/>
      </c>
    </row>
    <row r="289" spans="3:17" x14ac:dyDescent="0.15">
      <c r="C289" s="37">
        <f>IF([3]道具信息!C289="","",[3]道具信息!C289)</f>
        <v>23009</v>
      </c>
      <c r="D289" s="37" t="str">
        <f>IF([3]道具信息!D289="","",[3]道具信息!D289)</f>
        <v>红色弓将自选宝箱</v>
      </c>
      <c r="E289" s="37">
        <f>IF([3]道具信息!E289="","",[3]道具信息!E289)</f>
        <v>14400</v>
      </c>
      <c r="F289" s="37">
        <f>IF([3]道具信息!F289="","",[3]道具信息!F289)</f>
        <v>1.2</v>
      </c>
      <c r="G289" s="37">
        <f>IF([3]道具信息!G289="","",[3]道具信息!G289)</f>
        <v>1</v>
      </c>
      <c r="H289" s="37">
        <f>IF([3]道具信息!H289="","",[3]道具信息!H289)</f>
        <v>1</v>
      </c>
      <c r="I289" s="37">
        <f>IF([3]道具信息!I289="","",[3]道具信息!I289)</f>
        <v>17280</v>
      </c>
      <c r="J289" s="37">
        <f>IF([3]道具信息!J289="","",[3]道具信息!J289)</f>
        <v>14400</v>
      </c>
      <c r="K289" s="37">
        <f>IF([3]道具信息!K289="","",[3]道具信息!K289)</f>
        <v>14400</v>
      </c>
      <c r="L289" s="37" t="str">
        <f>IF([3]道具信息!L289="","",[3]道具信息!L289)</f>
        <v>使用后选择获得一个红色弓将</v>
      </c>
      <c r="M289" s="37" t="str">
        <f>IF([3]道具信息!M289="","",[3]道具信息!M289)</f>
        <v/>
      </c>
      <c r="N289" s="37"/>
      <c r="O289" s="37" t="str">
        <f>IF([3]道具信息!O289="","",[3]道具信息!O289)</f>
        <v/>
      </c>
      <c r="P289" s="37" t="str">
        <f>IF([3]道具信息!P289="","",[3]道具信息!P289)</f>
        <v/>
      </c>
      <c r="Q289" s="37" t="str">
        <f>IF([3]道具信息!Q289="","",[3]道具信息!Q289)</f>
        <v/>
      </c>
    </row>
    <row r="290" spans="3:17" x14ac:dyDescent="0.15">
      <c r="C290" s="37">
        <f>IF([3]道具信息!C290="","",[3]道具信息!C290)</f>
        <v>23010</v>
      </c>
      <c r="D290" s="37" t="str">
        <f>IF([3]道具信息!D290="","",[3]道具信息!D290)</f>
        <v>君主自选宝箱</v>
      </c>
      <c r="E290" s="37">
        <f>IF([3]道具信息!E290="","",[3]道具信息!E290)</f>
        <v>4800</v>
      </c>
      <c r="F290" s="37">
        <f>IF([3]道具信息!F290="","",[3]道具信息!F290)</f>
        <v>1.2</v>
      </c>
      <c r="G290" s="37">
        <f>IF([3]道具信息!G290="","",[3]道具信息!G290)</f>
        <v>1</v>
      </c>
      <c r="H290" s="37">
        <f>IF([3]道具信息!H290="","",[3]道具信息!H290)</f>
        <v>1</v>
      </c>
      <c r="I290" s="37">
        <f>IF([3]道具信息!I290="","",[3]道具信息!I290)</f>
        <v>5760</v>
      </c>
      <c r="J290" s="37">
        <f>IF([3]道具信息!J290="","",[3]道具信息!J290)</f>
        <v>4800</v>
      </c>
      <c r="K290" s="37">
        <f>IF([3]道具信息!K290="","",[3]道具信息!K290)</f>
        <v>4800</v>
      </c>
      <c r="L290" s="37" t="str">
        <f>IF([3]道具信息!L290="","",[3]道具信息!L290)</f>
        <v>使用后选择获得一个君主武将</v>
      </c>
      <c r="M290" s="37" t="str">
        <f>IF([3]道具信息!M290="","",[3]道具信息!M290)</f>
        <v/>
      </c>
      <c r="N290" s="37"/>
      <c r="O290" s="37" t="str">
        <f>IF([3]道具信息!O290="","",[3]道具信息!O290)</f>
        <v/>
      </c>
      <c r="P290" s="37" t="str">
        <f>IF([3]道具信息!P290="","",[3]道具信息!P290)</f>
        <v/>
      </c>
      <c r="Q290" s="37" t="str">
        <f>IF([3]道具信息!Q290="","",[3]道具信息!Q290)</f>
        <v/>
      </c>
    </row>
    <row r="291" spans="3:17" x14ac:dyDescent="0.15">
      <c r="C291" s="37">
        <f>IF([3]道具信息!C291="","",[3]道具信息!C291)</f>
        <v>23011</v>
      </c>
      <c r="D291" s="37" t="str">
        <f>IF([3]道具信息!D291="","",[3]道具信息!D291)</f>
        <v>紫色武将随机宝箱</v>
      </c>
      <c r="E291" s="37">
        <f>IF([3]道具信息!E291="","",[3]道具信息!E291)</f>
        <v>400</v>
      </c>
      <c r="F291" s="37">
        <f>IF([3]道具信息!F291="","",[3]道具信息!F291)</f>
        <v>1.3</v>
      </c>
      <c r="G291" s="37">
        <f>IF([3]道具信息!G291="","",[3]道具信息!G291)</f>
        <v>1</v>
      </c>
      <c r="H291" s="37">
        <f>IF([3]道具信息!H291="","",[3]道具信息!H291)</f>
        <v>1</v>
      </c>
      <c r="I291" s="37">
        <f>IF([3]道具信息!I291="","",[3]道具信息!I291)</f>
        <v>520</v>
      </c>
      <c r="J291" s="37">
        <f>IF([3]道具信息!J291="","",[3]道具信息!J291)</f>
        <v>400</v>
      </c>
      <c r="K291" s="37">
        <f>IF([3]道具信息!K291="","",[3]道具信息!K291)</f>
        <v>400</v>
      </c>
      <c r="L291" s="37" t="str">
        <f>IF([3]道具信息!L291="","",[3]道具信息!L291)</f>
        <v>使用后随机获得一个紫色武将</v>
      </c>
      <c r="M291" s="37" t="str">
        <f>IF([3]道具信息!M291="","",[3]道具信息!M291)</f>
        <v/>
      </c>
      <c r="N291" s="37"/>
      <c r="O291" s="37" t="str">
        <f>IF([3]道具信息!O291="","",[3]道具信息!O291)</f>
        <v/>
      </c>
      <c r="P291" s="37" t="str">
        <f>IF([3]道具信息!P291="","",[3]道具信息!P291)</f>
        <v/>
      </c>
      <c r="Q291" s="37" t="str">
        <f>IF([3]道具信息!Q291="","",[3]道具信息!Q291)</f>
        <v/>
      </c>
    </row>
    <row r="292" spans="3:17" x14ac:dyDescent="0.15">
      <c r="C292" s="37">
        <f>IF([3]道具信息!C292="","",[3]道具信息!C292)</f>
        <v>23012</v>
      </c>
      <c r="D292" s="37" t="str">
        <f>IF([3]道具信息!D292="","",[3]道具信息!D292)</f>
        <v>橙色武将随机宝箱</v>
      </c>
      <c r="E292" s="37">
        <f>IF([3]道具信息!E292="","",[3]道具信息!E292)</f>
        <v>1800</v>
      </c>
      <c r="F292" s="37">
        <f>IF([3]道具信息!F292="","",[3]道具信息!F292)</f>
        <v>1.3</v>
      </c>
      <c r="G292" s="37">
        <f>IF([3]道具信息!G292="","",[3]道具信息!G292)</f>
        <v>1.2</v>
      </c>
      <c r="H292" s="37">
        <f>IF([3]道具信息!H292="","",[3]道具信息!H292)</f>
        <v>1.2</v>
      </c>
      <c r="I292" s="37">
        <f>IF([3]道具信息!I292="","",[3]道具信息!I292)</f>
        <v>2340</v>
      </c>
      <c r="J292" s="37">
        <f>IF([3]道具信息!J292="","",[3]道具信息!J292)</f>
        <v>2160</v>
      </c>
      <c r="K292" s="37">
        <f>IF([3]道具信息!K292="","",[3]道具信息!K292)</f>
        <v>2160</v>
      </c>
      <c r="L292" s="37" t="str">
        <f>IF([3]道具信息!L292="","",[3]道具信息!L292)</f>
        <v>使用后随机获得一个橙色武将</v>
      </c>
      <c r="M292" s="37" t="str">
        <f>IF([3]道具信息!M292="","",[3]道具信息!M292)</f>
        <v/>
      </c>
      <c r="N292" s="37"/>
      <c r="O292" s="37" t="str">
        <f>IF([3]道具信息!O292="","",[3]道具信息!O292)</f>
        <v/>
      </c>
      <c r="P292" s="37" t="str">
        <f>IF([3]道具信息!P292="","",[3]道具信息!P292)</f>
        <v/>
      </c>
      <c r="Q292" s="37" t="str">
        <f>IF([3]道具信息!Q292="","",[3]道具信息!Q292)</f>
        <v/>
      </c>
    </row>
    <row r="293" spans="3:17" x14ac:dyDescent="0.15">
      <c r="C293" s="37">
        <f>IF([3]道具信息!C293="","",[3]道具信息!C293)</f>
        <v>23013</v>
      </c>
      <c r="D293" s="37" t="str">
        <f>IF([3]道具信息!D293="","",[3]道具信息!D293)</f>
        <v>红色武将随机宝箱</v>
      </c>
      <c r="E293" s="37">
        <f>IF([3]道具信息!E293="","",[3]道具信息!E293)</f>
        <v>14400</v>
      </c>
      <c r="F293" s="37">
        <f>IF([3]道具信息!F293="","",[3]道具信息!F293)</f>
        <v>1.3</v>
      </c>
      <c r="G293" s="37">
        <f>IF([3]道具信息!G293="","",[3]道具信息!G293)</f>
        <v>1.2</v>
      </c>
      <c r="H293" s="37">
        <f>IF([3]道具信息!H293="","",[3]道具信息!H293)</f>
        <v>1.2</v>
      </c>
      <c r="I293" s="37">
        <f>IF([3]道具信息!I293="","",[3]道具信息!I293)</f>
        <v>18720</v>
      </c>
      <c r="J293" s="37">
        <f>IF([3]道具信息!J293="","",[3]道具信息!J293)</f>
        <v>17280</v>
      </c>
      <c r="K293" s="37">
        <f>IF([3]道具信息!K293="","",[3]道具信息!K293)</f>
        <v>17280</v>
      </c>
      <c r="L293" s="37" t="str">
        <f>IF([3]道具信息!L293="","",[3]道具信息!L293)</f>
        <v>使用后随机获得一个红色武将</v>
      </c>
      <c r="M293" s="37" t="str">
        <f>IF([3]道具信息!M293="","",[3]道具信息!M293)</f>
        <v/>
      </c>
      <c r="N293" s="37"/>
      <c r="O293" s="37" t="str">
        <f>IF([3]道具信息!O293="","",[3]道具信息!O293)</f>
        <v/>
      </c>
      <c r="P293" s="37" t="str">
        <f>IF([3]道具信息!P293="","",[3]道具信息!P293)</f>
        <v/>
      </c>
      <c r="Q293" s="37" t="str">
        <f>IF([3]道具信息!Q293="","",[3]道具信息!Q293)</f>
        <v/>
      </c>
    </row>
    <row r="294" spans="3:17" x14ac:dyDescent="0.15">
      <c r="C294" s="37" t="str">
        <f>IF([3]道具信息!C294="","",[3]道具信息!C294)</f>
        <v/>
      </c>
      <c r="D294" s="37" t="str">
        <f>IF([3]道具信息!D294="","",[3]道具信息!D294)</f>
        <v/>
      </c>
      <c r="E294" s="37" t="str">
        <f>IF([3]道具信息!E294="","",[3]道具信息!E294)</f>
        <v/>
      </c>
      <c r="F294" s="37" t="str">
        <f>IF([3]道具信息!F294="","",[3]道具信息!F294)</f>
        <v/>
      </c>
      <c r="G294" s="37" t="str">
        <f>IF([3]道具信息!G294="","",[3]道具信息!G294)</f>
        <v/>
      </c>
      <c r="H294" s="37" t="str">
        <f>IF([3]道具信息!H294="","",[3]道具信息!H294)</f>
        <v/>
      </c>
      <c r="I294" s="37" t="str">
        <f>IF([3]道具信息!I294="","",[3]道具信息!I294)</f>
        <v/>
      </c>
      <c r="J294" s="37" t="str">
        <f>IF([3]道具信息!J294="","",[3]道具信息!J294)</f>
        <v/>
      </c>
      <c r="K294" s="37" t="str">
        <f>IF([3]道具信息!K294="","",[3]道具信息!K294)</f>
        <v/>
      </c>
      <c r="L294" s="37" t="str">
        <f>IF([3]道具信息!L294="","",[3]道具信息!L294)</f>
        <v/>
      </c>
      <c r="M294" s="37" t="str">
        <f>IF([3]道具信息!M294="","",[3]道具信息!M294)</f>
        <v/>
      </c>
      <c r="N294" s="37"/>
      <c r="O294" s="37" t="str">
        <f>IF([3]道具信息!O294="","",[3]道具信息!O294)</f>
        <v/>
      </c>
      <c r="P294" s="37" t="str">
        <f>IF([3]道具信息!P294="","",[3]道具信息!P294)</f>
        <v/>
      </c>
      <c r="Q294" s="37" t="str">
        <f>IF([3]道具信息!Q294="","",[3]道具信息!Q294)</f>
        <v/>
      </c>
    </row>
    <row r="295" spans="3:17" x14ac:dyDescent="0.15">
      <c r="C295" s="37">
        <f>IF([3]道具信息!C295="","",[3]道具信息!C295)</f>
        <v>23014</v>
      </c>
      <c r="D295" s="37" t="str">
        <f>IF([3]道具信息!D295="","",[3]道具信息!D295)</f>
        <v>橙色武将自选宝箱碎片</v>
      </c>
      <c r="E295" s="37">
        <f>IF([3]道具信息!E295="","",[3]道具信息!E295)</f>
        <v>160</v>
      </c>
      <c r="F295" s="37">
        <f>IF([3]道具信息!F295="","",[3]道具信息!F295)</f>
        <v>1.2</v>
      </c>
      <c r="G295" s="37">
        <f>IF([3]道具信息!G295="","",[3]道具信息!G295)</f>
        <v>1</v>
      </c>
      <c r="H295" s="37">
        <f>IF([3]道具信息!H295="","",[3]道具信息!H295)</f>
        <v>1</v>
      </c>
      <c r="I295" s="37">
        <f>IF([3]道具信息!I295="","",[3]道具信息!I295)</f>
        <v>192</v>
      </c>
      <c r="J295" s="37">
        <f>IF([3]道具信息!J295="","",[3]道具信息!J295)</f>
        <v>160</v>
      </c>
      <c r="K295" s="37">
        <f>IF([3]道具信息!K295="","",[3]道具信息!K295)</f>
        <v>160</v>
      </c>
      <c r="L295" s="37" t="str">
        <f>IF([3]道具信息!L295="","",[3]道具信息!L295)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295" s="37" t="str">
        <f>IF([3]道具信息!M295="","",[3]道具信息!M295)</f>
        <v/>
      </c>
      <c r="N295" s="37"/>
      <c r="O295" s="37" t="str">
        <f>IF([3]道具信息!O295="","",[3]道具信息!O295)</f>
        <v/>
      </c>
      <c r="P295" s="37" t="str">
        <f>IF([3]道具信息!P295="","",[3]道具信息!P295)</f>
        <v/>
      </c>
      <c r="Q295" s="37" t="str">
        <f>IF([3]道具信息!Q295="","",[3]道具信息!Q295)</f>
        <v/>
      </c>
    </row>
    <row r="296" spans="3:17" x14ac:dyDescent="0.15">
      <c r="C296" s="37">
        <f>IF([3]道具信息!C296="","",[3]道具信息!C296)</f>
        <v>23015</v>
      </c>
      <c r="D296" s="37" t="str">
        <f>IF([3]道具信息!D296="","",[3]道具信息!D296)</f>
        <v>橙色武将随机宝箱碎片</v>
      </c>
      <c r="E296" s="37">
        <f>IF([3]道具信息!E296="","",[3]道具信息!E296)</f>
        <v>60</v>
      </c>
      <c r="F296" s="37">
        <f>IF([3]道具信息!F296="","",[3]道具信息!F296)</f>
        <v>1.3</v>
      </c>
      <c r="G296" s="37">
        <f>IF([3]道具信息!G296="","",[3]道具信息!G296)</f>
        <v>1.2</v>
      </c>
      <c r="H296" s="37">
        <f>IF([3]道具信息!H296="","",[3]道具信息!H296)</f>
        <v>1.2</v>
      </c>
      <c r="I296" s="37">
        <f>IF([3]道具信息!I296="","",[3]道具信息!I296)</f>
        <v>78</v>
      </c>
      <c r="J296" s="37">
        <f>IF([3]道具信息!J296="","",[3]道具信息!J296)</f>
        <v>72</v>
      </c>
      <c r="K296" s="37">
        <f>IF([3]道具信息!K296="","",[3]道具信息!K296)</f>
        <v>72</v>
      </c>
      <c r="L296" s="37" t="str">
        <f>IF([3]道具信息!L296="","",[3]道具信息!L296)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296" s="37" t="str">
        <f>IF([3]道具信息!M296="","",[3]道具信息!M296)</f>
        <v/>
      </c>
      <c r="N296" s="37"/>
      <c r="O296" s="37" t="str">
        <f>IF([3]道具信息!O296="","",[3]道具信息!O296)</f>
        <v/>
      </c>
      <c r="P296" s="37" t="str">
        <f>IF([3]道具信息!P296="","",[3]道具信息!P296)</f>
        <v/>
      </c>
      <c r="Q296" s="37" t="str">
        <f>IF([3]道具信息!Q296="","",[3]道具信息!Q296)</f>
        <v/>
      </c>
    </row>
    <row r="297" spans="3:17" x14ac:dyDescent="0.15">
      <c r="C297" s="37">
        <f>IF([3]道具信息!C297="","",[3]道具信息!C297)</f>
        <v>23016</v>
      </c>
      <c r="D297" s="37" t="str">
        <f>IF([3]道具信息!D297="","",[3]道具信息!D297)</f>
        <v>紫色武将随机宝箱碎片</v>
      </c>
      <c r="E297" s="37">
        <f>IF([3]道具信息!E297="","",[3]道具信息!E297)</f>
        <v>36</v>
      </c>
      <c r="F297" s="37">
        <f>IF([3]道具信息!F297="","",[3]道具信息!F297)</f>
        <v>1.2</v>
      </c>
      <c r="G297" s="37">
        <f>IF([3]道具信息!G297="","",[3]道具信息!G297)</f>
        <v>1</v>
      </c>
      <c r="H297" s="37">
        <f>IF([3]道具信息!H297="","",[3]道具信息!H297)</f>
        <v>1</v>
      </c>
      <c r="I297" s="37">
        <f>IF([3]道具信息!I297="","",[3]道具信息!I297)</f>
        <v>43.199999999999996</v>
      </c>
      <c r="J297" s="37">
        <f>IF([3]道具信息!J297="","",[3]道具信息!J297)</f>
        <v>36</v>
      </c>
      <c r="K297" s="37">
        <f>IF([3]道具信息!K297="","",[3]道具信息!K297)</f>
        <v>36</v>
      </c>
      <c r="L297" s="37" t="str">
        <f>IF([3]道具信息!L297="","",[3]道具信息!L297)</f>
        <v>集齐10个碎片可以合成，随机获得下列武将中的一个：\n聂荌、专诸、钟无艳、田忌、春申君、莫邪、孙叔敖、西门豹、暴鸢、秦开</v>
      </c>
      <c r="M297" s="37" t="str">
        <f>IF([3]道具信息!M297="","",[3]道具信息!M297)</f>
        <v/>
      </c>
      <c r="N297" s="37"/>
      <c r="O297" s="37" t="str">
        <f>IF([3]道具信息!O297="","",[3]道具信息!O297)</f>
        <v/>
      </c>
      <c r="P297" s="37" t="str">
        <f>IF([3]道具信息!P297="","",[3]道具信息!P297)</f>
        <v/>
      </c>
      <c r="Q297" s="37" t="str">
        <f>IF([3]道具信息!Q297="","",[3]道具信息!Q297)</f>
        <v/>
      </c>
    </row>
    <row r="298" spans="3:17" x14ac:dyDescent="0.15">
      <c r="C298" s="37" t="str">
        <f>IF([3]道具信息!C298="","",[3]道具信息!C298)</f>
        <v/>
      </c>
      <c r="D298" s="37" t="str">
        <f>IF([3]道具信息!D298="","",[3]道具信息!D298)</f>
        <v/>
      </c>
      <c r="E298" s="37" t="str">
        <f>IF([3]道具信息!E298="","",[3]道具信息!E298)</f>
        <v/>
      </c>
      <c r="F298" s="37" t="str">
        <f>IF([3]道具信息!F298="","",[3]道具信息!F298)</f>
        <v/>
      </c>
      <c r="G298" s="37" t="str">
        <f>IF([3]道具信息!G298="","",[3]道具信息!G298)</f>
        <v/>
      </c>
      <c r="H298" s="37" t="str">
        <f>IF([3]道具信息!H298="","",[3]道具信息!H298)</f>
        <v/>
      </c>
      <c r="I298" s="37" t="str">
        <f>IF([3]道具信息!I298="","",[3]道具信息!I298)</f>
        <v/>
      </c>
      <c r="J298" s="37" t="str">
        <f>IF([3]道具信息!J298="","",[3]道具信息!J298)</f>
        <v/>
      </c>
      <c r="K298" s="37" t="str">
        <f>IF([3]道具信息!K298="","",[3]道具信息!K298)</f>
        <v/>
      </c>
      <c r="L298" s="37" t="str">
        <f>IF([3]道具信息!L298="","",[3]道具信息!L298)</f>
        <v/>
      </c>
      <c r="M298" s="37" t="str">
        <f>IF([3]道具信息!M298="","",[3]道具信息!M298)</f>
        <v/>
      </c>
      <c r="N298" s="37"/>
      <c r="O298" s="37" t="str">
        <f>IF([3]道具信息!O298="","",[3]道具信息!O298)</f>
        <v/>
      </c>
      <c r="P298" s="37" t="str">
        <f>IF([3]道具信息!P298="","",[3]道具信息!P298)</f>
        <v/>
      </c>
      <c r="Q298" s="37" t="str">
        <f>IF([3]道具信息!Q298="","",[3]道具信息!Q298)</f>
        <v/>
      </c>
    </row>
    <row r="299" spans="3:17" x14ac:dyDescent="0.15">
      <c r="C299" s="37" t="str">
        <f>IF([3]道具信息!C299="","",[3]道具信息!C299)</f>
        <v/>
      </c>
      <c r="D299" s="37" t="str">
        <f>IF([3]道具信息!D299="","",[3]道具信息!D299)</f>
        <v>指定绿色装备</v>
      </c>
      <c r="E299" s="37">
        <f>IF([3]道具信息!E299="","",[3]道具信息!E299)</f>
        <v>35</v>
      </c>
      <c r="F299" s="37">
        <f>IF([3]道具信息!F299="","",[3]道具信息!F299)</f>
        <v>1</v>
      </c>
      <c r="G299" s="37">
        <f>IF([3]道具信息!G299="","",[3]道具信息!G299)</f>
        <v>1</v>
      </c>
      <c r="H299" s="37">
        <f>IF([3]道具信息!H299="","",[3]道具信息!H299)</f>
        <v>1</v>
      </c>
      <c r="I299" s="37">
        <f>IF([3]道具信息!I299="","",[3]道具信息!I299)</f>
        <v>35</v>
      </c>
      <c r="J299" s="37">
        <f>IF([3]道具信息!J299="","",[3]道具信息!J299)</f>
        <v>35</v>
      </c>
      <c r="K299" s="37">
        <f>IF([3]道具信息!K299="","",[3]道具信息!K299)</f>
        <v>35</v>
      </c>
      <c r="L299" s="37">
        <f>IF([3]道具信息!L299="","",[3]道具信息!L299)</f>
        <v>1</v>
      </c>
      <c r="M299" s="37" t="str">
        <f>IF([3]道具信息!M299="","",[3]道具信息!M299)</f>
        <v/>
      </c>
      <c r="N299" s="37"/>
      <c r="O299" s="37" t="str">
        <f>IF([3]道具信息!O299="","",[3]道具信息!O299)</f>
        <v/>
      </c>
      <c r="P299" s="37" t="str">
        <f>IF([3]道具信息!P299="","",[3]道具信息!P299)</f>
        <v/>
      </c>
      <c r="Q299" s="37" t="str">
        <f>IF([3]道具信息!Q299="","",[3]道具信息!Q299)</f>
        <v/>
      </c>
    </row>
    <row r="300" spans="3:17" x14ac:dyDescent="0.15">
      <c r="C300" s="37" t="str">
        <f>IF([3]道具信息!C300="","",[3]道具信息!C300)</f>
        <v/>
      </c>
      <c r="D300" s="37" t="str">
        <f>IF([3]道具信息!D300="","",[3]道具信息!D300)</f>
        <v>指定蓝色装备</v>
      </c>
      <c r="E300" s="37">
        <f>IF([3]道具信息!E300="","",[3]道具信息!E300)</f>
        <v>120</v>
      </c>
      <c r="F300" s="37">
        <f>IF([3]道具信息!F300="","",[3]道具信息!F300)</f>
        <v>1</v>
      </c>
      <c r="G300" s="37">
        <f>IF([3]道具信息!G300="","",[3]道具信息!G300)</f>
        <v>1</v>
      </c>
      <c r="H300" s="37">
        <f>IF([3]道具信息!H300="","",[3]道具信息!H300)</f>
        <v>1</v>
      </c>
      <c r="I300" s="37">
        <f>IF([3]道具信息!I300="","",[3]道具信息!I300)</f>
        <v>120</v>
      </c>
      <c r="J300" s="37">
        <f>IF([3]道具信息!J300="","",[3]道具信息!J300)</f>
        <v>120</v>
      </c>
      <c r="K300" s="37">
        <f>IF([3]道具信息!K300="","",[3]道具信息!K300)</f>
        <v>120</v>
      </c>
      <c r="L300" s="37">
        <f>IF([3]道具信息!L300="","",[3]道具信息!L300)</f>
        <v>1.5</v>
      </c>
      <c r="M300" s="37" t="str">
        <f>IF([3]道具信息!M300="","",[3]道具信息!M300)</f>
        <v/>
      </c>
      <c r="N300" s="37"/>
      <c r="O300" s="37" t="str">
        <f>IF([3]道具信息!O300="","",[3]道具信息!O300)</f>
        <v/>
      </c>
      <c r="P300" s="37" t="str">
        <f>IF([3]道具信息!P300="","",[3]道具信息!P300)</f>
        <v/>
      </c>
      <c r="Q300" s="37" t="str">
        <f>IF([3]道具信息!Q300="","",[3]道具信息!Q300)</f>
        <v/>
      </c>
    </row>
    <row r="301" spans="3:17" x14ac:dyDescent="0.15">
      <c r="C301" s="37" t="str">
        <f>IF([3]道具信息!C301="","",[3]道具信息!C301)</f>
        <v/>
      </c>
      <c r="D301" s="37" t="str">
        <f>IF([3]道具信息!D301="","",[3]道具信息!D301)</f>
        <v>指定紫色装备</v>
      </c>
      <c r="E301" s="37">
        <f>IF([3]道具信息!E301="","",[3]道具信息!E301)</f>
        <v>300</v>
      </c>
      <c r="F301" s="37">
        <f>IF([3]道具信息!F301="","",[3]道具信息!F301)</f>
        <v>1</v>
      </c>
      <c r="G301" s="37">
        <f>IF([3]道具信息!G301="","",[3]道具信息!G301)</f>
        <v>1</v>
      </c>
      <c r="H301" s="37">
        <f>IF([3]道具信息!H301="","",[3]道具信息!H301)</f>
        <v>1</v>
      </c>
      <c r="I301" s="37">
        <f>IF([3]道具信息!I301="","",[3]道具信息!I301)</f>
        <v>300</v>
      </c>
      <c r="J301" s="37">
        <f>IF([3]道具信息!J301="","",[3]道具信息!J301)</f>
        <v>300</v>
      </c>
      <c r="K301" s="37">
        <f>IF([3]道具信息!K301="","",[3]道具信息!K301)</f>
        <v>300</v>
      </c>
      <c r="L301" s="37">
        <f>IF([3]道具信息!L301="","",[3]道具信息!L301)</f>
        <v>2</v>
      </c>
      <c r="M301" s="37" t="str">
        <f>IF([3]道具信息!M301="","",[3]道具信息!M301)</f>
        <v/>
      </c>
      <c r="N301" s="37"/>
      <c r="O301" s="37" t="str">
        <f>IF([3]道具信息!O301="","",[3]道具信息!O301)</f>
        <v/>
      </c>
      <c r="P301" s="37" t="str">
        <f>IF([3]道具信息!P301="","",[3]道具信息!P301)</f>
        <v/>
      </c>
      <c r="Q301" s="37" t="str">
        <f>IF([3]道具信息!Q301="","",[3]道具信息!Q301)</f>
        <v/>
      </c>
    </row>
    <row r="302" spans="3:17" x14ac:dyDescent="0.15">
      <c r="C302" s="37" t="str">
        <f>IF([3]道具信息!C302="","",[3]道具信息!C302)</f>
        <v/>
      </c>
      <c r="D302" s="37" t="str">
        <f>IF([3]道具信息!D302="","",[3]道具信息!D302)</f>
        <v>指定橙色装备</v>
      </c>
      <c r="E302" s="37">
        <f>IF([3]道具信息!E302="","",[3]道具信息!E302)</f>
        <v>800</v>
      </c>
      <c r="F302" s="37">
        <f>IF([3]道具信息!F302="","",[3]道具信息!F302)</f>
        <v>1</v>
      </c>
      <c r="G302" s="37">
        <f>IF([3]道具信息!G302="","",[3]道具信息!G302)</f>
        <v>1</v>
      </c>
      <c r="H302" s="37">
        <f>IF([3]道具信息!H302="","",[3]道具信息!H302)</f>
        <v>1</v>
      </c>
      <c r="I302" s="37">
        <f>IF([3]道具信息!I302="","",[3]道具信息!I302)</f>
        <v>800</v>
      </c>
      <c r="J302" s="37">
        <f>IF([3]道具信息!J302="","",[3]道具信息!J302)</f>
        <v>800</v>
      </c>
      <c r="K302" s="37">
        <f>IF([3]道具信息!K302="","",[3]道具信息!K302)</f>
        <v>800</v>
      </c>
      <c r="L302" s="37">
        <f>IF([3]道具信息!L302="","",[3]道具信息!L302)</f>
        <v>2.5</v>
      </c>
      <c r="M302" s="37" t="str">
        <f>IF([3]道具信息!M302="","",[3]道具信息!M302)</f>
        <v/>
      </c>
      <c r="N302" s="37"/>
      <c r="O302" s="37" t="str">
        <f>IF([3]道具信息!O302="","",[3]道具信息!O302)</f>
        <v/>
      </c>
      <c r="P302" s="37" t="str">
        <f>IF([3]道具信息!P302="","",[3]道具信息!P302)</f>
        <v/>
      </c>
      <c r="Q302" s="37" t="str">
        <f>IF([3]道具信息!Q302="","",[3]道具信息!Q302)</f>
        <v/>
      </c>
    </row>
    <row r="303" spans="3:17" x14ac:dyDescent="0.15">
      <c r="C303" s="37" t="str">
        <f>IF([3]道具信息!C303="","",[3]道具信息!C303)</f>
        <v/>
      </c>
      <c r="D303" s="37" t="str">
        <f>IF([3]道具信息!D303="","",[3]道具信息!D303)</f>
        <v>指定红色装备</v>
      </c>
      <c r="E303" s="37">
        <f>IF([3]道具信息!E303="","",[3]道具信息!E303)</f>
        <v>7200</v>
      </c>
      <c r="F303" s="37">
        <f>IF([3]道具信息!F303="","",[3]道具信息!F303)</f>
        <v>1</v>
      </c>
      <c r="G303" s="37">
        <f>IF([3]道具信息!G303="","",[3]道具信息!G303)</f>
        <v>1</v>
      </c>
      <c r="H303" s="37">
        <f>IF([3]道具信息!H303="","",[3]道具信息!H303)</f>
        <v>1</v>
      </c>
      <c r="I303" s="37">
        <f>IF([3]道具信息!I303="","",[3]道具信息!I303)</f>
        <v>7200</v>
      </c>
      <c r="J303" s="37">
        <f>IF([3]道具信息!J303="","",[3]道具信息!J303)</f>
        <v>7200</v>
      </c>
      <c r="K303" s="37">
        <f>IF([3]道具信息!K303="","",[3]道具信息!K303)</f>
        <v>7200</v>
      </c>
      <c r="L303" s="37">
        <f>IF([3]道具信息!L303="","",[3]道具信息!L303)</f>
        <v>3</v>
      </c>
      <c r="M303" s="37" t="str">
        <f>IF([3]道具信息!M303="","",[3]道具信息!M303)</f>
        <v/>
      </c>
      <c r="N303" s="37"/>
      <c r="O303" s="37" t="str">
        <f>IF([3]道具信息!O303="","",[3]道具信息!O303)</f>
        <v/>
      </c>
      <c r="P303" s="37" t="str">
        <f>IF([3]道具信息!P303="","",[3]道具信息!P303)</f>
        <v/>
      </c>
      <c r="Q303" s="37" t="str">
        <f>IF([3]道具信息!Q303="","",[3]道具信息!Q303)</f>
        <v/>
      </c>
    </row>
    <row r="304" spans="3:17" x14ac:dyDescent="0.15">
      <c r="C304" s="37" t="str">
        <f>IF([3]道具信息!C304="","",[3]道具信息!C304)</f>
        <v/>
      </c>
      <c r="D304" s="37" t="str">
        <f>IF([3]道具信息!D304="","",[3]道具信息!D304)</f>
        <v>指定红+装备</v>
      </c>
      <c r="E304" s="37">
        <f>IF([3]道具信息!E304="","",[3]道具信息!E304)</f>
        <v>14400</v>
      </c>
      <c r="F304" s="37">
        <f>IF([3]道具信息!F304="","",[3]道具信息!F304)</f>
        <v>1.56</v>
      </c>
      <c r="G304" s="37">
        <f>IF([3]道具信息!G304="","",[3]道具信息!G304)</f>
        <v>1.56</v>
      </c>
      <c r="H304" s="37">
        <f>IF([3]道具信息!H304="","",[3]道具信息!H304)</f>
        <v>1.56</v>
      </c>
      <c r="I304" s="37">
        <f>IF([3]道具信息!I304="","",[3]道具信息!I304)</f>
        <v>22464</v>
      </c>
      <c r="J304" s="37">
        <f>IF([3]道具信息!J304="","",[3]道具信息!J304)</f>
        <v>22464</v>
      </c>
      <c r="K304" s="37">
        <f>IF([3]道具信息!K304="","",[3]道具信息!K304)</f>
        <v>22464</v>
      </c>
      <c r="L304" s="37" t="str">
        <f>IF([3]道具信息!L304="","",[3]道具信息!L304)</f>
        <v/>
      </c>
      <c r="M304" s="37" t="str">
        <f>IF([3]道具信息!M304="","",[3]道具信息!M304)</f>
        <v/>
      </c>
      <c r="N304" s="37"/>
      <c r="O304" s="37" t="str">
        <f>IF([3]道具信息!O304="","",[3]道具信息!O304)</f>
        <v/>
      </c>
      <c r="P304" s="37" t="str">
        <f>IF([3]道具信息!P304="","",[3]道具信息!P304)</f>
        <v/>
      </c>
      <c r="Q304" s="37" t="str">
        <f>IF([3]道具信息!Q304="","",[3]道具信息!Q304)</f>
        <v/>
      </c>
    </row>
    <row r="305" spans="3:17" x14ac:dyDescent="0.15">
      <c r="C305" s="37">
        <f>IF([3]道具信息!C305="","",[3]道具信息!C305)</f>
        <v>23215</v>
      </c>
      <c r="D305" s="37" t="str">
        <f>IF([3]道具信息!D305="","",[3]道具信息!D305)</f>
        <v>紫色武力装备礼包</v>
      </c>
      <c r="E305" s="37" t="str">
        <f>IF([3]道具信息!E305="","",[3]道具信息!E305)</f>
        <v/>
      </c>
      <c r="F305" s="37">
        <f>IF([3]道具信息!F305="","",[3]道具信息!F305)</f>
        <v>1</v>
      </c>
      <c r="G305" s="37">
        <f>IF([3]道具信息!G305="","",[3]道具信息!G305)</f>
        <v>1</v>
      </c>
      <c r="H305" s="37">
        <f>IF([3]道具信息!H305="","",[3]道具信息!H305)</f>
        <v>1</v>
      </c>
      <c r="I305" s="37" t="str">
        <f>IF([3]道具信息!I305="","",[3]道具信息!I305)</f>
        <v/>
      </c>
      <c r="J305" s="37" t="str">
        <f>IF([3]道具信息!J305="","",[3]道具信息!J305)</f>
        <v/>
      </c>
      <c r="K305" s="37" t="str">
        <f>IF([3]道具信息!K305="","",[3]道具信息!K305)</f>
        <v/>
      </c>
      <c r="L305" s="37" t="str">
        <f>IF([3]道具信息!L305="","",[3]道具信息!L305)</f>
        <v/>
      </c>
      <c r="M305" s="37" t="str">
        <f>IF([3]道具信息!M305="","",[3]道具信息!M305)</f>
        <v/>
      </c>
      <c r="N305" s="37"/>
      <c r="O305" s="37" t="str">
        <f>IF([3]道具信息!O305="","",[3]道具信息!O305)</f>
        <v/>
      </c>
      <c r="P305" s="37" t="str">
        <f>IF([3]道具信息!P305="","",[3]道具信息!P305)</f>
        <v/>
      </c>
      <c r="Q305" s="37" t="str">
        <f>IF([3]道具信息!Q305="","",[3]道具信息!Q305)</f>
        <v/>
      </c>
    </row>
    <row r="306" spans="3:17" x14ac:dyDescent="0.15">
      <c r="C306" s="37">
        <f>IF([3]道具信息!C306="","",[3]道具信息!C306)</f>
        <v>23216</v>
      </c>
      <c r="D306" s="37" t="str">
        <f>IF([3]道具信息!D306="","",[3]道具信息!D306)</f>
        <v>紫色智力装备礼包</v>
      </c>
      <c r="E306" s="37" t="str">
        <f>IF([3]道具信息!E306="","",[3]道具信息!E306)</f>
        <v/>
      </c>
      <c r="F306" s="37">
        <f>IF([3]道具信息!F306="","",[3]道具信息!F306)</f>
        <v>1</v>
      </c>
      <c r="G306" s="37">
        <f>IF([3]道具信息!G306="","",[3]道具信息!G306)</f>
        <v>1</v>
      </c>
      <c r="H306" s="37">
        <f>IF([3]道具信息!H306="","",[3]道具信息!H306)</f>
        <v>1</v>
      </c>
      <c r="I306" s="37" t="str">
        <f>IF([3]道具信息!I306="","",[3]道具信息!I306)</f>
        <v/>
      </c>
      <c r="J306" s="37" t="str">
        <f>IF([3]道具信息!J306="","",[3]道具信息!J306)</f>
        <v/>
      </c>
      <c r="K306" s="37" t="str">
        <f>IF([3]道具信息!K306="","",[3]道具信息!K306)</f>
        <v/>
      </c>
      <c r="L306" s="37" t="str">
        <f>IF([3]道具信息!L306="","",[3]道具信息!L306)</f>
        <v/>
      </c>
      <c r="M306" s="37" t="str">
        <f>IF([3]道具信息!M306="","",[3]道具信息!M306)</f>
        <v/>
      </c>
      <c r="N306" s="37"/>
      <c r="O306" s="37" t="str">
        <f>IF([3]道具信息!O306="","",[3]道具信息!O306)</f>
        <v/>
      </c>
      <c r="P306" s="37" t="str">
        <f>IF([3]道具信息!P306="","",[3]道具信息!P306)</f>
        <v/>
      </c>
      <c r="Q306" s="37" t="str">
        <f>IF([3]道具信息!Q306="","",[3]道具信息!Q306)</f>
        <v/>
      </c>
    </row>
    <row r="307" spans="3:17" x14ac:dyDescent="0.15">
      <c r="C307" s="37">
        <f>IF([3]道具信息!C307="","",[3]道具信息!C307)</f>
        <v>23217</v>
      </c>
      <c r="D307" s="37" t="str">
        <f>IF([3]道具信息!D307="","",[3]道具信息!D307)</f>
        <v>橙色统率装备礼包</v>
      </c>
      <c r="E307" s="37" t="str">
        <f>IF([3]道具信息!E307="","",[3]道具信息!E307)</f>
        <v/>
      </c>
      <c r="F307" s="37">
        <f>IF([3]道具信息!F307="","",[3]道具信息!F307)</f>
        <v>1</v>
      </c>
      <c r="G307" s="37">
        <f>IF([3]道具信息!G307="","",[3]道具信息!G307)</f>
        <v>1</v>
      </c>
      <c r="H307" s="37">
        <f>IF([3]道具信息!H307="","",[3]道具信息!H307)</f>
        <v>1</v>
      </c>
      <c r="I307" s="37" t="str">
        <f>IF([3]道具信息!I307="","",[3]道具信息!I307)</f>
        <v/>
      </c>
      <c r="J307" s="37" t="str">
        <f>IF([3]道具信息!J307="","",[3]道具信息!J307)</f>
        <v/>
      </c>
      <c r="K307" s="37" t="str">
        <f>IF([3]道具信息!K307="","",[3]道具信息!K307)</f>
        <v/>
      </c>
      <c r="L307" s="37" t="str">
        <f>IF([3]道具信息!L307="","",[3]道具信息!L307)</f>
        <v/>
      </c>
      <c r="M307" s="37" t="str">
        <f>IF([3]道具信息!M307="","",[3]道具信息!M307)</f>
        <v/>
      </c>
      <c r="N307" s="37"/>
      <c r="O307" s="37" t="str">
        <f>IF([3]道具信息!O307="","",[3]道具信息!O307)</f>
        <v/>
      </c>
      <c r="P307" s="37" t="str">
        <f>IF([3]道具信息!P307="","",[3]道具信息!P307)</f>
        <v/>
      </c>
      <c r="Q307" s="37" t="str">
        <f>IF([3]道具信息!Q307="","",[3]道具信息!Q307)</f>
        <v/>
      </c>
    </row>
    <row r="308" spans="3:17" x14ac:dyDescent="0.15">
      <c r="C308" s="37">
        <f>IF([3]道具信息!C308="","",[3]道具信息!C308)</f>
        <v>23218</v>
      </c>
      <c r="D308" s="37" t="str">
        <f>IF([3]道具信息!D308="","",[3]道具信息!D308)</f>
        <v>橙色智力装备礼包</v>
      </c>
      <c r="E308" s="37" t="str">
        <f>IF([3]道具信息!E308="","",[3]道具信息!E308)</f>
        <v/>
      </c>
      <c r="F308" s="37">
        <f>IF([3]道具信息!F308="","",[3]道具信息!F308)</f>
        <v>1</v>
      </c>
      <c r="G308" s="37">
        <f>IF([3]道具信息!G308="","",[3]道具信息!G308)</f>
        <v>1</v>
      </c>
      <c r="H308" s="37">
        <f>IF([3]道具信息!H308="","",[3]道具信息!H308)</f>
        <v>1</v>
      </c>
      <c r="I308" s="37" t="str">
        <f>IF([3]道具信息!I308="","",[3]道具信息!I308)</f>
        <v/>
      </c>
      <c r="J308" s="37" t="str">
        <f>IF([3]道具信息!J308="","",[3]道具信息!J308)</f>
        <v/>
      </c>
      <c r="K308" s="37" t="str">
        <f>IF([3]道具信息!K308="","",[3]道具信息!K308)</f>
        <v/>
      </c>
      <c r="L308" s="37" t="str">
        <f>IF([3]道具信息!L308="","",[3]道具信息!L308)</f>
        <v/>
      </c>
      <c r="M308" s="37" t="str">
        <f>IF([3]道具信息!M308="","",[3]道具信息!M308)</f>
        <v/>
      </c>
      <c r="N308" s="37"/>
      <c r="O308" s="37" t="str">
        <f>IF([3]道具信息!O308="","",[3]道具信息!O308)</f>
        <v/>
      </c>
      <c r="P308" s="37" t="str">
        <f>IF([3]道具信息!P308="","",[3]道具信息!P308)</f>
        <v/>
      </c>
      <c r="Q308" s="37" t="str">
        <f>IF([3]道具信息!Q308="","",[3]道具信息!Q308)</f>
        <v/>
      </c>
    </row>
    <row r="309" spans="3:17" x14ac:dyDescent="0.15">
      <c r="C309" s="37">
        <f>IF([3]道具信息!C309="","",[3]道具信息!C309)</f>
        <v>23219</v>
      </c>
      <c r="D309" s="37" t="str">
        <f>IF([3]道具信息!D309="","",[3]道具信息!D309)</f>
        <v>橙色武力装备礼包</v>
      </c>
      <c r="E309" s="37" t="str">
        <f>IF([3]道具信息!E309="","",[3]道具信息!E309)</f>
        <v/>
      </c>
      <c r="F309" s="37">
        <f>IF([3]道具信息!F309="","",[3]道具信息!F309)</f>
        <v>1</v>
      </c>
      <c r="G309" s="37">
        <f>IF([3]道具信息!G309="","",[3]道具信息!G309)</f>
        <v>1</v>
      </c>
      <c r="H309" s="37">
        <f>IF([3]道具信息!H309="","",[3]道具信息!H309)</f>
        <v>1</v>
      </c>
      <c r="I309" s="37" t="str">
        <f>IF([3]道具信息!I309="","",[3]道具信息!I309)</f>
        <v/>
      </c>
      <c r="J309" s="37" t="str">
        <f>IF([3]道具信息!J309="","",[3]道具信息!J309)</f>
        <v/>
      </c>
      <c r="K309" s="37" t="str">
        <f>IF([3]道具信息!K309="","",[3]道具信息!K309)</f>
        <v/>
      </c>
      <c r="L309" s="37" t="str">
        <f>IF([3]道具信息!L309="","",[3]道具信息!L309)</f>
        <v/>
      </c>
      <c r="M309" s="37" t="str">
        <f>IF([3]道具信息!M309="","",[3]道具信息!M309)</f>
        <v/>
      </c>
      <c r="N309" s="37"/>
      <c r="O309" s="37" t="str">
        <f>IF([3]道具信息!O309="","",[3]道具信息!O309)</f>
        <v/>
      </c>
      <c r="P309" s="37" t="str">
        <f>IF([3]道具信息!P309="","",[3]道具信息!P309)</f>
        <v/>
      </c>
      <c r="Q309" s="37" t="str">
        <f>IF([3]道具信息!Q309="","",[3]道具信息!Q309)</f>
        <v/>
      </c>
    </row>
    <row r="310" spans="3:17" x14ac:dyDescent="0.15">
      <c r="C310" s="37">
        <f>IF([3]道具信息!C310="","",[3]道具信息!C310)</f>
        <v>22118</v>
      </c>
      <c r="D310" s="37" t="str">
        <f>IF([3]道具信息!D310="","",[3]道具信息!D310)</f>
        <v>负荆请罪武魂</v>
      </c>
      <c r="E310" s="37" t="str">
        <f>IF([3]道具信息!E310="","",[3]道具信息!E310)</f>
        <v/>
      </c>
      <c r="F310" s="37">
        <f>IF([3]道具信息!F310="","",[3]道具信息!F310)</f>
        <v>1</v>
      </c>
      <c r="G310" s="37">
        <f>IF([3]道具信息!G310="","",[3]道具信息!G310)</f>
        <v>1</v>
      </c>
      <c r="H310" s="37">
        <f>IF([3]道具信息!H310="","",[3]道具信息!H310)</f>
        <v>1</v>
      </c>
      <c r="I310" s="37" t="str">
        <f>IF([3]道具信息!I310="","",[3]道具信息!I310)</f>
        <v/>
      </c>
      <c r="J310" s="37" t="str">
        <f>IF([3]道具信息!J310="","",[3]道具信息!J310)</f>
        <v/>
      </c>
      <c r="K310" s="37" t="str">
        <f>IF([3]道具信息!K310="","",[3]道具信息!K310)</f>
        <v/>
      </c>
      <c r="L310" s="37" t="str">
        <f>IF([3]道具信息!L310="","",[3]道具信息!L310)</f>
        <v/>
      </c>
      <c r="M310" s="37" t="str">
        <f>IF([3]道具信息!M310="","",[3]道具信息!M310)</f>
        <v/>
      </c>
      <c r="N310" s="37"/>
      <c r="O310" s="37" t="str">
        <f>IF([3]道具信息!O310="","",[3]道具信息!O310)</f>
        <v/>
      </c>
      <c r="P310" s="37" t="str">
        <f>IF([3]道具信息!P310="","",[3]道具信息!P310)</f>
        <v/>
      </c>
      <c r="Q310" s="37" t="str">
        <f>IF([3]道具信息!Q310="","",[3]道具信息!Q310)</f>
        <v/>
      </c>
    </row>
    <row r="311" spans="3:17" x14ac:dyDescent="0.15">
      <c r="C311" s="37" t="str">
        <f>IF([3]道具信息!C311="","",[3]道具信息!C311)</f>
        <v/>
      </c>
      <c r="D311" s="37" t="str">
        <f>IF([3]道具信息!D311="","",[3]道具信息!D311)</f>
        <v/>
      </c>
      <c r="E311" s="37" t="str">
        <f>IF([3]道具信息!E311="","",[3]道具信息!E311)</f>
        <v/>
      </c>
      <c r="F311" s="37">
        <f>IF([3]道具信息!F311="","",[3]道具信息!F311)</f>
        <v>1</v>
      </c>
      <c r="G311" s="37">
        <f>IF([3]道具信息!G311="","",[3]道具信息!G311)</f>
        <v>1</v>
      </c>
      <c r="H311" s="37">
        <f>IF([3]道具信息!H311="","",[3]道具信息!H311)</f>
        <v>1</v>
      </c>
      <c r="I311" s="37" t="str">
        <f>IF([3]道具信息!I311="","",[3]道具信息!I311)</f>
        <v/>
      </c>
      <c r="J311" s="37" t="str">
        <f>IF([3]道具信息!J311="","",[3]道具信息!J311)</f>
        <v/>
      </c>
      <c r="K311" s="37" t="str">
        <f>IF([3]道具信息!K311="","",[3]道具信息!K311)</f>
        <v/>
      </c>
      <c r="L311" s="37" t="str">
        <f>IF([3]道具信息!L311="","",[3]道具信息!L311)</f>
        <v/>
      </c>
      <c r="M311" s="37" t="str">
        <f>IF([3]道具信息!M311="","",[3]道具信息!M311)</f>
        <v/>
      </c>
      <c r="N311" s="37"/>
      <c r="O311" s="37" t="str">
        <f>IF([3]道具信息!O311="","",[3]道具信息!O311)</f>
        <v/>
      </c>
      <c r="P311" s="37" t="str">
        <f>IF([3]道具信息!P311="","",[3]道具信息!P311)</f>
        <v/>
      </c>
      <c r="Q311" s="37" t="str">
        <f>IF([3]道具信息!Q311="","",[3]道具信息!Q311)</f>
        <v/>
      </c>
    </row>
    <row r="312" spans="3:17" x14ac:dyDescent="0.15">
      <c r="C312" s="37">
        <f>IF([3]道具信息!C312="","",[3]道具信息!C312)</f>
        <v>23348</v>
      </c>
      <c r="D312" s="37" t="str">
        <f>IF([3]道具信息!D312="","",[3]道具信息!D312)</f>
        <v>清剿令</v>
      </c>
      <c r="E312" s="37" t="str">
        <f>IF([3]道具信息!E312="","",[3]道具信息!E312)</f>
        <v/>
      </c>
      <c r="F312" s="37">
        <f>IF([3]道具信息!F312="","",[3]道具信息!F312)</f>
        <v>1</v>
      </c>
      <c r="G312" s="37">
        <f>IF([3]道具信息!G312="","",[3]道具信息!G312)</f>
        <v>1</v>
      </c>
      <c r="H312" s="37">
        <f>IF([3]道具信息!H312="","",[3]道具信息!H312)</f>
        <v>1</v>
      </c>
      <c r="I312" s="37" t="str">
        <f>IF([3]道具信息!I312="","",[3]道具信息!I312)</f>
        <v/>
      </c>
      <c r="J312" s="37" t="str">
        <f>IF([3]道具信息!J312="","",[3]道具信息!J312)</f>
        <v/>
      </c>
      <c r="K312" s="37" t="str">
        <f>IF([3]道具信息!K312="","",[3]道具信息!K312)</f>
        <v/>
      </c>
      <c r="L312" s="37" t="str">
        <f>IF([3]道具信息!L312="","",[3]道具信息!L312)</f>
        <v/>
      </c>
      <c r="M312" s="37" t="str">
        <f>IF([3]道具信息!M312="","",[3]道具信息!M312)</f>
        <v/>
      </c>
      <c r="N312" s="37"/>
      <c r="O312" s="37" t="str">
        <f>IF([3]道具信息!O312="","",[3]道具信息!O312)</f>
        <v/>
      </c>
      <c r="P312" s="37" t="str">
        <f>IF([3]道具信息!P312="","",[3]道具信息!P312)</f>
        <v/>
      </c>
      <c r="Q312" s="37" t="str">
        <f>IF([3]道具信息!Q312="","",[3]道具信息!Q312)</f>
        <v/>
      </c>
    </row>
    <row r="313" spans="3:17" x14ac:dyDescent="0.15">
      <c r="C313" s="37" t="str">
        <f>IF([3]道具信息!C313="","",[3]道具信息!C313)</f>
        <v/>
      </c>
      <c r="D313" s="37" t="str">
        <f>IF([3]道具信息!D313="","",[3]道具信息!D313)</f>
        <v/>
      </c>
      <c r="E313" s="37" t="str">
        <f>IF([3]道具信息!E313="","",[3]道具信息!E313)</f>
        <v/>
      </c>
      <c r="F313" s="37">
        <f>IF([3]道具信息!F313="","",[3]道具信息!F313)</f>
        <v>1</v>
      </c>
      <c r="G313" s="37">
        <f>IF([3]道具信息!G313="","",[3]道具信息!G313)</f>
        <v>1</v>
      </c>
      <c r="H313" s="37">
        <f>IF([3]道具信息!H313="","",[3]道具信息!H313)</f>
        <v>1</v>
      </c>
      <c r="I313" s="37" t="str">
        <f>IF([3]道具信息!I313="","",[3]道具信息!I313)</f>
        <v/>
      </c>
      <c r="J313" s="37" t="str">
        <f>IF([3]道具信息!J313="","",[3]道具信息!J313)</f>
        <v/>
      </c>
      <c r="K313" s="37" t="str">
        <f>IF([3]道具信息!K313="","",[3]道具信息!K313)</f>
        <v/>
      </c>
      <c r="L313" s="37" t="str">
        <f>IF([3]道具信息!L313="","",[3]道具信息!L313)</f>
        <v/>
      </c>
      <c r="M313" s="37" t="str">
        <f>IF([3]道具信息!M313="","",[3]道具信息!M313)</f>
        <v/>
      </c>
      <c r="N313" s="37"/>
      <c r="O313" s="37" t="str">
        <f>IF([3]道具信息!O313="","",[3]道具信息!O313)</f>
        <v/>
      </c>
      <c r="P313" s="37" t="str">
        <f>IF([3]道具信息!P313="","",[3]道具信息!P313)</f>
        <v/>
      </c>
      <c r="Q313" s="37" t="str">
        <f>IF([3]道具信息!Q313="","",[3]道具信息!Q313)</f>
        <v/>
      </c>
    </row>
    <row r="314" spans="3:17" x14ac:dyDescent="0.15">
      <c r="C314" s="37" t="str">
        <f>IF([3]道具信息!C314="","",[3]道具信息!C314)</f>
        <v/>
      </c>
      <c r="D314" s="37" t="str">
        <f>IF([3]道具信息!D314="","",[3]道具信息!D314)</f>
        <v/>
      </c>
      <c r="E314" s="37" t="str">
        <f>IF([3]道具信息!E314="","",[3]道具信息!E314)</f>
        <v/>
      </c>
      <c r="F314" s="37">
        <f>IF([3]道具信息!F314="","",[3]道具信息!F314)</f>
        <v>1</v>
      </c>
      <c r="G314" s="37">
        <f>IF([3]道具信息!G314="","",[3]道具信息!G314)</f>
        <v>1</v>
      </c>
      <c r="H314" s="37">
        <f>IF([3]道具信息!H314="","",[3]道具信息!H314)</f>
        <v>1</v>
      </c>
      <c r="I314" s="37" t="str">
        <f>IF([3]道具信息!I314="","",[3]道具信息!I314)</f>
        <v/>
      </c>
      <c r="J314" s="37" t="str">
        <f>IF([3]道具信息!J314="","",[3]道具信息!J314)</f>
        <v/>
      </c>
      <c r="K314" s="37" t="str">
        <f>IF([3]道具信息!K314="","",[3]道具信息!K314)</f>
        <v/>
      </c>
      <c r="L314" s="37" t="str">
        <f>IF([3]道具信息!L314="","",[3]道具信息!L314)</f>
        <v/>
      </c>
      <c r="M314" s="37" t="str">
        <f>IF([3]道具信息!M314="","",[3]道具信息!M314)</f>
        <v/>
      </c>
      <c r="N314" s="37"/>
      <c r="O314" s="37" t="str">
        <f>IF([3]道具信息!O314="","",[3]道具信息!O314)</f>
        <v/>
      </c>
      <c r="P314" s="37" t="str">
        <f>IF([3]道具信息!P314="","",[3]道具信息!P314)</f>
        <v/>
      </c>
      <c r="Q314" s="37" t="str">
        <f>IF([3]道具信息!Q314="","",[3]道具信息!Q314)</f>
        <v/>
      </c>
    </row>
    <row r="315" spans="3:17" x14ac:dyDescent="0.15">
      <c r="C315" s="37" t="str">
        <f>IF([3]道具信息!C315="","",[3]道具信息!C315)</f>
        <v/>
      </c>
      <c r="D315" s="37" t="str">
        <f>IF([3]道具信息!D315="","",[3]道具信息!D315)</f>
        <v/>
      </c>
      <c r="E315" s="37" t="str">
        <f>IF([3]道具信息!E315="","",[3]道具信息!E315)</f>
        <v/>
      </c>
      <c r="F315" s="37">
        <f>IF([3]道具信息!F315="","",[3]道具信息!F315)</f>
        <v>1</v>
      </c>
      <c r="G315" s="37">
        <f>IF([3]道具信息!G315="","",[3]道具信息!G315)</f>
        <v>1</v>
      </c>
      <c r="H315" s="37">
        <f>IF([3]道具信息!H315="","",[3]道具信息!H315)</f>
        <v>1</v>
      </c>
      <c r="I315" s="37" t="str">
        <f>IF([3]道具信息!I315="","",[3]道具信息!I315)</f>
        <v/>
      </c>
      <c r="J315" s="37" t="str">
        <f>IF([3]道具信息!J315="","",[3]道具信息!J315)</f>
        <v/>
      </c>
      <c r="K315" s="37" t="str">
        <f>IF([3]道具信息!K315="","",[3]道具信息!K315)</f>
        <v/>
      </c>
      <c r="L315" s="37" t="str">
        <f>IF([3]道具信息!L315="","",[3]道具信息!L315)</f>
        <v/>
      </c>
      <c r="M315" s="37" t="str">
        <f>IF([3]道具信息!M315="","",[3]道具信息!M315)</f>
        <v/>
      </c>
      <c r="N315" s="37"/>
      <c r="O315" s="37" t="str">
        <f>IF([3]道具信息!O315="","",[3]道具信息!O315)</f>
        <v/>
      </c>
      <c r="P315" s="37" t="str">
        <f>IF([3]道具信息!P315="","",[3]道具信息!P315)</f>
        <v/>
      </c>
      <c r="Q315" s="37" t="str">
        <f>IF([3]道具信息!Q315="","",[3]道具信息!Q315)</f>
        <v/>
      </c>
    </row>
    <row r="316" spans="3:17" x14ac:dyDescent="0.15">
      <c r="C316" s="37">
        <f>IF([3]道具信息!C316="","",[3]道具信息!C316)</f>
        <v>22116</v>
      </c>
      <c r="D316" s="37" t="str">
        <f>IF([3]道具信息!D316="","",[3]道具信息!D316)</f>
        <v>倾国倾城武魂</v>
      </c>
      <c r="E316" s="37" t="str">
        <f>IF([3]道具信息!E316="","",[3]道具信息!E316)</f>
        <v/>
      </c>
      <c r="F316" s="37">
        <f>IF([3]道具信息!F316="","",[3]道具信息!F316)</f>
        <v>1</v>
      </c>
      <c r="G316" s="37">
        <f>IF([3]道具信息!G316="","",[3]道具信息!G316)</f>
        <v>1</v>
      </c>
      <c r="H316" s="37">
        <f>IF([3]道具信息!H316="","",[3]道具信息!H316)</f>
        <v>1</v>
      </c>
      <c r="I316" s="37" t="str">
        <f>IF([3]道具信息!I316="","",[3]道具信息!I316)</f>
        <v/>
      </c>
      <c r="J316" s="37" t="str">
        <f>IF([3]道具信息!J316="","",[3]道具信息!J316)</f>
        <v/>
      </c>
      <c r="K316" s="37" t="str">
        <f>IF([3]道具信息!K316="","",[3]道具信息!K316)</f>
        <v/>
      </c>
      <c r="L316" s="37" t="str">
        <f>IF([3]道具信息!L316="","",[3]道具信息!L316)</f>
        <v/>
      </c>
      <c r="M316" s="37" t="str">
        <f>IF([3]道具信息!M316="","",[3]道具信息!M316)</f>
        <v/>
      </c>
      <c r="N316" s="37"/>
      <c r="O316" s="37" t="str">
        <f>IF([3]道具信息!O316="","",[3]道具信息!O316)</f>
        <v/>
      </c>
      <c r="P316" s="37" t="str">
        <f>IF([3]道具信息!P316="","",[3]道具信息!P316)</f>
        <v/>
      </c>
      <c r="Q316" s="37" t="str">
        <f>IF([3]道具信息!Q316="","",[3]道具信息!Q316)</f>
        <v/>
      </c>
    </row>
    <row r="317" spans="3:17" x14ac:dyDescent="0.15">
      <c r="C317" s="37">
        <f>IF([3]道具信息!C317="","",[3]道具信息!C317)</f>
        <v>22117</v>
      </c>
      <c r="D317" s="37" t="str">
        <f>IF([3]道具信息!D317="","",[3]道具信息!D317)</f>
        <v>墨行天下武魂</v>
      </c>
      <c r="E317" s="37" t="str">
        <f>IF([3]道具信息!E317="","",[3]道具信息!E317)</f>
        <v/>
      </c>
      <c r="F317" s="37">
        <f>IF([3]道具信息!F317="","",[3]道具信息!F317)</f>
        <v>1</v>
      </c>
      <c r="G317" s="37">
        <f>IF([3]道具信息!G317="","",[3]道具信息!G317)</f>
        <v>1</v>
      </c>
      <c r="H317" s="37">
        <f>IF([3]道具信息!H317="","",[3]道具信息!H317)</f>
        <v>1</v>
      </c>
      <c r="I317" s="37" t="str">
        <f>IF([3]道具信息!I317="","",[3]道具信息!I317)</f>
        <v/>
      </c>
      <c r="J317" s="37" t="str">
        <f>IF([3]道具信息!J317="","",[3]道具信息!J317)</f>
        <v/>
      </c>
      <c r="K317" s="37" t="str">
        <f>IF([3]道具信息!K317="","",[3]道具信息!K317)</f>
        <v/>
      </c>
      <c r="L317" s="37" t="str">
        <f>IF([3]道具信息!L317="","",[3]道具信息!L317)</f>
        <v/>
      </c>
      <c r="M317" s="37" t="str">
        <f>IF([3]道具信息!M317="","",[3]道具信息!M317)</f>
        <v/>
      </c>
      <c r="N317" s="37"/>
      <c r="O317" s="37" t="str">
        <f>IF([3]道具信息!O317="","",[3]道具信息!O317)</f>
        <v/>
      </c>
      <c r="P317" s="37" t="str">
        <f>IF([3]道具信息!P317="","",[3]道具信息!P317)</f>
        <v/>
      </c>
      <c r="Q317" s="37" t="str">
        <f>IF([3]道具信息!Q317="","",[3]道具信息!Q317)</f>
        <v/>
      </c>
    </row>
    <row r="318" spans="3:17" x14ac:dyDescent="0.15">
      <c r="C318" s="37">
        <f>IF([3]道具信息!C318="","",[3]道具信息!C318)</f>
        <v>23220</v>
      </c>
      <c r="D318" s="37" t="str">
        <f>IF([3]道具信息!D318="","",[3]道具信息!D318)</f>
        <v>红色统智装备礼包</v>
      </c>
      <c r="E318" s="37" t="str">
        <f>IF([3]道具信息!E318="","",[3]道具信息!E318)</f>
        <v/>
      </c>
      <c r="F318" s="37">
        <f>IF([3]道具信息!F318="","",[3]道具信息!F318)</f>
        <v>1</v>
      </c>
      <c r="G318" s="37">
        <f>IF([3]道具信息!G318="","",[3]道具信息!G318)</f>
        <v>1</v>
      </c>
      <c r="H318" s="37">
        <f>IF([3]道具信息!H318="","",[3]道具信息!H318)</f>
        <v>1</v>
      </c>
      <c r="I318" s="37" t="str">
        <f>IF([3]道具信息!I318="","",[3]道具信息!I318)</f>
        <v/>
      </c>
      <c r="J318" s="37" t="str">
        <f>IF([3]道具信息!J318="","",[3]道具信息!J318)</f>
        <v/>
      </c>
      <c r="K318" s="37" t="str">
        <f>IF([3]道具信息!K318="","",[3]道具信息!K318)</f>
        <v/>
      </c>
      <c r="L318" s="37" t="str">
        <f>IF([3]道具信息!L318="","",[3]道具信息!L318)</f>
        <v/>
      </c>
      <c r="M318" s="37" t="str">
        <f>IF([3]道具信息!M318="","",[3]道具信息!M318)</f>
        <v/>
      </c>
      <c r="N318" s="37"/>
      <c r="O318" s="37" t="str">
        <f>IF([3]道具信息!O318="","",[3]道具信息!O318)</f>
        <v/>
      </c>
      <c r="P318" s="37" t="str">
        <f>IF([3]道具信息!P318="","",[3]道具信息!P318)</f>
        <v/>
      </c>
      <c r="Q318" s="37" t="str">
        <f>IF([3]道具信息!Q318="","",[3]道具信息!Q318)</f>
        <v/>
      </c>
    </row>
    <row r="319" spans="3:17" x14ac:dyDescent="0.15">
      <c r="C319" s="37">
        <f>IF([3]道具信息!C319="","",[3]道具信息!C319)</f>
        <v>23221</v>
      </c>
      <c r="D319" s="37" t="str">
        <f>IF([3]道具信息!D319="","",[3]道具信息!D319)</f>
        <v>紫色兵法自选宝箱</v>
      </c>
      <c r="E319" s="37" t="str">
        <f>IF([3]道具信息!E319="","",[3]道具信息!E319)</f>
        <v/>
      </c>
      <c r="F319" s="37">
        <f>IF([3]道具信息!F319="","",[3]道具信息!F319)</f>
        <v>1</v>
      </c>
      <c r="G319" s="37">
        <f>IF([3]道具信息!G319="","",[3]道具信息!G319)</f>
        <v>1</v>
      </c>
      <c r="H319" s="37">
        <f>IF([3]道具信息!H319="","",[3]道具信息!H319)</f>
        <v>1</v>
      </c>
      <c r="I319" s="37" t="str">
        <f>IF([3]道具信息!I319="","",[3]道具信息!I319)</f>
        <v/>
      </c>
      <c r="J319" s="37" t="str">
        <f>IF([3]道具信息!J319="","",[3]道具信息!J319)</f>
        <v/>
      </c>
      <c r="K319" s="37" t="str">
        <f>IF([3]道具信息!K319="","",[3]道具信息!K319)</f>
        <v/>
      </c>
      <c r="L319" s="37" t="str">
        <f>IF([3]道具信息!L319="","",[3]道具信息!L319)</f>
        <v/>
      </c>
      <c r="M319" s="37" t="str">
        <f>IF([3]道具信息!M319="","",[3]道具信息!M319)</f>
        <v/>
      </c>
      <c r="N319" s="37"/>
      <c r="O319" s="37" t="str">
        <f>IF([3]道具信息!O319="","",[3]道具信息!O319)</f>
        <v/>
      </c>
      <c r="P319" s="37" t="str">
        <f>IF([3]道具信息!P319="","",[3]道具信息!P319)</f>
        <v/>
      </c>
      <c r="Q319" s="37" t="str">
        <f>IF([3]道具信息!Q319="","",[3]道具信息!Q319)</f>
        <v/>
      </c>
    </row>
    <row r="320" spans="3:17" x14ac:dyDescent="0.15">
      <c r="C320" s="37">
        <f>IF([3]道具信息!C320="","",[3]道具信息!C320)</f>
        <v>23222</v>
      </c>
      <c r="D320" s="37" t="str">
        <f>IF([3]道具信息!D320="","",[3]道具信息!D320)</f>
        <v>橙色兵法自选宝箱</v>
      </c>
      <c r="E320" s="37" t="str">
        <f>IF([3]道具信息!E320="","",[3]道具信息!E320)</f>
        <v/>
      </c>
      <c r="F320" s="37">
        <f>IF([3]道具信息!F320="","",[3]道具信息!F320)</f>
        <v>1</v>
      </c>
      <c r="G320" s="37">
        <f>IF([3]道具信息!G320="","",[3]道具信息!G320)</f>
        <v>1</v>
      </c>
      <c r="H320" s="37">
        <f>IF([3]道具信息!H320="","",[3]道具信息!H320)</f>
        <v>1</v>
      </c>
      <c r="I320" s="37" t="str">
        <f>IF([3]道具信息!I320="","",[3]道具信息!I320)</f>
        <v/>
      </c>
      <c r="J320" s="37" t="str">
        <f>IF([3]道具信息!J320="","",[3]道具信息!J320)</f>
        <v/>
      </c>
      <c r="K320" s="37" t="str">
        <f>IF([3]道具信息!K320="","",[3]道具信息!K320)</f>
        <v/>
      </c>
      <c r="L320" s="37" t="str">
        <f>IF([3]道具信息!L320="","",[3]道具信息!L320)</f>
        <v/>
      </c>
      <c r="M320" s="37" t="str">
        <f>IF([3]道具信息!M320="","",[3]道具信息!M320)</f>
        <v/>
      </c>
      <c r="N320" s="37"/>
      <c r="O320" s="37" t="str">
        <f>IF([3]道具信息!O320="","",[3]道具信息!O320)</f>
        <v/>
      </c>
      <c r="P320" s="37" t="str">
        <f>IF([3]道具信息!P320="","",[3]道具信息!P320)</f>
        <v/>
      </c>
      <c r="Q320" s="37" t="str">
        <f>IF([3]道具信息!Q320="","",[3]道具信息!Q320)</f>
        <v/>
      </c>
    </row>
    <row r="321" spans="3:17" x14ac:dyDescent="0.15">
      <c r="C321" s="37">
        <f>IF([3]道具信息!C321="","",[3]道具信息!C321)</f>
        <v>23364</v>
      </c>
      <c r="D321" s="37" t="str">
        <f>IF([3]道具信息!D321="","",[3]道具信息!D321)</f>
        <v>自选橙色兵法碎片</v>
      </c>
      <c r="E321" s="37" t="str">
        <f>IF([3]道具信息!E321="","",[3]道具信息!E321)</f>
        <v/>
      </c>
      <c r="F321" s="37">
        <f>IF([3]道具信息!F321="","",[3]道具信息!F321)</f>
        <v>1</v>
      </c>
      <c r="G321" s="37">
        <f>IF([3]道具信息!G321="","",[3]道具信息!G321)</f>
        <v>1</v>
      </c>
      <c r="H321" s="37">
        <f>IF([3]道具信息!H321="","",[3]道具信息!H321)</f>
        <v>1</v>
      </c>
      <c r="I321" s="37" t="str">
        <f>IF([3]道具信息!I321="","",[3]道具信息!I321)</f>
        <v/>
      </c>
      <c r="J321" s="37" t="str">
        <f>IF([3]道具信息!J321="","",[3]道具信息!J321)</f>
        <v/>
      </c>
      <c r="K321" s="37" t="str">
        <f>IF([3]道具信息!K321="","",[3]道具信息!K321)</f>
        <v/>
      </c>
      <c r="L321" s="37" t="str">
        <f>IF([3]道具信息!L321="","",[3]道具信息!L321)</f>
        <v/>
      </c>
      <c r="M321" s="37" t="str">
        <f>IF([3]道具信息!M321="","",[3]道具信息!M321)</f>
        <v/>
      </c>
      <c r="N321" s="37"/>
      <c r="O321" s="37" t="str">
        <f>IF([3]道具信息!O321="","",[3]道具信息!O321)</f>
        <v/>
      </c>
      <c r="P321" s="37" t="str">
        <f>IF([3]道具信息!P321="","",[3]道具信息!P321)</f>
        <v/>
      </c>
      <c r="Q321" s="37" t="str">
        <f>IF([3]道具信息!Q321="","",[3]道具信息!Q321)</f>
        <v/>
      </c>
    </row>
    <row r="322" spans="3:17" x14ac:dyDescent="0.15">
      <c r="C322" s="37">
        <f>IF([3]道具信息!C322="","",[3]道具信息!C322)</f>
        <v>23365</v>
      </c>
      <c r="D322" s="37" t="str">
        <f>IF([3]道具信息!D322="","",[3]道具信息!D322)</f>
        <v>自选紫色兵法碎片</v>
      </c>
      <c r="E322" s="37" t="str">
        <f>IF([3]道具信息!E322="","",[3]道具信息!E322)</f>
        <v/>
      </c>
      <c r="F322" s="37">
        <f>IF([3]道具信息!F322="","",[3]道具信息!F322)</f>
        <v>1</v>
      </c>
      <c r="G322" s="37">
        <f>IF([3]道具信息!G322="","",[3]道具信息!G322)</f>
        <v>1</v>
      </c>
      <c r="H322" s="37">
        <f>IF([3]道具信息!H322="","",[3]道具信息!H322)</f>
        <v>1</v>
      </c>
      <c r="I322" s="37" t="str">
        <f>IF([3]道具信息!I322="","",[3]道具信息!I322)</f>
        <v/>
      </c>
      <c r="J322" s="37" t="str">
        <f>IF([3]道具信息!J322="","",[3]道具信息!J322)</f>
        <v/>
      </c>
      <c r="K322" s="37" t="str">
        <f>IF([3]道具信息!K322="","",[3]道具信息!K322)</f>
        <v/>
      </c>
      <c r="L322" s="37" t="str">
        <f>IF([3]道具信息!L322="","",[3]道具信息!L322)</f>
        <v/>
      </c>
      <c r="M322" s="37" t="str">
        <f>IF([3]道具信息!M322="","",[3]道具信息!M322)</f>
        <v/>
      </c>
      <c r="N322" s="37"/>
      <c r="O322" s="37" t="str">
        <f>IF([3]道具信息!O322="","",[3]道具信息!O322)</f>
        <v/>
      </c>
      <c r="P322" s="37" t="str">
        <f>IF([3]道具信息!P322="","",[3]道具信息!P322)</f>
        <v/>
      </c>
      <c r="Q322" s="37" t="str">
        <f>IF([3]道具信息!Q322="","",[3]道具信息!Q322)</f>
        <v/>
      </c>
    </row>
    <row r="323" spans="3:17" x14ac:dyDescent="0.15">
      <c r="C323" s="37" t="str">
        <f>IF([3]道具信息!C323="","",[3]道具信息!C323)</f>
        <v/>
      </c>
      <c r="D323" s="37" t="str">
        <f>IF([3]道具信息!D323="","",[3]道具信息!D323)</f>
        <v/>
      </c>
      <c r="E323" s="37" t="str">
        <f>IF([3]道具信息!E323="","",[3]道具信息!E323)</f>
        <v/>
      </c>
      <c r="F323" s="37">
        <f>IF([3]道具信息!F323="","",[3]道具信息!F323)</f>
        <v>1</v>
      </c>
      <c r="G323" s="37">
        <f>IF([3]道具信息!G323="","",[3]道具信息!G323)</f>
        <v>1</v>
      </c>
      <c r="H323" s="37">
        <f>IF([3]道具信息!H323="","",[3]道具信息!H323)</f>
        <v>1</v>
      </c>
      <c r="I323" s="37" t="str">
        <f>IF([3]道具信息!I323="","",[3]道具信息!I323)</f>
        <v/>
      </c>
      <c r="J323" s="37" t="str">
        <f>IF([3]道具信息!J323="","",[3]道具信息!J323)</f>
        <v/>
      </c>
      <c r="K323" s="37" t="str">
        <f>IF([3]道具信息!K323="","",[3]道具信息!K323)</f>
        <v/>
      </c>
      <c r="L323" s="37" t="str">
        <f>IF([3]道具信息!L323="","",[3]道具信息!L323)</f>
        <v/>
      </c>
      <c r="M323" s="37" t="str">
        <f>IF([3]道具信息!M323="","",[3]道具信息!M323)</f>
        <v/>
      </c>
      <c r="N323" s="37"/>
      <c r="O323" s="37" t="str">
        <f>IF([3]道具信息!O323="","",[3]道具信息!O323)</f>
        <v/>
      </c>
      <c r="P323" s="37" t="str">
        <f>IF([3]道具信息!P323="","",[3]道具信息!P323)</f>
        <v/>
      </c>
      <c r="Q323" s="37" t="str">
        <f>IF([3]道具信息!Q323="","",[3]道具信息!Q323)</f>
        <v/>
      </c>
    </row>
    <row r="324" spans="3:17" x14ac:dyDescent="0.15">
      <c r="C324" s="37">
        <f>IF([3]道具信息!C324="","",[3]道具信息!C324)</f>
        <v>21075</v>
      </c>
      <c r="D324" s="37" t="str">
        <f>IF([3]道具信息!D324="","",[3]道具信息!D324)</f>
        <v>中级免战牌</v>
      </c>
      <c r="E324" s="37">
        <f>IF([3]道具信息!E324="","",[3]道具信息!E324)</f>
        <v>200</v>
      </c>
      <c r="F324" s="37">
        <f>IF([3]道具信息!F324="","",[3]道具信息!F324)</f>
        <v>1</v>
      </c>
      <c r="G324" s="37">
        <f>IF([3]道具信息!G324="","",[3]道具信息!G324)</f>
        <v>1</v>
      </c>
      <c r="H324" s="37">
        <f>IF([3]道具信息!H324="","",[3]道具信息!H324)</f>
        <v>1</v>
      </c>
      <c r="I324" s="37">
        <f>IF([3]道具信息!I324="","",[3]道具信息!I324)</f>
        <v>200</v>
      </c>
      <c r="J324" s="37">
        <f>IF([3]道具信息!J324="","",[3]道具信息!J324)</f>
        <v>200</v>
      </c>
      <c r="K324" s="37">
        <f>IF([3]道具信息!K324="","",[3]道具信息!K324)</f>
        <v>200</v>
      </c>
      <c r="L324" s="37" t="str">
        <f>IF([3]道具信息!L324="","",[3]道具信息!L324)</f>
        <v>使用后城池不会遭受来自其他玩家的攻击，主动进攻其他玩家后失效，持续12小时</v>
      </c>
      <c r="M324" s="37" t="str">
        <f>IF([3]道具信息!M324="","",[3]道具信息!M324)</f>
        <v/>
      </c>
      <c r="N324" s="37"/>
      <c r="O324" s="37" t="str">
        <f>IF([3]道具信息!O324="","",[3]道具信息!O324)</f>
        <v/>
      </c>
      <c r="P324" s="37" t="str">
        <f>IF([3]道具信息!P324="","",[3]道具信息!P324)</f>
        <v/>
      </c>
      <c r="Q324" s="37" t="str">
        <f>IF([3]道具信息!Q324="","",[3]道具信息!Q324)</f>
        <v/>
      </c>
    </row>
    <row r="325" spans="3:17" x14ac:dyDescent="0.15">
      <c r="C325" s="37">
        <f>IF([3]道具信息!C325="","",[3]道具信息!C325)</f>
        <v>21071</v>
      </c>
      <c r="D325" s="37" t="str">
        <f>IF([3]道具信息!D325="","",[3]道具信息!D325)</f>
        <v>高级免战牌</v>
      </c>
      <c r="E325" s="37">
        <f>IF([3]道具信息!E325="","",[3]道具信息!E325)</f>
        <v>500</v>
      </c>
      <c r="F325" s="37">
        <f>IF([3]道具信息!F325="","",[3]道具信息!F325)</f>
        <v>1</v>
      </c>
      <c r="G325" s="37">
        <f>IF([3]道具信息!G325="","",[3]道具信息!G325)</f>
        <v>1</v>
      </c>
      <c r="H325" s="37">
        <f>IF([3]道具信息!H325="","",[3]道具信息!H325)</f>
        <v>1</v>
      </c>
      <c r="I325" s="37">
        <f>IF([3]道具信息!I325="","",[3]道具信息!I325)</f>
        <v>500</v>
      </c>
      <c r="J325" s="37">
        <f>IF([3]道具信息!J325="","",[3]道具信息!J325)</f>
        <v>500</v>
      </c>
      <c r="K325" s="37">
        <f>IF([3]道具信息!K325="","",[3]道具信息!K325)</f>
        <v>500</v>
      </c>
      <c r="L325" s="37" t="str">
        <f>IF([3]道具信息!L325="","",[3]道具信息!L325)</f>
        <v>使用后城池不会遭受来自其他玩家的攻击，主动进攻其他玩家后失效，持续24小时</v>
      </c>
      <c r="M325" s="37" t="str">
        <f>IF([3]道具信息!M325="","",[3]道具信息!M325)</f>
        <v/>
      </c>
      <c r="N325" s="37"/>
      <c r="O325" s="37" t="str">
        <f>IF([3]道具信息!O325="","",[3]道具信息!O325)</f>
        <v/>
      </c>
      <c r="P325" s="37" t="str">
        <f>IF([3]道具信息!P325="","",[3]道具信息!P325)</f>
        <v/>
      </c>
      <c r="Q325" s="37" t="str">
        <f>IF([3]道具信息!Q325="","",[3]道具信息!Q325)</f>
        <v/>
      </c>
    </row>
    <row r="326" spans="3:17" x14ac:dyDescent="0.15">
      <c r="C326" s="37">
        <f>IF([3]道具信息!C326="","",[3]道具信息!C326)</f>
        <v>21072</v>
      </c>
      <c r="D326" s="37" t="str">
        <f>IF([3]道具信息!D326="","",[3]道具信息!D326)</f>
        <v>特级免战牌</v>
      </c>
      <c r="E326" s="37">
        <f>IF([3]道具信息!E326="","",[3]道具信息!E326)</f>
        <v>1800</v>
      </c>
      <c r="F326" s="37">
        <f>IF([3]道具信息!F326="","",[3]道具信息!F326)</f>
        <v>1</v>
      </c>
      <c r="G326" s="37">
        <f>IF([3]道具信息!G326="","",[3]道具信息!G326)</f>
        <v>1</v>
      </c>
      <c r="H326" s="37">
        <f>IF([3]道具信息!H326="","",[3]道具信息!H326)</f>
        <v>1</v>
      </c>
      <c r="I326" s="37">
        <f>IF([3]道具信息!I326="","",[3]道具信息!I326)</f>
        <v>1800</v>
      </c>
      <c r="J326" s="37">
        <f>IF([3]道具信息!J326="","",[3]道具信息!J326)</f>
        <v>1800</v>
      </c>
      <c r="K326" s="37">
        <f>IF([3]道具信息!K326="","",[3]道具信息!K326)</f>
        <v>1800</v>
      </c>
      <c r="L326" s="37" t="str">
        <f>IF([3]道具信息!L326="","",[3]道具信息!L326)</f>
        <v>使用后城池不会遭受来自其他玩家的攻击，主动进攻其他玩家后失效，持续72小时</v>
      </c>
      <c r="M326" s="37" t="str">
        <f>IF([3]道具信息!M326="","",[3]道具信息!M326)</f>
        <v/>
      </c>
      <c r="N326" s="37"/>
      <c r="O326" s="37" t="str">
        <f>IF([3]道具信息!O326="","",[3]道具信息!O326)</f>
        <v/>
      </c>
      <c r="P326" s="37" t="str">
        <f>IF([3]道具信息!P326="","",[3]道具信息!P326)</f>
        <v/>
      </c>
      <c r="Q326" s="37" t="str">
        <f>IF([3]道具信息!Q326="","",[3]道具信息!Q326)</f>
        <v/>
      </c>
    </row>
    <row r="327" spans="3:17" x14ac:dyDescent="0.15">
      <c r="C327" s="37">
        <f>IF([3]道具信息!C327="","",[3]道具信息!C327)</f>
        <v>90512</v>
      </c>
      <c r="D327" s="37" t="str">
        <f>IF([3]道具信息!D327="","",[3]道具信息!D327)</f>
        <v>文心</v>
      </c>
      <c r="E327" s="37" t="str">
        <f>IF([3]道具信息!E327="","",[3]道具信息!E327)</f>
        <v/>
      </c>
      <c r="F327" s="37">
        <f>IF([3]道具信息!F327="","",[3]道具信息!F327)</f>
        <v>1</v>
      </c>
      <c r="G327" s="37">
        <f>IF([3]道具信息!G327="","",[3]道具信息!G327)</f>
        <v>1</v>
      </c>
      <c r="H327" s="37">
        <f>IF([3]道具信息!H327="","",[3]道具信息!H327)</f>
        <v>1</v>
      </c>
      <c r="I327" s="37" t="str">
        <f>IF([3]道具信息!I327="","",[3]道具信息!I327)</f>
        <v/>
      </c>
      <c r="J327" s="37" t="str">
        <f>IF([3]道具信息!J327="","",[3]道具信息!J327)</f>
        <v/>
      </c>
      <c r="K327" s="37" t="str">
        <f>IF([3]道具信息!K327="","",[3]道具信息!K327)</f>
        <v/>
      </c>
      <c r="L327" s="37" t="str">
        <f>IF([3]道具信息!L327="","",[3]道具信息!L327)</f>
        <v>消灭野怪获得，用于宝物温养。</v>
      </c>
      <c r="M327" s="37" t="str">
        <f>IF([3]道具信息!M327="","",[3]道具信息!M327)</f>
        <v/>
      </c>
      <c r="N327" s="37"/>
      <c r="O327" s="37" t="str">
        <f>IF([3]道具信息!O327="","",[3]道具信息!O327)</f>
        <v/>
      </c>
      <c r="P327" s="37" t="str">
        <f>IF([3]道具信息!P327="","",[3]道具信息!P327)</f>
        <v/>
      </c>
      <c r="Q327" s="37" t="str">
        <f>IF([3]道具信息!Q327="","",[3]道具信息!Q327)</f>
        <v/>
      </c>
    </row>
    <row r="328" spans="3:17" x14ac:dyDescent="0.15">
      <c r="C328" s="37">
        <f>IF([3]道具信息!C328="","",[3]道具信息!C328)</f>
        <v>23359</v>
      </c>
      <c r="D328" s="37" t="str">
        <f>IF([3]道具信息!D328="","",[3]道具信息!D328)</f>
        <v>宝鉴</v>
      </c>
      <c r="E328" s="37" t="str">
        <f>IF([3]道具信息!E328="","",[3]道具信息!E328)</f>
        <v/>
      </c>
      <c r="F328" s="37">
        <f>IF([3]道具信息!F328="","",[3]道具信息!F328)</f>
        <v>1</v>
      </c>
      <c r="G328" s="37">
        <f>IF([3]道具信息!G328="","",[3]道具信息!G328)</f>
        <v>1</v>
      </c>
      <c r="H328" s="37">
        <f>IF([3]道具信息!H328="","",[3]道具信息!H328)</f>
        <v>1</v>
      </c>
      <c r="I328" s="37" t="str">
        <f>IF([3]道具信息!I328="","",[3]道具信息!I328)</f>
        <v/>
      </c>
      <c r="J328" s="37" t="str">
        <f>IF([3]道具信息!J328="","",[3]道具信息!J328)</f>
        <v/>
      </c>
      <c r="K328" s="37" t="str">
        <f>IF([3]道具信息!K328="","",[3]道具信息!K328)</f>
        <v/>
      </c>
      <c r="L328" s="37" t="str">
        <f>IF([3]道具信息!L328="","",[3]道具信息!L328)</f>
        <v>持有宝鉴名册，可鉴天下珍宝</v>
      </c>
      <c r="M328" s="37" t="str">
        <f>IF([3]道具信息!M328="","",[3]道具信息!M328)</f>
        <v/>
      </c>
      <c r="N328" s="37"/>
      <c r="O328" s="37" t="str">
        <f>IF([3]道具信息!O328="","",[3]道具信息!O328)</f>
        <v/>
      </c>
      <c r="P328" s="37" t="str">
        <f>IF([3]道具信息!P328="","",[3]道具信息!P328)</f>
        <v/>
      </c>
      <c r="Q328" s="37" t="str">
        <f>IF([3]道具信息!Q328="","",[3]道具信息!Q328)</f>
        <v/>
      </c>
    </row>
    <row r="329" spans="3:17" x14ac:dyDescent="0.15">
      <c r="C329" s="37">
        <f>IF([3]道具信息!C329="","",[3]道具信息!C329)</f>
        <v>23526</v>
      </c>
      <c r="D329" s="37" t="str">
        <f>IF([3]道具信息!D329="","",[3]道具信息!D329)</f>
        <v>极品装备宝箱碎片</v>
      </c>
      <c r="E329" s="37" t="str">
        <f>IF([3]道具信息!E329="","",[3]道具信息!E329)</f>
        <v/>
      </c>
      <c r="F329" s="37">
        <f>IF([3]道具信息!F329="","",[3]道具信息!F329)</f>
        <v>1</v>
      </c>
      <c r="G329" s="37">
        <f>IF([3]道具信息!G329="","",[3]道具信息!G329)</f>
        <v>1</v>
      </c>
      <c r="H329" s="37">
        <f>IF([3]道具信息!H329="","",[3]道具信息!H329)</f>
        <v>1</v>
      </c>
      <c r="I329" s="37" t="str">
        <f>IF([3]道具信息!I329="","",[3]道具信息!I329)</f>
        <v/>
      </c>
      <c r="J329" s="37" t="str">
        <f>IF([3]道具信息!J329="","",[3]道具信息!J329)</f>
        <v/>
      </c>
      <c r="K329" s="37" t="str">
        <f>IF([3]道具信息!K329="","",[3]道具信息!K329)</f>
        <v/>
      </c>
      <c r="L329" s="37" t="str">
        <f>IF([3]道具信息!L329="","",[3]道具信息!L329)</f>
        <v>使用后可以获得一个极品红色装备宝箱</v>
      </c>
      <c r="M329" s="37" t="str">
        <f>IF([3]道具信息!M329="","",[3]道具信息!M329)</f>
        <v/>
      </c>
      <c r="N329" s="37"/>
      <c r="O329" s="37" t="str">
        <f>IF([3]道具信息!O329="","",[3]道具信息!O329)</f>
        <v/>
      </c>
      <c r="P329" s="37" t="str">
        <f>IF([3]道具信息!P329="","",[3]道具信息!P329)</f>
        <v/>
      </c>
      <c r="Q329" s="37" t="str">
        <f>IF([3]道具信息!Q329="","",[3]道具信息!Q329)</f>
        <v/>
      </c>
    </row>
    <row r="330" spans="3:17" x14ac:dyDescent="0.15">
      <c r="C330" s="37">
        <f>IF([3]道具信息!C330="","",[3]道具信息!C330)</f>
        <v>23527</v>
      </c>
      <c r="D330" s="37" t="str">
        <f>IF([3]道具信息!D330="","",[3]道具信息!D330)</f>
        <v>极品装备宝箱</v>
      </c>
      <c r="E330" s="37" t="str">
        <f>IF([3]道具信息!E330="","",[3]道具信息!E330)</f>
        <v/>
      </c>
      <c r="F330" s="37">
        <f>IF([3]道具信息!F330="","",[3]道具信息!F330)</f>
        <v>1</v>
      </c>
      <c r="G330" s="37">
        <f>IF([3]道具信息!G330="","",[3]道具信息!G330)</f>
        <v>1</v>
      </c>
      <c r="H330" s="37">
        <f>IF([3]道具信息!H330="","",[3]道具信息!H330)</f>
        <v>1</v>
      </c>
      <c r="I330" s="37" t="str">
        <f>IF([3]道具信息!I330="","",[3]道具信息!I330)</f>
        <v/>
      </c>
      <c r="J330" s="37" t="str">
        <f>IF([3]道具信息!J330="","",[3]道具信息!J330)</f>
        <v/>
      </c>
      <c r="K330" s="37" t="str">
        <f>IF([3]道具信息!K330="","",[3]道具信息!K330)</f>
        <v/>
      </c>
      <c r="L330" s="37" t="str">
        <f>IF([3]道具信息!L330="","",[3]道具信息!L330)</f>
        <v>使用后可以选择获得一件极品红色装备</v>
      </c>
      <c r="M330" s="37" t="str">
        <f>IF([3]道具信息!M330="","",[3]道具信息!M330)</f>
        <v/>
      </c>
      <c r="N330" s="37"/>
      <c r="O330" s="37" t="str">
        <f>IF([3]道具信息!O330="","",[3]道具信息!O330)</f>
        <v/>
      </c>
      <c r="P330" s="37" t="str">
        <f>IF([3]道具信息!P330="","",[3]道具信息!P330)</f>
        <v/>
      </c>
      <c r="Q330" s="37" t="str">
        <f>IF([3]道具信息!Q330="","",[3]道具信息!Q330)</f>
        <v/>
      </c>
    </row>
    <row r="331" spans="3:17" x14ac:dyDescent="0.15">
      <c r="C331" s="37">
        <f>IF([3]道具信息!C331="","",[3]道具信息!C331)</f>
        <v>23528</v>
      </c>
      <c r="D331" s="37" t="str">
        <f>IF([3]道具信息!D331="","",[3]道具信息!D331)</f>
        <v>极品统武装备宝箱</v>
      </c>
      <c r="E331" s="37" t="str">
        <f>IF([3]道具信息!E331="","",[3]道具信息!E331)</f>
        <v/>
      </c>
      <c r="F331" s="37">
        <f>IF([3]道具信息!F331="","",[3]道具信息!F331)</f>
        <v>1</v>
      </c>
      <c r="G331" s="37">
        <f>IF([3]道具信息!G331="","",[3]道具信息!G331)</f>
        <v>1</v>
      </c>
      <c r="H331" s="37">
        <f>IF([3]道具信息!H331="","",[3]道具信息!H331)</f>
        <v>1</v>
      </c>
      <c r="I331" s="37" t="str">
        <f>IF([3]道具信息!I331="","",[3]道具信息!I331)</f>
        <v/>
      </c>
      <c r="J331" s="37" t="str">
        <f>IF([3]道具信息!J331="","",[3]道具信息!J331)</f>
        <v/>
      </c>
      <c r="K331" s="37" t="str">
        <f>IF([3]道具信息!K331="","",[3]道具信息!K331)</f>
        <v/>
      </c>
      <c r="L331" s="37" t="str">
        <f>IF([3]道具信息!L331="","",[3]道具信息!L331)</f>
        <v>使用后获得十方古璃套装3件套装备</v>
      </c>
      <c r="M331" s="37" t="str">
        <f>IF([3]道具信息!M331="","",[3]道具信息!M331)</f>
        <v/>
      </c>
      <c r="N331" s="37"/>
      <c r="O331" s="37" t="str">
        <f>IF([3]道具信息!O331="","",[3]道具信息!O331)</f>
        <v/>
      </c>
      <c r="P331" s="37" t="str">
        <f>IF([3]道具信息!P331="","",[3]道具信息!P331)</f>
        <v/>
      </c>
      <c r="Q331" s="37" t="str">
        <f>IF([3]道具信息!Q331="","",[3]道具信息!Q331)</f>
        <v/>
      </c>
    </row>
    <row r="332" spans="3:17" x14ac:dyDescent="0.15">
      <c r="C332" s="37">
        <f>IF([3]道具信息!C332="","",[3]道具信息!C332)</f>
        <v>23529</v>
      </c>
      <c r="D332" s="37" t="str">
        <f>IF([3]道具信息!D332="","",[3]道具信息!D332)</f>
        <v>极品统智装备宝箱</v>
      </c>
      <c r="E332" s="37" t="str">
        <f>IF([3]道具信息!E332="","",[3]道具信息!E332)</f>
        <v/>
      </c>
      <c r="F332" s="37">
        <f>IF([3]道具信息!F332="","",[3]道具信息!F332)</f>
        <v>1</v>
      </c>
      <c r="G332" s="37">
        <f>IF([3]道具信息!G332="","",[3]道具信息!G332)</f>
        <v>1</v>
      </c>
      <c r="H332" s="37">
        <f>IF([3]道具信息!H332="","",[3]道具信息!H332)</f>
        <v>1</v>
      </c>
      <c r="I332" s="37" t="str">
        <f>IF([3]道具信息!I332="","",[3]道具信息!I332)</f>
        <v/>
      </c>
      <c r="J332" s="37" t="str">
        <f>IF([3]道具信息!J332="","",[3]道具信息!J332)</f>
        <v/>
      </c>
      <c r="K332" s="37" t="str">
        <f>IF([3]道具信息!K332="","",[3]道具信息!K332)</f>
        <v/>
      </c>
      <c r="L332" s="37" t="str">
        <f>IF([3]道具信息!L332="","",[3]道具信息!L332)</f>
        <v>使用后获得墨霜广焱3件套装备</v>
      </c>
      <c r="M332" s="37" t="str">
        <f>IF([3]道具信息!M332="","",[3]道具信息!M332)</f>
        <v/>
      </c>
      <c r="N332" s="37"/>
      <c r="O332" s="37" t="str">
        <f>IF([3]道具信息!O332="","",[3]道具信息!O332)</f>
        <v/>
      </c>
      <c r="P332" s="37" t="str">
        <f>IF([3]道具信息!P332="","",[3]道具信息!P332)</f>
        <v/>
      </c>
      <c r="Q332" s="37" t="str">
        <f>IF([3]道具信息!Q332="","",[3]道具信息!Q332)</f>
        <v/>
      </c>
    </row>
    <row r="333" spans="3:17" x14ac:dyDescent="0.15">
      <c r="C333" s="37">
        <f>IF([3]道具信息!C333="","",[3]道具信息!C333)</f>
        <v>23530</v>
      </c>
      <c r="D333" s="37" t="str">
        <f>IF([3]道具信息!D333="","",[3]道具信息!D333)</f>
        <v>红色装备宝箱碎片</v>
      </c>
      <c r="E333" s="37" t="str">
        <f>IF([3]道具信息!E333="","",[3]道具信息!E333)</f>
        <v/>
      </c>
      <c r="F333" s="37">
        <f>IF([3]道具信息!F333="","",[3]道具信息!F333)</f>
        <v>1</v>
      </c>
      <c r="G333" s="37">
        <f>IF([3]道具信息!G333="","",[3]道具信息!G333)</f>
        <v>1</v>
      </c>
      <c r="H333" s="37">
        <f>IF([3]道具信息!H333="","",[3]道具信息!H333)</f>
        <v>1</v>
      </c>
      <c r="I333" s="37" t="str">
        <f>IF([3]道具信息!I333="","",[3]道具信息!I333)</f>
        <v/>
      </c>
      <c r="J333" s="37" t="str">
        <f>IF([3]道具信息!J333="","",[3]道具信息!J333)</f>
        <v/>
      </c>
      <c r="K333" s="37" t="str">
        <f>IF([3]道具信息!K333="","",[3]道具信息!K333)</f>
        <v/>
      </c>
      <c r="L333" s="37" t="str">
        <f>IF([3]道具信息!L333="","",[3]道具信息!L333)</f>
        <v>使用后可以获得一个红色装备宝箱</v>
      </c>
      <c r="M333" s="37" t="str">
        <f>IF([3]道具信息!M333="","",[3]道具信息!M333)</f>
        <v/>
      </c>
      <c r="N333" s="37"/>
      <c r="O333" s="37" t="str">
        <f>IF([3]道具信息!O333="","",[3]道具信息!O333)</f>
        <v/>
      </c>
      <c r="P333" s="37" t="str">
        <f>IF([3]道具信息!P333="","",[3]道具信息!P333)</f>
        <v/>
      </c>
      <c r="Q333" s="37" t="str">
        <f>IF([3]道具信息!Q333="","",[3]道具信息!Q333)</f>
        <v/>
      </c>
    </row>
    <row r="334" spans="3:17" x14ac:dyDescent="0.15">
      <c r="C334" s="37">
        <f>IF([3]道具信息!C334="","",[3]道具信息!C334)</f>
        <v>23531</v>
      </c>
      <c r="D334" s="37" t="str">
        <f>IF([3]道具信息!D334="","",[3]道具信息!D334)</f>
        <v>红色装备宝箱</v>
      </c>
      <c r="E334" s="37" t="str">
        <f>IF([3]道具信息!E334="","",[3]道具信息!E334)</f>
        <v/>
      </c>
      <c r="F334" s="37">
        <f>IF([3]道具信息!F334="","",[3]道具信息!F334)</f>
        <v>1</v>
      </c>
      <c r="G334" s="37">
        <f>IF([3]道具信息!G334="","",[3]道具信息!G334)</f>
        <v>1</v>
      </c>
      <c r="H334" s="37">
        <f>IF([3]道具信息!H334="","",[3]道具信息!H334)</f>
        <v>1</v>
      </c>
      <c r="I334" s="37" t="str">
        <f>IF([3]道具信息!I334="","",[3]道具信息!I334)</f>
        <v/>
      </c>
      <c r="J334" s="37" t="str">
        <f>IF([3]道具信息!J334="","",[3]道具信息!J334)</f>
        <v/>
      </c>
      <c r="K334" s="37" t="str">
        <f>IF([3]道具信息!K334="","",[3]道具信息!K334)</f>
        <v/>
      </c>
      <c r="L334" s="37" t="str">
        <f>IF([3]道具信息!L334="","",[3]道具信息!L334)</f>
        <v>使用后可以选择获得一件红色装备</v>
      </c>
      <c r="M334" s="37" t="str">
        <f>IF([3]道具信息!M334="","",[3]道具信息!M334)</f>
        <v/>
      </c>
      <c r="N334" s="37"/>
      <c r="O334" s="37" t="str">
        <f>IF([3]道具信息!O334="","",[3]道具信息!O334)</f>
        <v/>
      </c>
      <c r="P334" s="37" t="str">
        <f>IF([3]道具信息!P334="","",[3]道具信息!P334)</f>
        <v/>
      </c>
      <c r="Q334" s="37" t="str">
        <f>IF([3]道具信息!Q334="","",[3]道具信息!Q334)</f>
        <v/>
      </c>
    </row>
    <row r="335" spans="3:17" x14ac:dyDescent="0.15">
      <c r="C335" s="37">
        <f>IF([3]道具信息!C335="","",[3]道具信息!C335)</f>
        <v>23532</v>
      </c>
      <c r="D335" s="37" t="str">
        <f>IF([3]道具信息!D335="","",[3]道具信息!D335)</f>
        <v>抛砖引玉·极-残片</v>
      </c>
      <c r="E335" s="37" t="str">
        <f>IF([3]道具信息!E335="","",[3]道具信息!E335)</f>
        <v/>
      </c>
      <c r="F335" s="37">
        <f>IF([3]道具信息!F335="","",[3]道具信息!F335)</f>
        <v>1</v>
      </c>
      <c r="G335" s="37">
        <f>IF([3]道具信息!G335="","",[3]道具信息!G335)</f>
        <v>1</v>
      </c>
      <c r="H335" s="37">
        <f>IF([3]道具信息!H335="","",[3]道具信息!H335)</f>
        <v>1</v>
      </c>
      <c r="I335" s="37" t="str">
        <f>IF([3]道具信息!I335="","",[3]道具信息!I335)</f>
        <v/>
      </c>
      <c r="J335" s="37" t="str">
        <f>IF([3]道具信息!J335="","",[3]道具信息!J335)</f>
        <v/>
      </c>
      <c r="K335" s="37" t="str">
        <f>IF([3]道具信息!K335="","",[3]道具信息!K335)</f>
        <v/>
      </c>
      <c r="L335" s="37" t="str">
        <f>IF([3]道具信息!L335="","",[3]道具信息!L335)</f>
        <v/>
      </c>
      <c r="M335" s="37" t="str">
        <f>IF([3]道具信息!M335="","",[3]道具信息!M335)</f>
        <v/>
      </c>
      <c r="N335" s="37"/>
      <c r="O335" s="37" t="str">
        <f>IF([3]道具信息!O335="","",[3]道具信息!O335)</f>
        <v/>
      </c>
      <c r="P335" s="37" t="str">
        <f>IF([3]道具信息!P335="","",[3]道具信息!P335)</f>
        <v/>
      </c>
      <c r="Q335" s="37" t="str">
        <f>IF([3]道具信息!Q335="","",[3]道具信息!Q335)</f>
        <v/>
      </c>
    </row>
    <row r="336" spans="3:17" x14ac:dyDescent="0.15">
      <c r="C336" s="37">
        <f>IF([3]道具信息!C336="","",[3]道具信息!C336)</f>
        <v>23389</v>
      </c>
      <c r="D336" s="37" t="str">
        <f>IF([3]道具信息!D336="","",[3]道具信息!D336)</f>
        <v>秦阳陵虎符碎片</v>
      </c>
      <c r="E336" s="37" t="str">
        <f>IF([3]道具信息!E336="","",[3]道具信息!E336)</f>
        <v/>
      </c>
      <c r="F336" s="37">
        <f>IF([3]道具信息!F336="","",[3]道具信息!F336)</f>
        <v>1</v>
      </c>
      <c r="G336" s="37">
        <f>IF([3]道具信息!G336="","",[3]道具信息!G336)</f>
        <v>1</v>
      </c>
      <c r="H336" s="37">
        <f>IF([3]道具信息!H336="","",[3]道具信息!H336)</f>
        <v>1</v>
      </c>
      <c r="I336" s="37" t="str">
        <f>IF([3]道具信息!I336="","",[3]道具信息!I336)</f>
        <v/>
      </c>
      <c r="J336" s="37" t="str">
        <f>IF([3]道具信息!J336="","",[3]道具信息!J336)</f>
        <v/>
      </c>
      <c r="K336" s="37" t="str">
        <f>IF([3]道具信息!K336="","",[3]道具信息!K336)</f>
        <v/>
      </c>
      <c r="L336" s="37" t="str">
        <f>IF([3]道具信息!L336="","",[3]道具信息!L336)</f>
        <v/>
      </c>
      <c r="M336" s="37" t="str">
        <f>IF([3]道具信息!M336="","",[3]道具信息!M336)</f>
        <v/>
      </c>
      <c r="N336" s="37"/>
      <c r="O336" s="37" t="str">
        <f>IF([3]道具信息!O336="","",[3]道具信息!O336)</f>
        <v/>
      </c>
      <c r="P336" s="37" t="str">
        <f>IF([3]道具信息!P336="","",[3]道具信息!P336)</f>
        <v/>
      </c>
      <c r="Q336" s="37" t="str">
        <f>IF([3]道具信息!Q336="","",[3]道具信息!Q336)</f>
        <v/>
      </c>
    </row>
    <row r="337" spans="3:17" x14ac:dyDescent="0.15">
      <c r="C337" s="37">
        <f>IF([3]道具信息!C337="","",[3]道具信息!C337)</f>
        <v>180024</v>
      </c>
      <c r="D337" s="37" t="str">
        <f>IF([3]道具信息!D337="","",[3]道具信息!D337)</f>
        <v>高级盗贼</v>
      </c>
      <c r="E337" s="37" t="str">
        <f>IF([3]道具信息!E337="","",[3]道具信息!E337)</f>
        <v/>
      </c>
      <c r="F337" s="37">
        <f>IF([3]道具信息!F337="","",[3]道具信息!F337)</f>
        <v>1</v>
      </c>
      <c r="G337" s="37">
        <f>IF([3]道具信息!G337="","",[3]道具信息!G337)</f>
        <v>1</v>
      </c>
      <c r="H337" s="37">
        <f>IF([3]道具信息!H337="","",[3]道具信息!H337)</f>
        <v>1</v>
      </c>
      <c r="I337" s="37" t="str">
        <f>IF([3]道具信息!I337="","",[3]道具信息!I337)</f>
        <v/>
      </c>
      <c r="J337" s="37" t="str">
        <f>IF([3]道具信息!J337="","",[3]道具信息!J337)</f>
        <v/>
      </c>
      <c r="K337" s="37" t="str">
        <f>IF([3]道具信息!K337="","",[3]道具信息!K337)</f>
        <v/>
      </c>
      <c r="L337" s="37" t="str">
        <f>IF([3]道具信息!L337="","",[3]道具信息!L337)</f>
        <v/>
      </c>
      <c r="M337" s="37" t="str">
        <f>IF([3]道具信息!M337="","",[3]道具信息!M337)</f>
        <v/>
      </c>
      <c r="N337" s="37"/>
      <c r="O337" s="37" t="str">
        <f>IF([3]道具信息!O337="","",[3]道具信息!O337)</f>
        <v/>
      </c>
      <c r="P337" s="37" t="str">
        <f>IF([3]道具信息!P337="","",[3]道具信息!P337)</f>
        <v/>
      </c>
      <c r="Q337" s="37" t="str">
        <f>IF([3]道具信息!Q337="","",[3]道具信息!Q337)</f>
        <v/>
      </c>
    </row>
    <row r="338" spans="3:17" x14ac:dyDescent="0.15">
      <c r="C338" s="37">
        <f>IF([3]道具信息!C338="","",[3]道具信息!C338)</f>
        <v>180023</v>
      </c>
      <c r="D338" s="37" t="str">
        <f>IF([3]道具信息!D338="","",[3]道具信息!D338)</f>
        <v>高级间谍</v>
      </c>
      <c r="E338" s="37" t="str">
        <f>IF([3]道具信息!E338="","",[3]道具信息!E338)</f>
        <v/>
      </c>
      <c r="F338" s="37">
        <f>IF([3]道具信息!F338="","",[3]道具信息!F338)</f>
        <v>1</v>
      </c>
      <c r="G338" s="37">
        <f>IF([3]道具信息!G338="","",[3]道具信息!G338)</f>
        <v>1</v>
      </c>
      <c r="H338" s="37">
        <f>IF([3]道具信息!H338="","",[3]道具信息!H338)</f>
        <v>1</v>
      </c>
      <c r="I338" s="37" t="str">
        <f>IF([3]道具信息!I338="","",[3]道具信息!I338)</f>
        <v/>
      </c>
      <c r="J338" s="37" t="str">
        <f>IF([3]道具信息!J338="","",[3]道具信息!J338)</f>
        <v/>
      </c>
      <c r="K338" s="37" t="str">
        <f>IF([3]道具信息!K338="","",[3]道具信息!K338)</f>
        <v/>
      </c>
      <c r="L338" s="37" t="str">
        <f>IF([3]道具信息!L338="","",[3]道具信息!L338)</f>
        <v/>
      </c>
      <c r="M338" s="37" t="str">
        <f>IF([3]道具信息!M338="","",[3]道具信息!M338)</f>
        <v/>
      </c>
      <c r="N338" s="37"/>
      <c r="O338" s="37" t="str">
        <f>IF([3]道具信息!O338="","",[3]道具信息!O338)</f>
        <v/>
      </c>
      <c r="P338" s="37" t="str">
        <f>IF([3]道具信息!P338="","",[3]道具信息!P338)</f>
        <v/>
      </c>
      <c r="Q338" s="37" t="str">
        <f>IF([3]道具信息!Q338="","",[3]道具信息!Q338)</f>
        <v/>
      </c>
    </row>
    <row r="339" spans="3:17" x14ac:dyDescent="0.15">
      <c r="C339" s="37">
        <f>IF([3]道具信息!C339="","",[3]道具信息!C339)</f>
        <v>180022</v>
      </c>
      <c r="D339" s="37" t="str">
        <f>IF([3]道具信息!D339="","",[3]道具信息!D339)</f>
        <v>高级刺客</v>
      </c>
      <c r="E339" s="37" t="str">
        <f>IF([3]道具信息!E339="","",[3]道具信息!E339)</f>
        <v/>
      </c>
      <c r="F339" s="37">
        <f>IF([3]道具信息!F339="","",[3]道具信息!F339)</f>
        <v>1</v>
      </c>
      <c r="G339" s="37">
        <f>IF([3]道具信息!G339="","",[3]道具信息!G339)</f>
        <v>1</v>
      </c>
      <c r="H339" s="37">
        <f>IF([3]道具信息!H339="","",[3]道具信息!H339)</f>
        <v>1</v>
      </c>
      <c r="I339" s="37" t="str">
        <f>IF([3]道具信息!I339="","",[3]道具信息!I339)</f>
        <v/>
      </c>
      <c r="J339" s="37" t="str">
        <f>IF([3]道具信息!J339="","",[3]道具信息!J339)</f>
        <v/>
      </c>
      <c r="K339" s="37" t="str">
        <f>IF([3]道具信息!K339="","",[3]道具信息!K339)</f>
        <v/>
      </c>
      <c r="L339" s="37" t="str">
        <f>IF([3]道具信息!L339="","",[3]道具信息!L339)</f>
        <v/>
      </c>
      <c r="M339" s="37" t="str">
        <f>IF([3]道具信息!M339="","",[3]道具信息!M339)</f>
        <v/>
      </c>
      <c r="N339" s="37"/>
      <c r="O339" s="37" t="str">
        <f>IF([3]道具信息!O339="","",[3]道具信息!O339)</f>
        <v/>
      </c>
      <c r="P339" s="37" t="str">
        <f>IF([3]道具信息!P339="","",[3]道具信息!P339)</f>
        <v/>
      </c>
      <c r="Q339" s="37" t="str">
        <f>IF([3]道具信息!Q339="","",[3]道具信息!Q339)</f>
        <v/>
      </c>
    </row>
    <row r="340" spans="3:17" x14ac:dyDescent="0.15">
      <c r="C340" s="37">
        <f>IF([3]道具信息!C340="","",[3]道具信息!C340)</f>
        <v>23521</v>
      </c>
      <c r="D340" s="37" t="str">
        <f>IF([3]道具信息!D340="","",[3]道具信息!D340)</f>
        <v>将军印碎片</v>
      </c>
      <c r="E340" s="37" t="str">
        <f>IF([3]道具信息!E340="","",[3]道具信息!E340)</f>
        <v/>
      </c>
      <c r="F340" s="37">
        <f>IF([3]道具信息!F340="","",[3]道具信息!F340)</f>
        <v>1</v>
      </c>
      <c r="G340" s="37">
        <f>IF([3]道具信息!G340="","",[3]道具信息!G340)</f>
        <v>1</v>
      </c>
      <c r="H340" s="37">
        <f>IF([3]道具信息!H340="","",[3]道具信息!H340)</f>
        <v>1</v>
      </c>
      <c r="I340" s="37" t="str">
        <f>IF([3]道具信息!I340="","",[3]道具信息!I340)</f>
        <v/>
      </c>
      <c r="J340" s="37" t="str">
        <f>IF([3]道具信息!J340="","",[3]道具信息!J340)</f>
        <v/>
      </c>
      <c r="K340" s="37" t="str">
        <f>IF([3]道具信息!K340="","",[3]道具信息!K340)</f>
        <v/>
      </c>
      <c r="L340" s="37" t="str">
        <f>IF([3]道具信息!L340="","",[3]道具信息!L340)</f>
        <v/>
      </c>
      <c r="M340" s="37" t="str">
        <f>IF([3]道具信息!M340="","",[3]道具信息!M340)</f>
        <v/>
      </c>
      <c r="N340" s="37"/>
      <c r="O340" s="37" t="str">
        <f>IF([3]道具信息!O340="","",[3]道具信息!O340)</f>
        <v/>
      </c>
      <c r="P340" s="37" t="str">
        <f>IF([3]道具信息!P340="","",[3]道具信息!P340)</f>
        <v/>
      </c>
      <c r="Q340" s="37" t="str">
        <f>IF([3]道具信息!Q340="","",[3]道具信息!Q340)</f>
        <v/>
      </c>
    </row>
    <row r="341" spans="3:17" x14ac:dyDescent="0.15">
      <c r="C341" s="37">
        <f>IF([3]道具信息!C341="","",[3]道具信息!C341)</f>
        <v>23542</v>
      </c>
      <c r="D341" s="37" t="str">
        <f>IF([3]道具信息!D341="","",[3]道具信息!D341)</f>
        <v>十方装备宝箱碎片</v>
      </c>
      <c r="E341" s="37" t="str">
        <f>IF([3]道具信息!E341="","",[3]道具信息!E341)</f>
        <v/>
      </c>
      <c r="F341" s="37">
        <f>IF([3]道具信息!F341="","",[3]道具信息!F341)</f>
        <v>1</v>
      </c>
      <c r="G341" s="37">
        <f>IF([3]道具信息!G341="","",[3]道具信息!G341)</f>
        <v>1</v>
      </c>
      <c r="H341" s="37">
        <f>IF([3]道具信息!H341="","",[3]道具信息!H341)</f>
        <v>1</v>
      </c>
      <c r="I341" s="37" t="str">
        <f>IF([3]道具信息!I341="","",[3]道具信息!I341)</f>
        <v/>
      </c>
      <c r="J341" s="37" t="str">
        <f>IF([3]道具信息!J341="","",[3]道具信息!J341)</f>
        <v/>
      </c>
      <c r="K341" s="37" t="str">
        <f>IF([3]道具信息!K341="","",[3]道具信息!K341)</f>
        <v/>
      </c>
      <c r="L341" s="37" t="str">
        <f>IF([3]道具信息!L341="","",[3]道具信息!L341)</f>
        <v/>
      </c>
      <c r="M341" s="37" t="str">
        <f>IF([3]道具信息!M341="","",[3]道具信息!M341)</f>
        <v/>
      </c>
      <c r="N341" s="37"/>
      <c r="O341" s="37" t="str">
        <f>IF([3]道具信息!O341="","",[3]道具信息!O341)</f>
        <v/>
      </c>
      <c r="P341" s="37" t="str">
        <f>IF([3]道具信息!P341="","",[3]道具信息!P341)</f>
        <v/>
      </c>
      <c r="Q341" s="37" t="str">
        <f>IF([3]道具信息!Q341="","",[3]道具信息!Q341)</f>
        <v/>
      </c>
    </row>
    <row r="342" spans="3:17" x14ac:dyDescent="0.15">
      <c r="C342" s="37">
        <f>IF([3]道具信息!C342="","",[3]道具信息!C342)</f>
        <v>23543</v>
      </c>
      <c r="D342" s="37" t="str">
        <f>IF([3]道具信息!D342="","",[3]道具信息!D342)</f>
        <v>墨霜装备宝箱碎片</v>
      </c>
      <c r="E342" s="37" t="str">
        <f>IF([3]道具信息!E342="","",[3]道具信息!E342)</f>
        <v/>
      </c>
      <c r="F342" s="37">
        <f>IF([3]道具信息!F342="","",[3]道具信息!F342)</f>
        <v>1</v>
      </c>
      <c r="G342" s="37">
        <f>IF([3]道具信息!G342="","",[3]道具信息!G342)</f>
        <v>1</v>
      </c>
      <c r="H342" s="37">
        <f>IF([3]道具信息!H342="","",[3]道具信息!H342)</f>
        <v>1</v>
      </c>
      <c r="I342" s="37" t="str">
        <f>IF([3]道具信息!I342="","",[3]道具信息!I342)</f>
        <v/>
      </c>
      <c r="J342" s="37" t="str">
        <f>IF([3]道具信息!J342="","",[3]道具信息!J342)</f>
        <v/>
      </c>
      <c r="K342" s="37" t="str">
        <f>IF([3]道具信息!K342="","",[3]道具信息!K342)</f>
        <v/>
      </c>
      <c r="L342" s="37" t="str">
        <f>IF([3]道具信息!L342="","",[3]道具信息!L342)</f>
        <v/>
      </c>
      <c r="M342" s="37" t="str">
        <f>IF([3]道具信息!M342="","",[3]道具信息!M342)</f>
        <v/>
      </c>
      <c r="N342" s="37"/>
      <c r="O342" s="37" t="str">
        <f>IF([3]道具信息!O342="","",[3]道具信息!O342)</f>
        <v/>
      </c>
      <c r="P342" s="37" t="str">
        <f>IF([3]道具信息!P342="","",[3]道具信息!P342)</f>
        <v/>
      </c>
      <c r="Q342" s="37" t="str">
        <f>IF([3]道具信息!Q342="","",[3]道具信息!Q342)</f>
        <v/>
      </c>
    </row>
    <row r="343" spans="3:17" x14ac:dyDescent="0.15">
      <c r="C343" s="37" t="str">
        <f>IF([3]道具信息!C343="","",[3]道具信息!C343)</f>
        <v/>
      </c>
      <c r="D343" s="37" t="str">
        <f>IF([3]道具信息!D343="","",[3]道具信息!D343)</f>
        <v/>
      </c>
      <c r="E343" s="37" t="str">
        <f>IF([3]道具信息!E343="","",[3]道具信息!E343)</f>
        <v/>
      </c>
      <c r="F343" s="37">
        <f>IF([3]道具信息!F343="","",[3]道具信息!F343)</f>
        <v>1</v>
      </c>
      <c r="G343" s="37">
        <f>IF([3]道具信息!G343="","",[3]道具信息!G343)</f>
        <v>1</v>
      </c>
      <c r="H343" s="37">
        <f>IF([3]道具信息!H343="","",[3]道具信息!H343)</f>
        <v>1</v>
      </c>
      <c r="I343" s="37" t="str">
        <f>IF([3]道具信息!I343="","",[3]道具信息!I343)</f>
        <v/>
      </c>
      <c r="J343" s="37" t="str">
        <f>IF([3]道具信息!J343="","",[3]道具信息!J343)</f>
        <v/>
      </c>
      <c r="K343" s="37" t="str">
        <f>IF([3]道具信息!K343="","",[3]道具信息!K343)</f>
        <v/>
      </c>
      <c r="L343" s="37" t="str">
        <f>IF([3]道具信息!L343="","",[3]道具信息!L343)</f>
        <v/>
      </c>
      <c r="M343" s="37" t="str">
        <f>IF([3]道具信息!M343="","",[3]道具信息!M343)</f>
        <v/>
      </c>
      <c r="N343" s="37"/>
      <c r="O343" s="37" t="str">
        <f>IF([3]道具信息!O343="","",[3]道具信息!O343)</f>
        <v/>
      </c>
      <c r="P343" s="37" t="str">
        <f>IF([3]道具信息!P343="","",[3]道具信息!P343)</f>
        <v/>
      </c>
      <c r="Q343" s="37" t="str">
        <f>IF([3]道具信息!Q343="","",[3]道具信息!Q343)</f>
        <v/>
      </c>
    </row>
    <row r="344" spans="3:17" x14ac:dyDescent="0.15">
      <c r="C344" s="37">
        <f>IF([3]道具信息!C344="","",[3]道具信息!C344)</f>
        <v>23356</v>
      </c>
      <c r="D344" s="37" t="str">
        <f>IF([3]道具信息!D344="","",[3]道具信息!D344)</f>
        <v>紫色藏宝图</v>
      </c>
      <c r="E344" s="37">
        <f>IF([3]道具信息!E344="","",[3]道具信息!E344)</f>
        <v>300</v>
      </c>
      <c r="F344" s="37">
        <f>IF([3]道具信息!F344="","",[3]道具信息!F344)</f>
        <v>1</v>
      </c>
      <c r="G344" s="37">
        <f>IF([3]道具信息!G344="","",[3]道具信息!G344)</f>
        <v>1</v>
      </c>
      <c r="H344" s="37">
        <f>IF([3]道具信息!H344="","",[3]道具信息!H344)</f>
        <v>1</v>
      </c>
      <c r="I344" s="37">
        <f>IF([3]道具信息!I344="","",[3]道具信息!I344)</f>
        <v>300</v>
      </c>
      <c r="J344" s="37">
        <f>IF([3]道具信息!J344="","",[3]道具信息!J344)</f>
        <v>300</v>
      </c>
      <c r="K344" s="37">
        <f>IF([3]道具信息!K344="","",[3]道具信息!K344)</f>
        <v>300</v>
      </c>
      <c r="L344" s="37" t="str">
        <f>IF([3]道具信息!L344="","",[3]道具信息!L344)</f>
        <v/>
      </c>
      <c r="M344" s="37" t="str">
        <f>IF([3]道具信息!M344="","",[3]道具信息!M344)</f>
        <v/>
      </c>
      <c r="N344" s="37"/>
      <c r="O344" s="37" t="str">
        <f>IF([3]道具信息!O344="","",[3]道具信息!O344)</f>
        <v/>
      </c>
      <c r="P344" s="37" t="str">
        <f>IF([3]道具信息!P344="","",[3]道具信息!P344)</f>
        <v/>
      </c>
      <c r="Q344" s="37" t="str">
        <f>IF([3]道具信息!Q344="","",[3]道具信息!Q344)</f>
        <v/>
      </c>
    </row>
    <row r="345" spans="3:17" x14ac:dyDescent="0.15">
      <c r="C345" s="37">
        <f>IF([3]道具信息!C345="","",[3]道具信息!C345)</f>
        <v>23541</v>
      </c>
      <c r="D345" s="37" t="str">
        <f>IF([3]道具信息!D345="","",[3]道具信息!D345)</f>
        <v>宝物精华小宝箱</v>
      </c>
      <c r="E345" s="37">
        <f>IF([3]道具信息!E345="","",[3]道具信息!E345)</f>
        <v>100</v>
      </c>
      <c r="F345" s="37">
        <f>IF([3]道具信息!F345="","",[3]道具信息!F345)</f>
        <v>1</v>
      </c>
      <c r="G345" s="37">
        <f>IF([3]道具信息!G345="","",[3]道具信息!G345)</f>
        <v>1</v>
      </c>
      <c r="H345" s="37">
        <f>IF([3]道具信息!H345="","",[3]道具信息!H345)</f>
        <v>1</v>
      </c>
      <c r="I345" s="37">
        <f>IF([3]道具信息!I345="","",[3]道具信息!I345)</f>
        <v>100</v>
      </c>
      <c r="J345" s="37">
        <f>IF([3]道具信息!J345="","",[3]道具信息!J345)</f>
        <v>100</v>
      </c>
      <c r="K345" s="37">
        <f>IF([3]道具信息!K345="","",[3]道具信息!K345)</f>
        <v>100</v>
      </c>
      <c r="L345" s="37" t="str">
        <f>IF([3]道具信息!L345="","",[3]道具信息!L345)</f>
        <v/>
      </c>
      <c r="M345" s="37" t="str">
        <f>IF([3]道具信息!M345="","",[3]道具信息!M345)</f>
        <v/>
      </c>
      <c r="N345" s="37"/>
      <c r="O345" s="37" t="str">
        <f>IF([3]道具信息!O345="","",[3]道具信息!O345)</f>
        <v/>
      </c>
      <c r="P345" s="37" t="str">
        <f>IF([3]道具信息!P345="","",[3]道具信息!P345)</f>
        <v/>
      </c>
      <c r="Q345" s="37" t="str">
        <f>IF([3]道具信息!Q345="","",[3]道具信息!Q345)</f>
        <v/>
      </c>
    </row>
    <row r="346" spans="3:17" x14ac:dyDescent="0.15">
      <c r="C346" s="37">
        <f>IF([3]道具信息!C346="","",[3]道具信息!C346)</f>
        <v>23537</v>
      </c>
      <c r="D346" s="37" t="str">
        <f>IF([3]道具信息!D346="","",[3]道具信息!D346)</f>
        <v>文心宝箱</v>
      </c>
      <c r="E346" s="37">
        <f>IF([3]道具信息!E346="","",[3]道具信息!E346)</f>
        <v>200</v>
      </c>
      <c r="F346" s="37">
        <f>IF([3]道具信息!F346="","",[3]道具信息!F346)</f>
        <v>1</v>
      </c>
      <c r="G346" s="37">
        <f>IF([3]道具信息!G346="","",[3]道具信息!G346)</f>
        <v>1</v>
      </c>
      <c r="H346" s="37">
        <f>IF([3]道具信息!H346="","",[3]道具信息!H346)</f>
        <v>1</v>
      </c>
      <c r="I346" s="37">
        <f>IF([3]道具信息!I346="","",[3]道具信息!I346)</f>
        <v>200</v>
      </c>
      <c r="J346" s="37">
        <f>IF([3]道具信息!J346="","",[3]道具信息!J346)</f>
        <v>200</v>
      </c>
      <c r="K346" s="37">
        <f>IF([3]道具信息!K346="","",[3]道具信息!K346)</f>
        <v>200</v>
      </c>
      <c r="L346" s="37" t="str">
        <f>IF([3]道具信息!L346="","",[3]道具信息!L346)</f>
        <v/>
      </c>
      <c r="M346" s="37" t="str">
        <f>IF([3]道具信息!M346="","",[3]道具信息!M346)</f>
        <v/>
      </c>
      <c r="N346" s="37"/>
      <c r="O346" s="37" t="str">
        <f>IF([3]道具信息!O346="","",[3]道具信息!O346)</f>
        <v/>
      </c>
      <c r="P346" s="37" t="str">
        <f>IF([3]道具信息!P346="","",[3]道具信息!P346)</f>
        <v/>
      </c>
      <c r="Q346" s="37" t="str">
        <f>IF([3]道具信息!Q346="","",[3]道具信息!Q346)</f>
        <v/>
      </c>
    </row>
    <row r="347" spans="3:17" x14ac:dyDescent="0.15">
      <c r="C347" s="37">
        <f>IF([3]道具信息!C347="","",[3]道具信息!C347)</f>
        <v>23540</v>
      </c>
      <c r="D347" s="37" t="str">
        <f>IF([3]道具信息!D347="","",[3]道具信息!D347)</f>
        <v>500偕作玉宝箱</v>
      </c>
      <c r="E347" s="37">
        <f>IF([3]道具信息!E347="","",[3]道具信息!E347)</f>
        <v>500</v>
      </c>
      <c r="F347" s="37">
        <f>IF([3]道具信息!F347="","",[3]道具信息!F347)</f>
        <v>1</v>
      </c>
      <c r="G347" s="37">
        <f>IF([3]道具信息!G347="","",[3]道具信息!G347)</f>
        <v>1</v>
      </c>
      <c r="H347" s="37">
        <f>IF([3]道具信息!H347="","",[3]道具信息!H347)</f>
        <v>1</v>
      </c>
      <c r="I347" s="37">
        <f>IF([3]道具信息!I347="","",[3]道具信息!I347)</f>
        <v>500</v>
      </c>
      <c r="J347" s="37">
        <f>IF([3]道具信息!J347="","",[3]道具信息!J347)</f>
        <v>500</v>
      </c>
      <c r="K347" s="37">
        <f>IF([3]道具信息!K347="","",[3]道具信息!K347)</f>
        <v>500</v>
      </c>
      <c r="L347" s="37" t="str">
        <f>IF([3]道具信息!L347="","",[3]道具信息!L347)</f>
        <v/>
      </c>
      <c r="M347" s="37" t="str">
        <f>IF([3]道具信息!M347="","",[3]道具信息!M347)</f>
        <v/>
      </c>
      <c r="N347" s="37"/>
      <c r="O347" s="37" t="str">
        <f>IF([3]道具信息!O347="","",[3]道具信息!O347)</f>
        <v/>
      </c>
      <c r="P347" s="37" t="str">
        <f>IF([3]道具信息!P347="","",[3]道具信息!P347)</f>
        <v/>
      </c>
      <c r="Q347" s="37" t="str">
        <f>IF([3]道具信息!Q347="","",[3]道具信息!Q347)</f>
        <v/>
      </c>
    </row>
    <row r="348" spans="3:17" x14ac:dyDescent="0.15">
      <c r="C348" s="37">
        <f>IF([3]道具信息!C348="","",[3]道具信息!C348)</f>
        <v>90510</v>
      </c>
      <c r="D348" s="37" t="str">
        <f>IF([3]道具信息!D348="","",[3]道具信息!D348)</f>
        <v>偕作玉</v>
      </c>
      <c r="E348" s="37">
        <f>IF([3]道具信息!E348="","",[3]道具信息!E348)</f>
        <v>1</v>
      </c>
      <c r="F348" s="37">
        <f>IF([3]道具信息!F348="","",[3]道具信息!F348)</f>
        <v>1</v>
      </c>
      <c r="G348" s="37">
        <f>IF([3]道具信息!G348="","",[3]道具信息!G348)</f>
        <v>1</v>
      </c>
      <c r="H348" s="37">
        <f>IF([3]道具信息!H348="","",[3]道具信息!H348)</f>
        <v>1</v>
      </c>
      <c r="I348" s="37">
        <f>IF([3]道具信息!I348="","",[3]道具信息!I348)</f>
        <v>1</v>
      </c>
      <c r="J348" s="37">
        <f>IF([3]道具信息!J348="","",[3]道具信息!J348)</f>
        <v>1</v>
      </c>
      <c r="K348" s="37">
        <f>IF([3]道具信息!K348="","",[3]道具信息!K348)</f>
        <v>1</v>
      </c>
      <c r="L348" s="37" t="str">
        <f>IF([3]道具信息!L348="","",[3]道具信息!L348)</f>
        <v/>
      </c>
      <c r="M348" s="37" t="str">
        <f>IF([3]道具信息!M348="","",[3]道具信息!M348)</f>
        <v/>
      </c>
      <c r="N348" s="37"/>
      <c r="O348" s="37" t="str">
        <f>IF([3]道具信息!O348="","",[3]道具信息!O348)</f>
        <v/>
      </c>
      <c r="P348" s="37" t="str">
        <f>IF([3]道具信息!P348="","",[3]道具信息!P348)</f>
        <v/>
      </c>
      <c r="Q348" s="37" t="str">
        <f>IF([3]道具信息!Q348="","",[3]道具信息!Q348)</f>
        <v/>
      </c>
    </row>
    <row r="349" spans="3:17" x14ac:dyDescent="0.15">
      <c r="C349" s="37">
        <f>IF([3]道具信息!C349="","",[3]道具信息!C349)</f>
        <v>90512</v>
      </c>
      <c r="D349" s="37" t="str">
        <f>IF([3]道具信息!D349="","",[3]道具信息!D349)</f>
        <v>文心</v>
      </c>
      <c r="E349" s="37">
        <f>IF([3]道具信息!E349="","",[3]道具信息!E349)</f>
        <v>0.33333333333333331</v>
      </c>
      <c r="F349" s="37">
        <f>IF([3]道具信息!F349="","",[3]道具信息!F349)</f>
        <v>1</v>
      </c>
      <c r="G349" s="37">
        <f>IF([3]道具信息!G349="","",[3]道具信息!G349)</f>
        <v>1</v>
      </c>
      <c r="H349" s="37">
        <f>IF([3]道具信息!H349="","",[3]道具信息!H349)</f>
        <v>1</v>
      </c>
      <c r="I349" s="37">
        <f>IF([3]道具信息!I349="","",[3]道具信息!I349)</f>
        <v>0.33333333333333331</v>
      </c>
      <c r="J349" s="37">
        <f>IF([3]道具信息!J349="","",[3]道具信息!J349)</f>
        <v>0.33333333333333331</v>
      </c>
      <c r="K349" s="37">
        <f>IF([3]道具信息!K349="","",[3]道具信息!K349)</f>
        <v>0.33333333333333331</v>
      </c>
      <c r="L349" s="37" t="str">
        <f>IF([3]道具信息!L349="","",[3]道具信息!L349)</f>
        <v/>
      </c>
      <c r="M349" s="37" t="str">
        <f>IF([3]道具信息!M349="","",[3]道具信息!M349)</f>
        <v/>
      </c>
      <c r="N349" s="37"/>
      <c r="O349" s="37" t="str">
        <f>IF([3]道具信息!O349="","",[3]道具信息!O349)</f>
        <v/>
      </c>
      <c r="P349" s="37" t="str">
        <f>IF([3]道具信息!P349="","",[3]道具信息!P349)</f>
        <v/>
      </c>
      <c r="Q349" s="37" t="str">
        <f>IF([3]道具信息!Q349="","",[3]道具信息!Q349)</f>
        <v/>
      </c>
    </row>
    <row r="350" spans="3:17" x14ac:dyDescent="0.15">
      <c r="C350" s="37">
        <f>IF([3]道具信息!C350="","",[3]道具信息!C350)</f>
        <v>90513</v>
      </c>
      <c r="D350" s="37" t="str">
        <f>IF([3]道具信息!D350="","",[3]道具信息!D350)</f>
        <v>宝物精华</v>
      </c>
      <c r="E350" s="37">
        <f>IF([3]道具信息!E350="","",[3]道具信息!E350)</f>
        <v>100</v>
      </c>
      <c r="F350" s="37">
        <f>IF([3]道具信息!F350="","",[3]道具信息!F350)</f>
        <v>1</v>
      </c>
      <c r="G350" s="37">
        <f>IF([3]道具信息!G350="","",[3]道具信息!G350)</f>
        <v>1</v>
      </c>
      <c r="H350" s="37">
        <f>IF([3]道具信息!H350="","",[3]道具信息!H350)</f>
        <v>1</v>
      </c>
      <c r="I350" s="37">
        <f>IF([3]道具信息!I350="","",[3]道具信息!I350)</f>
        <v>100</v>
      </c>
      <c r="J350" s="37">
        <f>IF([3]道具信息!J350="","",[3]道具信息!J350)</f>
        <v>100</v>
      </c>
      <c r="K350" s="37">
        <f>IF([3]道具信息!K350="","",[3]道具信息!K350)</f>
        <v>100</v>
      </c>
      <c r="L350" s="37" t="str">
        <f>IF([3]道具信息!L350="","",[3]道具信息!L350)</f>
        <v/>
      </c>
      <c r="M350" s="37" t="str">
        <f>IF([3]道具信息!M350="","",[3]道具信息!M350)</f>
        <v/>
      </c>
      <c r="N350" s="37"/>
      <c r="O350" s="37" t="str">
        <f>IF([3]道具信息!O350="","",[3]道具信息!O350)</f>
        <v/>
      </c>
      <c r="P350" s="37" t="str">
        <f>IF([3]道具信息!P350="","",[3]道具信息!P350)</f>
        <v/>
      </c>
      <c r="Q350" s="37" t="str">
        <f>IF([3]道具信息!Q350="","",[3]道具信息!Q350)</f>
        <v/>
      </c>
    </row>
    <row r="351" spans="3:17" x14ac:dyDescent="0.15">
      <c r="C351" s="37">
        <f>IF([3]道具信息!C351="","",[3]道具信息!C351)</f>
        <v>23652</v>
      </c>
      <c r="D351" s="37" t="str">
        <f>IF([3]道具信息!D351="","",[3]道具信息!D351)</f>
        <v>流云装备宝箱碎片</v>
      </c>
      <c r="E351" s="37" t="str">
        <f>IF([3]道具信息!E351="","",[3]道具信息!E351)</f>
        <v/>
      </c>
      <c r="F351" s="37">
        <f>IF([3]道具信息!F351="","",[3]道具信息!F351)</f>
        <v>1</v>
      </c>
      <c r="G351" s="37">
        <f>IF([3]道具信息!G351="","",[3]道具信息!G351)</f>
        <v>1</v>
      </c>
      <c r="H351" s="37">
        <f>IF([3]道具信息!H351="","",[3]道具信息!H351)</f>
        <v>1</v>
      </c>
      <c r="I351" s="37" t="str">
        <f>IF([3]道具信息!I351="","",[3]道具信息!I351)</f>
        <v/>
      </c>
      <c r="J351" s="37" t="str">
        <f>IF([3]道具信息!J351="","",[3]道具信息!J351)</f>
        <v/>
      </c>
      <c r="K351" s="37" t="str">
        <f>IF([3]道具信息!K351="","",[3]道具信息!K351)</f>
        <v/>
      </c>
      <c r="L351" s="37" t="str">
        <f>IF([3]道具信息!L351="","",[3]道具信息!L351)</f>
        <v/>
      </c>
      <c r="M351" s="37" t="str">
        <f>IF([3]道具信息!M351="","",[3]道具信息!M351)</f>
        <v/>
      </c>
      <c r="N351" s="37"/>
      <c r="O351" s="37" t="str">
        <f>IF([3]道具信息!O351="","",[3]道具信息!O351)</f>
        <v/>
      </c>
      <c r="P351" s="37" t="str">
        <f>IF([3]道具信息!P351="","",[3]道具信息!P351)</f>
        <v/>
      </c>
      <c r="Q351" s="37" t="str">
        <f>IF([3]道具信息!Q351="","",[3]道具信息!Q351)</f>
        <v/>
      </c>
    </row>
    <row r="352" spans="3:17" x14ac:dyDescent="0.15">
      <c r="C352" s="37">
        <f>IF([3]道具信息!C352="","",[3]道具信息!C352)</f>
        <v>23658</v>
      </c>
      <c r="D352" s="37" t="str">
        <f>IF([3]道具信息!D352="","",[3]道具信息!D352)</f>
        <v>乱世王者碎片</v>
      </c>
      <c r="E352" s="37" t="str">
        <f>IF([3]道具信息!E352="","",[3]道具信息!E352)</f>
        <v/>
      </c>
      <c r="F352" s="37">
        <f>IF([3]道具信息!F352="","",[3]道具信息!F352)</f>
        <v>1</v>
      </c>
      <c r="G352" s="37">
        <f>IF([3]道具信息!G352="","",[3]道具信息!G352)</f>
        <v>1</v>
      </c>
      <c r="H352" s="37">
        <f>IF([3]道具信息!H352="","",[3]道具信息!H352)</f>
        <v>1</v>
      </c>
      <c r="I352" s="37" t="str">
        <f>IF([3]道具信息!I352="","",[3]道具信息!I352)</f>
        <v/>
      </c>
      <c r="J352" s="37" t="str">
        <f>IF([3]道具信息!J352="","",[3]道具信息!J352)</f>
        <v/>
      </c>
      <c r="K352" s="37" t="str">
        <f>IF([3]道具信息!K352="","",[3]道具信息!K352)</f>
        <v/>
      </c>
      <c r="L352" s="37" t="str">
        <f>IF([3]道具信息!L352="","",[3]道具信息!L352)</f>
        <v/>
      </c>
      <c r="M352" s="37" t="str">
        <f>IF([3]道具信息!M352="","",[3]道具信息!M352)</f>
        <v/>
      </c>
      <c r="N352" s="37"/>
      <c r="O352" s="37" t="str">
        <f>IF([3]道具信息!O352="","",[3]道具信息!O352)</f>
        <v/>
      </c>
      <c r="P352" s="37" t="str">
        <f>IF([3]道具信息!P352="","",[3]道具信息!P352)</f>
        <v/>
      </c>
      <c r="Q352" s="37" t="str">
        <f>IF([3]道具信息!Q352="","",[3]道具信息!Q352)</f>
        <v/>
      </c>
    </row>
    <row r="353" spans="3:17" x14ac:dyDescent="0.15">
      <c r="C353" s="37" t="str">
        <f>IF([3]道具信息!C353="","",[3]道具信息!C353)</f>
        <v/>
      </c>
      <c r="D353" s="37" t="str">
        <f>IF([3]道具信息!D353="","",[3]道具信息!D353)</f>
        <v/>
      </c>
      <c r="E353" s="37" t="str">
        <f>IF([3]道具信息!E353="","",[3]道具信息!E353)</f>
        <v/>
      </c>
      <c r="F353" s="37">
        <f>IF([3]道具信息!F353="","",[3]道具信息!F353)</f>
        <v>1</v>
      </c>
      <c r="G353" s="37">
        <f>IF([3]道具信息!G353="","",[3]道具信息!G353)</f>
        <v>1</v>
      </c>
      <c r="H353" s="37">
        <f>IF([3]道具信息!H353="","",[3]道具信息!H353)</f>
        <v>1</v>
      </c>
      <c r="I353" s="37" t="str">
        <f>IF([3]道具信息!I353="","",[3]道具信息!I353)</f>
        <v/>
      </c>
      <c r="J353" s="37" t="str">
        <f>IF([3]道具信息!J353="","",[3]道具信息!J353)</f>
        <v/>
      </c>
      <c r="K353" s="37" t="str">
        <f>IF([3]道具信息!K353="","",[3]道具信息!K353)</f>
        <v/>
      </c>
      <c r="L353" s="37" t="str">
        <f>IF([3]道具信息!L353="","",[3]道具信息!L353)</f>
        <v/>
      </c>
      <c r="M353" s="37" t="str">
        <f>IF([3]道具信息!M353="","",[3]道具信息!M353)</f>
        <v/>
      </c>
      <c r="N353" s="37"/>
      <c r="O353" s="37" t="str">
        <f>IF([3]道具信息!O353="","",[3]道具信息!O353)</f>
        <v/>
      </c>
      <c r="P353" s="37" t="str">
        <f>IF([3]道具信息!P353="","",[3]道具信息!P353)</f>
        <v/>
      </c>
      <c r="Q353" s="37" t="str">
        <f>IF([3]道具信息!Q353="","",[3]道具信息!Q353)</f>
        <v/>
      </c>
    </row>
    <row r="354" spans="3:17" x14ac:dyDescent="0.15">
      <c r="C354" s="37">
        <f>IF([3]道具信息!C354="","",[3]道具信息!C354)</f>
        <v>23641</v>
      </c>
      <c r="D354" s="37" t="str">
        <f>IF([3]道具信息!D354="","",[3]道具信息!D354)</f>
        <v>普通加速宝箱</v>
      </c>
      <c r="E354" s="37">
        <f>IF([3]道具信息!E354="","",[3]道具信息!E354)</f>
        <v>40</v>
      </c>
      <c r="F354" s="37">
        <f>IF([3]道具信息!F354="","",[3]道具信息!F354)</f>
        <v>1</v>
      </c>
      <c r="G354" s="37">
        <f>IF([3]道具信息!G354="","",[3]道具信息!G354)</f>
        <v>1</v>
      </c>
      <c r="H354" s="37">
        <f>IF([3]道具信息!H354="","",[3]道具信息!H354)</f>
        <v>1</v>
      </c>
      <c r="I354" s="37">
        <f>IF([3]道具信息!I354="","",[3]道具信息!I354)</f>
        <v>40</v>
      </c>
      <c r="J354" s="37">
        <f>IF([3]道具信息!J354="","",[3]道具信息!J354)</f>
        <v>40</v>
      </c>
      <c r="K354" s="37">
        <f>IF([3]道具信息!K354="","",[3]道具信息!K354)</f>
        <v>40</v>
      </c>
      <c r="L354" s="37" t="str">
        <f>IF([3]道具信息!L354="","",[3]道具信息!L354)</f>
        <v/>
      </c>
      <c r="M354" s="37" t="str">
        <f>IF([3]道具信息!M354="","",[3]道具信息!M354)</f>
        <v/>
      </c>
      <c r="N354" s="37"/>
      <c r="O354" s="37" t="str">
        <f>IF([3]道具信息!O354="","",[3]道具信息!O354)</f>
        <v/>
      </c>
      <c r="P354" s="37" t="str">
        <f>IF([3]道具信息!P354="","",[3]道具信息!P354)</f>
        <v/>
      </c>
      <c r="Q354" s="37" t="str">
        <f>IF([3]道具信息!Q354="","",[3]道具信息!Q354)</f>
        <v/>
      </c>
    </row>
    <row r="355" spans="3:17" x14ac:dyDescent="0.15">
      <c r="C355" s="37">
        <f>IF([3]道具信息!C355="","",[3]道具信息!C355)</f>
        <v>23642</v>
      </c>
      <c r="D355" s="37" t="str">
        <f>IF([3]道具信息!D355="","",[3]道具信息!D355)</f>
        <v>初级加速宝箱</v>
      </c>
      <c r="E355" s="37">
        <f>IF([3]道具信息!E355="","",[3]道具信息!E355)</f>
        <v>100</v>
      </c>
      <c r="F355" s="37">
        <f>IF([3]道具信息!F355="","",[3]道具信息!F355)</f>
        <v>1</v>
      </c>
      <c r="G355" s="37">
        <f>IF([3]道具信息!G355="","",[3]道具信息!G355)</f>
        <v>1</v>
      </c>
      <c r="H355" s="37">
        <f>IF([3]道具信息!H355="","",[3]道具信息!H355)</f>
        <v>1</v>
      </c>
      <c r="I355" s="37">
        <f>IF([3]道具信息!I355="","",[3]道具信息!I355)</f>
        <v>100</v>
      </c>
      <c r="J355" s="37">
        <f>IF([3]道具信息!J355="","",[3]道具信息!J355)</f>
        <v>100</v>
      </c>
      <c r="K355" s="37">
        <f>IF([3]道具信息!K355="","",[3]道具信息!K355)</f>
        <v>100</v>
      </c>
      <c r="L355" s="37" t="str">
        <f>IF([3]道具信息!L355="","",[3]道具信息!L355)</f>
        <v/>
      </c>
      <c r="M355" s="37" t="str">
        <f>IF([3]道具信息!M355="","",[3]道具信息!M355)</f>
        <v/>
      </c>
      <c r="N355" s="37"/>
      <c r="O355" s="37" t="str">
        <f>IF([3]道具信息!O355="","",[3]道具信息!O355)</f>
        <v/>
      </c>
      <c r="P355" s="37" t="str">
        <f>IF([3]道具信息!P355="","",[3]道具信息!P355)</f>
        <v/>
      </c>
      <c r="Q355" s="37" t="str">
        <f>IF([3]道具信息!Q355="","",[3]道具信息!Q355)</f>
        <v/>
      </c>
    </row>
    <row r="356" spans="3:17" x14ac:dyDescent="0.15">
      <c r="C356" s="37">
        <f>IF([3]道具信息!C356="","",[3]道具信息!C356)</f>
        <v>23643</v>
      </c>
      <c r="D356" s="37" t="str">
        <f>IF([3]道具信息!D356="","",[3]道具信息!D356)</f>
        <v>中级加速宝箱</v>
      </c>
      <c r="E356" s="37">
        <f>IF([3]道具信息!E356="","",[3]道具信息!E356)</f>
        <v>250</v>
      </c>
      <c r="F356" s="37">
        <f>IF([3]道具信息!F356="","",[3]道具信息!F356)</f>
        <v>1.2</v>
      </c>
      <c r="G356" s="37">
        <f>IF([3]道具信息!G356="","",[3]道具信息!G356)</f>
        <v>1</v>
      </c>
      <c r="H356" s="37">
        <f>IF([3]道具信息!H356="","",[3]道具信息!H356)</f>
        <v>1</v>
      </c>
      <c r="I356" s="37">
        <f>IF([3]道具信息!I356="","",[3]道具信息!I356)</f>
        <v>300</v>
      </c>
      <c r="J356" s="37">
        <f>IF([3]道具信息!J356="","",[3]道具信息!J356)</f>
        <v>250</v>
      </c>
      <c r="K356" s="37">
        <f>IF([3]道具信息!K356="","",[3]道具信息!K356)</f>
        <v>250</v>
      </c>
      <c r="L356" s="37" t="str">
        <f>IF([3]道具信息!L356="","",[3]道具信息!L356)</f>
        <v/>
      </c>
      <c r="M356" s="37" t="str">
        <f>IF([3]道具信息!M356="","",[3]道具信息!M356)</f>
        <v/>
      </c>
      <c r="N356" s="37"/>
      <c r="O356" s="37" t="str">
        <f>IF([3]道具信息!O356="","",[3]道具信息!O356)</f>
        <v/>
      </c>
      <c r="P356" s="37" t="str">
        <f>IF([3]道具信息!P356="","",[3]道具信息!P356)</f>
        <v/>
      </c>
      <c r="Q356" s="37" t="str">
        <f>IF([3]道具信息!Q356="","",[3]道具信息!Q356)</f>
        <v/>
      </c>
    </row>
    <row r="357" spans="3:17" x14ac:dyDescent="0.15">
      <c r="C357" s="37">
        <f>IF([3]道具信息!C357="","",[3]道具信息!C357)</f>
        <v>23644</v>
      </c>
      <c r="D357" s="37" t="str">
        <f>IF([3]道具信息!D357="","",[3]道具信息!D357)</f>
        <v>高级加速宝箱</v>
      </c>
      <c r="E357" s="37">
        <f>IF([3]道具信息!E357="","",[3]道具信息!E357)</f>
        <v>500</v>
      </c>
      <c r="F357" s="37">
        <f>IF([3]道具信息!F357="","",[3]道具信息!F357)</f>
        <v>1.8</v>
      </c>
      <c r="G357" s="37">
        <f>IF([3]道具信息!G357="","",[3]道具信息!G357)</f>
        <v>1.5</v>
      </c>
      <c r="H357" s="37">
        <f>IF([3]道具信息!H357="","",[3]道具信息!H357)</f>
        <v>1</v>
      </c>
      <c r="I357" s="37">
        <f>IF([3]道具信息!I357="","",[3]道具信息!I357)</f>
        <v>900</v>
      </c>
      <c r="J357" s="37">
        <f>IF([3]道具信息!J357="","",[3]道具信息!J357)</f>
        <v>750</v>
      </c>
      <c r="K357" s="37">
        <f>IF([3]道具信息!K357="","",[3]道具信息!K357)</f>
        <v>500</v>
      </c>
      <c r="L357" s="37" t="str">
        <f>IF([3]道具信息!L357="","",[3]道具信息!L357)</f>
        <v/>
      </c>
      <c r="M357" s="37" t="str">
        <f>IF([3]道具信息!M357="","",[3]道具信息!M357)</f>
        <v/>
      </c>
      <c r="N357" s="37"/>
      <c r="O357" s="37" t="str">
        <f>IF([3]道具信息!O357="","",[3]道具信息!O357)</f>
        <v/>
      </c>
      <c r="P357" s="37" t="str">
        <f>IF([3]道具信息!P357="","",[3]道具信息!P357)</f>
        <v/>
      </c>
      <c r="Q357" s="37" t="str">
        <f>IF([3]道具信息!Q357="","",[3]道具信息!Q357)</f>
        <v/>
      </c>
    </row>
    <row r="358" spans="3:17" x14ac:dyDescent="0.15">
      <c r="C358" s="37">
        <f>IF([3]道具信息!C358="","",[3]道具信息!C358)</f>
        <v>23645</v>
      </c>
      <c r="D358" s="37" t="str">
        <f>IF([3]道具信息!D358="","",[3]道具信息!D358)</f>
        <v>特级加速宝箱</v>
      </c>
      <c r="E358" s="37">
        <f>IF([3]道具信息!E358="","",[3]道具信息!E358)</f>
        <v>800</v>
      </c>
      <c r="F358" s="37">
        <f>IF([3]道具信息!F358="","",[3]道具信息!F358)</f>
        <v>3</v>
      </c>
      <c r="G358" s="37">
        <f>IF([3]道具信息!G358="","",[3]道具信息!G358)</f>
        <v>2.5</v>
      </c>
      <c r="H358" s="37">
        <f>IF([3]道具信息!H358="","",[3]道具信息!H358)</f>
        <v>1</v>
      </c>
      <c r="I358" s="37">
        <f>IF([3]道具信息!I358="","",[3]道具信息!I358)</f>
        <v>2400</v>
      </c>
      <c r="J358" s="37">
        <f>IF([3]道具信息!J358="","",[3]道具信息!J358)</f>
        <v>2000</v>
      </c>
      <c r="K358" s="37">
        <f>IF([3]道具信息!K358="","",[3]道具信息!K358)</f>
        <v>800</v>
      </c>
      <c r="L358" s="37" t="str">
        <f>IF([3]道具信息!L358="","",[3]道具信息!L358)</f>
        <v/>
      </c>
      <c r="M358" s="37" t="str">
        <f>IF([3]道具信息!M358="","",[3]道具信息!M358)</f>
        <v/>
      </c>
      <c r="N358" s="37"/>
      <c r="O358" s="37" t="str">
        <f>IF([3]道具信息!O358="","",[3]道具信息!O358)</f>
        <v/>
      </c>
      <c r="P358" s="37" t="str">
        <f>IF([3]道具信息!P358="","",[3]道具信息!P358)</f>
        <v/>
      </c>
      <c r="Q358" s="37" t="str">
        <f>IF([3]道具信息!Q358="","",[3]道具信息!Q358)</f>
        <v/>
      </c>
    </row>
    <row r="359" spans="3:17" x14ac:dyDescent="0.15">
      <c r="C359" s="37" t="str">
        <f>IF([3]道具信息!C359="","",[3]道具信息!C359)</f>
        <v/>
      </c>
      <c r="D359" s="37" t="str">
        <f>IF([3]道具信息!D359="","",[3]道具信息!D359)</f>
        <v/>
      </c>
      <c r="E359" s="37" t="str">
        <f>IF([3]道具信息!E359="","",[3]道具信息!E359)</f>
        <v/>
      </c>
      <c r="F359" s="37">
        <f>IF([3]道具信息!F359="","",[3]道具信息!F359)</f>
        <v>1</v>
      </c>
      <c r="G359" s="37">
        <f>IF([3]道具信息!G359="","",[3]道具信息!G359)</f>
        <v>1</v>
      </c>
      <c r="H359" s="37">
        <f>IF([3]道具信息!H359="","",[3]道具信息!H359)</f>
        <v>1</v>
      </c>
      <c r="I359" s="37" t="str">
        <f>IF([3]道具信息!I359="","",[3]道具信息!I359)</f>
        <v/>
      </c>
      <c r="J359" s="37" t="str">
        <f>IF([3]道具信息!J359="","",[3]道具信息!J359)</f>
        <v/>
      </c>
      <c r="K359" s="37" t="str">
        <f>IF([3]道具信息!K359="","",[3]道具信息!K359)</f>
        <v/>
      </c>
      <c r="L359" s="37" t="str">
        <f>IF([3]道具信息!L359="","",[3]道具信息!L359)</f>
        <v/>
      </c>
      <c r="M359" s="37" t="str">
        <f>IF([3]道具信息!M359="","",[3]道具信息!M359)</f>
        <v/>
      </c>
      <c r="N359" s="37"/>
      <c r="O359" s="37" t="str">
        <f>IF([3]道具信息!O359="","",[3]道具信息!O359)</f>
        <v/>
      </c>
      <c r="P359" s="37" t="str">
        <f>IF([3]道具信息!P359="","",[3]道具信息!P359)</f>
        <v/>
      </c>
      <c r="Q359" s="37" t="str">
        <f>IF([3]道具信息!Q359="","",[3]道具信息!Q359)</f>
        <v/>
      </c>
    </row>
    <row r="360" spans="3:17" x14ac:dyDescent="0.15">
      <c r="C360" s="37" t="str">
        <f>IF([3]道具信息!C360="","",[3]道具信息!C360)</f>
        <v/>
      </c>
      <c r="D360" s="37" t="str">
        <f>IF([3]道具信息!D360="","",[3]道具信息!D360)</f>
        <v/>
      </c>
      <c r="E360" s="37" t="str">
        <f>IF([3]道具信息!E360="","",[3]道具信息!E360)</f>
        <v/>
      </c>
      <c r="F360" s="37">
        <f>IF([3]道具信息!F360="","",[3]道具信息!F360)</f>
        <v>1</v>
      </c>
      <c r="G360" s="37">
        <f>IF([3]道具信息!G360="","",[3]道具信息!G360)</f>
        <v>1</v>
      </c>
      <c r="H360" s="37">
        <f>IF([3]道具信息!H360="","",[3]道具信息!H360)</f>
        <v>1</v>
      </c>
      <c r="I360" s="37" t="str">
        <f>IF([3]道具信息!I360="","",[3]道具信息!I360)</f>
        <v/>
      </c>
      <c r="J360" s="37" t="str">
        <f>IF([3]道具信息!J360="","",[3]道具信息!J360)</f>
        <v/>
      </c>
      <c r="K360" s="37" t="str">
        <f>IF([3]道具信息!K360="","",[3]道具信息!K360)</f>
        <v/>
      </c>
      <c r="L360" s="37" t="str">
        <f>IF([3]道具信息!L360="","",[3]道具信息!L360)</f>
        <v/>
      </c>
      <c r="M360" s="37" t="str">
        <f>IF([3]道具信息!M360="","",[3]道具信息!M360)</f>
        <v/>
      </c>
      <c r="N360" s="37"/>
      <c r="O360" s="37" t="str">
        <f>IF([3]道具信息!O360="","",[3]道具信息!O360)</f>
        <v/>
      </c>
      <c r="P360" s="37" t="str">
        <f>IF([3]道具信息!P360="","",[3]道具信息!P360)</f>
        <v/>
      </c>
      <c r="Q360" s="37" t="str">
        <f>IF([3]道具信息!Q360="","",[3]道具信息!Q360)</f>
        <v/>
      </c>
    </row>
    <row r="361" spans="3:17" x14ac:dyDescent="0.15">
      <c r="C361" s="37" t="str">
        <f>IF([3]道具信息!C361="","",[3]道具信息!C361)</f>
        <v/>
      </c>
      <c r="D361" s="37" t="str">
        <f>IF([3]道具信息!D361="","",[3]道具信息!D361)</f>
        <v/>
      </c>
      <c r="E361" s="37" t="str">
        <f>IF([3]道具信息!E361="","",[3]道具信息!E361)</f>
        <v/>
      </c>
      <c r="F361" s="37">
        <f>IF([3]道具信息!F361="","",[3]道具信息!F361)</f>
        <v>1</v>
      </c>
      <c r="G361" s="37">
        <f>IF([3]道具信息!G361="","",[3]道具信息!G361)</f>
        <v>1</v>
      </c>
      <c r="H361" s="37">
        <f>IF([3]道具信息!H361="","",[3]道具信息!H361)</f>
        <v>1</v>
      </c>
      <c r="I361" s="37" t="str">
        <f>IF([3]道具信息!I361="","",[3]道具信息!I361)</f>
        <v/>
      </c>
      <c r="J361" s="37" t="str">
        <f>IF([3]道具信息!J361="","",[3]道具信息!J361)</f>
        <v/>
      </c>
      <c r="K361" s="37" t="str">
        <f>IF([3]道具信息!K361="","",[3]道具信息!K361)</f>
        <v/>
      </c>
      <c r="L361" s="37" t="str">
        <f>IF([3]道具信息!L361="","",[3]道具信息!L361)</f>
        <v/>
      </c>
      <c r="M361" s="37" t="str">
        <f>IF([3]道具信息!M361="","",[3]道具信息!M361)</f>
        <v/>
      </c>
      <c r="N361" s="37"/>
      <c r="O361" s="37" t="str">
        <f>IF([3]道具信息!O361="","",[3]道具信息!O361)</f>
        <v/>
      </c>
      <c r="P361" s="37" t="str">
        <f>IF([3]道具信息!P361="","",[3]道具信息!P361)</f>
        <v/>
      </c>
      <c r="Q361" s="37" t="str">
        <f>IF([3]道具信息!Q361="","",[3]道具信息!Q361)</f>
        <v/>
      </c>
    </row>
    <row r="362" spans="3:17" x14ac:dyDescent="0.15">
      <c r="C362" s="37" t="str">
        <f>IF([3]道具信息!C362="","",[3]道具信息!C362)</f>
        <v/>
      </c>
      <c r="D362" s="37" t="str">
        <f>IF([3]道具信息!D362="","",[3]道具信息!D362)</f>
        <v/>
      </c>
      <c r="E362" s="37" t="str">
        <f>IF([3]道具信息!E362="","",[3]道具信息!E362)</f>
        <v/>
      </c>
      <c r="F362" s="37">
        <f>IF([3]道具信息!F362="","",[3]道具信息!F362)</f>
        <v>1</v>
      </c>
      <c r="G362" s="37">
        <f>IF([3]道具信息!G362="","",[3]道具信息!G362)</f>
        <v>1</v>
      </c>
      <c r="H362" s="37">
        <f>IF([3]道具信息!H362="","",[3]道具信息!H362)</f>
        <v>1</v>
      </c>
      <c r="I362" s="37" t="str">
        <f>IF([3]道具信息!I362="","",[3]道具信息!I362)</f>
        <v/>
      </c>
      <c r="J362" s="37" t="str">
        <f>IF([3]道具信息!J362="","",[3]道具信息!J362)</f>
        <v/>
      </c>
      <c r="K362" s="37" t="str">
        <f>IF([3]道具信息!K362="","",[3]道具信息!K362)</f>
        <v/>
      </c>
      <c r="L362" s="37" t="str">
        <f>IF([3]道具信息!L362="","",[3]道具信息!L362)</f>
        <v/>
      </c>
      <c r="M362" s="37" t="str">
        <f>IF([3]道具信息!M362="","",[3]道具信息!M362)</f>
        <v/>
      </c>
      <c r="N362" s="37"/>
      <c r="O362" s="37" t="str">
        <f>IF([3]道具信息!O362="","",[3]道具信息!O362)</f>
        <v/>
      </c>
      <c r="P362" s="37" t="str">
        <f>IF([3]道具信息!P362="","",[3]道具信息!P362)</f>
        <v/>
      </c>
      <c r="Q362" s="37" t="str">
        <f>IF([3]道具信息!Q362="","",[3]道具信息!Q362)</f>
        <v/>
      </c>
    </row>
    <row r="363" spans="3:17" x14ac:dyDescent="0.15">
      <c r="C363" s="37" t="str">
        <f>IF([3]道具信息!C363="","",[3]道具信息!C363)</f>
        <v/>
      </c>
      <c r="D363" s="37" t="str">
        <f>IF([3]道具信息!D363="","",[3]道具信息!D363)</f>
        <v/>
      </c>
      <c r="E363" s="37" t="str">
        <f>IF([3]道具信息!E363="","",[3]道具信息!E363)</f>
        <v/>
      </c>
      <c r="F363" s="37">
        <f>IF([3]道具信息!F363="","",[3]道具信息!F363)</f>
        <v>1</v>
      </c>
      <c r="G363" s="37">
        <f>IF([3]道具信息!G363="","",[3]道具信息!G363)</f>
        <v>1</v>
      </c>
      <c r="H363" s="37">
        <f>IF([3]道具信息!H363="","",[3]道具信息!H363)</f>
        <v>1</v>
      </c>
      <c r="I363" s="37" t="str">
        <f>IF([3]道具信息!I363="","",[3]道具信息!I363)</f>
        <v/>
      </c>
      <c r="J363" s="37" t="str">
        <f>IF([3]道具信息!J363="","",[3]道具信息!J363)</f>
        <v/>
      </c>
      <c r="K363" s="37" t="str">
        <f>IF([3]道具信息!K363="","",[3]道具信息!K363)</f>
        <v/>
      </c>
      <c r="L363" s="37" t="str">
        <f>IF([3]道具信息!L363="","",[3]道具信息!L363)</f>
        <v/>
      </c>
      <c r="M363" s="37" t="str">
        <f>IF([3]道具信息!M363="","",[3]道具信息!M363)</f>
        <v/>
      </c>
      <c r="N363" s="37"/>
      <c r="O363" s="37" t="str">
        <f>IF([3]道具信息!O363="","",[3]道具信息!O363)</f>
        <v/>
      </c>
      <c r="P363" s="37" t="str">
        <f>IF([3]道具信息!P363="","",[3]道具信息!P363)</f>
        <v/>
      </c>
      <c r="Q363" s="37" t="str">
        <f>IF([3]道具信息!Q363="","",[3]道具信息!Q363)</f>
        <v/>
      </c>
    </row>
    <row r="364" spans="3:17" x14ac:dyDescent="0.15">
      <c r="C364" s="37" t="str">
        <f>IF([3]道具信息!C364="","",[3]道具信息!C364)</f>
        <v/>
      </c>
      <c r="D364" s="37" t="str">
        <f>IF([3]道具信息!D364="","",[3]道具信息!D364)</f>
        <v/>
      </c>
      <c r="E364" s="37" t="str">
        <f>IF([3]道具信息!E364="","",[3]道具信息!E364)</f>
        <v/>
      </c>
      <c r="F364" s="37">
        <f>IF([3]道具信息!F364="","",[3]道具信息!F364)</f>
        <v>1</v>
      </c>
      <c r="G364" s="37">
        <f>IF([3]道具信息!G364="","",[3]道具信息!G364)</f>
        <v>1</v>
      </c>
      <c r="H364" s="37">
        <f>IF([3]道具信息!H364="","",[3]道具信息!H364)</f>
        <v>1</v>
      </c>
      <c r="I364" s="37" t="str">
        <f>IF([3]道具信息!I364="","",[3]道具信息!I364)</f>
        <v/>
      </c>
      <c r="J364" s="37" t="str">
        <f>IF([3]道具信息!J364="","",[3]道具信息!J364)</f>
        <v/>
      </c>
      <c r="K364" s="37" t="str">
        <f>IF([3]道具信息!K364="","",[3]道具信息!K364)</f>
        <v/>
      </c>
      <c r="L364" s="37" t="str">
        <f>IF([3]道具信息!L364="","",[3]道具信息!L364)</f>
        <v/>
      </c>
      <c r="M364" s="37" t="str">
        <f>IF([3]道具信息!M364="","",[3]道具信息!M364)</f>
        <v/>
      </c>
      <c r="N364" s="37"/>
      <c r="O364" s="37" t="str">
        <f>IF([3]道具信息!O364="","",[3]道具信息!O364)</f>
        <v/>
      </c>
      <c r="P364" s="37" t="str">
        <f>IF([3]道具信息!P364="","",[3]道具信息!P364)</f>
        <v/>
      </c>
      <c r="Q364" s="37" t="str">
        <f>IF([3]道具信息!Q364="","",[3]道具信息!Q364)</f>
        <v/>
      </c>
    </row>
    <row r="365" spans="3:17" x14ac:dyDescent="0.15">
      <c r="C365" s="37" t="str">
        <f>IF([3]道具信息!C365="","",[3]道具信息!C365)</f>
        <v/>
      </c>
      <c r="D365" s="37" t="str">
        <f>IF([3]道具信息!D365="","",[3]道具信息!D365)</f>
        <v/>
      </c>
      <c r="E365" s="37" t="str">
        <f>IF([3]道具信息!E365="","",[3]道具信息!E365)</f>
        <v/>
      </c>
      <c r="F365" s="37">
        <f>IF([3]道具信息!F365="","",[3]道具信息!F365)</f>
        <v>1</v>
      </c>
      <c r="G365" s="37">
        <f>IF([3]道具信息!G365="","",[3]道具信息!G365)</f>
        <v>1</v>
      </c>
      <c r="H365" s="37">
        <f>IF([3]道具信息!H365="","",[3]道具信息!H365)</f>
        <v>1</v>
      </c>
      <c r="I365" s="37" t="str">
        <f>IF([3]道具信息!I365="","",[3]道具信息!I365)</f>
        <v/>
      </c>
      <c r="J365" s="37" t="str">
        <f>IF([3]道具信息!J365="","",[3]道具信息!J365)</f>
        <v/>
      </c>
      <c r="K365" s="37" t="str">
        <f>IF([3]道具信息!K365="","",[3]道具信息!K365)</f>
        <v/>
      </c>
      <c r="L365" s="37" t="str">
        <f>IF([3]道具信息!L365="","",[3]道具信息!L365)</f>
        <v/>
      </c>
      <c r="M365" s="37" t="str">
        <f>IF([3]道具信息!M365="","",[3]道具信息!M365)</f>
        <v/>
      </c>
      <c r="N365" s="37"/>
      <c r="O365" s="37" t="str">
        <f>IF([3]道具信息!O365="","",[3]道具信息!O365)</f>
        <v/>
      </c>
      <c r="P365" s="37" t="str">
        <f>IF([3]道具信息!P365="","",[3]道具信息!P365)</f>
        <v/>
      </c>
      <c r="Q365" s="37" t="str">
        <f>IF([3]道具信息!Q365="","",[3]道具信息!Q365)</f>
        <v/>
      </c>
    </row>
    <row r="366" spans="3:17" x14ac:dyDescent="0.15">
      <c r="C366" s="37" t="str">
        <f>IF([3]道具信息!C366="","",[3]道具信息!C366)</f>
        <v/>
      </c>
      <c r="D366" s="37" t="str">
        <f>IF([3]道具信息!D366="","",[3]道具信息!D366)</f>
        <v/>
      </c>
      <c r="E366" s="37" t="str">
        <f>IF([3]道具信息!E366="","",[3]道具信息!E366)</f>
        <v/>
      </c>
      <c r="F366" s="37">
        <f>IF([3]道具信息!F366="","",[3]道具信息!F366)</f>
        <v>1</v>
      </c>
      <c r="G366" s="37">
        <f>IF([3]道具信息!G366="","",[3]道具信息!G366)</f>
        <v>1</v>
      </c>
      <c r="H366" s="37">
        <f>IF([3]道具信息!H366="","",[3]道具信息!H366)</f>
        <v>1</v>
      </c>
      <c r="I366" s="37" t="str">
        <f>IF([3]道具信息!I366="","",[3]道具信息!I366)</f>
        <v/>
      </c>
      <c r="J366" s="37" t="str">
        <f>IF([3]道具信息!J366="","",[3]道具信息!J366)</f>
        <v/>
      </c>
      <c r="K366" s="37" t="str">
        <f>IF([3]道具信息!K366="","",[3]道具信息!K366)</f>
        <v/>
      </c>
      <c r="L366" s="37" t="str">
        <f>IF([3]道具信息!L366="","",[3]道具信息!L366)</f>
        <v/>
      </c>
      <c r="M366" s="37" t="str">
        <f>IF([3]道具信息!M366="","",[3]道具信息!M366)</f>
        <v/>
      </c>
      <c r="N366" s="37"/>
      <c r="O366" s="37" t="str">
        <f>IF([3]道具信息!O366="","",[3]道具信息!O366)</f>
        <v/>
      </c>
      <c r="P366" s="37" t="str">
        <f>IF([3]道具信息!P366="","",[3]道具信息!P366)</f>
        <v/>
      </c>
      <c r="Q366" s="37" t="str">
        <f>IF([3]道具信息!Q366="","",[3]道具信息!Q366)</f>
        <v/>
      </c>
    </row>
    <row r="367" spans="3:17" x14ac:dyDescent="0.15">
      <c r="C367" s="37" t="str">
        <f>IF([3]道具信息!C367="","",[3]道具信息!C367)</f>
        <v/>
      </c>
      <c r="D367" s="37" t="str">
        <f>IF([3]道具信息!D367="","",[3]道具信息!D367)</f>
        <v/>
      </c>
      <c r="E367" s="37" t="str">
        <f>IF([3]道具信息!E367="","",[3]道具信息!E367)</f>
        <v/>
      </c>
      <c r="F367" s="37">
        <f>IF([3]道具信息!F367="","",[3]道具信息!F367)</f>
        <v>1</v>
      </c>
      <c r="G367" s="37">
        <f>IF([3]道具信息!G367="","",[3]道具信息!G367)</f>
        <v>1</v>
      </c>
      <c r="H367" s="37">
        <f>IF([3]道具信息!H367="","",[3]道具信息!H367)</f>
        <v>1</v>
      </c>
      <c r="I367" s="37" t="str">
        <f>IF([3]道具信息!I367="","",[3]道具信息!I367)</f>
        <v/>
      </c>
      <c r="J367" s="37" t="str">
        <f>IF([3]道具信息!J367="","",[3]道具信息!J367)</f>
        <v/>
      </c>
      <c r="K367" s="37" t="str">
        <f>IF([3]道具信息!K367="","",[3]道具信息!K367)</f>
        <v/>
      </c>
      <c r="L367" s="37" t="str">
        <f>IF([3]道具信息!L367="","",[3]道具信息!L367)</f>
        <v/>
      </c>
      <c r="M367" s="37" t="str">
        <f>IF([3]道具信息!M367="","",[3]道具信息!M367)</f>
        <v/>
      </c>
      <c r="N367" s="37"/>
      <c r="O367" s="37" t="str">
        <f>IF([3]道具信息!O367="","",[3]道具信息!O367)</f>
        <v/>
      </c>
      <c r="P367" s="37" t="str">
        <f>IF([3]道具信息!P367="","",[3]道具信息!P367)</f>
        <v/>
      </c>
      <c r="Q367" s="37" t="str">
        <f>IF([3]道具信息!Q367="","",[3]道具信息!Q367)</f>
        <v/>
      </c>
    </row>
    <row r="368" spans="3:17" x14ac:dyDescent="0.15">
      <c r="C368" s="37" t="str">
        <f>IF([3]道具信息!C368="","",[3]道具信息!C368)</f>
        <v/>
      </c>
      <c r="D368" s="37" t="str">
        <f>IF([3]道具信息!D368="","",[3]道具信息!D368)</f>
        <v/>
      </c>
      <c r="E368" s="37" t="str">
        <f>IF([3]道具信息!E368="","",[3]道具信息!E368)</f>
        <v/>
      </c>
      <c r="F368" s="37">
        <f>IF([3]道具信息!F368="","",[3]道具信息!F368)</f>
        <v>1</v>
      </c>
      <c r="G368" s="37">
        <f>IF([3]道具信息!G368="","",[3]道具信息!G368)</f>
        <v>1</v>
      </c>
      <c r="H368" s="37">
        <f>IF([3]道具信息!H368="","",[3]道具信息!H368)</f>
        <v>1</v>
      </c>
      <c r="I368" s="37" t="str">
        <f>IF([3]道具信息!I368="","",[3]道具信息!I368)</f>
        <v/>
      </c>
      <c r="J368" s="37" t="str">
        <f>IF([3]道具信息!J368="","",[3]道具信息!J368)</f>
        <v/>
      </c>
      <c r="K368" s="37" t="str">
        <f>IF([3]道具信息!K368="","",[3]道具信息!K368)</f>
        <v/>
      </c>
      <c r="L368" s="37" t="str">
        <f>IF([3]道具信息!L368="","",[3]道具信息!L368)</f>
        <v/>
      </c>
      <c r="M368" s="37" t="str">
        <f>IF([3]道具信息!M368="","",[3]道具信息!M368)</f>
        <v/>
      </c>
      <c r="N368" s="37"/>
      <c r="O368" s="37" t="str">
        <f>IF([3]道具信息!O368="","",[3]道具信息!O368)</f>
        <v/>
      </c>
      <c r="P368" s="37" t="str">
        <f>IF([3]道具信息!P368="","",[3]道具信息!P368)</f>
        <v/>
      </c>
      <c r="Q368" s="37" t="str">
        <f>IF([3]道具信息!Q368="","",[3]道具信息!Q368)</f>
        <v/>
      </c>
    </row>
    <row r="369" spans="3:17" x14ac:dyDescent="0.15">
      <c r="C369" s="37" t="str">
        <f>IF([3]道具信息!C369="","",[3]道具信息!C369)</f>
        <v/>
      </c>
      <c r="D369" s="37" t="str">
        <f>IF([3]道具信息!D369="","",[3]道具信息!D369)</f>
        <v/>
      </c>
      <c r="E369" s="37" t="str">
        <f>IF([3]道具信息!E369="","",[3]道具信息!E369)</f>
        <v/>
      </c>
      <c r="F369" s="37">
        <f>IF([3]道具信息!F369="","",[3]道具信息!F369)</f>
        <v>1</v>
      </c>
      <c r="G369" s="37">
        <f>IF([3]道具信息!G369="","",[3]道具信息!G369)</f>
        <v>1</v>
      </c>
      <c r="H369" s="37">
        <f>IF([3]道具信息!H369="","",[3]道具信息!H369)</f>
        <v>1</v>
      </c>
      <c r="I369" s="37" t="str">
        <f>IF([3]道具信息!I369="","",[3]道具信息!I369)</f>
        <v/>
      </c>
      <c r="J369" s="37" t="str">
        <f>IF([3]道具信息!J369="","",[3]道具信息!J369)</f>
        <v/>
      </c>
      <c r="K369" s="37" t="str">
        <f>IF([3]道具信息!K369="","",[3]道具信息!K369)</f>
        <v/>
      </c>
      <c r="L369" s="37" t="str">
        <f>IF([3]道具信息!L369="","",[3]道具信息!L369)</f>
        <v/>
      </c>
      <c r="M369" s="37" t="str">
        <f>IF([3]道具信息!M369="","",[3]道具信息!M369)</f>
        <v/>
      </c>
      <c r="N369" s="37"/>
      <c r="O369" s="37" t="str">
        <f>IF([3]道具信息!O369="","",[3]道具信息!O369)</f>
        <v/>
      </c>
      <c r="P369" s="37" t="str">
        <f>IF([3]道具信息!P369="","",[3]道具信息!P369)</f>
        <v/>
      </c>
      <c r="Q369" s="37" t="str">
        <f>IF([3]道具信息!Q369="","",[3]道具信息!Q369)</f>
        <v/>
      </c>
    </row>
    <row r="370" spans="3:17" x14ac:dyDescent="0.15">
      <c r="C370" s="37" t="str">
        <f>IF([3]道具信息!C370="","",[3]道具信息!C370)</f>
        <v/>
      </c>
      <c r="D370" s="37" t="str">
        <f>IF([3]道具信息!D370="","",[3]道具信息!D370)</f>
        <v/>
      </c>
      <c r="E370" s="37" t="str">
        <f>IF([3]道具信息!E370="","",[3]道具信息!E370)</f>
        <v/>
      </c>
      <c r="F370" s="37">
        <f>IF([3]道具信息!F370="","",[3]道具信息!F370)</f>
        <v>1</v>
      </c>
      <c r="G370" s="37">
        <f>IF([3]道具信息!G370="","",[3]道具信息!G370)</f>
        <v>1</v>
      </c>
      <c r="H370" s="37">
        <f>IF([3]道具信息!H370="","",[3]道具信息!H370)</f>
        <v>1</v>
      </c>
      <c r="I370" s="37" t="str">
        <f>IF([3]道具信息!I370="","",[3]道具信息!I370)</f>
        <v/>
      </c>
      <c r="J370" s="37" t="str">
        <f>IF([3]道具信息!J370="","",[3]道具信息!J370)</f>
        <v/>
      </c>
      <c r="K370" s="37" t="str">
        <f>IF([3]道具信息!K370="","",[3]道具信息!K370)</f>
        <v/>
      </c>
      <c r="L370" s="37" t="str">
        <f>IF([3]道具信息!L370="","",[3]道具信息!L370)</f>
        <v/>
      </c>
      <c r="M370" s="37" t="str">
        <f>IF([3]道具信息!M370="","",[3]道具信息!M370)</f>
        <v/>
      </c>
      <c r="N370" s="37"/>
      <c r="O370" s="37" t="str">
        <f>IF([3]道具信息!O370="","",[3]道具信息!O370)</f>
        <v/>
      </c>
      <c r="P370" s="37" t="str">
        <f>IF([3]道具信息!P370="","",[3]道具信息!P370)</f>
        <v/>
      </c>
      <c r="Q370" s="37" t="str">
        <f>IF([3]道具信息!Q370="","",[3]道具信息!Q370)</f>
        <v/>
      </c>
    </row>
    <row r="371" spans="3:17" x14ac:dyDescent="0.15">
      <c r="C371" s="37" t="str">
        <f>IF([3]道具信息!C371="","",[3]道具信息!C371)</f>
        <v/>
      </c>
      <c r="D371" s="37" t="str">
        <f>IF([3]道具信息!D371="","",[3]道具信息!D371)</f>
        <v/>
      </c>
      <c r="E371" s="37" t="str">
        <f>IF([3]道具信息!E371="","",[3]道具信息!E371)</f>
        <v/>
      </c>
      <c r="F371" s="37">
        <f>IF([3]道具信息!F371="","",[3]道具信息!F371)</f>
        <v>1</v>
      </c>
      <c r="G371" s="37">
        <f>IF([3]道具信息!G371="","",[3]道具信息!G371)</f>
        <v>1</v>
      </c>
      <c r="H371" s="37">
        <f>IF([3]道具信息!H371="","",[3]道具信息!H371)</f>
        <v>1</v>
      </c>
      <c r="I371" s="37" t="str">
        <f>IF([3]道具信息!I371="","",[3]道具信息!I371)</f>
        <v/>
      </c>
      <c r="J371" s="37" t="str">
        <f>IF([3]道具信息!J371="","",[3]道具信息!J371)</f>
        <v/>
      </c>
      <c r="K371" s="37" t="str">
        <f>IF([3]道具信息!K371="","",[3]道具信息!K371)</f>
        <v/>
      </c>
      <c r="L371" s="37" t="str">
        <f>IF([3]道具信息!L371="","",[3]道具信息!L371)</f>
        <v/>
      </c>
      <c r="M371" s="37" t="str">
        <f>IF([3]道具信息!M371="","",[3]道具信息!M371)</f>
        <v/>
      </c>
      <c r="N371" s="37"/>
      <c r="O371" s="37" t="str">
        <f>IF([3]道具信息!O371="","",[3]道具信息!O371)</f>
        <v/>
      </c>
      <c r="P371" s="37" t="str">
        <f>IF([3]道具信息!P371="","",[3]道具信息!P371)</f>
        <v/>
      </c>
      <c r="Q371" s="37" t="str">
        <f>IF([3]道具信息!Q371="","",[3]道具信息!Q371)</f>
        <v/>
      </c>
    </row>
    <row r="372" spans="3:17" x14ac:dyDescent="0.15">
      <c r="C372" s="37" t="str">
        <f>IF([3]道具信息!C372="","",[3]道具信息!C372)</f>
        <v/>
      </c>
      <c r="D372" s="37" t="str">
        <f>IF([3]道具信息!D372="","",[3]道具信息!D372)</f>
        <v/>
      </c>
      <c r="E372" s="37" t="str">
        <f>IF([3]道具信息!E372="","",[3]道具信息!E372)</f>
        <v/>
      </c>
      <c r="F372" s="37" t="str">
        <f>IF([3]道具信息!F372="","",[3]道具信息!F372)</f>
        <v/>
      </c>
      <c r="G372" s="37" t="str">
        <f>IF([3]道具信息!G372="","",[3]道具信息!G372)</f>
        <v/>
      </c>
      <c r="H372" s="37" t="str">
        <f>IF([3]道具信息!H372="","",[3]道具信息!H372)</f>
        <v/>
      </c>
      <c r="I372" s="37" t="str">
        <f>IF([3]道具信息!I372="","",[3]道具信息!I372)</f>
        <v/>
      </c>
      <c r="J372" s="37" t="str">
        <f>IF([3]道具信息!J372="","",[3]道具信息!J372)</f>
        <v/>
      </c>
      <c r="K372" s="37" t="str">
        <f>IF([3]道具信息!K372="","",[3]道具信息!K372)</f>
        <v/>
      </c>
      <c r="L372" s="37" t="str">
        <f>IF([3]道具信息!L372="","",[3]道具信息!L372)</f>
        <v/>
      </c>
      <c r="M372" s="37" t="str">
        <f>IF([3]道具信息!M372="","",[3]道具信息!M372)</f>
        <v/>
      </c>
      <c r="N372" s="37"/>
      <c r="O372" s="37" t="str">
        <f>IF([3]道具信息!O372="","",[3]道具信息!O372)</f>
        <v/>
      </c>
      <c r="P372" s="37" t="str">
        <f>IF([3]道具信息!P372="","",[3]道具信息!P372)</f>
        <v/>
      </c>
      <c r="Q372" s="37" t="str">
        <f>IF([3]道具信息!Q372="","",[3]道具信息!Q372)</f>
        <v/>
      </c>
    </row>
    <row r="373" spans="3:17" x14ac:dyDescent="0.15">
      <c r="C373" s="37" t="str">
        <f>IF([3]道具信息!C373="","",[3]道具信息!C373)</f>
        <v/>
      </c>
      <c r="D373" s="37" t="str">
        <f>IF([3]道具信息!D373="","",[3]道具信息!D373)</f>
        <v/>
      </c>
      <c r="E373" s="37" t="str">
        <f>IF([3]道具信息!E373="","",[3]道具信息!E373)</f>
        <v/>
      </c>
      <c r="F373" s="37" t="str">
        <f>IF([3]道具信息!F373="","",[3]道具信息!F373)</f>
        <v/>
      </c>
      <c r="G373" s="37" t="str">
        <f>IF([3]道具信息!G373="","",[3]道具信息!G373)</f>
        <v/>
      </c>
      <c r="H373" s="37" t="str">
        <f>IF([3]道具信息!H373="","",[3]道具信息!H373)</f>
        <v/>
      </c>
      <c r="I373" s="37" t="str">
        <f>IF([3]道具信息!I373="","",[3]道具信息!I373)</f>
        <v/>
      </c>
      <c r="J373" s="37" t="str">
        <f>IF([3]道具信息!J373="","",[3]道具信息!J373)</f>
        <v/>
      </c>
      <c r="K373" s="37" t="str">
        <f>IF([3]道具信息!K373="","",[3]道具信息!K373)</f>
        <v/>
      </c>
      <c r="L373" s="37" t="str">
        <f>IF([3]道具信息!L373="","",[3]道具信息!L373)</f>
        <v/>
      </c>
      <c r="M373" s="37" t="str">
        <f>IF([3]道具信息!M373="","",[3]道具信息!M373)</f>
        <v/>
      </c>
      <c r="N373" s="37"/>
      <c r="O373" s="37" t="str">
        <f>IF([3]道具信息!O373="","",[3]道具信息!O373)</f>
        <v/>
      </c>
      <c r="P373" s="37" t="str">
        <f>IF([3]道具信息!P373="","",[3]道具信息!P373)</f>
        <v/>
      </c>
      <c r="Q373" s="37" t="str">
        <f>IF([3]道具信息!Q373="","",[3]道具信息!Q373)</f>
        <v/>
      </c>
    </row>
    <row r="374" spans="3:17" x14ac:dyDescent="0.15">
      <c r="C374" s="37" t="str">
        <f>IF([3]道具信息!C374="","",[3]道具信息!C374)</f>
        <v/>
      </c>
      <c r="D374" s="37" t="str">
        <f>IF([3]道具信息!D374="","",[3]道具信息!D374)</f>
        <v/>
      </c>
      <c r="E374" s="37" t="str">
        <f>IF([3]道具信息!E374="","",[3]道具信息!E374)</f>
        <v/>
      </c>
      <c r="F374" s="37" t="str">
        <f>IF([3]道具信息!F374="","",[3]道具信息!F374)</f>
        <v/>
      </c>
      <c r="G374" s="37" t="str">
        <f>IF([3]道具信息!G374="","",[3]道具信息!G374)</f>
        <v/>
      </c>
      <c r="H374" s="37" t="str">
        <f>IF([3]道具信息!H374="","",[3]道具信息!H374)</f>
        <v/>
      </c>
      <c r="I374" s="37" t="str">
        <f>IF([3]道具信息!I374="","",[3]道具信息!I374)</f>
        <v/>
      </c>
      <c r="J374" s="37" t="str">
        <f>IF([3]道具信息!J374="","",[3]道具信息!J374)</f>
        <v/>
      </c>
      <c r="K374" s="37" t="str">
        <f>IF([3]道具信息!K374="","",[3]道具信息!K374)</f>
        <v/>
      </c>
      <c r="L374" s="37" t="str">
        <f>IF([3]道具信息!L374="","",[3]道具信息!L374)</f>
        <v/>
      </c>
      <c r="M374" s="37" t="str">
        <f>IF([3]道具信息!M374="","",[3]道具信息!M374)</f>
        <v/>
      </c>
      <c r="N374" s="37"/>
      <c r="O374" s="37" t="str">
        <f>IF([3]道具信息!O374="","",[3]道具信息!O374)</f>
        <v/>
      </c>
      <c r="P374" s="37" t="str">
        <f>IF([3]道具信息!P374="","",[3]道具信息!P374)</f>
        <v/>
      </c>
      <c r="Q374" s="37" t="str">
        <f>IF([3]道具信息!Q374="","",[3]道具信息!Q374)</f>
        <v/>
      </c>
    </row>
    <row r="375" spans="3:17" x14ac:dyDescent="0.15">
      <c r="C375" s="37" t="str">
        <f>IF([3]道具信息!C375="","",[3]道具信息!C375)</f>
        <v/>
      </c>
      <c r="D375" s="37" t="str">
        <f>IF([3]道具信息!D375="","",[3]道具信息!D375)</f>
        <v/>
      </c>
      <c r="E375" s="37" t="str">
        <f>IF([3]道具信息!E375="","",[3]道具信息!E375)</f>
        <v/>
      </c>
      <c r="F375" s="37" t="str">
        <f>IF([3]道具信息!F375="","",[3]道具信息!F375)</f>
        <v/>
      </c>
      <c r="G375" s="37" t="str">
        <f>IF([3]道具信息!G375="","",[3]道具信息!G375)</f>
        <v/>
      </c>
      <c r="H375" s="37" t="str">
        <f>IF([3]道具信息!H375="","",[3]道具信息!H375)</f>
        <v/>
      </c>
      <c r="I375" s="37" t="str">
        <f>IF([3]道具信息!I375="","",[3]道具信息!I375)</f>
        <v/>
      </c>
      <c r="J375" s="37" t="str">
        <f>IF([3]道具信息!J375="","",[3]道具信息!J375)</f>
        <v/>
      </c>
      <c r="K375" s="37" t="str">
        <f>IF([3]道具信息!K375="","",[3]道具信息!K375)</f>
        <v/>
      </c>
      <c r="L375" s="37" t="str">
        <f>IF([3]道具信息!L375="","",[3]道具信息!L375)</f>
        <v/>
      </c>
      <c r="M375" s="37" t="str">
        <f>IF([3]道具信息!M375="","",[3]道具信息!M375)</f>
        <v/>
      </c>
      <c r="N375" s="37"/>
      <c r="O375" s="37" t="str">
        <f>IF([3]道具信息!O375="","",[3]道具信息!O375)</f>
        <v/>
      </c>
      <c r="P375" s="37" t="str">
        <f>IF([3]道具信息!P375="","",[3]道具信息!P375)</f>
        <v/>
      </c>
      <c r="Q375" s="37" t="str">
        <f>IF([3]道具信息!Q375="","",[3]道具信息!Q375)</f>
        <v/>
      </c>
    </row>
    <row r="376" spans="3:17" x14ac:dyDescent="0.15">
      <c r="C376" s="37" t="str">
        <f>IF([3]道具信息!C376="","",[3]道具信息!C376)</f>
        <v/>
      </c>
      <c r="D376" s="37" t="str">
        <f>IF([3]道具信息!D376="","",[3]道具信息!D376)</f>
        <v/>
      </c>
      <c r="E376" s="37" t="str">
        <f>IF([3]道具信息!E376="","",[3]道具信息!E376)</f>
        <v/>
      </c>
      <c r="F376" s="37" t="str">
        <f>IF([3]道具信息!F376="","",[3]道具信息!F376)</f>
        <v/>
      </c>
      <c r="G376" s="37" t="str">
        <f>IF([3]道具信息!G376="","",[3]道具信息!G376)</f>
        <v/>
      </c>
      <c r="H376" s="37" t="str">
        <f>IF([3]道具信息!H376="","",[3]道具信息!H376)</f>
        <v/>
      </c>
      <c r="I376" s="37" t="str">
        <f>IF([3]道具信息!I376="","",[3]道具信息!I376)</f>
        <v/>
      </c>
      <c r="J376" s="37" t="str">
        <f>IF([3]道具信息!J376="","",[3]道具信息!J376)</f>
        <v/>
      </c>
      <c r="K376" s="37" t="str">
        <f>IF([3]道具信息!K376="","",[3]道具信息!K376)</f>
        <v/>
      </c>
      <c r="L376" s="37" t="str">
        <f>IF([3]道具信息!L376="","",[3]道具信息!L376)</f>
        <v/>
      </c>
      <c r="M376" s="37" t="str">
        <f>IF([3]道具信息!M376="","",[3]道具信息!M376)</f>
        <v/>
      </c>
      <c r="N376" s="37"/>
      <c r="O376" s="37" t="str">
        <f>IF([3]道具信息!O376="","",[3]道具信息!O376)</f>
        <v/>
      </c>
      <c r="P376" s="37" t="str">
        <f>IF([3]道具信息!P376="","",[3]道具信息!P376)</f>
        <v/>
      </c>
      <c r="Q376" s="37" t="str">
        <f>IF([3]道具信息!Q376="","",[3]道具信息!Q376)</f>
        <v/>
      </c>
    </row>
    <row r="377" spans="3:17" x14ac:dyDescent="0.15">
      <c r="C377" s="37" t="str">
        <f>IF([3]道具信息!C377="","",[3]道具信息!C377)</f>
        <v/>
      </c>
      <c r="D377" s="37" t="str">
        <f>IF([3]道具信息!D377="","",[3]道具信息!D377)</f>
        <v/>
      </c>
      <c r="E377" s="37" t="str">
        <f>IF([3]道具信息!E377="","",[3]道具信息!E377)</f>
        <v/>
      </c>
      <c r="F377" s="37" t="str">
        <f>IF([3]道具信息!F377="","",[3]道具信息!F377)</f>
        <v/>
      </c>
      <c r="G377" s="37" t="str">
        <f>IF([3]道具信息!G377="","",[3]道具信息!G377)</f>
        <v/>
      </c>
      <c r="H377" s="37" t="str">
        <f>IF([3]道具信息!H377="","",[3]道具信息!H377)</f>
        <v/>
      </c>
      <c r="I377" s="37" t="str">
        <f>IF([3]道具信息!I377="","",[3]道具信息!I377)</f>
        <v/>
      </c>
      <c r="J377" s="37" t="str">
        <f>IF([3]道具信息!J377="","",[3]道具信息!J377)</f>
        <v/>
      </c>
      <c r="K377" s="37" t="str">
        <f>IF([3]道具信息!K377="","",[3]道具信息!K377)</f>
        <v/>
      </c>
      <c r="L377" s="37" t="str">
        <f>IF([3]道具信息!L377="","",[3]道具信息!L377)</f>
        <v/>
      </c>
      <c r="M377" s="37" t="str">
        <f>IF([3]道具信息!M377="","",[3]道具信息!M377)</f>
        <v/>
      </c>
      <c r="N377" s="37"/>
      <c r="O377" s="37" t="str">
        <f>IF([3]道具信息!O377="","",[3]道具信息!O377)</f>
        <v/>
      </c>
      <c r="P377" s="37" t="str">
        <f>IF([3]道具信息!P377="","",[3]道具信息!P377)</f>
        <v/>
      </c>
      <c r="Q377" s="37" t="str">
        <f>IF([3]道具信息!Q377="","",[3]道具信息!Q377)</f>
        <v/>
      </c>
    </row>
    <row r="378" spans="3:17" x14ac:dyDescent="0.15">
      <c r="C378" s="37" t="str">
        <f>IF([3]道具信息!C378="","",[3]道具信息!C378)</f>
        <v/>
      </c>
      <c r="D378" s="37" t="str">
        <f>IF([3]道具信息!D378="","",[3]道具信息!D378)</f>
        <v/>
      </c>
      <c r="E378" s="37" t="str">
        <f>IF([3]道具信息!E378="","",[3]道具信息!E378)</f>
        <v/>
      </c>
      <c r="F378" s="37" t="str">
        <f>IF([3]道具信息!F378="","",[3]道具信息!F378)</f>
        <v/>
      </c>
      <c r="G378" s="37" t="str">
        <f>IF([3]道具信息!G378="","",[3]道具信息!G378)</f>
        <v/>
      </c>
      <c r="H378" s="37" t="str">
        <f>IF([3]道具信息!H378="","",[3]道具信息!H378)</f>
        <v/>
      </c>
      <c r="I378" s="37" t="str">
        <f>IF([3]道具信息!I378="","",[3]道具信息!I378)</f>
        <v/>
      </c>
      <c r="J378" s="37" t="str">
        <f>IF([3]道具信息!J378="","",[3]道具信息!J378)</f>
        <v/>
      </c>
      <c r="K378" s="37" t="str">
        <f>IF([3]道具信息!K378="","",[3]道具信息!K378)</f>
        <v/>
      </c>
      <c r="L378" s="37" t="str">
        <f>IF([3]道具信息!L378="","",[3]道具信息!L378)</f>
        <v/>
      </c>
      <c r="M378" s="37" t="str">
        <f>IF([3]道具信息!M378="","",[3]道具信息!M378)</f>
        <v/>
      </c>
      <c r="N378" s="37"/>
      <c r="O378" s="37" t="str">
        <f>IF([3]道具信息!O378="","",[3]道具信息!O378)</f>
        <v/>
      </c>
      <c r="P378" s="37" t="str">
        <f>IF([3]道具信息!P378="","",[3]道具信息!P378)</f>
        <v/>
      </c>
      <c r="Q378" s="37" t="str">
        <f>IF([3]道具信息!Q378="","",[3]道具信息!Q378)</f>
        <v/>
      </c>
    </row>
    <row r="379" spans="3:17" x14ac:dyDescent="0.15">
      <c r="C379" s="37" t="str">
        <f>IF([3]道具信息!C379="","",[3]道具信息!C379)</f>
        <v/>
      </c>
      <c r="D379" s="37" t="str">
        <f>IF([3]道具信息!D379="","",[3]道具信息!D379)</f>
        <v/>
      </c>
      <c r="E379" s="37" t="str">
        <f>IF([3]道具信息!E379="","",[3]道具信息!E379)</f>
        <v/>
      </c>
      <c r="F379" s="37" t="str">
        <f>IF([3]道具信息!F379="","",[3]道具信息!F379)</f>
        <v/>
      </c>
      <c r="G379" s="37" t="str">
        <f>IF([3]道具信息!G379="","",[3]道具信息!G379)</f>
        <v/>
      </c>
      <c r="H379" s="37" t="str">
        <f>IF([3]道具信息!H379="","",[3]道具信息!H379)</f>
        <v/>
      </c>
      <c r="I379" s="37" t="str">
        <f>IF([3]道具信息!I379="","",[3]道具信息!I379)</f>
        <v/>
      </c>
      <c r="J379" s="37" t="str">
        <f>IF([3]道具信息!J379="","",[3]道具信息!J379)</f>
        <v/>
      </c>
      <c r="K379" s="37" t="str">
        <f>IF([3]道具信息!K379="","",[3]道具信息!K379)</f>
        <v/>
      </c>
      <c r="L379" s="37" t="str">
        <f>IF([3]道具信息!L379="","",[3]道具信息!L379)</f>
        <v/>
      </c>
      <c r="M379" s="37" t="str">
        <f>IF([3]道具信息!M379="","",[3]道具信息!M379)</f>
        <v/>
      </c>
      <c r="N379" s="37"/>
      <c r="O379" s="37" t="str">
        <f>IF([3]道具信息!O379="","",[3]道具信息!O379)</f>
        <v/>
      </c>
      <c r="P379" s="37" t="str">
        <f>IF([3]道具信息!P379="","",[3]道具信息!P379)</f>
        <v/>
      </c>
      <c r="Q379" s="37" t="str">
        <f>IF([3]道具信息!Q379="","",[3]道具信息!Q379)</f>
        <v/>
      </c>
    </row>
    <row r="380" spans="3:17" x14ac:dyDescent="0.15">
      <c r="C380" s="37" t="str">
        <f>IF([3]道具信息!C380="","",[3]道具信息!C380)</f>
        <v/>
      </c>
      <c r="D380" s="37" t="str">
        <f>IF([3]道具信息!D380="","",[3]道具信息!D380)</f>
        <v/>
      </c>
      <c r="E380" s="37" t="str">
        <f>IF([3]道具信息!E380="","",[3]道具信息!E380)</f>
        <v/>
      </c>
      <c r="F380" s="37" t="str">
        <f>IF([3]道具信息!F380="","",[3]道具信息!F380)</f>
        <v/>
      </c>
      <c r="G380" s="37" t="str">
        <f>IF([3]道具信息!G380="","",[3]道具信息!G380)</f>
        <v/>
      </c>
      <c r="H380" s="37" t="str">
        <f>IF([3]道具信息!H380="","",[3]道具信息!H380)</f>
        <v/>
      </c>
      <c r="I380" s="37" t="str">
        <f>IF([3]道具信息!I380="","",[3]道具信息!I380)</f>
        <v/>
      </c>
      <c r="J380" s="37" t="str">
        <f>IF([3]道具信息!J380="","",[3]道具信息!J380)</f>
        <v/>
      </c>
      <c r="K380" s="37" t="str">
        <f>IF([3]道具信息!K380="","",[3]道具信息!K380)</f>
        <v/>
      </c>
      <c r="L380" s="37" t="str">
        <f>IF([3]道具信息!L380="","",[3]道具信息!L380)</f>
        <v/>
      </c>
      <c r="M380" s="37" t="str">
        <f>IF([3]道具信息!M380="","",[3]道具信息!M380)</f>
        <v/>
      </c>
      <c r="N380" s="37"/>
      <c r="O380" s="37" t="str">
        <f>IF([3]道具信息!O380="","",[3]道具信息!O380)</f>
        <v/>
      </c>
      <c r="P380" s="37" t="str">
        <f>IF([3]道具信息!P380="","",[3]道具信息!P380)</f>
        <v/>
      </c>
      <c r="Q380" s="37" t="str">
        <f>IF([3]道具信息!Q380="","",[3]道具信息!Q380)</f>
        <v/>
      </c>
    </row>
    <row r="381" spans="3:17" x14ac:dyDescent="0.15">
      <c r="C381" s="37" t="str">
        <f>IF([3]道具信息!C381="","",[3]道具信息!C381)</f>
        <v/>
      </c>
      <c r="D381" s="37" t="str">
        <f>IF([3]道具信息!D381="","",[3]道具信息!D381)</f>
        <v/>
      </c>
      <c r="E381" s="37" t="str">
        <f>IF([3]道具信息!E381="","",[3]道具信息!E381)</f>
        <v/>
      </c>
      <c r="F381" s="37" t="str">
        <f>IF([3]道具信息!F381="","",[3]道具信息!F381)</f>
        <v/>
      </c>
      <c r="G381" s="37" t="str">
        <f>IF([3]道具信息!G381="","",[3]道具信息!G381)</f>
        <v/>
      </c>
      <c r="H381" s="37" t="str">
        <f>IF([3]道具信息!H381="","",[3]道具信息!H381)</f>
        <v/>
      </c>
      <c r="I381" s="37" t="str">
        <f>IF([3]道具信息!I381="","",[3]道具信息!I381)</f>
        <v/>
      </c>
      <c r="J381" s="37" t="str">
        <f>IF([3]道具信息!J381="","",[3]道具信息!J381)</f>
        <v/>
      </c>
      <c r="K381" s="37" t="str">
        <f>IF([3]道具信息!K381="","",[3]道具信息!K381)</f>
        <v/>
      </c>
      <c r="L381" s="37" t="str">
        <f>IF([3]道具信息!L381="","",[3]道具信息!L381)</f>
        <v/>
      </c>
      <c r="M381" s="37" t="str">
        <f>IF([3]道具信息!M381="","",[3]道具信息!M381)</f>
        <v/>
      </c>
      <c r="N381" s="37"/>
      <c r="O381" s="37" t="str">
        <f>IF([3]道具信息!O381="","",[3]道具信息!O381)</f>
        <v/>
      </c>
      <c r="P381" s="37" t="str">
        <f>IF([3]道具信息!P381="","",[3]道具信息!P381)</f>
        <v/>
      </c>
      <c r="Q381" s="37" t="str">
        <f>IF([3]道具信息!Q381="","",[3]道具信息!Q381)</f>
        <v/>
      </c>
    </row>
    <row r="382" spans="3:17" x14ac:dyDescent="0.15">
      <c r="C382" s="37" t="str">
        <f>IF([3]道具信息!C382="","",[3]道具信息!C382)</f>
        <v/>
      </c>
      <c r="D382" s="37" t="str">
        <f>IF([3]道具信息!D382="","",[3]道具信息!D382)</f>
        <v/>
      </c>
      <c r="E382" s="37" t="str">
        <f>IF([3]道具信息!E382="","",[3]道具信息!E382)</f>
        <v/>
      </c>
      <c r="F382" s="37" t="str">
        <f>IF([3]道具信息!F382="","",[3]道具信息!F382)</f>
        <v/>
      </c>
      <c r="G382" s="37" t="str">
        <f>IF([3]道具信息!G382="","",[3]道具信息!G382)</f>
        <v/>
      </c>
      <c r="H382" s="37" t="str">
        <f>IF([3]道具信息!H382="","",[3]道具信息!H382)</f>
        <v/>
      </c>
      <c r="I382" s="37" t="str">
        <f>IF([3]道具信息!I382="","",[3]道具信息!I382)</f>
        <v/>
      </c>
      <c r="J382" s="37" t="str">
        <f>IF([3]道具信息!J382="","",[3]道具信息!J382)</f>
        <v/>
      </c>
      <c r="K382" s="37" t="str">
        <f>IF([3]道具信息!K382="","",[3]道具信息!K382)</f>
        <v/>
      </c>
      <c r="L382" s="37" t="str">
        <f>IF([3]道具信息!L382="","",[3]道具信息!L382)</f>
        <v/>
      </c>
      <c r="M382" s="37" t="str">
        <f>IF([3]道具信息!M382="","",[3]道具信息!M382)</f>
        <v/>
      </c>
      <c r="N382" s="37"/>
      <c r="O382" s="37" t="str">
        <f>IF([3]道具信息!O382="","",[3]道具信息!O382)</f>
        <v/>
      </c>
      <c r="P382" s="37" t="str">
        <f>IF([3]道具信息!P382="","",[3]道具信息!P382)</f>
        <v/>
      </c>
      <c r="Q382" s="37" t="str">
        <f>IF([3]道具信息!Q382="","",[3]道具信息!Q382)</f>
        <v/>
      </c>
    </row>
    <row r="383" spans="3:17" x14ac:dyDescent="0.15">
      <c r="C383" s="37" t="str">
        <f>IF([3]道具信息!C383="","",[3]道具信息!C383)</f>
        <v/>
      </c>
      <c r="D383" s="37" t="str">
        <f>IF([3]道具信息!D383="","",[3]道具信息!D383)</f>
        <v/>
      </c>
      <c r="E383" s="37" t="str">
        <f>IF([3]道具信息!E383="","",[3]道具信息!E383)</f>
        <v/>
      </c>
      <c r="F383" s="37" t="str">
        <f>IF([3]道具信息!F383="","",[3]道具信息!F383)</f>
        <v/>
      </c>
      <c r="G383" s="37" t="str">
        <f>IF([3]道具信息!G383="","",[3]道具信息!G383)</f>
        <v/>
      </c>
      <c r="H383" s="37" t="str">
        <f>IF([3]道具信息!H383="","",[3]道具信息!H383)</f>
        <v/>
      </c>
      <c r="I383" s="37" t="str">
        <f>IF([3]道具信息!I383="","",[3]道具信息!I383)</f>
        <v/>
      </c>
      <c r="J383" s="37" t="str">
        <f>IF([3]道具信息!J383="","",[3]道具信息!J383)</f>
        <v/>
      </c>
      <c r="K383" s="37" t="str">
        <f>IF([3]道具信息!K383="","",[3]道具信息!K383)</f>
        <v/>
      </c>
      <c r="L383" s="37" t="str">
        <f>IF([3]道具信息!L383="","",[3]道具信息!L383)</f>
        <v/>
      </c>
      <c r="M383" s="37" t="str">
        <f>IF([3]道具信息!M383="","",[3]道具信息!M383)</f>
        <v/>
      </c>
      <c r="N383" s="37"/>
      <c r="O383" s="37" t="str">
        <f>IF([3]道具信息!O383="","",[3]道具信息!O383)</f>
        <v/>
      </c>
      <c r="P383" s="37" t="str">
        <f>IF([3]道具信息!P383="","",[3]道具信息!P383)</f>
        <v/>
      </c>
      <c r="Q383" s="37" t="str">
        <f>IF([3]道具信息!Q383="","",[3]道具信息!Q383)</f>
        <v/>
      </c>
    </row>
    <row r="384" spans="3:17" x14ac:dyDescent="0.15">
      <c r="C384" s="37" t="str">
        <f>IF([3]道具信息!C384="","",[3]道具信息!C384)</f>
        <v/>
      </c>
      <c r="D384" s="37" t="str">
        <f>IF([3]道具信息!D384="","",[3]道具信息!D384)</f>
        <v/>
      </c>
      <c r="E384" s="37" t="str">
        <f>IF([3]道具信息!E384="","",[3]道具信息!E384)</f>
        <v/>
      </c>
      <c r="F384" s="37" t="str">
        <f>IF([3]道具信息!F384="","",[3]道具信息!F384)</f>
        <v/>
      </c>
      <c r="G384" s="37" t="str">
        <f>IF([3]道具信息!G384="","",[3]道具信息!G384)</f>
        <v/>
      </c>
      <c r="H384" s="37" t="str">
        <f>IF([3]道具信息!H384="","",[3]道具信息!H384)</f>
        <v/>
      </c>
      <c r="I384" s="37" t="str">
        <f>IF([3]道具信息!I384="","",[3]道具信息!I384)</f>
        <v/>
      </c>
      <c r="J384" s="37" t="str">
        <f>IF([3]道具信息!J384="","",[3]道具信息!J384)</f>
        <v/>
      </c>
      <c r="K384" s="37" t="str">
        <f>IF([3]道具信息!K384="","",[3]道具信息!K384)</f>
        <v/>
      </c>
      <c r="L384" s="37" t="str">
        <f>IF([3]道具信息!L384="","",[3]道具信息!L384)</f>
        <v/>
      </c>
      <c r="M384" s="37" t="str">
        <f>IF([3]道具信息!M384="","",[3]道具信息!M384)</f>
        <v/>
      </c>
      <c r="N384" s="37"/>
      <c r="O384" s="37" t="str">
        <f>IF([3]道具信息!O384="","",[3]道具信息!O384)</f>
        <v/>
      </c>
      <c r="P384" s="37" t="str">
        <f>IF([3]道具信息!P384="","",[3]道具信息!P384)</f>
        <v/>
      </c>
      <c r="Q384" s="37" t="str">
        <f>IF([3]道具信息!Q384="","",[3]道具信息!Q384)</f>
        <v/>
      </c>
    </row>
    <row r="385" spans="3:17" x14ac:dyDescent="0.15">
      <c r="C385" s="37" t="str">
        <f>IF([3]道具信息!C385="","",[3]道具信息!C385)</f>
        <v/>
      </c>
      <c r="D385" s="37" t="str">
        <f>IF([3]道具信息!D385="","",[3]道具信息!D385)</f>
        <v/>
      </c>
      <c r="E385" s="37" t="str">
        <f>IF([3]道具信息!E385="","",[3]道具信息!E385)</f>
        <v/>
      </c>
      <c r="F385" s="37" t="str">
        <f>IF([3]道具信息!F385="","",[3]道具信息!F385)</f>
        <v/>
      </c>
      <c r="G385" s="37" t="str">
        <f>IF([3]道具信息!G385="","",[3]道具信息!G385)</f>
        <v/>
      </c>
      <c r="H385" s="37" t="str">
        <f>IF([3]道具信息!H385="","",[3]道具信息!H385)</f>
        <v/>
      </c>
      <c r="I385" s="37" t="str">
        <f>IF([3]道具信息!I385="","",[3]道具信息!I385)</f>
        <v/>
      </c>
      <c r="J385" s="37" t="str">
        <f>IF([3]道具信息!J385="","",[3]道具信息!J385)</f>
        <v/>
      </c>
      <c r="K385" s="37" t="str">
        <f>IF([3]道具信息!K385="","",[3]道具信息!K385)</f>
        <v/>
      </c>
      <c r="L385" s="37" t="str">
        <f>IF([3]道具信息!L385="","",[3]道具信息!L385)</f>
        <v/>
      </c>
      <c r="M385" s="37" t="str">
        <f>IF([3]道具信息!M385="","",[3]道具信息!M385)</f>
        <v/>
      </c>
      <c r="N385" s="37"/>
      <c r="O385" s="37" t="str">
        <f>IF([3]道具信息!O385="","",[3]道具信息!O385)</f>
        <v/>
      </c>
      <c r="P385" s="37" t="str">
        <f>IF([3]道具信息!P385="","",[3]道具信息!P385)</f>
        <v/>
      </c>
      <c r="Q385" s="37" t="str">
        <f>IF([3]道具信息!Q385="","",[3]道具信息!Q385)</f>
        <v/>
      </c>
    </row>
    <row r="386" spans="3:17" x14ac:dyDescent="0.15">
      <c r="C386" s="37" t="str">
        <f>IF([3]道具信息!C386="","",[3]道具信息!C386)</f>
        <v/>
      </c>
      <c r="D386" s="37" t="str">
        <f>IF([3]道具信息!D386="","",[3]道具信息!D386)</f>
        <v/>
      </c>
      <c r="E386" s="37" t="str">
        <f>IF([3]道具信息!E386="","",[3]道具信息!E386)</f>
        <v/>
      </c>
      <c r="F386" s="37" t="str">
        <f>IF([3]道具信息!F386="","",[3]道具信息!F386)</f>
        <v/>
      </c>
      <c r="G386" s="37" t="str">
        <f>IF([3]道具信息!G386="","",[3]道具信息!G386)</f>
        <v/>
      </c>
      <c r="H386" s="37" t="str">
        <f>IF([3]道具信息!H386="","",[3]道具信息!H386)</f>
        <v/>
      </c>
      <c r="I386" s="37" t="str">
        <f>IF([3]道具信息!I386="","",[3]道具信息!I386)</f>
        <v/>
      </c>
      <c r="J386" s="37" t="str">
        <f>IF([3]道具信息!J386="","",[3]道具信息!J386)</f>
        <v/>
      </c>
      <c r="K386" s="37" t="str">
        <f>IF([3]道具信息!K386="","",[3]道具信息!K386)</f>
        <v/>
      </c>
      <c r="L386" s="37" t="str">
        <f>IF([3]道具信息!L386="","",[3]道具信息!L386)</f>
        <v/>
      </c>
      <c r="M386" s="37" t="str">
        <f>IF([3]道具信息!M386="","",[3]道具信息!M386)</f>
        <v/>
      </c>
      <c r="N386" s="37"/>
      <c r="O386" s="37" t="str">
        <f>IF([3]道具信息!O386="","",[3]道具信息!O386)</f>
        <v/>
      </c>
      <c r="P386" s="37" t="str">
        <f>IF([3]道具信息!P386="","",[3]道具信息!P386)</f>
        <v/>
      </c>
      <c r="Q386" s="37" t="str">
        <f>IF([3]道具信息!Q386="","",[3]道具信息!Q386)</f>
        <v/>
      </c>
    </row>
    <row r="387" spans="3:17" x14ac:dyDescent="0.15">
      <c r="C387" s="37" t="str">
        <f>IF([3]道具信息!C387="","",[3]道具信息!C387)</f>
        <v/>
      </c>
      <c r="D387" s="37" t="str">
        <f>IF([3]道具信息!D387="","",[3]道具信息!D387)</f>
        <v/>
      </c>
      <c r="E387" s="37" t="str">
        <f>IF([3]道具信息!E387="","",[3]道具信息!E387)</f>
        <v/>
      </c>
      <c r="F387" s="37" t="str">
        <f>IF([3]道具信息!F387="","",[3]道具信息!F387)</f>
        <v/>
      </c>
      <c r="G387" s="37" t="str">
        <f>IF([3]道具信息!G387="","",[3]道具信息!G387)</f>
        <v/>
      </c>
      <c r="H387" s="37" t="str">
        <f>IF([3]道具信息!H387="","",[3]道具信息!H387)</f>
        <v/>
      </c>
      <c r="I387" s="37" t="str">
        <f>IF([3]道具信息!I387="","",[3]道具信息!I387)</f>
        <v/>
      </c>
      <c r="J387" s="37" t="str">
        <f>IF([3]道具信息!J387="","",[3]道具信息!J387)</f>
        <v/>
      </c>
      <c r="K387" s="37" t="str">
        <f>IF([3]道具信息!K387="","",[3]道具信息!K387)</f>
        <v/>
      </c>
      <c r="L387" s="37" t="str">
        <f>IF([3]道具信息!L387="","",[3]道具信息!L387)</f>
        <v/>
      </c>
      <c r="M387" s="37" t="str">
        <f>IF([3]道具信息!M387="","",[3]道具信息!M387)</f>
        <v/>
      </c>
      <c r="N387" s="37"/>
      <c r="O387" s="37" t="str">
        <f>IF([3]道具信息!O387="","",[3]道具信息!O387)</f>
        <v/>
      </c>
      <c r="P387" s="37" t="str">
        <f>IF([3]道具信息!P387="","",[3]道具信息!P387)</f>
        <v/>
      </c>
      <c r="Q387" s="37" t="str">
        <f>IF([3]道具信息!Q387="","",[3]道具信息!Q387)</f>
        <v/>
      </c>
    </row>
    <row r="388" spans="3:17" x14ac:dyDescent="0.15">
      <c r="C388" s="37" t="str">
        <f>IF([3]道具信息!C388="","",[3]道具信息!C388)</f>
        <v/>
      </c>
      <c r="D388" s="37" t="str">
        <f>IF([3]道具信息!D388="","",[3]道具信息!D388)</f>
        <v/>
      </c>
      <c r="E388" s="37" t="str">
        <f>IF([3]道具信息!E388="","",[3]道具信息!E388)</f>
        <v/>
      </c>
      <c r="F388" s="37" t="str">
        <f>IF([3]道具信息!F388="","",[3]道具信息!F388)</f>
        <v/>
      </c>
      <c r="G388" s="37" t="str">
        <f>IF([3]道具信息!G388="","",[3]道具信息!G388)</f>
        <v/>
      </c>
      <c r="H388" s="37" t="str">
        <f>IF([3]道具信息!H388="","",[3]道具信息!H388)</f>
        <v/>
      </c>
      <c r="I388" s="37" t="str">
        <f>IF([3]道具信息!I388="","",[3]道具信息!I388)</f>
        <v/>
      </c>
      <c r="J388" s="37" t="str">
        <f>IF([3]道具信息!J388="","",[3]道具信息!J388)</f>
        <v/>
      </c>
      <c r="K388" s="37" t="str">
        <f>IF([3]道具信息!K388="","",[3]道具信息!K388)</f>
        <v/>
      </c>
      <c r="L388" s="37" t="str">
        <f>IF([3]道具信息!L388="","",[3]道具信息!L388)</f>
        <v/>
      </c>
      <c r="M388" s="37" t="str">
        <f>IF([3]道具信息!M388="","",[3]道具信息!M388)</f>
        <v/>
      </c>
      <c r="N388" s="37"/>
      <c r="O388" s="37" t="str">
        <f>IF([3]道具信息!O388="","",[3]道具信息!O388)</f>
        <v/>
      </c>
      <c r="P388" s="37" t="str">
        <f>IF([3]道具信息!P388="","",[3]道具信息!P388)</f>
        <v/>
      </c>
      <c r="Q388" s="37" t="str">
        <f>IF([3]道具信息!Q388="","",[3]道具信息!Q388)</f>
        <v/>
      </c>
    </row>
    <row r="389" spans="3:17" x14ac:dyDescent="0.15">
      <c r="C389" s="37" t="str">
        <f>IF([3]道具信息!C389="","",[3]道具信息!C389)</f>
        <v/>
      </c>
      <c r="D389" s="37" t="str">
        <f>IF([3]道具信息!D389="","",[3]道具信息!D389)</f>
        <v/>
      </c>
      <c r="E389" s="37" t="str">
        <f>IF([3]道具信息!E389="","",[3]道具信息!E389)</f>
        <v/>
      </c>
      <c r="F389" s="37" t="str">
        <f>IF([3]道具信息!F389="","",[3]道具信息!F389)</f>
        <v/>
      </c>
      <c r="G389" s="37" t="str">
        <f>IF([3]道具信息!G389="","",[3]道具信息!G389)</f>
        <v/>
      </c>
      <c r="H389" s="37" t="str">
        <f>IF([3]道具信息!H389="","",[3]道具信息!H389)</f>
        <v/>
      </c>
      <c r="I389" s="37" t="str">
        <f>IF([3]道具信息!I389="","",[3]道具信息!I389)</f>
        <v/>
      </c>
      <c r="J389" s="37" t="str">
        <f>IF([3]道具信息!J389="","",[3]道具信息!J389)</f>
        <v/>
      </c>
      <c r="K389" s="37" t="str">
        <f>IF([3]道具信息!K389="","",[3]道具信息!K389)</f>
        <v/>
      </c>
      <c r="L389" s="37" t="str">
        <f>IF([3]道具信息!L389="","",[3]道具信息!L389)</f>
        <v/>
      </c>
      <c r="M389" s="37" t="str">
        <f>IF([3]道具信息!M389="","",[3]道具信息!M389)</f>
        <v/>
      </c>
      <c r="N389" s="37"/>
      <c r="O389" s="37" t="str">
        <f>IF([3]道具信息!O389="","",[3]道具信息!O389)</f>
        <v/>
      </c>
      <c r="P389" s="37" t="str">
        <f>IF([3]道具信息!P389="","",[3]道具信息!P389)</f>
        <v/>
      </c>
      <c r="Q389" s="37" t="str">
        <f>IF([3]道具信息!Q389="","",[3]道具信息!Q389)</f>
        <v/>
      </c>
    </row>
    <row r="390" spans="3:17" x14ac:dyDescent="0.15">
      <c r="C390" s="37" t="str">
        <f>IF([3]道具信息!C390="","",[3]道具信息!C390)</f>
        <v/>
      </c>
      <c r="D390" s="37" t="str">
        <f>IF([3]道具信息!D390="","",[3]道具信息!D390)</f>
        <v/>
      </c>
      <c r="E390" s="37" t="str">
        <f>IF([3]道具信息!E390="","",[3]道具信息!E390)</f>
        <v/>
      </c>
      <c r="F390" s="37" t="str">
        <f>IF([3]道具信息!F390="","",[3]道具信息!F390)</f>
        <v/>
      </c>
      <c r="G390" s="37" t="str">
        <f>IF([3]道具信息!G390="","",[3]道具信息!G390)</f>
        <v/>
      </c>
      <c r="H390" s="37" t="str">
        <f>IF([3]道具信息!H390="","",[3]道具信息!H390)</f>
        <v/>
      </c>
      <c r="I390" s="37" t="str">
        <f>IF([3]道具信息!I390="","",[3]道具信息!I390)</f>
        <v/>
      </c>
      <c r="J390" s="37" t="str">
        <f>IF([3]道具信息!J390="","",[3]道具信息!J390)</f>
        <v/>
      </c>
      <c r="K390" s="37" t="str">
        <f>IF([3]道具信息!K390="","",[3]道具信息!K390)</f>
        <v/>
      </c>
      <c r="L390" s="37" t="str">
        <f>IF([3]道具信息!L390="","",[3]道具信息!L390)</f>
        <v/>
      </c>
      <c r="M390" s="37" t="str">
        <f>IF([3]道具信息!M390="","",[3]道具信息!M390)</f>
        <v/>
      </c>
      <c r="N390" s="37"/>
      <c r="O390" s="37" t="str">
        <f>IF([3]道具信息!O390="","",[3]道具信息!O390)</f>
        <v/>
      </c>
      <c r="P390" s="37" t="str">
        <f>IF([3]道具信息!P390="","",[3]道具信息!P390)</f>
        <v/>
      </c>
      <c r="Q390" s="37" t="str">
        <f>IF([3]道具信息!Q390="","",[3]道具信息!Q390)</f>
        <v/>
      </c>
    </row>
    <row r="391" spans="3:17" x14ac:dyDescent="0.15">
      <c r="C391" s="37" t="str">
        <f>IF([3]道具信息!C391="","",[3]道具信息!C391)</f>
        <v/>
      </c>
      <c r="D391" s="37" t="str">
        <f>IF([3]道具信息!D391="","",[3]道具信息!D391)</f>
        <v/>
      </c>
      <c r="E391" s="37" t="str">
        <f>IF([3]道具信息!E391="","",[3]道具信息!E391)</f>
        <v/>
      </c>
      <c r="F391" s="37" t="str">
        <f>IF([3]道具信息!F391="","",[3]道具信息!F391)</f>
        <v/>
      </c>
      <c r="G391" s="37" t="str">
        <f>IF([3]道具信息!G391="","",[3]道具信息!G391)</f>
        <v/>
      </c>
      <c r="H391" s="37" t="str">
        <f>IF([3]道具信息!H391="","",[3]道具信息!H391)</f>
        <v/>
      </c>
      <c r="I391" s="37" t="str">
        <f>IF([3]道具信息!I391="","",[3]道具信息!I391)</f>
        <v/>
      </c>
      <c r="J391" s="37" t="str">
        <f>IF([3]道具信息!J391="","",[3]道具信息!J391)</f>
        <v/>
      </c>
      <c r="K391" s="37" t="str">
        <f>IF([3]道具信息!K391="","",[3]道具信息!K391)</f>
        <v/>
      </c>
      <c r="L391" s="37" t="str">
        <f>IF([3]道具信息!L391="","",[3]道具信息!L391)</f>
        <v/>
      </c>
      <c r="M391" s="37" t="str">
        <f>IF([3]道具信息!M391="","",[3]道具信息!M391)</f>
        <v/>
      </c>
      <c r="N391" s="37"/>
      <c r="O391" s="37" t="str">
        <f>IF([3]道具信息!O391="","",[3]道具信息!O391)</f>
        <v/>
      </c>
      <c r="P391" s="37" t="str">
        <f>IF([3]道具信息!P391="","",[3]道具信息!P391)</f>
        <v/>
      </c>
      <c r="Q391" s="37" t="str">
        <f>IF([3]道具信息!Q391="","",[3]道具信息!Q391)</f>
        <v/>
      </c>
    </row>
    <row r="392" spans="3:17" x14ac:dyDescent="0.15">
      <c r="C392" s="37" t="str">
        <f>IF([3]道具信息!C392="","",[3]道具信息!C392)</f>
        <v/>
      </c>
      <c r="D392" s="37" t="str">
        <f>IF([3]道具信息!D392="","",[3]道具信息!D392)</f>
        <v/>
      </c>
      <c r="E392" s="37" t="str">
        <f>IF([3]道具信息!E392="","",[3]道具信息!E392)</f>
        <v/>
      </c>
      <c r="F392" s="37" t="str">
        <f>IF([3]道具信息!F392="","",[3]道具信息!F392)</f>
        <v/>
      </c>
      <c r="G392" s="37" t="str">
        <f>IF([3]道具信息!G392="","",[3]道具信息!G392)</f>
        <v/>
      </c>
      <c r="H392" s="37" t="str">
        <f>IF([3]道具信息!H392="","",[3]道具信息!H392)</f>
        <v/>
      </c>
      <c r="I392" s="37" t="str">
        <f>IF([3]道具信息!I392="","",[3]道具信息!I392)</f>
        <v/>
      </c>
      <c r="J392" s="37" t="str">
        <f>IF([3]道具信息!J392="","",[3]道具信息!J392)</f>
        <v/>
      </c>
      <c r="K392" s="37" t="str">
        <f>IF([3]道具信息!K392="","",[3]道具信息!K392)</f>
        <v/>
      </c>
      <c r="L392" s="37" t="str">
        <f>IF([3]道具信息!L392="","",[3]道具信息!L392)</f>
        <v/>
      </c>
      <c r="M392" s="37" t="str">
        <f>IF([3]道具信息!M392="","",[3]道具信息!M392)</f>
        <v/>
      </c>
      <c r="N392" s="37"/>
      <c r="O392" s="37" t="str">
        <f>IF([3]道具信息!O392="","",[3]道具信息!O392)</f>
        <v/>
      </c>
      <c r="P392" s="37" t="str">
        <f>IF([3]道具信息!P392="","",[3]道具信息!P392)</f>
        <v/>
      </c>
      <c r="Q392" s="37" t="str">
        <f>IF([3]道具信息!Q392="","",[3]道具信息!Q392)</f>
        <v/>
      </c>
    </row>
    <row r="393" spans="3:17" x14ac:dyDescent="0.15">
      <c r="C393" s="37" t="str">
        <f>IF([3]道具信息!C393="","",[3]道具信息!C393)</f>
        <v/>
      </c>
      <c r="D393" s="37" t="str">
        <f>IF([3]道具信息!D393="","",[3]道具信息!D393)</f>
        <v/>
      </c>
      <c r="E393" s="37" t="str">
        <f>IF([3]道具信息!E393="","",[3]道具信息!E393)</f>
        <v/>
      </c>
      <c r="F393" s="37" t="str">
        <f>IF([3]道具信息!F393="","",[3]道具信息!F393)</f>
        <v/>
      </c>
      <c r="G393" s="37" t="str">
        <f>IF([3]道具信息!G393="","",[3]道具信息!G393)</f>
        <v/>
      </c>
      <c r="H393" s="37" t="str">
        <f>IF([3]道具信息!H393="","",[3]道具信息!H393)</f>
        <v/>
      </c>
      <c r="I393" s="37" t="str">
        <f>IF([3]道具信息!I393="","",[3]道具信息!I393)</f>
        <v/>
      </c>
      <c r="J393" s="37" t="str">
        <f>IF([3]道具信息!J393="","",[3]道具信息!J393)</f>
        <v/>
      </c>
      <c r="K393" s="37" t="str">
        <f>IF([3]道具信息!K393="","",[3]道具信息!K393)</f>
        <v/>
      </c>
      <c r="L393" s="37" t="str">
        <f>IF([3]道具信息!L393="","",[3]道具信息!L393)</f>
        <v/>
      </c>
      <c r="M393" s="37" t="str">
        <f>IF([3]道具信息!M393="","",[3]道具信息!M393)</f>
        <v/>
      </c>
      <c r="N393" s="37"/>
      <c r="O393" s="37" t="str">
        <f>IF([3]道具信息!O393="","",[3]道具信息!O393)</f>
        <v/>
      </c>
      <c r="P393" s="37" t="str">
        <f>IF([3]道具信息!P393="","",[3]道具信息!P393)</f>
        <v/>
      </c>
      <c r="Q393" s="37" t="str">
        <f>IF([3]道具信息!Q393="","",[3]道具信息!Q393)</f>
        <v/>
      </c>
    </row>
    <row r="394" spans="3:17" x14ac:dyDescent="0.15">
      <c r="C394" s="37" t="str">
        <f>IF([3]道具信息!C394="","",[3]道具信息!C394)</f>
        <v/>
      </c>
      <c r="D394" s="37" t="str">
        <f>IF([3]道具信息!D394="","",[3]道具信息!D394)</f>
        <v/>
      </c>
      <c r="E394" s="37" t="str">
        <f>IF([3]道具信息!E394="","",[3]道具信息!E394)</f>
        <v/>
      </c>
      <c r="F394" s="37" t="str">
        <f>IF([3]道具信息!F394="","",[3]道具信息!F394)</f>
        <v/>
      </c>
      <c r="G394" s="37" t="str">
        <f>IF([3]道具信息!G394="","",[3]道具信息!G394)</f>
        <v/>
      </c>
      <c r="H394" s="37" t="str">
        <f>IF([3]道具信息!H394="","",[3]道具信息!H394)</f>
        <v/>
      </c>
      <c r="I394" s="37" t="str">
        <f>IF([3]道具信息!I394="","",[3]道具信息!I394)</f>
        <v/>
      </c>
      <c r="J394" s="37" t="str">
        <f>IF([3]道具信息!J394="","",[3]道具信息!J394)</f>
        <v/>
      </c>
      <c r="K394" s="37" t="str">
        <f>IF([3]道具信息!K394="","",[3]道具信息!K394)</f>
        <v/>
      </c>
      <c r="L394" s="37" t="str">
        <f>IF([3]道具信息!L394="","",[3]道具信息!L394)</f>
        <v/>
      </c>
      <c r="M394" s="37" t="str">
        <f>IF([3]道具信息!M394="","",[3]道具信息!M394)</f>
        <v/>
      </c>
      <c r="N394" s="37"/>
      <c r="O394" s="37" t="str">
        <f>IF([3]道具信息!O394="","",[3]道具信息!O394)</f>
        <v/>
      </c>
      <c r="P394" s="37" t="str">
        <f>IF([3]道具信息!P394="","",[3]道具信息!P394)</f>
        <v/>
      </c>
      <c r="Q394" s="37" t="str">
        <f>IF([3]道具信息!Q394="","",[3]道具信息!Q394)</f>
        <v/>
      </c>
    </row>
    <row r="395" spans="3:17" x14ac:dyDescent="0.15">
      <c r="C395" s="37" t="str">
        <f>IF([3]道具信息!C395="","",[3]道具信息!C395)</f>
        <v/>
      </c>
      <c r="D395" s="37" t="str">
        <f>IF([3]道具信息!D395="","",[3]道具信息!D395)</f>
        <v/>
      </c>
      <c r="E395" s="37" t="str">
        <f>IF([3]道具信息!E395="","",[3]道具信息!E395)</f>
        <v/>
      </c>
      <c r="F395" s="37" t="str">
        <f>IF([3]道具信息!F395="","",[3]道具信息!F395)</f>
        <v/>
      </c>
      <c r="G395" s="37" t="str">
        <f>IF([3]道具信息!G395="","",[3]道具信息!G395)</f>
        <v/>
      </c>
      <c r="H395" s="37" t="str">
        <f>IF([3]道具信息!H395="","",[3]道具信息!H395)</f>
        <v/>
      </c>
      <c r="I395" s="37" t="str">
        <f>IF([3]道具信息!I395="","",[3]道具信息!I395)</f>
        <v/>
      </c>
      <c r="J395" s="37" t="str">
        <f>IF([3]道具信息!J395="","",[3]道具信息!J395)</f>
        <v/>
      </c>
      <c r="K395" s="37" t="str">
        <f>IF([3]道具信息!K395="","",[3]道具信息!K395)</f>
        <v/>
      </c>
      <c r="L395" s="37" t="str">
        <f>IF([3]道具信息!L395="","",[3]道具信息!L395)</f>
        <v/>
      </c>
      <c r="M395" s="37" t="str">
        <f>IF([3]道具信息!M395="","",[3]道具信息!M395)</f>
        <v/>
      </c>
      <c r="N395" s="37"/>
      <c r="O395" s="37" t="str">
        <f>IF([3]道具信息!O395="","",[3]道具信息!O395)</f>
        <v/>
      </c>
      <c r="P395" s="37" t="str">
        <f>IF([3]道具信息!P395="","",[3]道具信息!P395)</f>
        <v/>
      </c>
      <c r="Q395" s="37" t="str">
        <f>IF([3]道具信息!Q395="","",[3]道具信息!Q395)</f>
        <v/>
      </c>
    </row>
    <row r="396" spans="3:17" x14ac:dyDescent="0.15">
      <c r="C396" s="37" t="str">
        <f>IF([3]道具信息!C396="","",[3]道具信息!C396)</f>
        <v/>
      </c>
      <c r="D396" s="37" t="str">
        <f>IF([3]道具信息!D396="","",[3]道具信息!D396)</f>
        <v/>
      </c>
      <c r="E396" s="37" t="str">
        <f>IF([3]道具信息!E396="","",[3]道具信息!E396)</f>
        <v/>
      </c>
      <c r="F396" s="37" t="str">
        <f>IF([3]道具信息!F396="","",[3]道具信息!F396)</f>
        <v/>
      </c>
      <c r="G396" s="37" t="str">
        <f>IF([3]道具信息!G396="","",[3]道具信息!G396)</f>
        <v/>
      </c>
      <c r="H396" s="37" t="str">
        <f>IF([3]道具信息!H396="","",[3]道具信息!H396)</f>
        <v/>
      </c>
      <c r="I396" s="37" t="str">
        <f>IF([3]道具信息!I396="","",[3]道具信息!I396)</f>
        <v/>
      </c>
      <c r="J396" s="37" t="str">
        <f>IF([3]道具信息!J396="","",[3]道具信息!J396)</f>
        <v/>
      </c>
      <c r="K396" s="37" t="str">
        <f>IF([3]道具信息!K396="","",[3]道具信息!K396)</f>
        <v/>
      </c>
      <c r="L396" s="37" t="str">
        <f>IF([3]道具信息!L396="","",[3]道具信息!L396)</f>
        <v/>
      </c>
      <c r="M396" s="37" t="str">
        <f>IF([3]道具信息!M396="","",[3]道具信息!M396)</f>
        <v/>
      </c>
      <c r="N396" s="37"/>
      <c r="O396" s="37" t="str">
        <f>IF([3]道具信息!O396="","",[3]道具信息!O396)</f>
        <v/>
      </c>
      <c r="P396" s="37" t="str">
        <f>IF([3]道具信息!P396="","",[3]道具信息!P396)</f>
        <v/>
      </c>
      <c r="Q396" s="37" t="str">
        <f>IF([3]道具信息!Q396="","",[3]道具信息!Q396)</f>
        <v/>
      </c>
    </row>
    <row r="397" spans="3:17" x14ac:dyDescent="0.15">
      <c r="C397" s="37" t="str">
        <f>IF([3]道具信息!C397="","",[3]道具信息!C397)</f>
        <v/>
      </c>
      <c r="D397" s="37" t="str">
        <f>IF([3]道具信息!D397="","",[3]道具信息!D397)</f>
        <v/>
      </c>
      <c r="E397" s="37" t="str">
        <f>IF([3]道具信息!E397="","",[3]道具信息!E397)</f>
        <v/>
      </c>
      <c r="F397" s="37" t="str">
        <f>IF([3]道具信息!F397="","",[3]道具信息!F397)</f>
        <v/>
      </c>
      <c r="G397" s="37" t="str">
        <f>IF([3]道具信息!G397="","",[3]道具信息!G397)</f>
        <v/>
      </c>
      <c r="H397" s="37" t="str">
        <f>IF([3]道具信息!H397="","",[3]道具信息!H397)</f>
        <v/>
      </c>
      <c r="I397" s="37" t="str">
        <f>IF([3]道具信息!I397="","",[3]道具信息!I397)</f>
        <v/>
      </c>
      <c r="J397" s="37" t="str">
        <f>IF([3]道具信息!J397="","",[3]道具信息!J397)</f>
        <v/>
      </c>
      <c r="K397" s="37" t="str">
        <f>IF([3]道具信息!K397="","",[3]道具信息!K397)</f>
        <v/>
      </c>
      <c r="L397" s="37" t="str">
        <f>IF([3]道具信息!L397="","",[3]道具信息!L397)</f>
        <v/>
      </c>
      <c r="M397" s="37" t="str">
        <f>IF([3]道具信息!M397="","",[3]道具信息!M397)</f>
        <v/>
      </c>
      <c r="N397" s="37"/>
      <c r="O397" s="37" t="str">
        <f>IF([3]道具信息!O397="","",[3]道具信息!O397)</f>
        <v/>
      </c>
      <c r="P397" s="37" t="str">
        <f>IF([3]道具信息!P397="","",[3]道具信息!P397)</f>
        <v/>
      </c>
      <c r="Q397" s="37" t="str">
        <f>IF([3]道具信息!Q397="","",[3]道具信息!Q397)</f>
        <v/>
      </c>
    </row>
    <row r="398" spans="3:17" x14ac:dyDescent="0.15">
      <c r="C398" s="37" t="str">
        <f>IF([3]道具信息!C398="","",[3]道具信息!C398)</f>
        <v/>
      </c>
      <c r="D398" s="37" t="str">
        <f>IF([3]道具信息!D398="","",[3]道具信息!D398)</f>
        <v/>
      </c>
      <c r="E398" s="37" t="str">
        <f>IF([3]道具信息!E398="","",[3]道具信息!E398)</f>
        <v/>
      </c>
      <c r="F398" s="37" t="str">
        <f>IF([3]道具信息!F398="","",[3]道具信息!F398)</f>
        <v/>
      </c>
      <c r="G398" s="37" t="str">
        <f>IF([3]道具信息!G398="","",[3]道具信息!G398)</f>
        <v/>
      </c>
      <c r="H398" s="37" t="str">
        <f>IF([3]道具信息!H398="","",[3]道具信息!H398)</f>
        <v/>
      </c>
      <c r="I398" s="37" t="str">
        <f>IF([3]道具信息!I398="","",[3]道具信息!I398)</f>
        <v/>
      </c>
      <c r="J398" s="37" t="str">
        <f>IF([3]道具信息!J398="","",[3]道具信息!J398)</f>
        <v/>
      </c>
      <c r="K398" s="37" t="str">
        <f>IF([3]道具信息!K398="","",[3]道具信息!K398)</f>
        <v/>
      </c>
      <c r="L398" s="37" t="str">
        <f>IF([3]道具信息!L398="","",[3]道具信息!L398)</f>
        <v/>
      </c>
      <c r="M398" s="37" t="str">
        <f>IF([3]道具信息!M398="","",[3]道具信息!M398)</f>
        <v/>
      </c>
      <c r="N398" s="37"/>
      <c r="O398" s="37" t="str">
        <f>IF([3]道具信息!O398="","",[3]道具信息!O398)</f>
        <v/>
      </c>
      <c r="P398" s="37" t="str">
        <f>IF([3]道具信息!P398="","",[3]道具信息!P398)</f>
        <v/>
      </c>
      <c r="Q398" s="37" t="str">
        <f>IF([3]道具信息!Q398="","",[3]道具信息!Q398)</f>
        <v/>
      </c>
    </row>
    <row r="399" spans="3:17" x14ac:dyDescent="0.15">
      <c r="C399" s="37" t="str">
        <f>IF([3]道具信息!C399="","",[3]道具信息!C399)</f>
        <v/>
      </c>
      <c r="D399" s="37" t="str">
        <f>IF([3]道具信息!D399="","",[3]道具信息!D399)</f>
        <v/>
      </c>
      <c r="E399" s="37" t="str">
        <f>IF([3]道具信息!E399="","",[3]道具信息!E399)</f>
        <v/>
      </c>
      <c r="F399" s="37" t="str">
        <f>IF([3]道具信息!F399="","",[3]道具信息!F399)</f>
        <v/>
      </c>
      <c r="G399" s="37" t="str">
        <f>IF([3]道具信息!G399="","",[3]道具信息!G399)</f>
        <v/>
      </c>
      <c r="H399" s="37" t="str">
        <f>IF([3]道具信息!H399="","",[3]道具信息!H399)</f>
        <v/>
      </c>
      <c r="I399" s="37" t="str">
        <f>IF([3]道具信息!I399="","",[3]道具信息!I399)</f>
        <v/>
      </c>
      <c r="J399" s="37" t="str">
        <f>IF([3]道具信息!J399="","",[3]道具信息!J399)</f>
        <v/>
      </c>
      <c r="K399" s="37" t="str">
        <f>IF([3]道具信息!K399="","",[3]道具信息!K399)</f>
        <v/>
      </c>
      <c r="L399" s="37" t="str">
        <f>IF([3]道具信息!L399="","",[3]道具信息!L399)</f>
        <v/>
      </c>
      <c r="M399" s="37" t="str">
        <f>IF([3]道具信息!M399="","",[3]道具信息!M399)</f>
        <v/>
      </c>
      <c r="N399" s="37"/>
      <c r="O399" s="37" t="str">
        <f>IF([3]道具信息!O399="","",[3]道具信息!O399)</f>
        <v/>
      </c>
      <c r="P399" s="37" t="str">
        <f>IF([3]道具信息!P399="","",[3]道具信息!P399)</f>
        <v/>
      </c>
      <c r="Q399" s="37" t="str">
        <f>IF([3]道具信息!Q399="","",[3]道具信息!Q399)</f>
        <v/>
      </c>
    </row>
    <row r="400" spans="3:17" x14ac:dyDescent="0.15">
      <c r="C400" s="37" t="str">
        <f>IF([3]道具信息!C400="","",[3]道具信息!C400)</f>
        <v/>
      </c>
      <c r="D400" s="37" t="str">
        <f>IF([3]道具信息!D400="","",[3]道具信息!D400)</f>
        <v/>
      </c>
      <c r="E400" s="37" t="str">
        <f>IF([3]道具信息!E400="","",[3]道具信息!E400)</f>
        <v/>
      </c>
      <c r="F400" s="37" t="str">
        <f>IF([3]道具信息!F400="","",[3]道具信息!F400)</f>
        <v/>
      </c>
      <c r="G400" s="37" t="str">
        <f>IF([3]道具信息!G400="","",[3]道具信息!G400)</f>
        <v/>
      </c>
      <c r="H400" s="37" t="str">
        <f>IF([3]道具信息!H400="","",[3]道具信息!H400)</f>
        <v/>
      </c>
      <c r="I400" s="37" t="str">
        <f>IF([3]道具信息!I400="","",[3]道具信息!I400)</f>
        <v/>
      </c>
      <c r="J400" s="37" t="str">
        <f>IF([3]道具信息!J400="","",[3]道具信息!J400)</f>
        <v/>
      </c>
      <c r="K400" s="37" t="str">
        <f>IF([3]道具信息!K400="","",[3]道具信息!K400)</f>
        <v/>
      </c>
      <c r="L400" s="37" t="str">
        <f>IF([3]道具信息!L400="","",[3]道具信息!L400)</f>
        <v/>
      </c>
      <c r="M400" s="37" t="str">
        <f>IF([3]道具信息!M400="","",[3]道具信息!M400)</f>
        <v/>
      </c>
      <c r="N400" s="37"/>
      <c r="O400" s="37" t="str">
        <f>IF([3]道具信息!O400="","",[3]道具信息!O400)</f>
        <v/>
      </c>
      <c r="P400" s="37" t="str">
        <f>IF([3]道具信息!P400="","",[3]道具信息!P400)</f>
        <v/>
      </c>
      <c r="Q400" s="37" t="str">
        <f>IF([3]道具信息!Q400="","",[3]道具信息!Q400)</f>
        <v/>
      </c>
    </row>
    <row r="401" spans="3:17" x14ac:dyDescent="0.15">
      <c r="C401" s="37" t="str">
        <f>IF([3]道具信息!C401="","",[3]道具信息!C401)</f>
        <v/>
      </c>
      <c r="D401" s="37" t="str">
        <f>IF([3]道具信息!D401="","",[3]道具信息!D401)</f>
        <v/>
      </c>
      <c r="E401" s="37" t="str">
        <f>IF([3]道具信息!E401="","",[3]道具信息!E401)</f>
        <v/>
      </c>
      <c r="F401" s="37" t="str">
        <f>IF([3]道具信息!F401="","",[3]道具信息!F401)</f>
        <v/>
      </c>
      <c r="G401" s="37" t="str">
        <f>IF([3]道具信息!G401="","",[3]道具信息!G401)</f>
        <v/>
      </c>
      <c r="H401" s="37" t="str">
        <f>IF([3]道具信息!H401="","",[3]道具信息!H401)</f>
        <v/>
      </c>
      <c r="I401" s="37" t="str">
        <f>IF([3]道具信息!I401="","",[3]道具信息!I401)</f>
        <v/>
      </c>
      <c r="J401" s="37" t="str">
        <f>IF([3]道具信息!J401="","",[3]道具信息!J401)</f>
        <v/>
      </c>
      <c r="K401" s="37" t="str">
        <f>IF([3]道具信息!K401="","",[3]道具信息!K401)</f>
        <v/>
      </c>
      <c r="L401" s="37" t="str">
        <f>IF([3]道具信息!L401="","",[3]道具信息!L401)</f>
        <v/>
      </c>
      <c r="M401" s="37" t="str">
        <f>IF([3]道具信息!M401="","",[3]道具信息!M401)</f>
        <v/>
      </c>
      <c r="N401" s="37"/>
      <c r="O401" s="37" t="str">
        <f>IF([3]道具信息!O401="","",[3]道具信息!O401)</f>
        <v/>
      </c>
      <c r="P401" s="37" t="str">
        <f>IF([3]道具信息!P401="","",[3]道具信息!P401)</f>
        <v/>
      </c>
      <c r="Q401" s="37" t="str">
        <f>IF([3]道具信息!Q401="","",[3]道具信息!Q401)</f>
        <v/>
      </c>
    </row>
    <row r="402" spans="3:17" x14ac:dyDescent="0.15">
      <c r="C402" s="37" t="str">
        <f>IF([3]道具信息!C402="","",[3]道具信息!C402)</f>
        <v/>
      </c>
      <c r="D402" s="37" t="str">
        <f>IF([3]道具信息!D402="","",[3]道具信息!D402)</f>
        <v/>
      </c>
      <c r="E402" s="37" t="str">
        <f>IF([3]道具信息!E402="","",[3]道具信息!E402)</f>
        <v/>
      </c>
      <c r="F402" s="37" t="str">
        <f>IF([3]道具信息!F402="","",[3]道具信息!F402)</f>
        <v/>
      </c>
      <c r="G402" s="37" t="str">
        <f>IF([3]道具信息!G402="","",[3]道具信息!G402)</f>
        <v/>
      </c>
      <c r="H402" s="37" t="str">
        <f>IF([3]道具信息!H402="","",[3]道具信息!H402)</f>
        <v/>
      </c>
      <c r="I402" s="37" t="str">
        <f>IF([3]道具信息!I402="","",[3]道具信息!I402)</f>
        <v/>
      </c>
      <c r="J402" s="37" t="str">
        <f>IF([3]道具信息!J402="","",[3]道具信息!J402)</f>
        <v/>
      </c>
      <c r="K402" s="37" t="str">
        <f>IF([3]道具信息!K402="","",[3]道具信息!K402)</f>
        <v/>
      </c>
      <c r="L402" s="37" t="str">
        <f>IF([3]道具信息!L402="","",[3]道具信息!L402)</f>
        <v/>
      </c>
      <c r="M402" s="37" t="str">
        <f>IF([3]道具信息!M402="","",[3]道具信息!M402)</f>
        <v/>
      </c>
      <c r="N402" s="37"/>
      <c r="O402" s="37" t="str">
        <f>IF([3]道具信息!O402="","",[3]道具信息!O402)</f>
        <v/>
      </c>
      <c r="P402" s="37" t="str">
        <f>IF([3]道具信息!P402="","",[3]道具信息!P402)</f>
        <v/>
      </c>
      <c r="Q402" s="37" t="str">
        <f>IF([3]道具信息!Q402="","",[3]道具信息!Q402)</f>
        <v/>
      </c>
    </row>
    <row r="403" spans="3:17" x14ac:dyDescent="0.15">
      <c r="C403" s="37" t="str">
        <f>IF([3]道具信息!C403="","",[3]道具信息!C403)</f>
        <v/>
      </c>
      <c r="D403" s="37" t="str">
        <f>IF([3]道具信息!D403="","",[3]道具信息!D403)</f>
        <v/>
      </c>
      <c r="E403" s="37" t="str">
        <f>IF([3]道具信息!E403="","",[3]道具信息!E403)</f>
        <v/>
      </c>
      <c r="F403" s="37" t="str">
        <f>IF([3]道具信息!F403="","",[3]道具信息!F403)</f>
        <v/>
      </c>
      <c r="G403" s="37" t="str">
        <f>IF([3]道具信息!G403="","",[3]道具信息!G403)</f>
        <v/>
      </c>
      <c r="H403" s="37" t="str">
        <f>IF([3]道具信息!H403="","",[3]道具信息!H403)</f>
        <v/>
      </c>
      <c r="I403" s="37" t="str">
        <f>IF([3]道具信息!I403="","",[3]道具信息!I403)</f>
        <v/>
      </c>
      <c r="J403" s="37" t="str">
        <f>IF([3]道具信息!J403="","",[3]道具信息!J403)</f>
        <v/>
      </c>
      <c r="K403" s="37" t="str">
        <f>IF([3]道具信息!K403="","",[3]道具信息!K403)</f>
        <v/>
      </c>
      <c r="L403" s="37" t="str">
        <f>IF([3]道具信息!L403="","",[3]道具信息!L403)</f>
        <v/>
      </c>
      <c r="M403" s="37" t="str">
        <f>IF([3]道具信息!M403="","",[3]道具信息!M403)</f>
        <v/>
      </c>
      <c r="N403" s="37"/>
      <c r="O403" s="37" t="str">
        <f>IF([3]道具信息!O403="","",[3]道具信息!O403)</f>
        <v/>
      </c>
      <c r="P403" s="37" t="str">
        <f>IF([3]道具信息!P403="","",[3]道具信息!P403)</f>
        <v/>
      </c>
      <c r="Q403" s="37" t="str">
        <f>IF([3]道具信息!Q403="","",[3]道具信息!Q403)</f>
        <v/>
      </c>
    </row>
    <row r="404" spans="3:17" x14ac:dyDescent="0.15">
      <c r="C404" s="37" t="str">
        <f>IF([3]道具信息!C404="","",[3]道具信息!C404)</f>
        <v/>
      </c>
      <c r="D404" s="37" t="str">
        <f>IF([3]道具信息!D404="","",[3]道具信息!D404)</f>
        <v/>
      </c>
      <c r="E404" s="37" t="str">
        <f>IF([3]道具信息!E404="","",[3]道具信息!E404)</f>
        <v/>
      </c>
      <c r="F404" s="37" t="str">
        <f>IF([3]道具信息!F404="","",[3]道具信息!F404)</f>
        <v/>
      </c>
      <c r="G404" s="37" t="str">
        <f>IF([3]道具信息!G404="","",[3]道具信息!G404)</f>
        <v/>
      </c>
      <c r="H404" s="37" t="str">
        <f>IF([3]道具信息!H404="","",[3]道具信息!H404)</f>
        <v/>
      </c>
      <c r="I404" s="37" t="str">
        <f>IF([3]道具信息!I404="","",[3]道具信息!I404)</f>
        <v/>
      </c>
      <c r="J404" s="37" t="str">
        <f>IF([3]道具信息!J404="","",[3]道具信息!J404)</f>
        <v/>
      </c>
      <c r="K404" s="37" t="str">
        <f>IF([3]道具信息!K404="","",[3]道具信息!K404)</f>
        <v/>
      </c>
      <c r="L404" s="37" t="str">
        <f>IF([3]道具信息!L404="","",[3]道具信息!L404)</f>
        <v/>
      </c>
      <c r="M404" s="37" t="str">
        <f>IF([3]道具信息!M404="","",[3]道具信息!M404)</f>
        <v/>
      </c>
      <c r="N404" s="37"/>
      <c r="O404" s="37" t="str">
        <f>IF([3]道具信息!O404="","",[3]道具信息!O404)</f>
        <v/>
      </c>
      <c r="P404" s="37" t="str">
        <f>IF([3]道具信息!P404="","",[3]道具信息!P404)</f>
        <v/>
      </c>
      <c r="Q404" s="37" t="str">
        <f>IF([3]道具信息!Q404="","",[3]道具信息!Q404)</f>
        <v/>
      </c>
    </row>
    <row r="405" spans="3:17" x14ac:dyDescent="0.15">
      <c r="C405" s="37" t="str">
        <f>IF([3]道具信息!C405="","",[3]道具信息!C405)</f>
        <v/>
      </c>
      <c r="D405" s="37" t="str">
        <f>IF([3]道具信息!D405="","",[3]道具信息!D405)</f>
        <v/>
      </c>
      <c r="E405" s="37" t="str">
        <f>IF([3]道具信息!E405="","",[3]道具信息!E405)</f>
        <v/>
      </c>
      <c r="F405" s="37" t="str">
        <f>IF([3]道具信息!F405="","",[3]道具信息!F405)</f>
        <v/>
      </c>
      <c r="G405" s="37" t="str">
        <f>IF([3]道具信息!G405="","",[3]道具信息!G405)</f>
        <v/>
      </c>
      <c r="H405" s="37" t="str">
        <f>IF([3]道具信息!H405="","",[3]道具信息!H405)</f>
        <v/>
      </c>
      <c r="I405" s="37" t="str">
        <f>IF([3]道具信息!I405="","",[3]道具信息!I405)</f>
        <v/>
      </c>
      <c r="J405" s="37" t="str">
        <f>IF([3]道具信息!J405="","",[3]道具信息!J405)</f>
        <v/>
      </c>
      <c r="K405" s="37" t="str">
        <f>IF([3]道具信息!K405="","",[3]道具信息!K405)</f>
        <v/>
      </c>
      <c r="L405" s="37" t="str">
        <f>IF([3]道具信息!L405="","",[3]道具信息!L405)</f>
        <v/>
      </c>
      <c r="M405" s="37" t="str">
        <f>IF([3]道具信息!M405="","",[3]道具信息!M405)</f>
        <v/>
      </c>
      <c r="N405" s="37"/>
      <c r="O405" s="37" t="str">
        <f>IF([3]道具信息!O405="","",[3]道具信息!O405)</f>
        <v/>
      </c>
      <c r="P405" s="37" t="str">
        <f>IF([3]道具信息!P405="","",[3]道具信息!P405)</f>
        <v/>
      </c>
      <c r="Q405" s="37" t="str">
        <f>IF([3]道具信息!Q405="","",[3]道具信息!Q405)</f>
        <v/>
      </c>
    </row>
    <row r="406" spans="3:17" x14ac:dyDescent="0.15">
      <c r="C406" s="37" t="str">
        <f>IF([3]道具信息!C406="","",[3]道具信息!C406)</f>
        <v/>
      </c>
      <c r="D406" s="37" t="str">
        <f>IF([3]道具信息!D406="","",[3]道具信息!D406)</f>
        <v/>
      </c>
      <c r="E406" s="37" t="str">
        <f>IF([3]道具信息!E406="","",[3]道具信息!E406)</f>
        <v/>
      </c>
      <c r="F406" s="37" t="str">
        <f>IF([3]道具信息!F406="","",[3]道具信息!F406)</f>
        <v/>
      </c>
      <c r="G406" s="37" t="str">
        <f>IF([3]道具信息!G406="","",[3]道具信息!G406)</f>
        <v/>
      </c>
      <c r="H406" s="37" t="str">
        <f>IF([3]道具信息!H406="","",[3]道具信息!H406)</f>
        <v/>
      </c>
      <c r="I406" s="37" t="str">
        <f>IF([3]道具信息!I406="","",[3]道具信息!I406)</f>
        <v/>
      </c>
      <c r="J406" s="37" t="str">
        <f>IF([3]道具信息!J406="","",[3]道具信息!J406)</f>
        <v/>
      </c>
      <c r="K406" s="37" t="str">
        <f>IF([3]道具信息!K406="","",[3]道具信息!K406)</f>
        <v/>
      </c>
      <c r="L406" s="37" t="str">
        <f>IF([3]道具信息!L406="","",[3]道具信息!L406)</f>
        <v/>
      </c>
      <c r="M406" s="37" t="str">
        <f>IF([3]道具信息!M406="","",[3]道具信息!M406)</f>
        <v/>
      </c>
      <c r="N406" s="37"/>
      <c r="O406" s="37" t="str">
        <f>IF([3]道具信息!O406="","",[3]道具信息!O406)</f>
        <v/>
      </c>
      <c r="P406" s="37" t="str">
        <f>IF([3]道具信息!P406="","",[3]道具信息!P406)</f>
        <v/>
      </c>
      <c r="Q406" s="37" t="str">
        <f>IF([3]道具信息!Q406="","",[3]道具信息!Q406)</f>
        <v/>
      </c>
    </row>
    <row r="407" spans="3:17" x14ac:dyDescent="0.15">
      <c r="C407" s="37" t="str">
        <f>IF([3]道具信息!C407="","",[3]道具信息!C407)</f>
        <v/>
      </c>
      <c r="D407" s="37" t="str">
        <f>IF([3]道具信息!D407="","",[3]道具信息!D407)</f>
        <v/>
      </c>
      <c r="E407" s="37" t="str">
        <f>IF([3]道具信息!E407="","",[3]道具信息!E407)</f>
        <v/>
      </c>
      <c r="F407" s="37" t="str">
        <f>IF([3]道具信息!F407="","",[3]道具信息!F407)</f>
        <v/>
      </c>
      <c r="G407" s="37" t="str">
        <f>IF([3]道具信息!G407="","",[3]道具信息!G407)</f>
        <v/>
      </c>
      <c r="H407" s="37" t="str">
        <f>IF([3]道具信息!H407="","",[3]道具信息!H407)</f>
        <v/>
      </c>
      <c r="I407" s="37" t="str">
        <f>IF([3]道具信息!I407="","",[3]道具信息!I407)</f>
        <v/>
      </c>
      <c r="J407" s="37" t="str">
        <f>IF([3]道具信息!J407="","",[3]道具信息!J407)</f>
        <v/>
      </c>
      <c r="K407" s="37" t="str">
        <f>IF([3]道具信息!K407="","",[3]道具信息!K407)</f>
        <v/>
      </c>
      <c r="L407" s="37" t="str">
        <f>IF([3]道具信息!L407="","",[3]道具信息!L407)</f>
        <v/>
      </c>
      <c r="M407" s="37" t="str">
        <f>IF([3]道具信息!M407="","",[3]道具信息!M407)</f>
        <v/>
      </c>
      <c r="N407" s="37"/>
      <c r="O407" s="37" t="str">
        <f>IF([3]道具信息!O407="","",[3]道具信息!O407)</f>
        <v/>
      </c>
      <c r="P407" s="37" t="str">
        <f>IF([3]道具信息!P407="","",[3]道具信息!P407)</f>
        <v/>
      </c>
      <c r="Q407" s="37" t="str">
        <f>IF([3]道具信息!Q407="","",[3]道具信息!Q407)</f>
        <v/>
      </c>
    </row>
    <row r="408" spans="3:17" x14ac:dyDescent="0.15">
      <c r="C408" s="37" t="str">
        <f>IF([3]道具信息!C408="","",[3]道具信息!C408)</f>
        <v/>
      </c>
      <c r="D408" s="37" t="str">
        <f>IF([3]道具信息!D408="","",[3]道具信息!D408)</f>
        <v/>
      </c>
      <c r="E408" s="37" t="str">
        <f>IF([3]道具信息!E408="","",[3]道具信息!E408)</f>
        <v/>
      </c>
      <c r="F408" s="37" t="str">
        <f>IF([3]道具信息!F408="","",[3]道具信息!F408)</f>
        <v/>
      </c>
      <c r="G408" s="37" t="str">
        <f>IF([3]道具信息!G408="","",[3]道具信息!G408)</f>
        <v/>
      </c>
      <c r="H408" s="37" t="str">
        <f>IF([3]道具信息!H408="","",[3]道具信息!H408)</f>
        <v/>
      </c>
      <c r="I408" s="37" t="str">
        <f>IF([3]道具信息!I408="","",[3]道具信息!I408)</f>
        <v/>
      </c>
      <c r="J408" s="37" t="str">
        <f>IF([3]道具信息!J408="","",[3]道具信息!J408)</f>
        <v/>
      </c>
      <c r="K408" s="37" t="str">
        <f>IF([3]道具信息!K408="","",[3]道具信息!K408)</f>
        <v/>
      </c>
      <c r="L408" s="37" t="str">
        <f>IF([3]道具信息!L408="","",[3]道具信息!L408)</f>
        <v/>
      </c>
      <c r="M408" s="37" t="str">
        <f>IF([3]道具信息!M408="","",[3]道具信息!M408)</f>
        <v/>
      </c>
      <c r="N408" s="37"/>
      <c r="O408" s="37" t="str">
        <f>IF([3]道具信息!O408="","",[3]道具信息!O408)</f>
        <v/>
      </c>
      <c r="P408" s="37" t="str">
        <f>IF([3]道具信息!P408="","",[3]道具信息!P408)</f>
        <v/>
      </c>
      <c r="Q408" s="37" t="str">
        <f>IF([3]道具信息!Q408="","",[3]道具信息!Q408)</f>
        <v/>
      </c>
    </row>
    <row r="409" spans="3:17" x14ac:dyDescent="0.15">
      <c r="C409" s="37" t="str">
        <f>IF([3]道具信息!C409="","",[3]道具信息!C409)</f>
        <v/>
      </c>
      <c r="D409" s="37" t="str">
        <f>IF([3]道具信息!D409="","",[3]道具信息!D409)</f>
        <v/>
      </c>
      <c r="E409" s="37" t="str">
        <f>IF([3]道具信息!E409="","",[3]道具信息!E409)</f>
        <v/>
      </c>
      <c r="F409" s="37" t="str">
        <f>IF([3]道具信息!F409="","",[3]道具信息!F409)</f>
        <v/>
      </c>
      <c r="G409" s="37" t="str">
        <f>IF([3]道具信息!G409="","",[3]道具信息!G409)</f>
        <v/>
      </c>
      <c r="H409" s="37" t="str">
        <f>IF([3]道具信息!H409="","",[3]道具信息!H409)</f>
        <v/>
      </c>
      <c r="I409" s="37" t="str">
        <f>IF([3]道具信息!I409="","",[3]道具信息!I409)</f>
        <v/>
      </c>
      <c r="J409" s="37" t="str">
        <f>IF([3]道具信息!J409="","",[3]道具信息!J409)</f>
        <v/>
      </c>
      <c r="K409" s="37" t="str">
        <f>IF([3]道具信息!K409="","",[3]道具信息!K409)</f>
        <v/>
      </c>
      <c r="L409" s="37" t="str">
        <f>IF([3]道具信息!L409="","",[3]道具信息!L409)</f>
        <v/>
      </c>
      <c r="M409" s="37" t="str">
        <f>IF([3]道具信息!M409="","",[3]道具信息!M409)</f>
        <v/>
      </c>
      <c r="N409" s="37"/>
      <c r="O409" s="37" t="str">
        <f>IF([3]道具信息!O409="","",[3]道具信息!O409)</f>
        <v/>
      </c>
      <c r="P409" s="37" t="str">
        <f>IF([3]道具信息!P409="","",[3]道具信息!P409)</f>
        <v/>
      </c>
      <c r="Q409" s="37" t="str">
        <f>IF([3]道具信息!Q409="","",[3]道具信息!Q409)</f>
        <v/>
      </c>
    </row>
    <row r="410" spans="3:17" x14ac:dyDescent="0.15">
      <c r="C410" s="37" t="str">
        <f>IF([3]道具信息!C410="","",[3]道具信息!C410)</f>
        <v/>
      </c>
      <c r="D410" s="37" t="str">
        <f>IF([3]道具信息!D410="","",[3]道具信息!D410)</f>
        <v/>
      </c>
      <c r="E410" s="37" t="str">
        <f>IF([3]道具信息!E410="","",[3]道具信息!E410)</f>
        <v/>
      </c>
      <c r="F410" s="37" t="str">
        <f>IF([3]道具信息!F410="","",[3]道具信息!F410)</f>
        <v/>
      </c>
      <c r="G410" s="37" t="str">
        <f>IF([3]道具信息!G410="","",[3]道具信息!G410)</f>
        <v/>
      </c>
      <c r="H410" s="37" t="str">
        <f>IF([3]道具信息!H410="","",[3]道具信息!H410)</f>
        <v/>
      </c>
      <c r="I410" s="37" t="str">
        <f>IF([3]道具信息!I410="","",[3]道具信息!I410)</f>
        <v/>
      </c>
      <c r="J410" s="37" t="str">
        <f>IF([3]道具信息!J410="","",[3]道具信息!J410)</f>
        <v/>
      </c>
      <c r="K410" s="37" t="str">
        <f>IF([3]道具信息!K410="","",[3]道具信息!K410)</f>
        <v/>
      </c>
      <c r="L410" s="37" t="str">
        <f>IF([3]道具信息!L410="","",[3]道具信息!L410)</f>
        <v/>
      </c>
      <c r="M410" s="37" t="str">
        <f>IF([3]道具信息!M410="","",[3]道具信息!M410)</f>
        <v/>
      </c>
      <c r="N410" s="37"/>
      <c r="O410" s="37" t="str">
        <f>IF([3]道具信息!O410="","",[3]道具信息!O410)</f>
        <v/>
      </c>
      <c r="P410" s="37" t="str">
        <f>IF([3]道具信息!P410="","",[3]道具信息!P410)</f>
        <v/>
      </c>
      <c r="Q410" s="37" t="str">
        <f>IF([3]道具信息!Q410="","",[3]道具信息!Q410)</f>
        <v/>
      </c>
    </row>
    <row r="411" spans="3:17" x14ac:dyDescent="0.15">
      <c r="C411" s="37" t="str">
        <f>IF([3]道具信息!C411="","",[3]道具信息!C411)</f>
        <v/>
      </c>
      <c r="D411" s="37" t="str">
        <f>IF([3]道具信息!D411="","",[3]道具信息!D411)</f>
        <v/>
      </c>
      <c r="E411" s="37" t="str">
        <f>IF([3]道具信息!E411="","",[3]道具信息!E411)</f>
        <v/>
      </c>
      <c r="F411" s="37" t="str">
        <f>IF([3]道具信息!F411="","",[3]道具信息!F411)</f>
        <v/>
      </c>
      <c r="G411" s="37" t="str">
        <f>IF([3]道具信息!G411="","",[3]道具信息!G411)</f>
        <v/>
      </c>
      <c r="H411" s="37" t="str">
        <f>IF([3]道具信息!H411="","",[3]道具信息!H411)</f>
        <v/>
      </c>
      <c r="I411" s="37" t="str">
        <f>IF([3]道具信息!I411="","",[3]道具信息!I411)</f>
        <v/>
      </c>
      <c r="J411" s="37" t="str">
        <f>IF([3]道具信息!J411="","",[3]道具信息!J411)</f>
        <v/>
      </c>
      <c r="K411" s="37" t="str">
        <f>IF([3]道具信息!K411="","",[3]道具信息!K411)</f>
        <v/>
      </c>
      <c r="L411" s="37" t="str">
        <f>IF([3]道具信息!L411="","",[3]道具信息!L411)</f>
        <v/>
      </c>
      <c r="M411" s="37" t="str">
        <f>IF([3]道具信息!M411="","",[3]道具信息!M411)</f>
        <v/>
      </c>
      <c r="N411" s="37"/>
      <c r="O411" s="37" t="str">
        <f>IF([3]道具信息!O411="","",[3]道具信息!O411)</f>
        <v/>
      </c>
      <c r="P411" s="37" t="str">
        <f>IF([3]道具信息!P411="","",[3]道具信息!P411)</f>
        <v/>
      </c>
      <c r="Q411" s="37" t="str">
        <f>IF([3]道具信息!Q411="","",[3]道具信息!Q411)</f>
        <v/>
      </c>
    </row>
    <row r="412" spans="3:17" x14ac:dyDescent="0.15">
      <c r="C412" s="37" t="str">
        <f>IF([3]道具信息!C412="","",[3]道具信息!C412)</f>
        <v/>
      </c>
      <c r="D412" s="37" t="str">
        <f>IF([3]道具信息!D412="","",[3]道具信息!D412)</f>
        <v/>
      </c>
      <c r="E412" s="37" t="str">
        <f>IF([3]道具信息!E412="","",[3]道具信息!E412)</f>
        <v/>
      </c>
      <c r="F412" s="37" t="str">
        <f>IF([3]道具信息!F412="","",[3]道具信息!F412)</f>
        <v/>
      </c>
      <c r="G412" s="37" t="str">
        <f>IF([3]道具信息!G412="","",[3]道具信息!G412)</f>
        <v/>
      </c>
      <c r="H412" s="37" t="str">
        <f>IF([3]道具信息!H412="","",[3]道具信息!H412)</f>
        <v/>
      </c>
      <c r="I412" s="37" t="str">
        <f>IF([3]道具信息!I412="","",[3]道具信息!I412)</f>
        <v/>
      </c>
      <c r="J412" s="37" t="str">
        <f>IF([3]道具信息!J412="","",[3]道具信息!J412)</f>
        <v/>
      </c>
      <c r="K412" s="37" t="str">
        <f>IF([3]道具信息!K412="","",[3]道具信息!K412)</f>
        <v/>
      </c>
      <c r="L412" s="37" t="str">
        <f>IF([3]道具信息!L412="","",[3]道具信息!L412)</f>
        <v/>
      </c>
      <c r="M412" s="37" t="str">
        <f>IF([3]道具信息!M412="","",[3]道具信息!M412)</f>
        <v/>
      </c>
      <c r="N412" s="37"/>
      <c r="O412" s="37" t="str">
        <f>IF([3]道具信息!O412="","",[3]道具信息!O412)</f>
        <v/>
      </c>
      <c r="P412" s="37" t="str">
        <f>IF([3]道具信息!P412="","",[3]道具信息!P412)</f>
        <v/>
      </c>
      <c r="Q412" s="37" t="str">
        <f>IF([3]道具信息!Q412="","",[3]道具信息!Q412)</f>
        <v/>
      </c>
    </row>
    <row r="413" spans="3:17" x14ac:dyDescent="0.15">
      <c r="C413" s="37" t="str">
        <f>IF([3]道具信息!C413="","",[3]道具信息!C413)</f>
        <v/>
      </c>
      <c r="D413" s="37" t="str">
        <f>IF([3]道具信息!D413="","",[3]道具信息!D413)</f>
        <v/>
      </c>
      <c r="E413" s="37" t="str">
        <f>IF([3]道具信息!E413="","",[3]道具信息!E413)</f>
        <v/>
      </c>
      <c r="F413" s="37" t="str">
        <f>IF([3]道具信息!F413="","",[3]道具信息!F413)</f>
        <v/>
      </c>
      <c r="G413" s="37" t="str">
        <f>IF([3]道具信息!G413="","",[3]道具信息!G413)</f>
        <v/>
      </c>
      <c r="H413" s="37" t="str">
        <f>IF([3]道具信息!H413="","",[3]道具信息!H413)</f>
        <v/>
      </c>
      <c r="I413" s="37" t="str">
        <f>IF([3]道具信息!I413="","",[3]道具信息!I413)</f>
        <v/>
      </c>
      <c r="J413" s="37" t="str">
        <f>IF([3]道具信息!J413="","",[3]道具信息!J413)</f>
        <v/>
      </c>
      <c r="K413" s="37" t="str">
        <f>IF([3]道具信息!K413="","",[3]道具信息!K413)</f>
        <v/>
      </c>
      <c r="L413" s="37" t="str">
        <f>IF([3]道具信息!L413="","",[3]道具信息!L413)</f>
        <v/>
      </c>
      <c r="M413" s="37" t="str">
        <f>IF([3]道具信息!M413="","",[3]道具信息!M413)</f>
        <v/>
      </c>
      <c r="N413" s="37"/>
      <c r="O413" s="37" t="str">
        <f>IF([3]道具信息!O413="","",[3]道具信息!O413)</f>
        <v/>
      </c>
      <c r="P413" s="37" t="str">
        <f>IF([3]道具信息!P413="","",[3]道具信息!P413)</f>
        <v/>
      </c>
      <c r="Q413" s="37" t="str">
        <f>IF([3]道具信息!Q413="","",[3]道具信息!Q413)</f>
        <v/>
      </c>
    </row>
    <row r="414" spans="3:17" x14ac:dyDescent="0.15">
      <c r="C414" s="37" t="str">
        <f>IF([3]道具信息!C414="","",[3]道具信息!C414)</f>
        <v/>
      </c>
      <c r="D414" s="37" t="str">
        <f>IF([3]道具信息!D414="","",[3]道具信息!D414)</f>
        <v/>
      </c>
      <c r="E414" s="37" t="str">
        <f>IF([3]道具信息!E414="","",[3]道具信息!E414)</f>
        <v/>
      </c>
      <c r="F414" s="37" t="str">
        <f>IF([3]道具信息!F414="","",[3]道具信息!F414)</f>
        <v/>
      </c>
      <c r="G414" s="37" t="str">
        <f>IF([3]道具信息!G414="","",[3]道具信息!G414)</f>
        <v/>
      </c>
      <c r="H414" s="37" t="str">
        <f>IF([3]道具信息!H414="","",[3]道具信息!H414)</f>
        <v/>
      </c>
      <c r="I414" s="37" t="str">
        <f>IF([3]道具信息!I414="","",[3]道具信息!I414)</f>
        <v/>
      </c>
      <c r="J414" s="37" t="str">
        <f>IF([3]道具信息!J414="","",[3]道具信息!J414)</f>
        <v/>
      </c>
      <c r="K414" s="37" t="str">
        <f>IF([3]道具信息!K414="","",[3]道具信息!K414)</f>
        <v/>
      </c>
      <c r="L414" s="37" t="str">
        <f>IF([3]道具信息!L414="","",[3]道具信息!L414)</f>
        <v/>
      </c>
      <c r="M414" s="37" t="str">
        <f>IF([3]道具信息!M414="","",[3]道具信息!M414)</f>
        <v/>
      </c>
      <c r="N414" s="37"/>
      <c r="O414" s="37" t="str">
        <f>IF([3]道具信息!O414="","",[3]道具信息!O414)</f>
        <v/>
      </c>
      <c r="P414" s="37" t="str">
        <f>IF([3]道具信息!P414="","",[3]道具信息!P414)</f>
        <v/>
      </c>
      <c r="Q414" s="37" t="str">
        <f>IF([3]道具信息!Q414="","",[3]道具信息!Q414)</f>
        <v/>
      </c>
    </row>
    <row r="415" spans="3:17" x14ac:dyDescent="0.15">
      <c r="C415" s="37" t="str">
        <f>IF([3]道具信息!C415="","",[3]道具信息!C415)</f>
        <v/>
      </c>
      <c r="D415" s="37" t="str">
        <f>IF([3]道具信息!D415="","",[3]道具信息!D415)</f>
        <v/>
      </c>
      <c r="E415" s="37" t="str">
        <f>IF([3]道具信息!E415="","",[3]道具信息!E415)</f>
        <v/>
      </c>
      <c r="F415" s="37" t="str">
        <f>IF([3]道具信息!F415="","",[3]道具信息!F415)</f>
        <v/>
      </c>
      <c r="G415" s="37" t="str">
        <f>IF([3]道具信息!G415="","",[3]道具信息!G415)</f>
        <v/>
      </c>
      <c r="H415" s="37" t="str">
        <f>IF([3]道具信息!H415="","",[3]道具信息!H415)</f>
        <v/>
      </c>
      <c r="I415" s="37" t="str">
        <f>IF([3]道具信息!I415="","",[3]道具信息!I415)</f>
        <v/>
      </c>
      <c r="J415" s="37" t="str">
        <f>IF([3]道具信息!J415="","",[3]道具信息!J415)</f>
        <v/>
      </c>
      <c r="K415" s="37" t="str">
        <f>IF([3]道具信息!K415="","",[3]道具信息!K415)</f>
        <v/>
      </c>
      <c r="L415" s="37" t="str">
        <f>IF([3]道具信息!L415="","",[3]道具信息!L415)</f>
        <v/>
      </c>
      <c r="M415" s="37" t="str">
        <f>IF([3]道具信息!M415="","",[3]道具信息!M415)</f>
        <v/>
      </c>
      <c r="N415" s="37"/>
      <c r="O415" s="37" t="str">
        <f>IF([3]道具信息!O415="","",[3]道具信息!O415)</f>
        <v/>
      </c>
      <c r="P415" s="37" t="str">
        <f>IF([3]道具信息!P415="","",[3]道具信息!P415)</f>
        <v/>
      </c>
      <c r="Q415" s="37" t="str">
        <f>IF([3]道具信息!Q415="","",[3]道具信息!Q415)</f>
        <v/>
      </c>
    </row>
    <row r="416" spans="3:17" x14ac:dyDescent="0.15">
      <c r="C416" s="37" t="str">
        <f>IF([3]道具信息!C416="","",[3]道具信息!C416)</f>
        <v/>
      </c>
      <c r="D416" s="37" t="str">
        <f>IF([3]道具信息!D416="","",[3]道具信息!D416)</f>
        <v/>
      </c>
      <c r="E416" s="37" t="str">
        <f>IF([3]道具信息!E416="","",[3]道具信息!E416)</f>
        <v/>
      </c>
      <c r="F416" s="37" t="str">
        <f>IF([3]道具信息!F416="","",[3]道具信息!F416)</f>
        <v/>
      </c>
      <c r="G416" s="37" t="str">
        <f>IF([3]道具信息!G416="","",[3]道具信息!G416)</f>
        <v/>
      </c>
      <c r="H416" s="37" t="str">
        <f>IF([3]道具信息!H416="","",[3]道具信息!H416)</f>
        <v/>
      </c>
      <c r="I416" s="37" t="str">
        <f>IF([3]道具信息!I416="","",[3]道具信息!I416)</f>
        <v/>
      </c>
      <c r="J416" s="37" t="str">
        <f>IF([3]道具信息!J416="","",[3]道具信息!J416)</f>
        <v/>
      </c>
      <c r="K416" s="37" t="str">
        <f>IF([3]道具信息!K416="","",[3]道具信息!K416)</f>
        <v/>
      </c>
      <c r="L416" s="37" t="str">
        <f>IF([3]道具信息!L416="","",[3]道具信息!L416)</f>
        <v/>
      </c>
      <c r="M416" s="37" t="str">
        <f>IF([3]道具信息!M416="","",[3]道具信息!M416)</f>
        <v/>
      </c>
      <c r="N416" s="37"/>
      <c r="O416" s="37" t="str">
        <f>IF([3]道具信息!O416="","",[3]道具信息!O416)</f>
        <v/>
      </c>
      <c r="P416" s="37" t="str">
        <f>IF([3]道具信息!P416="","",[3]道具信息!P416)</f>
        <v/>
      </c>
      <c r="Q416" s="37" t="str">
        <f>IF([3]道具信息!Q416="","",[3]道具信息!Q416)</f>
        <v/>
      </c>
    </row>
    <row r="417" spans="3:17" x14ac:dyDescent="0.15">
      <c r="C417" s="37" t="str">
        <f>IF([3]道具信息!C417="","",[3]道具信息!C417)</f>
        <v/>
      </c>
      <c r="D417" s="37" t="str">
        <f>IF([3]道具信息!D417="","",[3]道具信息!D417)</f>
        <v/>
      </c>
      <c r="E417" s="37" t="str">
        <f>IF([3]道具信息!E417="","",[3]道具信息!E417)</f>
        <v/>
      </c>
      <c r="F417" s="37" t="str">
        <f>IF([3]道具信息!F417="","",[3]道具信息!F417)</f>
        <v/>
      </c>
      <c r="G417" s="37" t="str">
        <f>IF([3]道具信息!G417="","",[3]道具信息!G417)</f>
        <v/>
      </c>
      <c r="H417" s="37" t="str">
        <f>IF([3]道具信息!H417="","",[3]道具信息!H417)</f>
        <v/>
      </c>
      <c r="I417" s="37" t="str">
        <f>IF([3]道具信息!I417="","",[3]道具信息!I417)</f>
        <v/>
      </c>
      <c r="J417" s="37" t="str">
        <f>IF([3]道具信息!J417="","",[3]道具信息!J417)</f>
        <v/>
      </c>
      <c r="K417" s="37" t="str">
        <f>IF([3]道具信息!K417="","",[3]道具信息!K417)</f>
        <v/>
      </c>
      <c r="L417" s="37" t="str">
        <f>IF([3]道具信息!L417="","",[3]道具信息!L417)</f>
        <v/>
      </c>
      <c r="M417" s="37" t="str">
        <f>IF([3]道具信息!M417="","",[3]道具信息!M417)</f>
        <v/>
      </c>
      <c r="N417" s="37"/>
      <c r="O417" s="37" t="str">
        <f>IF([3]道具信息!O417="","",[3]道具信息!O417)</f>
        <v/>
      </c>
      <c r="P417" s="37" t="str">
        <f>IF([3]道具信息!P417="","",[3]道具信息!P417)</f>
        <v/>
      </c>
      <c r="Q417" s="37" t="str">
        <f>IF([3]道具信息!Q417="","",[3]道具信息!Q417)</f>
        <v/>
      </c>
    </row>
    <row r="418" spans="3:17" x14ac:dyDescent="0.15">
      <c r="C418" s="37" t="str">
        <f>IF([3]道具信息!C418="","",[3]道具信息!C418)</f>
        <v/>
      </c>
      <c r="D418" s="37" t="str">
        <f>IF([3]道具信息!D418="","",[3]道具信息!D418)</f>
        <v/>
      </c>
      <c r="E418" s="37" t="str">
        <f>IF([3]道具信息!E418="","",[3]道具信息!E418)</f>
        <v/>
      </c>
      <c r="F418" s="37" t="str">
        <f>IF([3]道具信息!F418="","",[3]道具信息!F418)</f>
        <v/>
      </c>
      <c r="G418" s="37" t="str">
        <f>IF([3]道具信息!G418="","",[3]道具信息!G418)</f>
        <v/>
      </c>
      <c r="H418" s="37" t="str">
        <f>IF([3]道具信息!H418="","",[3]道具信息!H418)</f>
        <v/>
      </c>
      <c r="I418" s="37" t="str">
        <f>IF([3]道具信息!I418="","",[3]道具信息!I418)</f>
        <v/>
      </c>
      <c r="J418" s="37" t="str">
        <f>IF([3]道具信息!J418="","",[3]道具信息!J418)</f>
        <v/>
      </c>
      <c r="K418" s="37" t="str">
        <f>IF([3]道具信息!K418="","",[3]道具信息!K418)</f>
        <v/>
      </c>
      <c r="L418" s="37" t="str">
        <f>IF([3]道具信息!L418="","",[3]道具信息!L418)</f>
        <v/>
      </c>
      <c r="M418" s="37" t="str">
        <f>IF([3]道具信息!M418="","",[3]道具信息!M418)</f>
        <v/>
      </c>
      <c r="N418" s="37"/>
      <c r="O418" s="37" t="str">
        <f>IF([3]道具信息!O418="","",[3]道具信息!O418)</f>
        <v/>
      </c>
      <c r="P418" s="37" t="str">
        <f>IF([3]道具信息!P418="","",[3]道具信息!P418)</f>
        <v/>
      </c>
      <c r="Q418" s="37" t="str">
        <f>IF([3]道具信息!Q418="","",[3]道具信息!Q418)</f>
        <v/>
      </c>
    </row>
    <row r="419" spans="3:17" x14ac:dyDescent="0.15">
      <c r="C419" s="37" t="str">
        <f>IF([3]道具信息!C419="","",[3]道具信息!C419)</f>
        <v/>
      </c>
      <c r="D419" s="37" t="str">
        <f>IF([3]道具信息!D419="","",[3]道具信息!D419)</f>
        <v/>
      </c>
      <c r="E419" s="37" t="str">
        <f>IF([3]道具信息!E419="","",[3]道具信息!E419)</f>
        <v/>
      </c>
      <c r="F419" s="37" t="str">
        <f>IF([3]道具信息!F419="","",[3]道具信息!F419)</f>
        <v/>
      </c>
      <c r="G419" s="37" t="str">
        <f>IF([3]道具信息!G419="","",[3]道具信息!G419)</f>
        <v/>
      </c>
      <c r="H419" s="37" t="str">
        <f>IF([3]道具信息!H419="","",[3]道具信息!H419)</f>
        <v/>
      </c>
      <c r="I419" s="37" t="str">
        <f>IF([3]道具信息!I419="","",[3]道具信息!I419)</f>
        <v/>
      </c>
      <c r="J419" s="37" t="str">
        <f>IF([3]道具信息!J419="","",[3]道具信息!J419)</f>
        <v/>
      </c>
      <c r="K419" s="37" t="str">
        <f>IF([3]道具信息!K419="","",[3]道具信息!K419)</f>
        <v/>
      </c>
      <c r="L419" s="37" t="str">
        <f>IF([3]道具信息!L419="","",[3]道具信息!L419)</f>
        <v/>
      </c>
      <c r="M419" s="37" t="str">
        <f>IF([3]道具信息!M419="","",[3]道具信息!M419)</f>
        <v/>
      </c>
      <c r="N419" s="37"/>
      <c r="O419" s="37" t="str">
        <f>IF([3]道具信息!O419="","",[3]道具信息!O419)</f>
        <v/>
      </c>
      <c r="P419" s="37" t="str">
        <f>IF([3]道具信息!P419="","",[3]道具信息!P419)</f>
        <v/>
      </c>
      <c r="Q419" s="37" t="str">
        <f>IF([3]道具信息!Q419="","",[3]道具信息!Q419)</f>
        <v/>
      </c>
    </row>
    <row r="420" spans="3:17" x14ac:dyDescent="0.15">
      <c r="C420" s="37" t="str">
        <f>IF([3]道具信息!C420="","",[3]道具信息!C420)</f>
        <v/>
      </c>
      <c r="D420" s="37" t="str">
        <f>IF([3]道具信息!D420="","",[3]道具信息!D420)</f>
        <v/>
      </c>
      <c r="E420" s="37" t="str">
        <f>IF([3]道具信息!E420="","",[3]道具信息!E420)</f>
        <v/>
      </c>
      <c r="F420" s="37" t="str">
        <f>IF([3]道具信息!F420="","",[3]道具信息!F420)</f>
        <v/>
      </c>
      <c r="G420" s="37" t="str">
        <f>IF([3]道具信息!G420="","",[3]道具信息!G420)</f>
        <v/>
      </c>
      <c r="H420" s="37" t="str">
        <f>IF([3]道具信息!H420="","",[3]道具信息!H420)</f>
        <v/>
      </c>
      <c r="I420" s="37" t="str">
        <f>IF([3]道具信息!I420="","",[3]道具信息!I420)</f>
        <v/>
      </c>
      <c r="J420" s="37" t="str">
        <f>IF([3]道具信息!J420="","",[3]道具信息!J420)</f>
        <v/>
      </c>
      <c r="K420" s="37" t="str">
        <f>IF([3]道具信息!K420="","",[3]道具信息!K420)</f>
        <v/>
      </c>
      <c r="L420" s="37" t="str">
        <f>IF([3]道具信息!L420="","",[3]道具信息!L420)</f>
        <v/>
      </c>
      <c r="M420" s="37" t="str">
        <f>IF([3]道具信息!M420="","",[3]道具信息!M420)</f>
        <v/>
      </c>
      <c r="N420" s="37"/>
      <c r="O420" s="37" t="str">
        <f>IF([3]道具信息!O420="","",[3]道具信息!O420)</f>
        <v/>
      </c>
      <c r="P420" s="37" t="str">
        <f>IF([3]道具信息!P420="","",[3]道具信息!P420)</f>
        <v/>
      </c>
      <c r="Q420" s="37" t="str">
        <f>IF([3]道具信息!Q420="","",[3]道具信息!Q420)</f>
        <v/>
      </c>
    </row>
    <row r="421" spans="3:17" x14ac:dyDescent="0.15">
      <c r="C421" s="37" t="str">
        <f>IF([3]道具信息!C421="","",[3]道具信息!C421)</f>
        <v/>
      </c>
      <c r="D421" s="37" t="str">
        <f>IF([3]道具信息!D421="","",[3]道具信息!D421)</f>
        <v/>
      </c>
      <c r="E421" s="37" t="str">
        <f>IF([3]道具信息!E421="","",[3]道具信息!E421)</f>
        <v/>
      </c>
      <c r="F421" s="37" t="str">
        <f>IF([3]道具信息!F421="","",[3]道具信息!F421)</f>
        <v/>
      </c>
      <c r="G421" s="37" t="str">
        <f>IF([3]道具信息!G421="","",[3]道具信息!G421)</f>
        <v/>
      </c>
      <c r="H421" s="37" t="str">
        <f>IF([3]道具信息!H421="","",[3]道具信息!H421)</f>
        <v/>
      </c>
      <c r="I421" s="37" t="str">
        <f>IF([3]道具信息!I421="","",[3]道具信息!I421)</f>
        <v/>
      </c>
      <c r="J421" s="37" t="str">
        <f>IF([3]道具信息!J421="","",[3]道具信息!J421)</f>
        <v/>
      </c>
      <c r="K421" s="37" t="str">
        <f>IF([3]道具信息!K421="","",[3]道具信息!K421)</f>
        <v/>
      </c>
      <c r="L421" s="37" t="str">
        <f>IF([3]道具信息!L421="","",[3]道具信息!L421)</f>
        <v/>
      </c>
      <c r="M421" s="37" t="str">
        <f>IF([3]道具信息!M421="","",[3]道具信息!M421)</f>
        <v/>
      </c>
      <c r="N421" s="37"/>
      <c r="O421" s="37" t="str">
        <f>IF([3]道具信息!O421="","",[3]道具信息!O421)</f>
        <v/>
      </c>
      <c r="P421" s="37" t="str">
        <f>IF([3]道具信息!P421="","",[3]道具信息!P421)</f>
        <v/>
      </c>
      <c r="Q421" s="37" t="str">
        <f>IF([3]道具信息!Q421="","",[3]道具信息!Q421)</f>
        <v/>
      </c>
    </row>
    <row r="422" spans="3:17" x14ac:dyDescent="0.15">
      <c r="C422" s="37" t="str">
        <f>IF([3]道具信息!C422="","",[3]道具信息!C422)</f>
        <v/>
      </c>
      <c r="D422" s="37" t="str">
        <f>IF([3]道具信息!D422="","",[3]道具信息!D422)</f>
        <v/>
      </c>
      <c r="E422" s="37" t="str">
        <f>IF([3]道具信息!E422="","",[3]道具信息!E422)</f>
        <v/>
      </c>
      <c r="F422" s="37" t="str">
        <f>IF([3]道具信息!F422="","",[3]道具信息!F422)</f>
        <v/>
      </c>
      <c r="G422" s="37" t="str">
        <f>IF([3]道具信息!G422="","",[3]道具信息!G422)</f>
        <v/>
      </c>
      <c r="H422" s="37" t="str">
        <f>IF([3]道具信息!H422="","",[3]道具信息!H422)</f>
        <v/>
      </c>
      <c r="I422" s="37" t="str">
        <f>IF([3]道具信息!I422="","",[3]道具信息!I422)</f>
        <v/>
      </c>
      <c r="J422" s="37" t="str">
        <f>IF([3]道具信息!J422="","",[3]道具信息!J422)</f>
        <v/>
      </c>
      <c r="K422" s="37" t="str">
        <f>IF([3]道具信息!K422="","",[3]道具信息!K422)</f>
        <v/>
      </c>
      <c r="L422" s="37" t="str">
        <f>IF([3]道具信息!L422="","",[3]道具信息!L422)</f>
        <v/>
      </c>
      <c r="M422" s="37" t="str">
        <f>IF([3]道具信息!M422="","",[3]道具信息!M422)</f>
        <v/>
      </c>
      <c r="N422" s="37"/>
      <c r="O422" s="37" t="str">
        <f>IF([3]道具信息!O422="","",[3]道具信息!O422)</f>
        <v/>
      </c>
      <c r="P422" s="37" t="str">
        <f>IF([3]道具信息!P422="","",[3]道具信息!P422)</f>
        <v/>
      </c>
      <c r="Q422" s="37" t="str">
        <f>IF([3]道具信息!Q422="","",[3]道具信息!Q422)</f>
        <v/>
      </c>
    </row>
    <row r="423" spans="3:17" x14ac:dyDescent="0.15">
      <c r="C423" s="37" t="str">
        <f>IF([3]道具信息!C423="","",[3]道具信息!C423)</f>
        <v/>
      </c>
      <c r="D423" s="37" t="str">
        <f>IF([3]道具信息!D423="","",[3]道具信息!D423)</f>
        <v/>
      </c>
      <c r="E423" s="37" t="str">
        <f>IF([3]道具信息!E423="","",[3]道具信息!E423)</f>
        <v/>
      </c>
      <c r="F423" s="37" t="str">
        <f>IF([3]道具信息!F423="","",[3]道具信息!F423)</f>
        <v/>
      </c>
      <c r="G423" s="37" t="str">
        <f>IF([3]道具信息!G423="","",[3]道具信息!G423)</f>
        <v/>
      </c>
      <c r="H423" s="37" t="str">
        <f>IF([3]道具信息!H423="","",[3]道具信息!H423)</f>
        <v/>
      </c>
      <c r="I423" s="37" t="str">
        <f>IF([3]道具信息!I423="","",[3]道具信息!I423)</f>
        <v/>
      </c>
      <c r="J423" s="37" t="str">
        <f>IF([3]道具信息!J423="","",[3]道具信息!J423)</f>
        <v/>
      </c>
      <c r="K423" s="37" t="str">
        <f>IF([3]道具信息!K423="","",[3]道具信息!K423)</f>
        <v/>
      </c>
      <c r="L423" s="37" t="str">
        <f>IF([3]道具信息!L423="","",[3]道具信息!L423)</f>
        <v/>
      </c>
      <c r="M423" s="37" t="str">
        <f>IF([3]道具信息!M423="","",[3]道具信息!M423)</f>
        <v/>
      </c>
      <c r="N423" s="37"/>
      <c r="O423" s="37" t="str">
        <f>IF([3]道具信息!O423="","",[3]道具信息!O423)</f>
        <v/>
      </c>
      <c r="P423" s="37" t="str">
        <f>IF([3]道具信息!P423="","",[3]道具信息!P423)</f>
        <v/>
      </c>
      <c r="Q423" s="37" t="str">
        <f>IF([3]道具信息!Q423="","",[3]道具信息!Q423)</f>
        <v/>
      </c>
    </row>
    <row r="424" spans="3:17" x14ac:dyDescent="0.15">
      <c r="C424" s="37" t="str">
        <f>IF([3]道具信息!C424="","",[3]道具信息!C424)</f>
        <v/>
      </c>
      <c r="D424" s="37" t="str">
        <f>IF([3]道具信息!D424="","",[3]道具信息!D424)</f>
        <v/>
      </c>
      <c r="E424" s="37" t="str">
        <f>IF([3]道具信息!E424="","",[3]道具信息!E424)</f>
        <v/>
      </c>
      <c r="F424" s="37" t="str">
        <f>IF([3]道具信息!F424="","",[3]道具信息!F424)</f>
        <v/>
      </c>
      <c r="G424" s="37" t="str">
        <f>IF([3]道具信息!G424="","",[3]道具信息!G424)</f>
        <v/>
      </c>
      <c r="H424" s="37" t="str">
        <f>IF([3]道具信息!H424="","",[3]道具信息!H424)</f>
        <v/>
      </c>
      <c r="I424" s="37" t="str">
        <f>IF([3]道具信息!I424="","",[3]道具信息!I424)</f>
        <v/>
      </c>
      <c r="J424" s="37" t="str">
        <f>IF([3]道具信息!J424="","",[3]道具信息!J424)</f>
        <v/>
      </c>
      <c r="K424" s="37" t="str">
        <f>IF([3]道具信息!K424="","",[3]道具信息!K424)</f>
        <v/>
      </c>
      <c r="L424" s="37" t="str">
        <f>IF([3]道具信息!L424="","",[3]道具信息!L424)</f>
        <v/>
      </c>
      <c r="M424" s="37" t="str">
        <f>IF([3]道具信息!M424="","",[3]道具信息!M424)</f>
        <v/>
      </c>
      <c r="N424" s="37"/>
      <c r="O424" s="37" t="str">
        <f>IF([3]道具信息!O424="","",[3]道具信息!O424)</f>
        <v/>
      </c>
      <c r="P424" s="37" t="str">
        <f>IF([3]道具信息!P424="","",[3]道具信息!P424)</f>
        <v/>
      </c>
      <c r="Q424" s="37" t="str">
        <f>IF([3]道具信息!Q424="","",[3]道具信息!Q424)</f>
        <v/>
      </c>
    </row>
    <row r="425" spans="3:17" x14ac:dyDescent="0.15">
      <c r="C425" s="37" t="str">
        <f>IF([3]道具信息!C425="","",[3]道具信息!C425)</f>
        <v/>
      </c>
      <c r="D425" s="37" t="str">
        <f>IF([3]道具信息!D425="","",[3]道具信息!D425)</f>
        <v/>
      </c>
      <c r="E425" s="37" t="str">
        <f>IF([3]道具信息!E425="","",[3]道具信息!E425)</f>
        <v/>
      </c>
      <c r="F425" s="37" t="str">
        <f>IF([3]道具信息!F425="","",[3]道具信息!F425)</f>
        <v/>
      </c>
      <c r="G425" s="37" t="str">
        <f>IF([3]道具信息!G425="","",[3]道具信息!G425)</f>
        <v/>
      </c>
      <c r="H425" s="37" t="str">
        <f>IF([3]道具信息!H425="","",[3]道具信息!H425)</f>
        <v/>
      </c>
      <c r="I425" s="37" t="str">
        <f>IF([3]道具信息!I425="","",[3]道具信息!I425)</f>
        <v/>
      </c>
      <c r="J425" s="37" t="str">
        <f>IF([3]道具信息!J425="","",[3]道具信息!J425)</f>
        <v/>
      </c>
      <c r="K425" s="37" t="str">
        <f>IF([3]道具信息!K425="","",[3]道具信息!K425)</f>
        <v/>
      </c>
      <c r="L425" s="37" t="str">
        <f>IF([3]道具信息!L425="","",[3]道具信息!L425)</f>
        <v/>
      </c>
      <c r="M425" s="37" t="str">
        <f>IF([3]道具信息!M425="","",[3]道具信息!M425)</f>
        <v/>
      </c>
      <c r="N425" s="37"/>
      <c r="O425" s="37" t="str">
        <f>IF([3]道具信息!O425="","",[3]道具信息!O425)</f>
        <v/>
      </c>
      <c r="P425" s="37" t="str">
        <f>IF([3]道具信息!P425="","",[3]道具信息!P425)</f>
        <v/>
      </c>
      <c r="Q425" s="37" t="str">
        <f>IF([3]道具信息!Q425="","",[3]道具信息!Q425)</f>
        <v/>
      </c>
    </row>
    <row r="426" spans="3:17" x14ac:dyDescent="0.15">
      <c r="C426" s="37" t="str">
        <f>IF([3]道具信息!C426="","",[3]道具信息!C426)</f>
        <v/>
      </c>
      <c r="D426" s="37" t="str">
        <f>IF([3]道具信息!D426="","",[3]道具信息!D426)</f>
        <v/>
      </c>
      <c r="E426" s="37" t="str">
        <f>IF([3]道具信息!E426="","",[3]道具信息!E426)</f>
        <v/>
      </c>
      <c r="F426" s="37" t="str">
        <f>IF([3]道具信息!F426="","",[3]道具信息!F426)</f>
        <v/>
      </c>
      <c r="G426" s="37" t="str">
        <f>IF([3]道具信息!G426="","",[3]道具信息!G426)</f>
        <v/>
      </c>
      <c r="H426" s="37" t="str">
        <f>IF([3]道具信息!H426="","",[3]道具信息!H426)</f>
        <v/>
      </c>
      <c r="I426" s="37" t="str">
        <f>IF([3]道具信息!I426="","",[3]道具信息!I426)</f>
        <v/>
      </c>
      <c r="J426" s="37" t="str">
        <f>IF([3]道具信息!J426="","",[3]道具信息!J426)</f>
        <v/>
      </c>
      <c r="K426" s="37" t="str">
        <f>IF([3]道具信息!K426="","",[3]道具信息!K426)</f>
        <v/>
      </c>
      <c r="L426" s="37" t="str">
        <f>IF([3]道具信息!L426="","",[3]道具信息!L426)</f>
        <v/>
      </c>
      <c r="M426" s="37" t="str">
        <f>IF([3]道具信息!M426="","",[3]道具信息!M426)</f>
        <v/>
      </c>
      <c r="N426" s="37"/>
      <c r="O426" s="37" t="str">
        <f>IF([3]道具信息!O426="","",[3]道具信息!O426)</f>
        <v/>
      </c>
      <c r="P426" s="37" t="str">
        <f>IF([3]道具信息!P426="","",[3]道具信息!P426)</f>
        <v/>
      </c>
      <c r="Q426" s="37" t="str">
        <f>IF([3]道具信息!Q426="","",[3]道具信息!Q426)</f>
        <v/>
      </c>
    </row>
    <row r="427" spans="3:17" x14ac:dyDescent="0.15">
      <c r="C427" s="37" t="str">
        <f>IF([3]道具信息!C427="","",[3]道具信息!C427)</f>
        <v/>
      </c>
      <c r="D427" s="37" t="str">
        <f>IF([3]道具信息!D427="","",[3]道具信息!D427)</f>
        <v/>
      </c>
      <c r="E427" s="37" t="str">
        <f>IF([3]道具信息!E427="","",[3]道具信息!E427)</f>
        <v/>
      </c>
      <c r="F427" s="37" t="str">
        <f>IF([3]道具信息!F427="","",[3]道具信息!F427)</f>
        <v/>
      </c>
      <c r="G427" s="37" t="str">
        <f>IF([3]道具信息!G427="","",[3]道具信息!G427)</f>
        <v/>
      </c>
      <c r="H427" s="37" t="str">
        <f>IF([3]道具信息!H427="","",[3]道具信息!H427)</f>
        <v/>
      </c>
      <c r="I427" s="37" t="str">
        <f>IF([3]道具信息!I427="","",[3]道具信息!I427)</f>
        <v/>
      </c>
      <c r="J427" s="37" t="str">
        <f>IF([3]道具信息!J427="","",[3]道具信息!J427)</f>
        <v/>
      </c>
      <c r="K427" s="37" t="str">
        <f>IF([3]道具信息!K427="","",[3]道具信息!K427)</f>
        <v/>
      </c>
      <c r="L427" s="37" t="str">
        <f>IF([3]道具信息!L427="","",[3]道具信息!L427)</f>
        <v/>
      </c>
      <c r="M427" s="37" t="str">
        <f>IF([3]道具信息!M427="","",[3]道具信息!M427)</f>
        <v/>
      </c>
      <c r="N427" s="37"/>
      <c r="O427" s="37" t="str">
        <f>IF([3]道具信息!O427="","",[3]道具信息!O427)</f>
        <v/>
      </c>
      <c r="P427" s="37" t="str">
        <f>IF([3]道具信息!P427="","",[3]道具信息!P427)</f>
        <v/>
      </c>
      <c r="Q427" s="37" t="str">
        <f>IF([3]道具信息!Q427="","",[3]道具信息!Q427)</f>
        <v/>
      </c>
    </row>
    <row r="428" spans="3:17" x14ac:dyDescent="0.15">
      <c r="C428" s="37" t="str">
        <f>IF([3]道具信息!C428="","",[3]道具信息!C428)</f>
        <v/>
      </c>
      <c r="D428" s="37" t="str">
        <f>IF([3]道具信息!D428="","",[3]道具信息!D428)</f>
        <v/>
      </c>
      <c r="E428" s="37" t="str">
        <f>IF([3]道具信息!E428="","",[3]道具信息!E428)</f>
        <v/>
      </c>
      <c r="F428" s="37" t="str">
        <f>IF([3]道具信息!F428="","",[3]道具信息!F428)</f>
        <v/>
      </c>
      <c r="G428" s="37" t="str">
        <f>IF([3]道具信息!G428="","",[3]道具信息!G428)</f>
        <v/>
      </c>
      <c r="H428" s="37" t="str">
        <f>IF([3]道具信息!H428="","",[3]道具信息!H428)</f>
        <v/>
      </c>
      <c r="I428" s="37" t="str">
        <f>IF([3]道具信息!I428="","",[3]道具信息!I428)</f>
        <v/>
      </c>
      <c r="J428" s="37" t="str">
        <f>IF([3]道具信息!J428="","",[3]道具信息!J428)</f>
        <v/>
      </c>
      <c r="K428" s="37" t="str">
        <f>IF([3]道具信息!K428="","",[3]道具信息!K428)</f>
        <v/>
      </c>
      <c r="L428" s="37" t="str">
        <f>IF([3]道具信息!L428="","",[3]道具信息!L428)</f>
        <v/>
      </c>
      <c r="M428" s="37" t="str">
        <f>IF([3]道具信息!M428="","",[3]道具信息!M428)</f>
        <v/>
      </c>
      <c r="N428" s="37"/>
      <c r="O428" s="37" t="str">
        <f>IF([3]道具信息!O428="","",[3]道具信息!O428)</f>
        <v/>
      </c>
      <c r="P428" s="37" t="str">
        <f>IF([3]道具信息!P428="","",[3]道具信息!P428)</f>
        <v/>
      </c>
      <c r="Q428" s="37" t="str">
        <f>IF([3]道具信息!Q428="","",[3]道具信息!Q428)</f>
        <v/>
      </c>
    </row>
    <row r="429" spans="3:17" x14ac:dyDescent="0.15">
      <c r="C429" s="37" t="str">
        <f>IF([3]道具信息!C429="","",[3]道具信息!C429)</f>
        <v/>
      </c>
      <c r="D429" s="37" t="str">
        <f>IF([3]道具信息!D429="","",[3]道具信息!D429)</f>
        <v/>
      </c>
      <c r="E429" s="37" t="str">
        <f>IF([3]道具信息!E429="","",[3]道具信息!E429)</f>
        <v/>
      </c>
      <c r="F429" s="37" t="str">
        <f>IF([3]道具信息!F429="","",[3]道具信息!F429)</f>
        <v/>
      </c>
      <c r="G429" s="37" t="str">
        <f>IF([3]道具信息!G429="","",[3]道具信息!G429)</f>
        <v/>
      </c>
      <c r="H429" s="37" t="str">
        <f>IF([3]道具信息!H429="","",[3]道具信息!H429)</f>
        <v/>
      </c>
      <c r="I429" s="37" t="str">
        <f>IF([3]道具信息!I429="","",[3]道具信息!I429)</f>
        <v/>
      </c>
      <c r="J429" s="37" t="str">
        <f>IF([3]道具信息!J429="","",[3]道具信息!J429)</f>
        <v/>
      </c>
      <c r="K429" s="37" t="str">
        <f>IF([3]道具信息!K429="","",[3]道具信息!K429)</f>
        <v/>
      </c>
      <c r="L429" s="37" t="str">
        <f>IF([3]道具信息!L429="","",[3]道具信息!L429)</f>
        <v/>
      </c>
      <c r="M429" s="37" t="str">
        <f>IF([3]道具信息!M429="","",[3]道具信息!M429)</f>
        <v/>
      </c>
      <c r="N429" s="37"/>
      <c r="O429" s="37" t="str">
        <f>IF([3]道具信息!O429="","",[3]道具信息!O429)</f>
        <v/>
      </c>
      <c r="P429" s="37" t="str">
        <f>IF([3]道具信息!P429="","",[3]道具信息!P429)</f>
        <v/>
      </c>
      <c r="Q429" s="37" t="str">
        <f>IF([3]道具信息!Q429="","",[3]道具信息!Q429)</f>
        <v/>
      </c>
    </row>
    <row r="430" spans="3:17" x14ac:dyDescent="0.15">
      <c r="C430" s="37" t="str">
        <f>IF([3]道具信息!C430="","",[3]道具信息!C430)</f>
        <v/>
      </c>
      <c r="D430" s="37" t="str">
        <f>IF([3]道具信息!D430="","",[3]道具信息!D430)</f>
        <v/>
      </c>
      <c r="E430" s="37" t="str">
        <f>IF([3]道具信息!E430="","",[3]道具信息!E430)</f>
        <v/>
      </c>
      <c r="F430" s="37" t="str">
        <f>IF([3]道具信息!F430="","",[3]道具信息!F430)</f>
        <v/>
      </c>
      <c r="G430" s="37" t="str">
        <f>IF([3]道具信息!G430="","",[3]道具信息!G430)</f>
        <v/>
      </c>
      <c r="H430" s="37" t="str">
        <f>IF([3]道具信息!H430="","",[3]道具信息!H430)</f>
        <v/>
      </c>
      <c r="I430" s="37" t="str">
        <f>IF([3]道具信息!I430="","",[3]道具信息!I430)</f>
        <v/>
      </c>
      <c r="J430" s="37" t="str">
        <f>IF([3]道具信息!J430="","",[3]道具信息!J430)</f>
        <v/>
      </c>
      <c r="K430" s="37" t="str">
        <f>IF([3]道具信息!K430="","",[3]道具信息!K430)</f>
        <v/>
      </c>
      <c r="L430" s="37" t="str">
        <f>IF([3]道具信息!L430="","",[3]道具信息!L430)</f>
        <v/>
      </c>
      <c r="M430" s="37" t="str">
        <f>IF([3]道具信息!M430="","",[3]道具信息!M430)</f>
        <v/>
      </c>
      <c r="N430" s="37"/>
      <c r="O430" s="37" t="str">
        <f>IF([3]道具信息!O430="","",[3]道具信息!O430)</f>
        <v/>
      </c>
      <c r="P430" s="37" t="str">
        <f>IF([3]道具信息!P430="","",[3]道具信息!P430)</f>
        <v/>
      </c>
      <c r="Q430" s="37" t="str">
        <f>IF([3]道具信息!Q430="","",[3]道具信息!Q430)</f>
        <v/>
      </c>
    </row>
    <row r="431" spans="3:17" x14ac:dyDescent="0.15">
      <c r="C431" s="37" t="str">
        <f>IF([3]道具信息!C431="","",[3]道具信息!C431)</f>
        <v/>
      </c>
      <c r="D431" s="37" t="str">
        <f>IF([3]道具信息!D431="","",[3]道具信息!D431)</f>
        <v/>
      </c>
      <c r="E431" s="37" t="str">
        <f>IF([3]道具信息!E431="","",[3]道具信息!E431)</f>
        <v/>
      </c>
      <c r="F431" s="37" t="str">
        <f>IF([3]道具信息!F431="","",[3]道具信息!F431)</f>
        <v/>
      </c>
      <c r="G431" s="37" t="str">
        <f>IF([3]道具信息!G431="","",[3]道具信息!G431)</f>
        <v/>
      </c>
      <c r="H431" s="37" t="str">
        <f>IF([3]道具信息!H431="","",[3]道具信息!H431)</f>
        <v/>
      </c>
      <c r="I431" s="37" t="str">
        <f>IF([3]道具信息!I431="","",[3]道具信息!I431)</f>
        <v/>
      </c>
      <c r="J431" s="37" t="str">
        <f>IF([3]道具信息!J431="","",[3]道具信息!J431)</f>
        <v/>
      </c>
      <c r="K431" s="37" t="str">
        <f>IF([3]道具信息!K431="","",[3]道具信息!K431)</f>
        <v/>
      </c>
      <c r="L431" s="37" t="str">
        <f>IF([3]道具信息!L431="","",[3]道具信息!L431)</f>
        <v/>
      </c>
      <c r="M431" s="37" t="str">
        <f>IF([3]道具信息!M431="","",[3]道具信息!M431)</f>
        <v/>
      </c>
      <c r="N431" s="37"/>
      <c r="O431" s="37" t="str">
        <f>IF([3]道具信息!O431="","",[3]道具信息!O431)</f>
        <v/>
      </c>
      <c r="P431" s="37" t="str">
        <f>IF([3]道具信息!P431="","",[3]道具信息!P431)</f>
        <v/>
      </c>
      <c r="Q431" s="37" t="str">
        <f>IF([3]道具信息!Q431="","",[3]道具信息!Q431)</f>
        <v/>
      </c>
    </row>
    <row r="432" spans="3:17" x14ac:dyDescent="0.15">
      <c r="C432" s="37" t="str">
        <f>IF([3]道具信息!C432="","",[3]道具信息!C432)</f>
        <v/>
      </c>
      <c r="D432" s="37" t="str">
        <f>IF([3]道具信息!D432="","",[3]道具信息!D432)</f>
        <v/>
      </c>
      <c r="E432" s="37" t="str">
        <f>IF([3]道具信息!E432="","",[3]道具信息!E432)</f>
        <v/>
      </c>
      <c r="F432" s="37" t="str">
        <f>IF([3]道具信息!F432="","",[3]道具信息!F432)</f>
        <v/>
      </c>
      <c r="G432" s="37" t="str">
        <f>IF([3]道具信息!G432="","",[3]道具信息!G432)</f>
        <v/>
      </c>
      <c r="H432" s="37" t="str">
        <f>IF([3]道具信息!H432="","",[3]道具信息!H432)</f>
        <v/>
      </c>
      <c r="I432" s="37" t="str">
        <f>IF([3]道具信息!I432="","",[3]道具信息!I432)</f>
        <v/>
      </c>
      <c r="J432" s="37" t="str">
        <f>IF([3]道具信息!J432="","",[3]道具信息!J432)</f>
        <v/>
      </c>
      <c r="K432" s="37" t="str">
        <f>IF([3]道具信息!K432="","",[3]道具信息!K432)</f>
        <v/>
      </c>
      <c r="L432" s="37" t="str">
        <f>IF([3]道具信息!L432="","",[3]道具信息!L432)</f>
        <v/>
      </c>
      <c r="M432" s="37" t="str">
        <f>IF([3]道具信息!M432="","",[3]道具信息!M432)</f>
        <v/>
      </c>
      <c r="N432" s="37"/>
      <c r="O432" s="37" t="str">
        <f>IF([3]道具信息!O432="","",[3]道具信息!O432)</f>
        <v/>
      </c>
      <c r="P432" s="37" t="str">
        <f>IF([3]道具信息!P432="","",[3]道具信息!P432)</f>
        <v/>
      </c>
      <c r="Q432" s="37" t="str">
        <f>IF([3]道具信息!Q432="","",[3]道具信息!Q432)</f>
        <v/>
      </c>
    </row>
    <row r="433" spans="3:17" x14ac:dyDescent="0.15">
      <c r="C433" s="37" t="str">
        <f>IF([3]道具信息!C433="","",[3]道具信息!C433)</f>
        <v/>
      </c>
      <c r="D433" s="37" t="str">
        <f>IF([3]道具信息!D433="","",[3]道具信息!D433)</f>
        <v/>
      </c>
      <c r="E433" s="37" t="str">
        <f>IF([3]道具信息!E433="","",[3]道具信息!E433)</f>
        <v/>
      </c>
      <c r="F433" s="37" t="str">
        <f>IF([3]道具信息!F433="","",[3]道具信息!F433)</f>
        <v/>
      </c>
      <c r="G433" s="37" t="str">
        <f>IF([3]道具信息!G433="","",[3]道具信息!G433)</f>
        <v/>
      </c>
      <c r="H433" s="37" t="str">
        <f>IF([3]道具信息!H433="","",[3]道具信息!H433)</f>
        <v/>
      </c>
      <c r="I433" s="37" t="str">
        <f>IF([3]道具信息!I433="","",[3]道具信息!I433)</f>
        <v/>
      </c>
      <c r="J433" s="37" t="str">
        <f>IF([3]道具信息!J433="","",[3]道具信息!J433)</f>
        <v/>
      </c>
      <c r="K433" s="37" t="str">
        <f>IF([3]道具信息!K433="","",[3]道具信息!K433)</f>
        <v/>
      </c>
      <c r="L433" s="37" t="str">
        <f>IF([3]道具信息!L433="","",[3]道具信息!L433)</f>
        <v/>
      </c>
      <c r="M433" s="37" t="str">
        <f>IF([3]道具信息!M433="","",[3]道具信息!M433)</f>
        <v/>
      </c>
      <c r="N433" s="37"/>
      <c r="O433" s="37" t="str">
        <f>IF([3]道具信息!O433="","",[3]道具信息!O433)</f>
        <v/>
      </c>
      <c r="P433" s="37" t="str">
        <f>IF([3]道具信息!P433="","",[3]道具信息!P433)</f>
        <v/>
      </c>
      <c r="Q433" s="37" t="str">
        <f>IF([3]道具信息!Q433="","",[3]道具信息!Q433)</f>
        <v/>
      </c>
    </row>
    <row r="434" spans="3:17" x14ac:dyDescent="0.15">
      <c r="C434" s="37" t="str">
        <f>IF([3]道具信息!C434="","",[3]道具信息!C434)</f>
        <v/>
      </c>
      <c r="D434" s="37" t="str">
        <f>IF([3]道具信息!D434="","",[3]道具信息!D434)</f>
        <v/>
      </c>
      <c r="E434" s="37" t="str">
        <f>IF([3]道具信息!E434="","",[3]道具信息!E434)</f>
        <v/>
      </c>
      <c r="F434" s="37" t="str">
        <f>IF([3]道具信息!F434="","",[3]道具信息!F434)</f>
        <v/>
      </c>
      <c r="G434" s="37" t="str">
        <f>IF([3]道具信息!G434="","",[3]道具信息!G434)</f>
        <v/>
      </c>
      <c r="H434" s="37" t="str">
        <f>IF([3]道具信息!H434="","",[3]道具信息!H434)</f>
        <v/>
      </c>
      <c r="I434" s="37" t="str">
        <f>IF([3]道具信息!I434="","",[3]道具信息!I434)</f>
        <v/>
      </c>
      <c r="J434" s="37" t="str">
        <f>IF([3]道具信息!J434="","",[3]道具信息!J434)</f>
        <v/>
      </c>
      <c r="K434" s="37" t="str">
        <f>IF([3]道具信息!K434="","",[3]道具信息!K434)</f>
        <v/>
      </c>
      <c r="L434" s="37" t="str">
        <f>IF([3]道具信息!L434="","",[3]道具信息!L434)</f>
        <v/>
      </c>
      <c r="M434" s="37" t="str">
        <f>IF([3]道具信息!M434="","",[3]道具信息!M434)</f>
        <v/>
      </c>
      <c r="N434" s="37"/>
      <c r="O434" s="37" t="str">
        <f>IF([3]道具信息!O434="","",[3]道具信息!O434)</f>
        <v/>
      </c>
      <c r="P434" s="37" t="str">
        <f>IF([3]道具信息!P434="","",[3]道具信息!P434)</f>
        <v/>
      </c>
      <c r="Q434" s="37" t="str">
        <f>IF([3]道具信息!Q434="","",[3]道具信息!Q434)</f>
        <v/>
      </c>
    </row>
    <row r="435" spans="3:17" x14ac:dyDescent="0.15">
      <c r="C435" s="37" t="str">
        <f>IF([3]道具信息!C435="","",[3]道具信息!C435)</f>
        <v/>
      </c>
      <c r="D435" s="37" t="str">
        <f>IF([3]道具信息!D435="","",[3]道具信息!D435)</f>
        <v/>
      </c>
      <c r="E435" s="37" t="str">
        <f>IF([3]道具信息!E435="","",[3]道具信息!E435)</f>
        <v/>
      </c>
      <c r="F435" s="37" t="str">
        <f>IF([3]道具信息!F435="","",[3]道具信息!F435)</f>
        <v/>
      </c>
      <c r="G435" s="37" t="str">
        <f>IF([3]道具信息!G435="","",[3]道具信息!G435)</f>
        <v/>
      </c>
      <c r="H435" s="37" t="str">
        <f>IF([3]道具信息!H435="","",[3]道具信息!H435)</f>
        <v/>
      </c>
      <c r="I435" s="37" t="str">
        <f>IF([3]道具信息!I435="","",[3]道具信息!I435)</f>
        <v/>
      </c>
      <c r="J435" s="37" t="str">
        <f>IF([3]道具信息!J435="","",[3]道具信息!J435)</f>
        <v/>
      </c>
      <c r="K435" s="37" t="str">
        <f>IF([3]道具信息!K435="","",[3]道具信息!K435)</f>
        <v/>
      </c>
      <c r="L435" s="37" t="str">
        <f>IF([3]道具信息!L435="","",[3]道具信息!L435)</f>
        <v/>
      </c>
      <c r="M435" s="37" t="str">
        <f>IF([3]道具信息!M435="","",[3]道具信息!M435)</f>
        <v/>
      </c>
      <c r="N435" s="37"/>
      <c r="O435" s="37" t="str">
        <f>IF([3]道具信息!O435="","",[3]道具信息!O435)</f>
        <v/>
      </c>
      <c r="P435" s="37" t="str">
        <f>IF([3]道具信息!P435="","",[3]道具信息!P435)</f>
        <v/>
      </c>
      <c r="Q435" s="37" t="str">
        <f>IF([3]道具信息!Q435="","",[3]道具信息!Q435)</f>
        <v/>
      </c>
    </row>
    <row r="436" spans="3:17" x14ac:dyDescent="0.15">
      <c r="C436" s="37" t="str">
        <f>IF([3]道具信息!C436="","",[3]道具信息!C436)</f>
        <v/>
      </c>
      <c r="D436" s="37" t="str">
        <f>IF([3]道具信息!D436="","",[3]道具信息!D436)</f>
        <v/>
      </c>
      <c r="E436" s="37" t="str">
        <f>IF([3]道具信息!E436="","",[3]道具信息!E436)</f>
        <v/>
      </c>
      <c r="F436" s="37" t="str">
        <f>IF([3]道具信息!F436="","",[3]道具信息!F436)</f>
        <v/>
      </c>
      <c r="G436" s="37" t="str">
        <f>IF([3]道具信息!G436="","",[3]道具信息!G436)</f>
        <v/>
      </c>
      <c r="H436" s="37" t="str">
        <f>IF([3]道具信息!H436="","",[3]道具信息!H436)</f>
        <v/>
      </c>
      <c r="I436" s="37" t="str">
        <f>IF([3]道具信息!I436="","",[3]道具信息!I436)</f>
        <v/>
      </c>
      <c r="J436" s="37" t="str">
        <f>IF([3]道具信息!J436="","",[3]道具信息!J436)</f>
        <v/>
      </c>
      <c r="K436" s="37" t="str">
        <f>IF([3]道具信息!K436="","",[3]道具信息!K436)</f>
        <v/>
      </c>
      <c r="L436" s="37" t="str">
        <f>IF([3]道具信息!L436="","",[3]道具信息!L436)</f>
        <v/>
      </c>
      <c r="M436" s="37" t="str">
        <f>IF([3]道具信息!M436="","",[3]道具信息!M436)</f>
        <v/>
      </c>
      <c r="N436" s="37"/>
      <c r="O436" s="37" t="str">
        <f>IF([3]道具信息!O436="","",[3]道具信息!O436)</f>
        <v/>
      </c>
      <c r="P436" s="37" t="str">
        <f>IF([3]道具信息!P436="","",[3]道具信息!P436)</f>
        <v/>
      </c>
      <c r="Q436" s="37" t="str">
        <f>IF([3]道具信息!Q436="","",[3]道具信息!Q436)</f>
        <v/>
      </c>
    </row>
    <row r="437" spans="3:17" x14ac:dyDescent="0.15">
      <c r="C437" s="37" t="str">
        <f>IF([3]道具信息!C437="","",[3]道具信息!C437)</f>
        <v/>
      </c>
      <c r="D437" s="37" t="str">
        <f>IF([3]道具信息!D437="","",[3]道具信息!D437)</f>
        <v/>
      </c>
      <c r="E437" s="37" t="str">
        <f>IF([3]道具信息!E437="","",[3]道具信息!E437)</f>
        <v/>
      </c>
      <c r="F437" s="37" t="str">
        <f>IF([3]道具信息!F437="","",[3]道具信息!F437)</f>
        <v/>
      </c>
      <c r="G437" s="37" t="str">
        <f>IF([3]道具信息!G437="","",[3]道具信息!G437)</f>
        <v/>
      </c>
      <c r="H437" s="37" t="str">
        <f>IF([3]道具信息!H437="","",[3]道具信息!H437)</f>
        <v/>
      </c>
      <c r="I437" s="37" t="str">
        <f>IF([3]道具信息!I437="","",[3]道具信息!I437)</f>
        <v/>
      </c>
      <c r="J437" s="37" t="str">
        <f>IF([3]道具信息!J437="","",[3]道具信息!J437)</f>
        <v/>
      </c>
      <c r="K437" s="37" t="str">
        <f>IF([3]道具信息!K437="","",[3]道具信息!K437)</f>
        <v/>
      </c>
      <c r="L437" s="37" t="str">
        <f>IF([3]道具信息!L437="","",[3]道具信息!L437)</f>
        <v/>
      </c>
      <c r="M437" s="37" t="str">
        <f>IF([3]道具信息!M437="","",[3]道具信息!M437)</f>
        <v/>
      </c>
      <c r="N437" s="37"/>
      <c r="O437" s="37" t="str">
        <f>IF([3]道具信息!O437="","",[3]道具信息!O437)</f>
        <v/>
      </c>
      <c r="P437" s="37" t="str">
        <f>IF([3]道具信息!P437="","",[3]道具信息!P437)</f>
        <v/>
      </c>
      <c r="Q437" s="37" t="str">
        <f>IF([3]道具信息!Q437="","",[3]道具信息!Q437)</f>
        <v/>
      </c>
    </row>
    <row r="438" spans="3:17" x14ac:dyDescent="0.15">
      <c r="C438" s="37" t="str">
        <f>IF([3]道具信息!C438="","",[3]道具信息!C438)</f>
        <v/>
      </c>
      <c r="D438" s="37" t="str">
        <f>IF([3]道具信息!D438="","",[3]道具信息!D438)</f>
        <v/>
      </c>
      <c r="E438" s="37" t="str">
        <f>IF([3]道具信息!E438="","",[3]道具信息!E438)</f>
        <v/>
      </c>
      <c r="F438" s="37" t="str">
        <f>IF([3]道具信息!F438="","",[3]道具信息!F438)</f>
        <v/>
      </c>
      <c r="G438" s="37" t="str">
        <f>IF([3]道具信息!G438="","",[3]道具信息!G438)</f>
        <v/>
      </c>
      <c r="H438" s="37" t="str">
        <f>IF([3]道具信息!H438="","",[3]道具信息!H438)</f>
        <v/>
      </c>
      <c r="I438" s="37" t="str">
        <f>IF([3]道具信息!I438="","",[3]道具信息!I438)</f>
        <v/>
      </c>
      <c r="J438" s="37" t="str">
        <f>IF([3]道具信息!J438="","",[3]道具信息!J438)</f>
        <v/>
      </c>
      <c r="K438" s="37" t="str">
        <f>IF([3]道具信息!K438="","",[3]道具信息!K438)</f>
        <v/>
      </c>
      <c r="L438" s="37" t="str">
        <f>IF([3]道具信息!L438="","",[3]道具信息!L438)</f>
        <v/>
      </c>
      <c r="M438" s="37" t="str">
        <f>IF([3]道具信息!M438="","",[3]道具信息!M438)</f>
        <v/>
      </c>
      <c r="N438" s="37"/>
      <c r="O438" s="37" t="str">
        <f>IF([3]道具信息!O438="","",[3]道具信息!O438)</f>
        <v/>
      </c>
      <c r="P438" s="37" t="str">
        <f>IF([3]道具信息!P438="","",[3]道具信息!P438)</f>
        <v/>
      </c>
      <c r="Q438" s="37" t="str">
        <f>IF([3]道具信息!Q438="","",[3]道具信息!Q438)</f>
        <v/>
      </c>
    </row>
    <row r="439" spans="3:17" x14ac:dyDescent="0.15">
      <c r="C439" s="37" t="str">
        <f>IF([3]道具信息!C439="","",[3]道具信息!C439)</f>
        <v/>
      </c>
      <c r="D439" s="37" t="str">
        <f>IF([3]道具信息!D439="","",[3]道具信息!D439)</f>
        <v/>
      </c>
      <c r="E439" s="37" t="str">
        <f>IF([3]道具信息!E439="","",[3]道具信息!E439)</f>
        <v/>
      </c>
      <c r="F439" s="37" t="str">
        <f>IF([3]道具信息!F439="","",[3]道具信息!F439)</f>
        <v/>
      </c>
      <c r="G439" s="37" t="str">
        <f>IF([3]道具信息!G439="","",[3]道具信息!G439)</f>
        <v/>
      </c>
      <c r="H439" s="37" t="str">
        <f>IF([3]道具信息!H439="","",[3]道具信息!H439)</f>
        <v/>
      </c>
      <c r="I439" s="37" t="str">
        <f>IF([3]道具信息!I439="","",[3]道具信息!I439)</f>
        <v/>
      </c>
      <c r="J439" s="37" t="str">
        <f>IF([3]道具信息!J439="","",[3]道具信息!J439)</f>
        <v/>
      </c>
      <c r="K439" s="37" t="str">
        <f>IF([3]道具信息!K439="","",[3]道具信息!K439)</f>
        <v/>
      </c>
      <c r="L439" s="37" t="str">
        <f>IF([3]道具信息!L439="","",[3]道具信息!L439)</f>
        <v/>
      </c>
      <c r="M439" s="37" t="str">
        <f>IF([3]道具信息!M439="","",[3]道具信息!M439)</f>
        <v/>
      </c>
      <c r="N439" s="37"/>
      <c r="O439" s="37" t="str">
        <f>IF([3]道具信息!O439="","",[3]道具信息!O439)</f>
        <v/>
      </c>
      <c r="P439" s="37" t="str">
        <f>IF([3]道具信息!P439="","",[3]道具信息!P439)</f>
        <v/>
      </c>
      <c r="Q439" s="37" t="str">
        <f>IF([3]道具信息!Q439="","",[3]道具信息!Q439)</f>
        <v/>
      </c>
    </row>
    <row r="440" spans="3:17" x14ac:dyDescent="0.15">
      <c r="C440" s="37" t="str">
        <f>IF([3]道具信息!C440="","",[3]道具信息!C440)</f>
        <v/>
      </c>
      <c r="D440" s="37" t="str">
        <f>IF([3]道具信息!D440="","",[3]道具信息!D440)</f>
        <v/>
      </c>
      <c r="E440" s="37" t="str">
        <f>IF([3]道具信息!E440="","",[3]道具信息!E440)</f>
        <v/>
      </c>
      <c r="F440" s="37" t="str">
        <f>IF([3]道具信息!F440="","",[3]道具信息!F440)</f>
        <v/>
      </c>
      <c r="G440" s="37" t="str">
        <f>IF([3]道具信息!G440="","",[3]道具信息!G440)</f>
        <v/>
      </c>
      <c r="H440" s="37" t="str">
        <f>IF([3]道具信息!H440="","",[3]道具信息!H440)</f>
        <v/>
      </c>
      <c r="I440" s="37" t="str">
        <f>IF([3]道具信息!I440="","",[3]道具信息!I440)</f>
        <v/>
      </c>
      <c r="J440" s="37" t="str">
        <f>IF([3]道具信息!J440="","",[3]道具信息!J440)</f>
        <v/>
      </c>
      <c r="K440" s="37" t="str">
        <f>IF([3]道具信息!K440="","",[3]道具信息!K440)</f>
        <v/>
      </c>
      <c r="L440" s="37" t="str">
        <f>IF([3]道具信息!L440="","",[3]道具信息!L440)</f>
        <v/>
      </c>
      <c r="M440" s="37" t="str">
        <f>IF([3]道具信息!M440="","",[3]道具信息!M440)</f>
        <v/>
      </c>
      <c r="N440" s="37"/>
      <c r="O440" s="37" t="str">
        <f>IF([3]道具信息!O440="","",[3]道具信息!O440)</f>
        <v/>
      </c>
      <c r="P440" s="37" t="str">
        <f>IF([3]道具信息!P440="","",[3]道具信息!P440)</f>
        <v/>
      </c>
      <c r="Q440" s="37" t="str">
        <f>IF([3]道具信息!Q440="","",[3]道具信息!Q440)</f>
        <v/>
      </c>
    </row>
    <row r="441" spans="3:17" x14ac:dyDescent="0.15">
      <c r="C441" s="37" t="str">
        <f>IF([3]道具信息!C441="","",[3]道具信息!C441)</f>
        <v/>
      </c>
      <c r="D441" s="37" t="str">
        <f>IF([3]道具信息!D441="","",[3]道具信息!D441)</f>
        <v/>
      </c>
      <c r="E441" s="37" t="str">
        <f>IF([3]道具信息!E441="","",[3]道具信息!E441)</f>
        <v/>
      </c>
      <c r="F441" s="37" t="str">
        <f>IF([3]道具信息!F441="","",[3]道具信息!F441)</f>
        <v/>
      </c>
      <c r="G441" s="37" t="str">
        <f>IF([3]道具信息!G441="","",[3]道具信息!G441)</f>
        <v/>
      </c>
      <c r="H441" s="37" t="str">
        <f>IF([3]道具信息!H441="","",[3]道具信息!H441)</f>
        <v/>
      </c>
      <c r="I441" s="37" t="str">
        <f>IF([3]道具信息!I441="","",[3]道具信息!I441)</f>
        <v/>
      </c>
      <c r="J441" s="37" t="str">
        <f>IF([3]道具信息!J441="","",[3]道具信息!J441)</f>
        <v/>
      </c>
      <c r="K441" s="37" t="str">
        <f>IF([3]道具信息!K441="","",[3]道具信息!K441)</f>
        <v/>
      </c>
      <c r="L441" s="37" t="str">
        <f>IF([3]道具信息!L441="","",[3]道具信息!L441)</f>
        <v/>
      </c>
      <c r="M441" s="37" t="str">
        <f>IF([3]道具信息!M441="","",[3]道具信息!M441)</f>
        <v/>
      </c>
      <c r="N441" s="37"/>
      <c r="O441" s="37" t="str">
        <f>IF([3]道具信息!O441="","",[3]道具信息!O441)</f>
        <v/>
      </c>
      <c r="P441" s="37" t="str">
        <f>IF([3]道具信息!P441="","",[3]道具信息!P441)</f>
        <v/>
      </c>
      <c r="Q441" s="37" t="str">
        <f>IF([3]道具信息!Q441="","",[3]道具信息!Q441)</f>
        <v/>
      </c>
    </row>
    <row r="442" spans="3:17" x14ac:dyDescent="0.15">
      <c r="C442" s="37" t="str">
        <f>IF([3]道具信息!C442="","",[3]道具信息!C442)</f>
        <v/>
      </c>
      <c r="D442" s="37" t="str">
        <f>IF([3]道具信息!D442="","",[3]道具信息!D442)</f>
        <v/>
      </c>
      <c r="E442" s="37" t="str">
        <f>IF([3]道具信息!E442="","",[3]道具信息!E442)</f>
        <v/>
      </c>
      <c r="F442" s="37" t="str">
        <f>IF([3]道具信息!F442="","",[3]道具信息!F442)</f>
        <v/>
      </c>
      <c r="G442" s="37" t="str">
        <f>IF([3]道具信息!G442="","",[3]道具信息!G442)</f>
        <v/>
      </c>
      <c r="H442" s="37" t="str">
        <f>IF([3]道具信息!H442="","",[3]道具信息!H442)</f>
        <v/>
      </c>
      <c r="I442" s="37" t="str">
        <f>IF([3]道具信息!I442="","",[3]道具信息!I442)</f>
        <v/>
      </c>
      <c r="J442" s="37" t="str">
        <f>IF([3]道具信息!J442="","",[3]道具信息!J442)</f>
        <v/>
      </c>
      <c r="K442" s="37" t="str">
        <f>IF([3]道具信息!K442="","",[3]道具信息!K442)</f>
        <v/>
      </c>
      <c r="L442" s="37" t="str">
        <f>IF([3]道具信息!L442="","",[3]道具信息!L442)</f>
        <v/>
      </c>
      <c r="M442" s="37" t="str">
        <f>IF([3]道具信息!M442="","",[3]道具信息!M442)</f>
        <v/>
      </c>
      <c r="N442" s="37"/>
      <c r="O442" s="37" t="str">
        <f>IF([3]道具信息!O442="","",[3]道具信息!O442)</f>
        <v/>
      </c>
      <c r="P442" s="37" t="str">
        <f>IF([3]道具信息!P442="","",[3]道具信息!P442)</f>
        <v/>
      </c>
      <c r="Q442" s="37" t="str">
        <f>IF([3]道具信息!Q442="","",[3]道具信息!Q442)</f>
        <v/>
      </c>
    </row>
    <row r="443" spans="3:17" x14ac:dyDescent="0.15">
      <c r="C443" s="37" t="str">
        <f>IF([3]道具信息!C443="","",[3]道具信息!C443)</f>
        <v/>
      </c>
      <c r="D443" s="37" t="str">
        <f>IF([3]道具信息!D443="","",[3]道具信息!D443)</f>
        <v/>
      </c>
      <c r="E443" s="37" t="str">
        <f>IF([3]道具信息!E443="","",[3]道具信息!E443)</f>
        <v/>
      </c>
      <c r="F443" s="37" t="str">
        <f>IF([3]道具信息!F443="","",[3]道具信息!F443)</f>
        <v/>
      </c>
      <c r="G443" s="37" t="str">
        <f>IF([3]道具信息!G443="","",[3]道具信息!G443)</f>
        <v/>
      </c>
      <c r="H443" s="37" t="str">
        <f>IF([3]道具信息!H443="","",[3]道具信息!H443)</f>
        <v/>
      </c>
      <c r="I443" s="37" t="str">
        <f>IF([3]道具信息!I443="","",[3]道具信息!I443)</f>
        <v/>
      </c>
      <c r="J443" s="37" t="str">
        <f>IF([3]道具信息!J443="","",[3]道具信息!J443)</f>
        <v/>
      </c>
      <c r="K443" s="37" t="str">
        <f>IF([3]道具信息!K443="","",[3]道具信息!K443)</f>
        <v/>
      </c>
      <c r="L443" s="37" t="str">
        <f>IF([3]道具信息!L443="","",[3]道具信息!L443)</f>
        <v/>
      </c>
      <c r="M443" s="37" t="str">
        <f>IF([3]道具信息!M443="","",[3]道具信息!M443)</f>
        <v/>
      </c>
      <c r="N443" s="37"/>
      <c r="O443" s="37" t="str">
        <f>IF([3]道具信息!O443="","",[3]道具信息!O443)</f>
        <v/>
      </c>
      <c r="P443" s="37" t="str">
        <f>IF([3]道具信息!P443="","",[3]道具信息!P443)</f>
        <v/>
      </c>
      <c r="Q443" s="37" t="str">
        <f>IF([3]道具信息!Q443="","",[3]道具信息!Q443)</f>
        <v/>
      </c>
    </row>
    <row r="444" spans="3:17" x14ac:dyDescent="0.15">
      <c r="C444" s="37" t="str">
        <f>IF([3]道具信息!C444="","",[3]道具信息!C444)</f>
        <v/>
      </c>
      <c r="D444" s="37" t="str">
        <f>IF([3]道具信息!D444="","",[3]道具信息!D444)</f>
        <v/>
      </c>
      <c r="E444" s="37" t="str">
        <f>IF([3]道具信息!E444="","",[3]道具信息!E444)</f>
        <v/>
      </c>
      <c r="F444" s="37" t="str">
        <f>IF([3]道具信息!F444="","",[3]道具信息!F444)</f>
        <v/>
      </c>
      <c r="G444" s="37" t="str">
        <f>IF([3]道具信息!G444="","",[3]道具信息!G444)</f>
        <v/>
      </c>
      <c r="H444" s="37" t="str">
        <f>IF([3]道具信息!H444="","",[3]道具信息!H444)</f>
        <v/>
      </c>
      <c r="I444" s="37" t="str">
        <f>IF([3]道具信息!I444="","",[3]道具信息!I444)</f>
        <v/>
      </c>
      <c r="J444" s="37" t="str">
        <f>IF([3]道具信息!J444="","",[3]道具信息!J444)</f>
        <v/>
      </c>
      <c r="K444" s="37" t="str">
        <f>IF([3]道具信息!K444="","",[3]道具信息!K444)</f>
        <v/>
      </c>
      <c r="L444" s="37" t="str">
        <f>IF([3]道具信息!L444="","",[3]道具信息!L444)</f>
        <v/>
      </c>
      <c r="M444" s="37" t="str">
        <f>IF([3]道具信息!M444="","",[3]道具信息!M444)</f>
        <v/>
      </c>
      <c r="N444" s="37"/>
      <c r="O444" s="37" t="str">
        <f>IF([3]道具信息!O444="","",[3]道具信息!O444)</f>
        <v/>
      </c>
      <c r="P444" s="37" t="str">
        <f>IF([3]道具信息!P444="","",[3]道具信息!P444)</f>
        <v/>
      </c>
      <c r="Q444" s="37" t="str">
        <f>IF([3]道具信息!Q444="","",[3]道具信息!Q444)</f>
        <v/>
      </c>
    </row>
    <row r="445" spans="3:17" x14ac:dyDescent="0.15">
      <c r="C445" s="37" t="str">
        <f>IF([3]道具信息!C445="","",[3]道具信息!C445)</f>
        <v/>
      </c>
      <c r="D445" s="37" t="str">
        <f>IF([3]道具信息!D445="","",[3]道具信息!D445)</f>
        <v/>
      </c>
      <c r="E445" s="37" t="str">
        <f>IF([3]道具信息!E445="","",[3]道具信息!E445)</f>
        <v/>
      </c>
      <c r="F445" s="37" t="str">
        <f>IF([3]道具信息!F445="","",[3]道具信息!F445)</f>
        <v/>
      </c>
      <c r="G445" s="37" t="str">
        <f>IF([3]道具信息!G445="","",[3]道具信息!G445)</f>
        <v/>
      </c>
      <c r="H445" s="37" t="str">
        <f>IF([3]道具信息!H445="","",[3]道具信息!H445)</f>
        <v/>
      </c>
      <c r="I445" s="37" t="str">
        <f>IF([3]道具信息!I445="","",[3]道具信息!I445)</f>
        <v/>
      </c>
      <c r="J445" s="37" t="str">
        <f>IF([3]道具信息!J445="","",[3]道具信息!J445)</f>
        <v/>
      </c>
      <c r="K445" s="37" t="str">
        <f>IF([3]道具信息!K445="","",[3]道具信息!K445)</f>
        <v/>
      </c>
      <c r="L445" s="37" t="str">
        <f>IF([3]道具信息!L445="","",[3]道具信息!L445)</f>
        <v/>
      </c>
      <c r="M445" s="37" t="str">
        <f>IF([3]道具信息!M445="","",[3]道具信息!M445)</f>
        <v/>
      </c>
      <c r="N445" s="37"/>
      <c r="O445" s="37" t="str">
        <f>IF([3]道具信息!O445="","",[3]道具信息!O445)</f>
        <v/>
      </c>
      <c r="P445" s="37" t="str">
        <f>IF([3]道具信息!P445="","",[3]道具信息!P445)</f>
        <v/>
      </c>
      <c r="Q445" s="37" t="str">
        <f>IF([3]道具信息!Q445="","",[3]道具信息!Q445)</f>
        <v/>
      </c>
    </row>
    <row r="446" spans="3:17" x14ac:dyDescent="0.15">
      <c r="C446" s="37" t="str">
        <f>IF([3]道具信息!C446="","",[3]道具信息!C446)</f>
        <v/>
      </c>
      <c r="D446" s="37" t="str">
        <f>IF([3]道具信息!D446="","",[3]道具信息!D446)</f>
        <v/>
      </c>
      <c r="E446" s="37" t="str">
        <f>IF([3]道具信息!E446="","",[3]道具信息!E446)</f>
        <v/>
      </c>
      <c r="F446" s="37" t="str">
        <f>IF([3]道具信息!F446="","",[3]道具信息!F446)</f>
        <v/>
      </c>
      <c r="G446" s="37" t="str">
        <f>IF([3]道具信息!G446="","",[3]道具信息!G446)</f>
        <v/>
      </c>
      <c r="H446" s="37" t="str">
        <f>IF([3]道具信息!H446="","",[3]道具信息!H446)</f>
        <v/>
      </c>
      <c r="I446" s="37" t="str">
        <f>IF([3]道具信息!I446="","",[3]道具信息!I446)</f>
        <v/>
      </c>
      <c r="J446" s="37" t="str">
        <f>IF([3]道具信息!J446="","",[3]道具信息!J446)</f>
        <v/>
      </c>
      <c r="K446" s="37" t="str">
        <f>IF([3]道具信息!K446="","",[3]道具信息!K446)</f>
        <v/>
      </c>
      <c r="L446" s="37" t="str">
        <f>IF([3]道具信息!L446="","",[3]道具信息!L446)</f>
        <v/>
      </c>
      <c r="M446" s="37" t="str">
        <f>IF([3]道具信息!M446="","",[3]道具信息!M446)</f>
        <v/>
      </c>
      <c r="N446" s="37"/>
      <c r="O446" s="37" t="str">
        <f>IF([3]道具信息!O446="","",[3]道具信息!O446)</f>
        <v/>
      </c>
      <c r="P446" s="37" t="str">
        <f>IF([3]道具信息!P446="","",[3]道具信息!P446)</f>
        <v/>
      </c>
      <c r="Q446" s="37" t="str">
        <f>IF([3]道具信息!Q446="","",[3]道具信息!Q446)</f>
        <v/>
      </c>
    </row>
    <row r="447" spans="3:17" x14ac:dyDescent="0.15">
      <c r="C447" s="37" t="str">
        <f>IF([3]道具信息!C447="","",[3]道具信息!C447)</f>
        <v/>
      </c>
      <c r="D447" s="37" t="str">
        <f>IF([3]道具信息!D447="","",[3]道具信息!D447)</f>
        <v/>
      </c>
      <c r="E447" s="37" t="str">
        <f>IF([3]道具信息!E447="","",[3]道具信息!E447)</f>
        <v/>
      </c>
      <c r="F447" s="37" t="str">
        <f>IF([3]道具信息!F447="","",[3]道具信息!F447)</f>
        <v/>
      </c>
      <c r="G447" s="37" t="str">
        <f>IF([3]道具信息!G447="","",[3]道具信息!G447)</f>
        <v/>
      </c>
      <c r="H447" s="37" t="str">
        <f>IF([3]道具信息!H447="","",[3]道具信息!H447)</f>
        <v/>
      </c>
      <c r="I447" s="37" t="str">
        <f>IF([3]道具信息!I447="","",[3]道具信息!I447)</f>
        <v/>
      </c>
      <c r="J447" s="37" t="str">
        <f>IF([3]道具信息!J447="","",[3]道具信息!J447)</f>
        <v/>
      </c>
      <c r="K447" s="37" t="str">
        <f>IF([3]道具信息!K447="","",[3]道具信息!K447)</f>
        <v/>
      </c>
      <c r="L447" s="37" t="str">
        <f>IF([3]道具信息!L447="","",[3]道具信息!L447)</f>
        <v/>
      </c>
      <c r="M447" s="37" t="str">
        <f>IF([3]道具信息!M447="","",[3]道具信息!M447)</f>
        <v/>
      </c>
      <c r="N447" s="37"/>
      <c r="O447" s="37" t="str">
        <f>IF([3]道具信息!O447="","",[3]道具信息!O447)</f>
        <v/>
      </c>
      <c r="P447" s="37" t="str">
        <f>IF([3]道具信息!P447="","",[3]道具信息!P447)</f>
        <v/>
      </c>
      <c r="Q447" s="37" t="str">
        <f>IF([3]道具信息!Q447="","",[3]道具信息!Q447)</f>
        <v/>
      </c>
    </row>
    <row r="448" spans="3:17" x14ac:dyDescent="0.15">
      <c r="C448" s="37" t="str">
        <f>IF([3]道具信息!C448="","",[3]道具信息!C448)</f>
        <v/>
      </c>
      <c r="D448" s="37" t="str">
        <f>IF([3]道具信息!D448="","",[3]道具信息!D448)</f>
        <v/>
      </c>
      <c r="E448" s="37" t="str">
        <f>IF([3]道具信息!E448="","",[3]道具信息!E448)</f>
        <v/>
      </c>
      <c r="F448" s="37" t="str">
        <f>IF([3]道具信息!F448="","",[3]道具信息!F448)</f>
        <v/>
      </c>
      <c r="G448" s="37" t="str">
        <f>IF([3]道具信息!G448="","",[3]道具信息!G448)</f>
        <v/>
      </c>
      <c r="H448" s="37" t="str">
        <f>IF([3]道具信息!H448="","",[3]道具信息!H448)</f>
        <v/>
      </c>
      <c r="I448" s="37" t="str">
        <f>IF([3]道具信息!I448="","",[3]道具信息!I448)</f>
        <v/>
      </c>
      <c r="J448" s="37" t="str">
        <f>IF([3]道具信息!J448="","",[3]道具信息!J448)</f>
        <v/>
      </c>
      <c r="K448" s="37" t="str">
        <f>IF([3]道具信息!K448="","",[3]道具信息!K448)</f>
        <v/>
      </c>
      <c r="L448" s="37" t="str">
        <f>IF([3]道具信息!L448="","",[3]道具信息!L448)</f>
        <v/>
      </c>
      <c r="M448" s="37" t="str">
        <f>IF([3]道具信息!M448="","",[3]道具信息!M448)</f>
        <v/>
      </c>
      <c r="N448" s="37"/>
      <c r="O448" s="37" t="str">
        <f>IF([3]道具信息!O448="","",[3]道具信息!O448)</f>
        <v/>
      </c>
      <c r="P448" s="37" t="str">
        <f>IF([3]道具信息!P448="","",[3]道具信息!P448)</f>
        <v/>
      </c>
      <c r="Q448" s="37" t="str">
        <f>IF([3]道具信息!Q448="","",[3]道具信息!Q448)</f>
        <v/>
      </c>
    </row>
    <row r="449" spans="3:17" x14ac:dyDescent="0.15">
      <c r="C449" s="37" t="str">
        <f>IF([3]道具信息!C449="","",[3]道具信息!C449)</f>
        <v/>
      </c>
      <c r="D449" s="37" t="str">
        <f>IF([3]道具信息!D449="","",[3]道具信息!D449)</f>
        <v/>
      </c>
      <c r="E449" s="37" t="str">
        <f>IF([3]道具信息!E449="","",[3]道具信息!E449)</f>
        <v/>
      </c>
      <c r="F449" s="37" t="str">
        <f>IF([3]道具信息!F449="","",[3]道具信息!F449)</f>
        <v/>
      </c>
      <c r="G449" s="37" t="str">
        <f>IF([3]道具信息!G449="","",[3]道具信息!G449)</f>
        <v/>
      </c>
      <c r="H449" s="37" t="str">
        <f>IF([3]道具信息!H449="","",[3]道具信息!H449)</f>
        <v/>
      </c>
      <c r="I449" s="37" t="str">
        <f>IF([3]道具信息!I449="","",[3]道具信息!I449)</f>
        <v/>
      </c>
      <c r="J449" s="37" t="str">
        <f>IF([3]道具信息!J449="","",[3]道具信息!J449)</f>
        <v/>
      </c>
      <c r="K449" s="37" t="str">
        <f>IF([3]道具信息!K449="","",[3]道具信息!K449)</f>
        <v/>
      </c>
      <c r="L449" s="37" t="str">
        <f>IF([3]道具信息!L449="","",[3]道具信息!L449)</f>
        <v/>
      </c>
      <c r="M449" s="37" t="str">
        <f>IF([3]道具信息!M449="","",[3]道具信息!M449)</f>
        <v/>
      </c>
      <c r="N449" s="37"/>
      <c r="O449" s="37" t="str">
        <f>IF([3]道具信息!O449="","",[3]道具信息!O449)</f>
        <v/>
      </c>
      <c r="P449" s="37" t="str">
        <f>IF([3]道具信息!P449="","",[3]道具信息!P449)</f>
        <v/>
      </c>
      <c r="Q449" s="37" t="str">
        <f>IF([3]道具信息!Q449="","",[3]道具信息!Q449)</f>
        <v/>
      </c>
    </row>
    <row r="450" spans="3:17" x14ac:dyDescent="0.15">
      <c r="C450" s="37" t="str">
        <f>IF([3]道具信息!C450="","",[3]道具信息!C450)</f>
        <v/>
      </c>
      <c r="D450" s="37" t="str">
        <f>IF([3]道具信息!D450="","",[3]道具信息!D450)</f>
        <v/>
      </c>
      <c r="E450" s="37" t="str">
        <f>IF([3]道具信息!E450="","",[3]道具信息!E450)</f>
        <v/>
      </c>
      <c r="F450" s="37" t="str">
        <f>IF([3]道具信息!F450="","",[3]道具信息!F450)</f>
        <v/>
      </c>
      <c r="G450" s="37" t="str">
        <f>IF([3]道具信息!G450="","",[3]道具信息!G450)</f>
        <v/>
      </c>
      <c r="H450" s="37" t="str">
        <f>IF([3]道具信息!H450="","",[3]道具信息!H450)</f>
        <v/>
      </c>
      <c r="I450" s="37" t="str">
        <f>IF([3]道具信息!I450="","",[3]道具信息!I450)</f>
        <v/>
      </c>
      <c r="J450" s="37" t="str">
        <f>IF([3]道具信息!J450="","",[3]道具信息!J450)</f>
        <v/>
      </c>
      <c r="K450" s="37" t="str">
        <f>IF([3]道具信息!K450="","",[3]道具信息!K450)</f>
        <v/>
      </c>
      <c r="L450" s="37" t="str">
        <f>IF([3]道具信息!L450="","",[3]道具信息!L450)</f>
        <v/>
      </c>
      <c r="M450" s="37" t="str">
        <f>IF([3]道具信息!M450="","",[3]道具信息!M450)</f>
        <v/>
      </c>
      <c r="N450" s="37"/>
      <c r="O450" s="37" t="str">
        <f>IF([3]道具信息!O450="","",[3]道具信息!O450)</f>
        <v/>
      </c>
      <c r="P450" s="37" t="str">
        <f>IF([3]道具信息!P450="","",[3]道具信息!P450)</f>
        <v/>
      </c>
      <c r="Q450" s="37" t="str">
        <f>IF([3]道具信息!Q450="","",[3]道具信息!Q450)</f>
        <v/>
      </c>
    </row>
    <row r="451" spans="3:17" x14ac:dyDescent="0.15">
      <c r="C451" s="37" t="str">
        <f>IF([3]道具信息!C451="","",[3]道具信息!C451)</f>
        <v/>
      </c>
      <c r="D451" s="37" t="str">
        <f>IF([3]道具信息!D451="","",[3]道具信息!D451)</f>
        <v/>
      </c>
      <c r="E451" s="37" t="str">
        <f>IF([3]道具信息!E451="","",[3]道具信息!E451)</f>
        <v/>
      </c>
      <c r="F451" s="37" t="str">
        <f>IF([3]道具信息!F451="","",[3]道具信息!F451)</f>
        <v/>
      </c>
      <c r="G451" s="37" t="str">
        <f>IF([3]道具信息!G451="","",[3]道具信息!G451)</f>
        <v/>
      </c>
      <c r="H451" s="37" t="str">
        <f>IF([3]道具信息!H451="","",[3]道具信息!H451)</f>
        <v/>
      </c>
      <c r="I451" s="37" t="str">
        <f>IF([3]道具信息!I451="","",[3]道具信息!I451)</f>
        <v/>
      </c>
      <c r="J451" s="37" t="str">
        <f>IF([3]道具信息!J451="","",[3]道具信息!J451)</f>
        <v/>
      </c>
      <c r="K451" s="37" t="str">
        <f>IF([3]道具信息!K451="","",[3]道具信息!K451)</f>
        <v/>
      </c>
      <c r="L451" s="37" t="str">
        <f>IF([3]道具信息!L451="","",[3]道具信息!L451)</f>
        <v/>
      </c>
      <c r="M451" s="37" t="str">
        <f>IF([3]道具信息!M451="","",[3]道具信息!M451)</f>
        <v/>
      </c>
      <c r="N451" s="37"/>
      <c r="O451" s="37" t="str">
        <f>IF([3]道具信息!O451="","",[3]道具信息!O451)</f>
        <v/>
      </c>
      <c r="P451" s="37" t="str">
        <f>IF([3]道具信息!P451="","",[3]道具信息!P451)</f>
        <v/>
      </c>
      <c r="Q451" s="37" t="str">
        <f>IF([3]道具信息!Q451="","",[3]道具信息!Q451)</f>
        <v/>
      </c>
    </row>
    <row r="452" spans="3:17" x14ac:dyDescent="0.15">
      <c r="C452" s="37" t="str">
        <f>IF([3]道具信息!C452="","",[3]道具信息!C452)</f>
        <v/>
      </c>
      <c r="D452" s="37" t="str">
        <f>IF([3]道具信息!D452="","",[3]道具信息!D452)</f>
        <v/>
      </c>
      <c r="E452" s="37" t="str">
        <f>IF([3]道具信息!E452="","",[3]道具信息!E452)</f>
        <v/>
      </c>
      <c r="F452" s="37" t="str">
        <f>IF([3]道具信息!F452="","",[3]道具信息!F452)</f>
        <v/>
      </c>
      <c r="G452" s="37" t="str">
        <f>IF([3]道具信息!G452="","",[3]道具信息!G452)</f>
        <v/>
      </c>
      <c r="H452" s="37" t="str">
        <f>IF([3]道具信息!H452="","",[3]道具信息!H452)</f>
        <v/>
      </c>
      <c r="I452" s="37" t="str">
        <f>IF([3]道具信息!I452="","",[3]道具信息!I452)</f>
        <v/>
      </c>
      <c r="J452" s="37" t="str">
        <f>IF([3]道具信息!J452="","",[3]道具信息!J452)</f>
        <v/>
      </c>
      <c r="K452" s="37" t="str">
        <f>IF([3]道具信息!K452="","",[3]道具信息!K452)</f>
        <v/>
      </c>
      <c r="L452" s="37" t="str">
        <f>IF([3]道具信息!L452="","",[3]道具信息!L452)</f>
        <v/>
      </c>
      <c r="M452" s="37" t="str">
        <f>IF([3]道具信息!M452="","",[3]道具信息!M452)</f>
        <v/>
      </c>
      <c r="N452" s="37"/>
      <c r="O452" s="37" t="str">
        <f>IF([3]道具信息!O452="","",[3]道具信息!O452)</f>
        <v/>
      </c>
      <c r="P452" s="37" t="str">
        <f>IF([3]道具信息!P452="","",[3]道具信息!P452)</f>
        <v/>
      </c>
      <c r="Q452" s="37" t="str">
        <f>IF([3]道具信息!Q452="","",[3]道具信息!Q452)</f>
        <v/>
      </c>
    </row>
    <row r="453" spans="3:17" x14ac:dyDescent="0.15">
      <c r="C453" s="37" t="str">
        <f>IF([3]道具信息!C453="","",[3]道具信息!C453)</f>
        <v/>
      </c>
      <c r="D453" s="37" t="str">
        <f>IF([3]道具信息!D453="","",[3]道具信息!D453)</f>
        <v/>
      </c>
      <c r="E453" s="37" t="str">
        <f>IF([3]道具信息!E453="","",[3]道具信息!E453)</f>
        <v/>
      </c>
      <c r="F453" s="37" t="str">
        <f>IF([3]道具信息!F453="","",[3]道具信息!F453)</f>
        <v/>
      </c>
      <c r="G453" s="37" t="str">
        <f>IF([3]道具信息!G453="","",[3]道具信息!G453)</f>
        <v/>
      </c>
      <c r="H453" s="37" t="str">
        <f>IF([3]道具信息!H453="","",[3]道具信息!H453)</f>
        <v/>
      </c>
      <c r="I453" s="37" t="str">
        <f>IF([3]道具信息!I453="","",[3]道具信息!I453)</f>
        <v/>
      </c>
      <c r="J453" s="37" t="str">
        <f>IF([3]道具信息!J453="","",[3]道具信息!J453)</f>
        <v/>
      </c>
      <c r="K453" s="37" t="str">
        <f>IF([3]道具信息!K453="","",[3]道具信息!K453)</f>
        <v/>
      </c>
      <c r="L453" s="37" t="str">
        <f>IF([3]道具信息!L453="","",[3]道具信息!L453)</f>
        <v/>
      </c>
      <c r="M453" s="37" t="str">
        <f>IF([3]道具信息!M453="","",[3]道具信息!M453)</f>
        <v/>
      </c>
      <c r="N453" s="37"/>
      <c r="O453" s="37" t="str">
        <f>IF([3]道具信息!O453="","",[3]道具信息!O453)</f>
        <v/>
      </c>
      <c r="P453" s="37" t="str">
        <f>IF([3]道具信息!P453="","",[3]道具信息!P453)</f>
        <v/>
      </c>
      <c r="Q453" s="37" t="str">
        <f>IF([3]道具信息!Q453="","",[3]道具信息!Q453)</f>
        <v/>
      </c>
    </row>
    <row r="454" spans="3:17" x14ac:dyDescent="0.15">
      <c r="C454" s="37" t="str">
        <f>IF([3]道具信息!C454="","",[3]道具信息!C454)</f>
        <v/>
      </c>
      <c r="D454" s="37" t="str">
        <f>IF([3]道具信息!D454="","",[3]道具信息!D454)</f>
        <v/>
      </c>
      <c r="E454" s="37" t="str">
        <f>IF([3]道具信息!E454="","",[3]道具信息!E454)</f>
        <v/>
      </c>
      <c r="F454" s="37" t="str">
        <f>IF([3]道具信息!F454="","",[3]道具信息!F454)</f>
        <v/>
      </c>
      <c r="G454" s="37" t="str">
        <f>IF([3]道具信息!G454="","",[3]道具信息!G454)</f>
        <v/>
      </c>
      <c r="H454" s="37" t="str">
        <f>IF([3]道具信息!H454="","",[3]道具信息!H454)</f>
        <v/>
      </c>
      <c r="I454" s="37" t="str">
        <f>IF([3]道具信息!I454="","",[3]道具信息!I454)</f>
        <v/>
      </c>
      <c r="J454" s="37" t="str">
        <f>IF([3]道具信息!J454="","",[3]道具信息!J454)</f>
        <v/>
      </c>
      <c r="K454" s="37" t="str">
        <f>IF([3]道具信息!K454="","",[3]道具信息!K454)</f>
        <v/>
      </c>
      <c r="L454" s="37" t="str">
        <f>IF([3]道具信息!L454="","",[3]道具信息!L454)</f>
        <v/>
      </c>
      <c r="M454" s="37" t="str">
        <f>IF([3]道具信息!M454="","",[3]道具信息!M454)</f>
        <v/>
      </c>
      <c r="N454" s="37"/>
      <c r="O454" s="37" t="str">
        <f>IF([3]道具信息!O454="","",[3]道具信息!O454)</f>
        <v/>
      </c>
      <c r="P454" s="37" t="str">
        <f>IF([3]道具信息!P454="","",[3]道具信息!P454)</f>
        <v/>
      </c>
      <c r="Q454" s="37" t="str">
        <f>IF([3]道具信息!Q454="","",[3]道具信息!Q454)</f>
        <v/>
      </c>
    </row>
    <row r="455" spans="3:17" x14ac:dyDescent="0.15">
      <c r="C455" s="37" t="str">
        <f>IF([3]道具信息!C455="","",[3]道具信息!C455)</f>
        <v/>
      </c>
      <c r="D455" s="37" t="str">
        <f>IF([3]道具信息!D455="","",[3]道具信息!D455)</f>
        <v/>
      </c>
      <c r="E455" s="37" t="str">
        <f>IF([3]道具信息!E455="","",[3]道具信息!E455)</f>
        <v/>
      </c>
      <c r="F455" s="37" t="str">
        <f>IF([3]道具信息!F455="","",[3]道具信息!F455)</f>
        <v/>
      </c>
      <c r="G455" s="37" t="str">
        <f>IF([3]道具信息!G455="","",[3]道具信息!G455)</f>
        <v/>
      </c>
      <c r="H455" s="37" t="str">
        <f>IF([3]道具信息!H455="","",[3]道具信息!H455)</f>
        <v/>
      </c>
      <c r="I455" s="37" t="str">
        <f>IF([3]道具信息!I455="","",[3]道具信息!I455)</f>
        <v/>
      </c>
      <c r="J455" s="37" t="str">
        <f>IF([3]道具信息!J455="","",[3]道具信息!J455)</f>
        <v/>
      </c>
      <c r="K455" s="37" t="str">
        <f>IF([3]道具信息!K455="","",[3]道具信息!K455)</f>
        <v/>
      </c>
      <c r="L455" s="37" t="str">
        <f>IF([3]道具信息!L455="","",[3]道具信息!L455)</f>
        <v/>
      </c>
      <c r="M455" s="37" t="str">
        <f>IF([3]道具信息!M455="","",[3]道具信息!M455)</f>
        <v/>
      </c>
      <c r="N455" s="37"/>
      <c r="O455" s="37" t="str">
        <f>IF([3]道具信息!O455="","",[3]道具信息!O455)</f>
        <v/>
      </c>
      <c r="P455" s="37" t="str">
        <f>IF([3]道具信息!P455="","",[3]道具信息!P455)</f>
        <v/>
      </c>
      <c r="Q455" s="37" t="str">
        <f>IF([3]道具信息!Q455="","",[3]道具信息!Q455)</f>
        <v/>
      </c>
    </row>
    <row r="456" spans="3:17" x14ac:dyDescent="0.15">
      <c r="C456" s="37" t="str">
        <f>IF([3]道具信息!C456="","",[3]道具信息!C456)</f>
        <v/>
      </c>
      <c r="D456" s="37" t="str">
        <f>IF([3]道具信息!D456="","",[3]道具信息!D456)</f>
        <v/>
      </c>
      <c r="E456" s="37" t="str">
        <f>IF([3]道具信息!E456="","",[3]道具信息!E456)</f>
        <v/>
      </c>
      <c r="F456" s="37" t="str">
        <f>IF([3]道具信息!F456="","",[3]道具信息!F456)</f>
        <v/>
      </c>
      <c r="G456" s="37" t="str">
        <f>IF([3]道具信息!G456="","",[3]道具信息!G456)</f>
        <v/>
      </c>
      <c r="H456" s="37" t="str">
        <f>IF([3]道具信息!H456="","",[3]道具信息!H456)</f>
        <v/>
      </c>
      <c r="I456" s="37" t="str">
        <f>IF([3]道具信息!I456="","",[3]道具信息!I456)</f>
        <v/>
      </c>
      <c r="J456" s="37" t="str">
        <f>IF([3]道具信息!J456="","",[3]道具信息!J456)</f>
        <v/>
      </c>
      <c r="K456" s="37" t="str">
        <f>IF([3]道具信息!K456="","",[3]道具信息!K456)</f>
        <v/>
      </c>
      <c r="L456" s="37" t="str">
        <f>IF([3]道具信息!L456="","",[3]道具信息!L456)</f>
        <v/>
      </c>
      <c r="M456" s="37" t="str">
        <f>IF([3]道具信息!M456="","",[3]道具信息!M456)</f>
        <v/>
      </c>
      <c r="N456" s="37"/>
      <c r="O456" s="37" t="str">
        <f>IF([3]道具信息!O456="","",[3]道具信息!O456)</f>
        <v/>
      </c>
      <c r="P456" s="37" t="str">
        <f>IF([3]道具信息!P456="","",[3]道具信息!P456)</f>
        <v/>
      </c>
      <c r="Q456" s="37" t="str">
        <f>IF([3]道具信息!Q456="","",[3]道具信息!Q456)</f>
        <v/>
      </c>
    </row>
    <row r="457" spans="3:17" x14ac:dyDescent="0.15">
      <c r="C457" s="37" t="str">
        <f>IF([3]道具信息!C457="","",[3]道具信息!C457)</f>
        <v/>
      </c>
      <c r="D457" s="37" t="str">
        <f>IF([3]道具信息!D457="","",[3]道具信息!D457)</f>
        <v/>
      </c>
      <c r="E457" s="37" t="str">
        <f>IF([3]道具信息!E457="","",[3]道具信息!E457)</f>
        <v/>
      </c>
      <c r="F457" s="37" t="str">
        <f>IF([3]道具信息!F457="","",[3]道具信息!F457)</f>
        <v/>
      </c>
      <c r="G457" s="37" t="str">
        <f>IF([3]道具信息!G457="","",[3]道具信息!G457)</f>
        <v/>
      </c>
      <c r="H457" s="37" t="str">
        <f>IF([3]道具信息!H457="","",[3]道具信息!H457)</f>
        <v/>
      </c>
      <c r="I457" s="37" t="str">
        <f>IF([3]道具信息!I457="","",[3]道具信息!I457)</f>
        <v/>
      </c>
      <c r="J457" s="37" t="str">
        <f>IF([3]道具信息!J457="","",[3]道具信息!J457)</f>
        <v/>
      </c>
      <c r="K457" s="37" t="str">
        <f>IF([3]道具信息!K457="","",[3]道具信息!K457)</f>
        <v/>
      </c>
      <c r="L457" s="37" t="str">
        <f>IF([3]道具信息!L457="","",[3]道具信息!L457)</f>
        <v/>
      </c>
      <c r="M457" s="37" t="str">
        <f>IF([3]道具信息!M457="","",[3]道具信息!M457)</f>
        <v/>
      </c>
      <c r="N457" s="37"/>
      <c r="O457" s="37" t="str">
        <f>IF([3]道具信息!O457="","",[3]道具信息!O457)</f>
        <v/>
      </c>
      <c r="P457" s="37" t="str">
        <f>IF([3]道具信息!P457="","",[3]道具信息!P457)</f>
        <v/>
      </c>
      <c r="Q457" s="37" t="str">
        <f>IF([3]道具信息!Q457="","",[3]道具信息!Q457)</f>
        <v/>
      </c>
    </row>
    <row r="458" spans="3:17" x14ac:dyDescent="0.15">
      <c r="C458" s="37" t="str">
        <f>IF([3]道具信息!C458="","",[3]道具信息!C458)</f>
        <v/>
      </c>
      <c r="D458" s="37" t="str">
        <f>IF([3]道具信息!D458="","",[3]道具信息!D458)</f>
        <v/>
      </c>
      <c r="E458" s="37" t="str">
        <f>IF([3]道具信息!E458="","",[3]道具信息!E458)</f>
        <v/>
      </c>
      <c r="F458" s="37" t="str">
        <f>IF([3]道具信息!F458="","",[3]道具信息!F458)</f>
        <v/>
      </c>
      <c r="G458" s="37" t="str">
        <f>IF([3]道具信息!G458="","",[3]道具信息!G458)</f>
        <v/>
      </c>
      <c r="H458" s="37" t="str">
        <f>IF([3]道具信息!H458="","",[3]道具信息!H458)</f>
        <v/>
      </c>
      <c r="I458" s="37" t="str">
        <f>IF([3]道具信息!I458="","",[3]道具信息!I458)</f>
        <v/>
      </c>
      <c r="J458" s="37" t="str">
        <f>IF([3]道具信息!J458="","",[3]道具信息!J458)</f>
        <v/>
      </c>
      <c r="K458" s="37" t="str">
        <f>IF([3]道具信息!K458="","",[3]道具信息!K458)</f>
        <v/>
      </c>
      <c r="L458" s="37" t="str">
        <f>IF([3]道具信息!L458="","",[3]道具信息!L458)</f>
        <v/>
      </c>
      <c r="M458" s="37" t="str">
        <f>IF([3]道具信息!M458="","",[3]道具信息!M458)</f>
        <v/>
      </c>
      <c r="N458" s="37"/>
      <c r="O458" s="37" t="str">
        <f>IF([3]道具信息!O458="","",[3]道具信息!O458)</f>
        <v/>
      </c>
      <c r="P458" s="37" t="str">
        <f>IF([3]道具信息!P458="","",[3]道具信息!P458)</f>
        <v/>
      </c>
      <c r="Q458" s="37" t="str">
        <f>IF([3]道具信息!Q458="","",[3]道具信息!Q458)</f>
        <v/>
      </c>
    </row>
    <row r="459" spans="3:17" x14ac:dyDescent="0.15">
      <c r="C459" s="37" t="str">
        <f>IF([3]道具信息!C459="","",[3]道具信息!C459)</f>
        <v/>
      </c>
      <c r="D459" s="37" t="str">
        <f>IF([3]道具信息!D459="","",[3]道具信息!D459)</f>
        <v/>
      </c>
      <c r="E459" s="37" t="str">
        <f>IF([3]道具信息!E459="","",[3]道具信息!E459)</f>
        <v/>
      </c>
      <c r="F459" s="37" t="str">
        <f>IF([3]道具信息!F459="","",[3]道具信息!F459)</f>
        <v/>
      </c>
      <c r="G459" s="37" t="str">
        <f>IF([3]道具信息!G459="","",[3]道具信息!G459)</f>
        <v/>
      </c>
      <c r="H459" s="37" t="str">
        <f>IF([3]道具信息!H459="","",[3]道具信息!H459)</f>
        <v/>
      </c>
      <c r="I459" s="37" t="str">
        <f>IF([3]道具信息!I459="","",[3]道具信息!I459)</f>
        <v/>
      </c>
      <c r="J459" s="37" t="str">
        <f>IF([3]道具信息!J459="","",[3]道具信息!J459)</f>
        <v/>
      </c>
      <c r="K459" s="37" t="str">
        <f>IF([3]道具信息!K459="","",[3]道具信息!K459)</f>
        <v/>
      </c>
      <c r="L459" s="37" t="str">
        <f>IF([3]道具信息!L459="","",[3]道具信息!L459)</f>
        <v/>
      </c>
      <c r="M459" s="37" t="str">
        <f>IF([3]道具信息!M459="","",[3]道具信息!M459)</f>
        <v/>
      </c>
      <c r="N459" s="37"/>
      <c r="O459" s="37" t="str">
        <f>IF([3]道具信息!O459="","",[3]道具信息!O459)</f>
        <v/>
      </c>
      <c r="P459" s="37" t="str">
        <f>IF([3]道具信息!P459="","",[3]道具信息!P459)</f>
        <v/>
      </c>
      <c r="Q459" s="37" t="str">
        <f>IF([3]道具信息!Q459="","",[3]道具信息!Q459)</f>
        <v/>
      </c>
    </row>
    <row r="460" spans="3:17" x14ac:dyDescent="0.15">
      <c r="C460" s="37" t="str">
        <f>IF([3]道具信息!C460="","",[3]道具信息!C460)</f>
        <v/>
      </c>
      <c r="D460" s="37" t="str">
        <f>IF([3]道具信息!D460="","",[3]道具信息!D460)</f>
        <v/>
      </c>
      <c r="E460" s="37" t="str">
        <f>IF([3]道具信息!E460="","",[3]道具信息!E460)</f>
        <v/>
      </c>
      <c r="F460" s="37" t="str">
        <f>IF([3]道具信息!F460="","",[3]道具信息!F460)</f>
        <v/>
      </c>
      <c r="G460" s="37" t="str">
        <f>IF([3]道具信息!G460="","",[3]道具信息!G460)</f>
        <v/>
      </c>
      <c r="H460" s="37" t="str">
        <f>IF([3]道具信息!H460="","",[3]道具信息!H460)</f>
        <v/>
      </c>
      <c r="I460" s="37" t="str">
        <f>IF([3]道具信息!I460="","",[3]道具信息!I460)</f>
        <v/>
      </c>
      <c r="J460" s="37" t="str">
        <f>IF([3]道具信息!J460="","",[3]道具信息!J460)</f>
        <v/>
      </c>
      <c r="K460" s="37" t="str">
        <f>IF([3]道具信息!K460="","",[3]道具信息!K460)</f>
        <v/>
      </c>
      <c r="L460" s="37" t="str">
        <f>IF([3]道具信息!L460="","",[3]道具信息!L460)</f>
        <v/>
      </c>
      <c r="M460" s="37" t="str">
        <f>IF([3]道具信息!M460="","",[3]道具信息!M460)</f>
        <v/>
      </c>
      <c r="N460" s="37"/>
      <c r="O460" s="37" t="str">
        <f>IF([3]道具信息!O460="","",[3]道具信息!O460)</f>
        <v/>
      </c>
      <c r="P460" s="37" t="str">
        <f>IF([3]道具信息!P460="","",[3]道具信息!P460)</f>
        <v/>
      </c>
      <c r="Q460" s="37" t="str">
        <f>IF([3]道具信息!Q460="","",[3]道具信息!Q460)</f>
        <v/>
      </c>
    </row>
    <row r="461" spans="3:17" x14ac:dyDescent="0.15">
      <c r="C461" s="37" t="str">
        <f>IF([3]道具信息!C461="","",[3]道具信息!C461)</f>
        <v/>
      </c>
      <c r="D461" s="37" t="str">
        <f>IF([3]道具信息!D461="","",[3]道具信息!D461)</f>
        <v/>
      </c>
      <c r="E461" s="37" t="str">
        <f>IF([3]道具信息!E461="","",[3]道具信息!E461)</f>
        <v/>
      </c>
      <c r="F461" s="37" t="str">
        <f>IF([3]道具信息!F461="","",[3]道具信息!F461)</f>
        <v/>
      </c>
      <c r="G461" s="37" t="str">
        <f>IF([3]道具信息!G461="","",[3]道具信息!G461)</f>
        <v/>
      </c>
      <c r="H461" s="37" t="str">
        <f>IF([3]道具信息!H461="","",[3]道具信息!H461)</f>
        <v/>
      </c>
      <c r="I461" s="37" t="str">
        <f>IF([3]道具信息!I461="","",[3]道具信息!I461)</f>
        <v/>
      </c>
      <c r="J461" s="37" t="str">
        <f>IF([3]道具信息!J461="","",[3]道具信息!J461)</f>
        <v/>
      </c>
      <c r="K461" s="37" t="str">
        <f>IF([3]道具信息!K461="","",[3]道具信息!K461)</f>
        <v/>
      </c>
      <c r="L461" s="37" t="str">
        <f>IF([3]道具信息!L461="","",[3]道具信息!L461)</f>
        <v/>
      </c>
      <c r="M461" s="37" t="str">
        <f>IF([3]道具信息!M461="","",[3]道具信息!M461)</f>
        <v/>
      </c>
      <c r="N461" s="37"/>
      <c r="O461" s="37" t="str">
        <f>IF([3]道具信息!O461="","",[3]道具信息!O461)</f>
        <v/>
      </c>
      <c r="P461" s="37" t="str">
        <f>IF([3]道具信息!P461="","",[3]道具信息!P461)</f>
        <v/>
      </c>
      <c r="Q461" s="37" t="str">
        <f>IF([3]道具信息!Q461="","",[3]道具信息!Q461)</f>
        <v/>
      </c>
    </row>
    <row r="462" spans="3:17" x14ac:dyDescent="0.15">
      <c r="C462" s="37" t="str">
        <f>IF([3]道具信息!C462="","",[3]道具信息!C462)</f>
        <v/>
      </c>
      <c r="D462" s="37" t="str">
        <f>IF([3]道具信息!D462="","",[3]道具信息!D462)</f>
        <v/>
      </c>
      <c r="E462" s="37" t="str">
        <f>IF([3]道具信息!E462="","",[3]道具信息!E462)</f>
        <v/>
      </c>
      <c r="F462" s="37" t="str">
        <f>IF([3]道具信息!F462="","",[3]道具信息!F462)</f>
        <v/>
      </c>
      <c r="G462" s="37" t="str">
        <f>IF([3]道具信息!G462="","",[3]道具信息!G462)</f>
        <v/>
      </c>
      <c r="H462" s="37" t="str">
        <f>IF([3]道具信息!H462="","",[3]道具信息!H462)</f>
        <v/>
      </c>
      <c r="I462" s="37" t="str">
        <f>IF([3]道具信息!I462="","",[3]道具信息!I462)</f>
        <v/>
      </c>
      <c r="J462" s="37" t="str">
        <f>IF([3]道具信息!J462="","",[3]道具信息!J462)</f>
        <v/>
      </c>
      <c r="K462" s="37" t="str">
        <f>IF([3]道具信息!K462="","",[3]道具信息!K462)</f>
        <v/>
      </c>
      <c r="L462" s="37" t="str">
        <f>IF([3]道具信息!L462="","",[3]道具信息!L462)</f>
        <v/>
      </c>
      <c r="M462" s="37" t="str">
        <f>IF([3]道具信息!M462="","",[3]道具信息!M462)</f>
        <v/>
      </c>
      <c r="N462" s="37"/>
      <c r="O462" s="37" t="str">
        <f>IF([3]道具信息!O462="","",[3]道具信息!O462)</f>
        <v/>
      </c>
      <c r="P462" s="37" t="str">
        <f>IF([3]道具信息!P462="","",[3]道具信息!P462)</f>
        <v/>
      </c>
      <c r="Q462" s="37" t="str">
        <f>IF([3]道具信息!Q462="","",[3]道具信息!Q462)</f>
        <v/>
      </c>
    </row>
    <row r="463" spans="3:17" x14ac:dyDescent="0.15">
      <c r="C463" s="37" t="str">
        <f>IF([3]道具信息!C463="","",[3]道具信息!C463)</f>
        <v/>
      </c>
      <c r="D463" s="37" t="str">
        <f>IF([3]道具信息!D463="","",[3]道具信息!D463)</f>
        <v/>
      </c>
      <c r="E463" s="37" t="str">
        <f>IF([3]道具信息!E463="","",[3]道具信息!E463)</f>
        <v/>
      </c>
      <c r="F463" s="37" t="str">
        <f>IF([3]道具信息!F463="","",[3]道具信息!F463)</f>
        <v/>
      </c>
      <c r="G463" s="37" t="str">
        <f>IF([3]道具信息!G463="","",[3]道具信息!G463)</f>
        <v/>
      </c>
      <c r="H463" s="37" t="str">
        <f>IF([3]道具信息!H463="","",[3]道具信息!H463)</f>
        <v/>
      </c>
      <c r="I463" s="37" t="str">
        <f>IF([3]道具信息!I463="","",[3]道具信息!I463)</f>
        <v/>
      </c>
      <c r="J463" s="37" t="str">
        <f>IF([3]道具信息!J463="","",[3]道具信息!J463)</f>
        <v/>
      </c>
      <c r="K463" s="37" t="str">
        <f>IF([3]道具信息!K463="","",[3]道具信息!K463)</f>
        <v/>
      </c>
      <c r="L463" s="37" t="str">
        <f>IF([3]道具信息!L463="","",[3]道具信息!L463)</f>
        <v/>
      </c>
      <c r="M463" s="37" t="str">
        <f>IF([3]道具信息!M463="","",[3]道具信息!M463)</f>
        <v/>
      </c>
      <c r="N463" s="37"/>
      <c r="O463" s="37" t="str">
        <f>IF([3]道具信息!O463="","",[3]道具信息!O463)</f>
        <v/>
      </c>
      <c r="P463" s="37" t="str">
        <f>IF([3]道具信息!P463="","",[3]道具信息!P463)</f>
        <v/>
      </c>
      <c r="Q463" s="37" t="str">
        <f>IF([3]道具信息!Q463="","",[3]道具信息!Q463)</f>
        <v/>
      </c>
    </row>
    <row r="464" spans="3:17" x14ac:dyDescent="0.15">
      <c r="C464" s="37" t="str">
        <f>IF([3]道具信息!C464="","",[3]道具信息!C464)</f>
        <v/>
      </c>
      <c r="D464" s="37" t="str">
        <f>IF([3]道具信息!D464="","",[3]道具信息!D464)</f>
        <v/>
      </c>
      <c r="E464" s="37" t="str">
        <f>IF([3]道具信息!E464="","",[3]道具信息!E464)</f>
        <v/>
      </c>
      <c r="F464" s="37" t="str">
        <f>IF([3]道具信息!F464="","",[3]道具信息!F464)</f>
        <v/>
      </c>
      <c r="G464" s="37" t="str">
        <f>IF([3]道具信息!G464="","",[3]道具信息!G464)</f>
        <v/>
      </c>
      <c r="H464" s="37" t="str">
        <f>IF([3]道具信息!H464="","",[3]道具信息!H464)</f>
        <v/>
      </c>
      <c r="I464" s="37" t="str">
        <f>IF([3]道具信息!I464="","",[3]道具信息!I464)</f>
        <v/>
      </c>
      <c r="J464" s="37" t="str">
        <f>IF([3]道具信息!J464="","",[3]道具信息!J464)</f>
        <v/>
      </c>
      <c r="K464" s="37" t="str">
        <f>IF([3]道具信息!K464="","",[3]道具信息!K464)</f>
        <v/>
      </c>
      <c r="L464" s="37" t="str">
        <f>IF([3]道具信息!L464="","",[3]道具信息!L464)</f>
        <v/>
      </c>
      <c r="M464" s="37" t="str">
        <f>IF([3]道具信息!M464="","",[3]道具信息!M464)</f>
        <v/>
      </c>
      <c r="N464" s="37"/>
      <c r="O464" s="37" t="str">
        <f>IF([3]道具信息!O464="","",[3]道具信息!O464)</f>
        <v/>
      </c>
      <c r="P464" s="37" t="str">
        <f>IF([3]道具信息!P464="","",[3]道具信息!P464)</f>
        <v/>
      </c>
      <c r="Q464" s="37" t="str">
        <f>IF([3]道具信息!Q464="","",[3]道具信息!Q464)</f>
        <v/>
      </c>
    </row>
    <row r="465" spans="3:17" x14ac:dyDescent="0.15">
      <c r="C465" s="37" t="str">
        <f>IF([3]道具信息!C465="","",[3]道具信息!C465)</f>
        <v/>
      </c>
      <c r="D465" s="37" t="str">
        <f>IF([3]道具信息!D465="","",[3]道具信息!D465)</f>
        <v/>
      </c>
      <c r="E465" s="37" t="str">
        <f>IF([3]道具信息!E465="","",[3]道具信息!E465)</f>
        <v/>
      </c>
      <c r="F465" s="37" t="str">
        <f>IF([3]道具信息!F465="","",[3]道具信息!F465)</f>
        <v/>
      </c>
      <c r="G465" s="37" t="str">
        <f>IF([3]道具信息!G465="","",[3]道具信息!G465)</f>
        <v/>
      </c>
      <c r="H465" s="37" t="str">
        <f>IF([3]道具信息!H465="","",[3]道具信息!H465)</f>
        <v/>
      </c>
      <c r="I465" s="37" t="str">
        <f>IF([3]道具信息!I465="","",[3]道具信息!I465)</f>
        <v/>
      </c>
      <c r="J465" s="37" t="str">
        <f>IF([3]道具信息!J465="","",[3]道具信息!J465)</f>
        <v/>
      </c>
      <c r="K465" s="37" t="str">
        <f>IF([3]道具信息!K465="","",[3]道具信息!K465)</f>
        <v/>
      </c>
      <c r="L465" s="37" t="str">
        <f>IF([3]道具信息!L465="","",[3]道具信息!L465)</f>
        <v/>
      </c>
      <c r="M465" s="37" t="str">
        <f>IF([3]道具信息!M465="","",[3]道具信息!M465)</f>
        <v/>
      </c>
      <c r="N465" s="37"/>
      <c r="O465" s="37" t="str">
        <f>IF([3]道具信息!O465="","",[3]道具信息!O465)</f>
        <v/>
      </c>
      <c r="P465" s="37" t="str">
        <f>IF([3]道具信息!P465="","",[3]道具信息!P465)</f>
        <v/>
      </c>
      <c r="Q465" s="37" t="str">
        <f>IF([3]道具信息!Q465="","",[3]道具信息!Q465)</f>
        <v/>
      </c>
    </row>
    <row r="466" spans="3:17" x14ac:dyDescent="0.15">
      <c r="C466" s="37" t="str">
        <f>IF([3]道具信息!C466="","",[3]道具信息!C466)</f>
        <v/>
      </c>
      <c r="D466" s="37" t="str">
        <f>IF([3]道具信息!D466="","",[3]道具信息!D466)</f>
        <v/>
      </c>
      <c r="E466" s="37" t="str">
        <f>IF([3]道具信息!E466="","",[3]道具信息!E466)</f>
        <v/>
      </c>
      <c r="F466" s="37" t="str">
        <f>IF([3]道具信息!F466="","",[3]道具信息!F466)</f>
        <v/>
      </c>
      <c r="G466" s="37" t="str">
        <f>IF([3]道具信息!G466="","",[3]道具信息!G466)</f>
        <v/>
      </c>
      <c r="H466" s="37" t="str">
        <f>IF([3]道具信息!H466="","",[3]道具信息!H466)</f>
        <v/>
      </c>
      <c r="I466" s="37" t="str">
        <f>IF([3]道具信息!I466="","",[3]道具信息!I466)</f>
        <v/>
      </c>
      <c r="J466" s="37" t="str">
        <f>IF([3]道具信息!J466="","",[3]道具信息!J466)</f>
        <v/>
      </c>
      <c r="K466" s="37" t="str">
        <f>IF([3]道具信息!K466="","",[3]道具信息!K466)</f>
        <v/>
      </c>
      <c r="L466" s="37" t="str">
        <f>IF([3]道具信息!L466="","",[3]道具信息!L466)</f>
        <v/>
      </c>
      <c r="M466" s="37" t="str">
        <f>IF([3]道具信息!M466="","",[3]道具信息!M466)</f>
        <v/>
      </c>
      <c r="N466" s="37"/>
      <c r="O466" s="37" t="str">
        <f>IF([3]道具信息!O466="","",[3]道具信息!O466)</f>
        <v/>
      </c>
      <c r="P466" s="37" t="str">
        <f>IF([3]道具信息!P466="","",[3]道具信息!P466)</f>
        <v/>
      </c>
      <c r="Q466" s="37" t="str">
        <f>IF([3]道具信息!Q466="","",[3]道具信息!Q466)</f>
        <v/>
      </c>
    </row>
    <row r="467" spans="3:17" x14ac:dyDescent="0.15">
      <c r="C467" s="37" t="str">
        <f>IF([3]道具信息!C467="","",[3]道具信息!C467)</f>
        <v/>
      </c>
      <c r="D467" s="37" t="str">
        <f>IF([3]道具信息!D467="","",[3]道具信息!D467)</f>
        <v/>
      </c>
      <c r="E467" s="37" t="str">
        <f>IF([3]道具信息!E467="","",[3]道具信息!E467)</f>
        <v/>
      </c>
      <c r="F467" s="37" t="str">
        <f>IF([3]道具信息!F467="","",[3]道具信息!F467)</f>
        <v/>
      </c>
      <c r="G467" s="37" t="str">
        <f>IF([3]道具信息!G467="","",[3]道具信息!G467)</f>
        <v/>
      </c>
      <c r="H467" s="37" t="str">
        <f>IF([3]道具信息!H467="","",[3]道具信息!H467)</f>
        <v/>
      </c>
      <c r="I467" s="37" t="str">
        <f>IF([3]道具信息!I467="","",[3]道具信息!I467)</f>
        <v/>
      </c>
      <c r="J467" s="37" t="str">
        <f>IF([3]道具信息!J467="","",[3]道具信息!J467)</f>
        <v/>
      </c>
      <c r="K467" s="37" t="str">
        <f>IF([3]道具信息!K467="","",[3]道具信息!K467)</f>
        <v/>
      </c>
      <c r="L467" s="37" t="str">
        <f>IF([3]道具信息!L467="","",[3]道具信息!L467)</f>
        <v/>
      </c>
      <c r="M467" s="37" t="str">
        <f>IF([3]道具信息!M467="","",[3]道具信息!M467)</f>
        <v/>
      </c>
      <c r="N467" s="37"/>
      <c r="O467" s="37" t="str">
        <f>IF([3]道具信息!O467="","",[3]道具信息!O467)</f>
        <v/>
      </c>
      <c r="P467" s="37" t="str">
        <f>IF([3]道具信息!P467="","",[3]道具信息!P467)</f>
        <v/>
      </c>
      <c r="Q467" s="37" t="str">
        <f>IF([3]道具信息!Q467="","",[3]道具信息!Q467)</f>
        <v/>
      </c>
    </row>
    <row r="468" spans="3:17" x14ac:dyDescent="0.15">
      <c r="C468" s="37" t="str">
        <f>IF([3]道具信息!C468="","",[3]道具信息!C468)</f>
        <v/>
      </c>
      <c r="D468" s="37" t="str">
        <f>IF([3]道具信息!D468="","",[3]道具信息!D468)</f>
        <v/>
      </c>
      <c r="E468" s="37" t="str">
        <f>IF([3]道具信息!E468="","",[3]道具信息!E468)</f>
        <v/>
      </c>
      <c r="F468" s="37" t="str">
        <f>IF([3]道具信息!F468="","",[3]道具信息!F468)</f>
        <v/>
      </c>
      <c r="G468" s="37" t="str">
        <f>IF([3]道具信息!G468="","",[3]道具信息!G468)</f>
        <v/>
      </c>
      <c r="H468" s="37" t="str">
        <f>IF([3]道具信息!H468="","",[3]道具信息!H468)</f>
        <v/>
      </c>
      <c r="I468" s="37" t="str">
        <f>IF([3]道具信息!I468="","",[3]道具信息!I468)</f>
        <v/>
      </c>
      <c r="J468" s="37" t="str">
        <f>IF([3]道具信息!J468="","",[3]道具信息!J468)</f>
        <v/>
      </c>
      <c r="K468" s="37" t="str">
        <f>IF([3]道具信息!K468="","",[3]道具信息!K468)</f>
        <v/>
      </c>
      <c r="L468" s="37" t="str">
        <f>IF([3]道具信息!L468="","",[3]道具信息!L468)</f>
        <v/>
      </c>
      <c r="M468" s="37" t="str">
        <f>IF([3]道具信息!M468="","",[3]道具信息!M468)</f>
        <v/>
      </c>
      <c r="N468" s="37"/>
      <c r="O468" s="37" t="str">
        <f>IF([3]道具信息!O468="","",[3]道具信息!O468)</f>
        <v/>
      </c>
      <c r="P468" s="37" t="str">
        <f>IF([3]道具信息!P468="","",[3]道具信息!P468)</f>
        <v/>
      </c>
      <c r="Q468" s="37" t="str">
        <f>IF([3]道具信息!Q468="","",[3]道具信息!Q468)</f>
        <v/>
      </c>
    </row>
    <row r="469" spans="3:17" x14ac:dyDescent="0.15">
      <c r="C469" s="37" t="str">
        <f>IF([3]道具信息!C469="","",[3]道具信息!C469)</f>
        <v/>
      </c>
      <c r="D469" s="37" t="str">
        <f>IF([3]道具信息!D469="","",[3]道具信息!D469)</f>
        <v/>
      </c>
      <c r="E469" s="37" t="str">
        <f>IF([3]道具信息!E469="","",[3]道具信息!E469)</f>
        <v/>
      </c>
      <c r="F469" s="37" t="str">
        <f>IF([3]道具信息!F469="","",[3]道具信息!F469)</f>
        <v/>
      </c>
      <c r="G469" s="37" t="str">
        <f>IF([3]道具信息!G469="","",[3]道具信息!G469)</f>
        <v/>
      </c>
      <c r="H469" s="37" t="str">
        <f>IF([3]道具信息!H469="","",[3]道具信息!H469)</f>
        <v/>
      </c>
      <c r="I469" s="37" t="str">
        <f>IF([3]道具信息!I469="","",[3]道具信息!I469)</f>
        <v/>
      </c>
      <c r="J469" s="37" t="str">
        <f>IF([3]道具信息!J469="","",[3]道具信息!J469)</f>
        <v/>
      </c>
      <c r="K469" s="37" t="str">
        <f>IF([3]道具信息!K469="","",[3]道具信息!K469)</f>
        <v/>
      </c>
      <c r="L469" s="37" t="str">
        <f>IF([3]道具信息!L469="","",[3]道具信息!L469)</f>
        <v/>
      </c>
      <c r="M469" s="37" t="str">
        <f>IF([3]道具信息!M469="","",[3]道具信息!M469)</f>
        <v/>
      </c>
      <c r="N469" s="37"/>
      <c r="O469" s="37" t="str">
        <f>IF([3]道具信息!O469="","",[3]道具信息!O469)</f>
        <v/>
      </c>
      <c r="P469" s="37" t="str">
        <f>IF([3]道具信息!P469="","",[3]道具信息!P469)</f>
        <v/>
      </c>
      <c r="Q469" s="37" t="str">
        <f>IF([3]道具信息!Q469="","",[3]道具信息!Q469)</f>
        <v/>
      </c>
    </row>
    <row r="470" spans="3:17" x14ac:dyDescent="0.15">
      <c r="C470" s="37" t="str">
        <f>IF([3]道具信息!C470="","",[3]道具信息!C470)</f>
        <v/>
      </c>
      <c r="D470" s="37" t="str">
        <f>IF([3]道具信息!D470="","",[3]道具信息!D470)</f>
        <v/>
      </c>
      <c r="E470" s="37" t="str">
        <f>IF([3]道具信息!E470="","",[3]道具信息!E470)</f>
        <v/>
      </c>
      <c r="F470" s="37" t="str">
        <f>IF([3]道具信息!F470="","",[3]道具信息!F470)</f>
        <v/>
      </c>
      <c r="G470" s="37" t="str">
        <f>IF([3]道具信息!G470="","",[3]道具信息!G470)</f>
        <v/>
      </c>
      <c r="H470" s="37" t="str">
        <f>IF([3]道具信息!H470="","",[3]道具信息!H470)</f>
        <v/>
      </c>
      <c r="I470" s="37" t="str">
        <f>IF([3]道具信息!I470="","",[3]道具信息!I470)</f>
        <v/>
      </c>
      <c r="J470" s="37" t="str">
        <f>IF([3]道具信息!J470="","",[3]道具信息!J470)</f>
        <v/>
      </c>
      <c r="K470" s="37" t="str">
        <f>IF([3]道具信息!K470="","",[3]道具信息!K470)</f>
        <v/>
      </c>
      <c r="L470" s="37" t="str">
        <f>IF([3]道具信息!L470="","",[3]道具信息!L470)</f>
        <v/>
      </c>
      <c r="M470" s="37" t="str">
        <f>IF([3]道具信息!M470="","",[3]道具信息!M470)</f>
        <v/>
      </c>
      <c r="N470" s="37"/>
      <c r="O470" s="37" t="str">
        <f>IF([3]道具信息!O470="","",[3]道具信息!O470)</f>
        <v/>
      </c>
      <c r="P470" s="37" t="str">
        <f>IF([3]道具信息!P470="","",[3]道具信息!P470)</f>
        <v/>
      </c>
      <c r="Q470" s="37" t="str">
        <f>IF([3]道具信息!Q470="","",[3]道具信息!Q470)</f>
        <v/>
      </c>
    </row>
    <row r="471" spans="3:17" x14ac:dyDescent="0.15">
      <c r="C471" s="37" t="str">
        <f>IF([3]道具信息!C471="","",[3]道具信息!C471)</f>
        <v/>
      </c>
      <c r="D471" s="37" t="str">
        <f>IF([3]道具信息!D471="","",[3]道具信息!D471)</f>
        <v/>
      </c>
      <c r="E471" s="37" t="str">
        <f>IF([3]道具信息!E471="","",[3]道具信息!E471)</f>
        <v/>
      </c>
      <c r="F471" s="37" t="str">
        <f>IF([3]道具信息!F471="","",[3]道具信息!F471)</f>
        <v/>
      </c>
      <c r="G471" s="37" t="str">
        <f>IF([3]道具信息!G471="","",[3]道具信息!G471)</f>
        <v/>
      </c>
      <c r="H471" s="37" t="str">
        <f>IF([3]道具信息!H471="","",[3]道具信息!H471)</f>
        <v/>
      </c>
      <c r="I471" s="37" t="str">
        <f>IF([3]道具信息!I471="","",[3]道具信息!I471)</f>
        <v/>
      </c>
      <c r="J471" s="37" t="str">
        <f>IF([3]道具信息!J471="","",[3]道具信息!J471)</f>
        <v/>
      </c>
      <c r="K471" s="37" t="str">
        <f>IF([3]道具信息!K471="","",[3]道具信息!K471)</f>
        <v/>
      </c>
      <c r="L471" s="37" t="str">
        <f>IF([3]道具信息!L471="","",[3]道具信息!L471)</f>
        <v/>
      </c>
      <c r="M471" s="37" t="str">
        <f>IF([3]道具信息!M471="","",[3]道具信息!M471)</f>
        <v/>
      </c>
      <c r="N471" s="37"/>
      <c r="O471" s="37" t="str">
        <f>IF([3]道具信息!O471="","",[3]道具信息!O471)</f>
        <v/>
      </c>
      <c r="P471" s="37" t="str">
        <f>IF([3]道具信息!P471="","",[3]道具信息!P471)</f>
        <v/>
      </c>
      <c r="Q471" s="37" t="str">
        <f>IF([3]道具信息!Q471="","",[3]道具信息!Q471)</f>
        <v/>
      </c>
    </row>
    <row r="472" spans="3:17" x14ac:dyDescent="0.15">
      <c r="C472" s="37" t="str">
        <f>IF([3]道具信息!C472="","",[3]道具信息!C472)</f>
        <v/>
      </c>
      <c r="D472" s="37" t="str">
        <f>IF([3]道具信息!D472="","",[3]道具信息!D472)</f>
        <v/>
      </c>
      <c r="E472" s="37" t="str">
        <f>IF([3]道具信息!E472="","",[3]道具信息!E472)</f>
        <v/>
      </c>
      <c r="F472" s="37" t="str">
        <f>IF([3]道具信息!F472="","",[3]道具信息!F472)</f>
        <v/>
      </c>
      <c r="G472" s="37" t="str">
        <f>IF([3]道具信息!G472="","",[3]道具信息!G472)</f>
        <v/>
      </c>
      <c r="H472" s="37" t="str">
        <f>IF([3]道具信息!H472="","",[3]道具信息!H472)</f>
        <v/>
      </c>
      <c r="I472" s="37" t="str">
        <f>IF([3]道具信息!I472="","",[3]道具信息!I472)</f>
        <v/>
      </c>
      <c r="J472" s="37" t="str">
        <f>IF([3]道具信息!J472="","",[3]道具信息!J472)</f>
        <v/>
      </c>
      <c r="K472" s="37" t="str">
        <f>IF([3]道具信息!K472="","",[3]道具信息!K472)</f>
        <v/>
      </c>
      <c r="L472" s="37" t="str">
        <f>IF([3]道具信息!L472="","",[3]道具信息!L472)</f>
        <v/>
      </c>
      <c r="M472" s="37" t="str">
        <f>IF([3]道具信息!M472="","",[3]道具信息!M472)</f>
        <v/>
      </c>
      <c r="N472" s="37"/>
      <c r="O472" s="37" t="str">
        <f>IF([3]道具信息!O472="","",[3]道具信息!O472)</f>
        <v/>
      </c>
      <c r="P472" s="37" t="str">
        <f>IF([3]道具信息!P472="","",[3]道具信息!P472)</f>
        <v/>
      </c>
      <c r="Q472" s="37" t="str">
        <f>IF([3]道具信息!Q472="","",[3]道具信息!Q472)</f>
        <v/>
      </c>
    </row>
    <row r="473" spans="3:17" x14ac:dyDescent="0.15">
      <c r="C473" s="37" t="str">
        <f>IF([3]道具信息!C473="","",[3]道具信息!C473)</f>
        <v/>
      </c>
      <c r="D473" s="37" t="str">
        <f>IF([3]道具信息!D473="","",[3]道具信息!D473)</f>
        <v/>
      </c>
      <c r="E473" s="37" t="str">
        <f>IF([3]道具信息!E473="","",[3]道具信息!E473)</f>
        <v/>
      </c>
      <c r="F473" s="37" t="str">
        <f>IF([3]道具信息!F473="","",[3]道具信息!F473)</f>
        <v/>
      </c>
      <c r="G473" s="37" t="str">
        <f>IF([3]道具信息!G473="","",[3]道具信息!G473)</f>
        <v/>
      </c>
      <c r="H473" s="37" t="str">
        <f>IF([3]道具信息!H473="","",[3]道具信息!H473)</f>
        <v/>
      </c>
      <c r="I473" s="37" t="str">
        <f>IF([3]道具信息!I473="","",[3]道具信息!I473)</f>
        <v/>
      </c>
      <c r="J473" s="37" t="str">
        <f>IF([3]道具信息!J473="","",[3]道具信息!J473)</f>
        <v/>
      </c>
      <c r="K473" s="37" t="str">
        <f>IF([3]道具信息!K473="","",[3]道具信息!K473)</f>
        <v/>
      </c>
      <c r="L473" s="37" t="str">
        <f>IF([3]道具信息!L473="","",[3]道具信息!L473)</f>
        <v/>
      </c>
      <c r="M473" s="37" t="str">
        <f>IF([3]道具信息!M473="","",[3]道具信息!M473)</f>
        <v/>
      </c>
      <c r="N473" s="37"/>
      <c r="O473" s="37" t="str">
        <f>IF([3]道具信息!O473="","",[3]道具信息!O473)</f>
        <v/>
      </c>
      <c r="P473" s="37" t="str">
        <f>IF([3]道具信息!P473="","",[3]道具信息!P473)</f>
        <v/>
      </c>
      <c r="Q473" s="37" t="str">
        <f>IF([3]道具信息!Q473="","",[3]道具信息!Q473)</f>
        <v/>
      </c>
    </row>
    <row r="474" spans="3:17" x14ac:dyDescent="0.15">
      <c r="C474" s="37" t="str">
        <f>IF([3]道具信息!C474="","",[3]道具信息!C474)</f>
        <v/>
      </c>
      <c r="D474" s="37" t="str">
        <f>IF([3]道具信息!D474="","",[3]道具信息!D474)</f>
        <v/>
      </c>
      <c r="E474" s="37" t="str">
        <f>IF([3]道具信息!E474="","",[3]道具信息!E474)</f>
        <v/>
      </c>
      <c r="F474" s="37" t="str">
        <f>IF([3]道具信息!F474="","",[3]道具信息!F474)</f>
        <v/>
      </c>
      <c r="G474" s="37" t="str">
        <f>IF([3]道具信息!G474="","",[3]道具信息!G474)</f>
        <v/>
      </c>
      <c r="H474" s="37" t="str">
        <f>IF([3]道具信息!H474="","",[3]道具信息!H474)</f>
        <v/>
      </c>
      <c r="I474" s="37" t="str">
        <f>IF([3]道具信息!I474="","",[3]道具信息!I474)</f>
        <v/>
      </c>
      <c r="J474" s="37" t="str">
        <f>IF([3]道具信息!J474="","",[3]道具信息!J474)</f>
        <v/>
      </c>
      <c r="K474" s="37" t="str">
        <f>IF([3]道具信息!K474="","",[3]道具信息!K474)</f>
        <v/>
      </c>
      <c r="L474" s="37" t="str">
        <f>IF([3]道具信息!L474="","",[3]道具信息!L474)</f>
        <v/>
      </c>
      <c r="M474" s="37" t="str">
        <f>IF([3]道具信息!M474="","",[3]道具信息!M474)</f>
        <v/>
      </c>
      <c r="N474" s="37"/>
      <c r="O474" s="37" t="str">
        <f>IF([3]道具信息!O474="","",[3]道具信息!O474)</f>
        <v/>
      </c>
      <c r="P474" s="37" t="str">
        <f>IF([3]道具信息!P474="","",[3]道具信息!P474)</f>
        <v/>
      </c>
      <c r="Q474" s="37" t="str">
        <f>IF([3]道具信息!Q474="","",[3]道具信息!Q474)</f>
        <v/>
      </c>
    </row>
    <row r="475" spans="3:17" x14ac:dyDescent="0.15">
      <c r="C475" s="37" t="str">
        <f>IF([3]道具信息!C475="","",[3]道具信息!C475)</f>
        <v/>
      </c>
      <c r="D475" s="37" t="str">
        <f>IF([3]道具信息!D475="","",[3]道具信息!D475)</f>
        <v/>
      </c>
      <c r="E475" s="37" t="str">
        <f>IF([3]道具信息!E475="","",[3]道具信息!E475)</f>
        <v/>
      </c>
      <c r="F475" s="37" t="str">
        <f>IF([3]道具信息!F475="","",[3]道具信息!F475)</f>
        <v/>
      </c>
      <c r="G475" s="37" t="str">
        <f>IF([3]道具信息!G475="","",[3]道具信息!G475)</f>
        <v/>
      </c>
      <c r="H475" s="37" t="str">
        <f>IF([3]道具信息!H475="","",[3]道具信息!H475)</f>
        <v/>
      </c>
      <c r="I475" s="37" t="str">
        <f>IF([3]道具信息!I475="","",[3]道具信息!I475)</f>
        <v/>
      </c>
      <c r="J475" s="37" t="str">
        <f>IF([3]道具信息!J475="","",[3]道具信息!J475)</f>
        <v/>
      </c>
      <c r="K475" s="37" t="str">
        <f>IF([3]道具信息!K475="","",[3]道具信息!K475)</f>
        <v/>
      </c>
      <c r="L475" s="37" t="str">
        <f>IF([3]道具信息!L475="","",[3]道具信息!L475)</f>
        <v/>
      </c>
      <c r="M475" s="37" t="str">
        <f>IF([3]道具信息!M475="","",[3]道具信息!M475)</f>
        <v/>
      </c>
      <c r="N475" s="37"/>
      <c r="O475" s="37" t="str">
        <f>IF([3]道具信息!O475="","",[3]道具信息!O475)</f>
        <v/>
      </c>
      <c r="P475" s="37" t="str">
        <f>IF([3]道具信息!P475="","",[3]道具信息!P475)</f>
        <v/>
      </c>
      <c r="Q475" s="37" t="str">
        <f>IF([3]道具信息!Q475="","",[3]道具信息!Q475)</f>
        <v/>
      </c>
    </row>
    <row r="476" spans="3:17" x14ac:dyDescent="0.15">
      <c r="C476" s="37" t="str">
        <f>IF([3]道具信息!C476="","",[3]道具信息!C476)</f>
        <v/>
      </c>
      <c r="D476" s="37" t="str">
        <f>IF([3]道具信息!D476="","",[3]道具信息!D476)</f>
        <v/>
      </c>
      <c r="E476" s="37" t="str">
        <f>IF([3]道具信息!E476="","",[3]道具信息!E476)</f>
        <v/>
      </c>
      <c r="F476" s="37" t="str">
        <f>IF([3]道具信息!F476="","",[3]道具信息!F476)</f>
        <v/>
      </c>
      <c r="G476" s="37" t="str">
        <f>IF([3]道具信息!G476="","",[3]道具信息!G476)</f>
        <v/>
      </c>
      <c r="H476" s="37" t="str">
        <f>IF([3]道具信息!H476="","",[3]道具信息!H476)</f>
        <v/>
      </c>
      <c r="I476" s="37" t="str">
        <f>IF([3]道具信息!I476="","",[3]道具信息!I476)</f>
        <v/>
      </c>
      <c r="J476" s="37" t="str">
        <f>IF([3]道具信息!J476="","",[3]道具信息!J476)</f>
        <v/>
      </c>
      <c r="K476" s="37" t="str">
        <f>IF([3]道具信息!K476="","",[3]道具信息!K476)</f>
        <v/>
      </c>
      <c r="L476" s="37" t="str">
        <f>IF([3]道具信息!L476="","",[3]道具信息!L476)</f>
        <v/>
      </c>
      <c r="M476" s="37" t="str">
        <f>IF([3]道具信息!M476="","",[3]道具信息!M476)</f>
        <v/>
      </c>
      <c r="N476" s="37"/>
      <c r="O476" s="37" t="str">
        <f>IF([3]道具信息!O476="","",[3]道具信息!O476)</f>
        <v/>
      </c>
      <c r="P476" s="37" t="str">
        <f>IF([3]道具信息!P476="","",[3]道具信息!P476)</f>
        <v/>
      </c>
      <c r="Q476" s="37" t="str">
        <f>IF([3]道具信息!Q476="","",[3]道具信息!Q476)</f>
        <v/>
      </c>
    </row>
    <row r="477" spans="3:17" x14ac:dyDescent="0.15">
      <c r="C477" s="37" t="str">
        <f>IF([3]道具信息!C477="","",[3]道具信息!C477)</f>
        <v/>
      </c>
      <c r="D477" s="37" t="str">
        <f>IF([3]道具信息!D477="","",[3]道具信息!D477)</f>
        <v/>
      </c>
      <c r="E477" s="37" t="str">
        <f>IF([3]道具信息!E477="","",[3]道具信息!E477)</f>
        <v/>
      </c>
      <c r="F477" s="37" t="str">
        <f>IF([3]道具信息!F477="","",[3]道具信息!F477)</f>
        <v/>
      </c>
      <c r="G477" s="37" t="str">
        <f>IF([3]道具信息!G477="","",[3]道具信息!G477)</f>
        <v/>
      </c>
      <c r="H477" s="37" t="str">
        <f>IF([3]道具信息!H477="","",[3]道具信息!H477)</f>
        <v/>
      </c>
      <c r="I477" s="37" t="str">
        <f>IF([3]道具信息!I477="","",[3]道具信息!I477)</f>
        <v/>
      </c>
      <c r="J477" s="37" t="str">
        <f>IF([3]道具信息!J477="","",[3]道具信息!J477)</f>
        <v/>
      </c>
      <c r="K477" s="37" t="str">
        <f>IF([3]道具信息!K477="","",[3]道具信息!K477)</f>
        <v/>
      </c>
      <c r="L477" s="37" t="str">
        <f>IF([3]道具信息!L477="","",[3]道具信息!L477)</f>
        <v/>
      </c>
      <c r="M477" s="37" t="str">
        <f>IF([3]道具信息!M477="","",[3]道具信息!M477)</f>
        <v/>
      </c>
      <c r="N477" s="37"/>
      <c r="O477" s="37" t="str">
        <f>IF([3]道具信息!O477="","",[3]道具信息!O477)</f>
        <v/>
      </c>
      <c r="P477" s="37" t="str">
        <f>IF([3]道具信息!P477="","",[3]道具信息!P477)</f>
        <v/>
      </c>
      <c r="Q477" s="37" t="str">
        <f>IF([3]道具信息!Q477="","",[3]道具信息!Q477)</f>
        <v/>
      </c>
    </row>
    <row r="478" spans="3:17" x14ac:dyDescent="0.15">
      <c r="C478" s="37" t="str">
        <f>IF([3]道具信息!C478="","",[3]道具信息!C478)</f>
        <v/>
      </c>
      <c r="D478" s="37" t="str">
        <f>IF([3]道具信息!D478="","",[3]道具信息!D478)</f>
        <v/>
      </c>
      <c r="E478" s="37" t="str">
        <f>IF([3]道具信息!E478="","",[3]道具信息!E478)</f>
        <v/>
      </c>
      <c r="F478" s="37" t="str">
        <f>IF([3]道具信息!F478="","",[3]道具信息!F478)</f>
        <v/>
      </c>
      <c r="G478" s="37" t="str">
        <f>IF([3]道具信息!G478="","",[3]道具信息!G478)</f>
        <v/>
      </c>
      <c r="H478" s="37" t="str">
        <f>IF([3]道具信息!H478="","",[3]道具信息!H478)</f>
        <v/>
      </c>
      <c r="I478" s="37" t="str">
        <f>IF([3]道具信息!I478="","",[3]道具信息!I478)</f>
        <v/>
      </c>
      <c r="J478" s="37" t="str">
        <f>IF([3]道具信息!J478="","",[3]道具信息!J478)</f>
        <v/>
      </c>
      <c r="K478" s="37" t="str">
        <f>IF([3]道具信息!K478="","",[3]道具信息!K478)</f>
        <v/>
      </c>
      <c r="L478" s="37" t="str">
        <f>IF([3]道具信息!L478="","",[3]道具信息!L478)</f>
        <v/>
      </c>
      <c r="M478" s="37" t="str">
        <f>IF([3]道具信息!M478="","",[3]道具信息!M478)</f>
        <v/>
      </c>
      <c r="N478" s="37"/>
      <c r="O478" s="37" t="str">
        <f>IF([3]道具信息!O478="","",[3]道具信息!O478)</f>
        <v/>
      </c>
      <c r="P478" s="37" t="str">
        <f>IF([3]道具信息!P478="","",[3]道具信息!P478)</f>
        <v/>
      </c>
      <c r="Q478" s="37" t="str">
        <f>IF([3]道具信息!Q478="","",[3]道具信息!Q478)</f>
        <v/>
      </c>
    </row>
    <row r="479" spans="3:17" x14ac:dyDescent="0.15">
      <c r="C479" s="37" t="str">
        <f>IF([3]道具信息!C479="","",[3]道具信息!C479)</f>
        <v/>
      </c>
      <c r="D479" s="37" t="str">
        <f>IF([3]道具信息!D479="","",[3]道具信息!D479)</f>
        <v/>
      </c>
      <c r="E479" s="37" t="str">
        <f>IF([3]道具信息!E479="","",[3]道具信息!E479)</f>
        <v/>
      </c>
      <c r="F479" s="37" t="str">
        <f>IF([3]道具信息!F479="","",[3]道具信息!F479)</f>
        <v/>
      </c>
      <c r="G479" s="37" t="str">
        <f>IF([3]道具信息!G479="","",[3]道具信息!G479)</f>
        <v/>
      </c>
      <c r="H479" s="37" t="str">
        <f>IF([3]道具信息!H479="","",[3]道具信息!H479)</f>
        <v/>
      </c>
      <c r="I479" s="37" t="str">
        <f>IF([3]道具信息!I479="","",[3]道具信息!I479)</f>
        <v/>
      </c>
      <c r="J479" s="37" t="str">
        <f>IF([3]道具信息!J479="","",[3]道具信息!J479)</f>
        <v/>
      </c>
      <c r="K479" s="37" t="str">
        <f>IF([3]道具信息!K479="","",[3]道具信息!K479)</f>
        <v/>
      </c>
      <c r="L479" s="37" t="str">
        <f>IF([3]道具信息!L479="","",[3]道具信息!L479)</f>
        <v/>
      </c>
      <c r="M479" s="37" t="str">
        <f>IF([3]道具信息!M479="","",[3]道具信息!M479)</f>
        <v/>
      </c>
      <c r="N479" s="37"/>
      <c r="O479" s="37" t="str">
        <f>IF([3]道具信息!O479="","",[3]道具信息!O479)</f>
        <v/>
      </c>
      <c r="P479" s="37" t="str">
        <f>IF([3]道具信息!P479="","",[3]道具信息!P479)</f>
        <v/>
      </c>
      <c r="Q479" s="37" t="str">
        <f>IF([3]道具信息!Q479="","",[3]道具信息!Q479)</f>
        <v/>
      </c>
    </row>
    <row r="480" spans="3:17" x14ac:dyDescent="0.15">
      <c r="C480" s="37" t="str">
        <f>IF([3]道具信息!C480="","",[3]道具信息!C480)</f>
        <v/>
      </c>
      <c r="D480" s="37" t="str">
        <f>IF([3]道具信息!D480="","",[3]道具信息!D480)</f>
        <v/>
      </c>
      <c r="E480" s="37" t="str">
        <f>IF([3]道具信息!E480="","",[3]道具信息!E480)</f>
        <v/>
      </c>
      <c r="F480" s="37" t="str">
        <f>IF([3]道具信息!F480="","",[3]道具信息!F480)</f>
        <v/>
      </c>
      <c r="G480" s="37" t="str">
        <f>IF([3]道具信息!G480="","",[3]道具信息!G480)</f>
        <v/>
      </c>
      <c r="H480" s="37" t="str">
        <f>IF([3]道具信息!H480="","",[3]道具信息!H480)</f>
        <v/>
      </c>
      <c r="I480" s="37" t="str">
        <f>IF([3]道具信息!I480="","",[3]道具信息!I480)</f>
        <v/>
      </c>
      <c r="J480" s="37" t="str">
        <f>IF([3]道具信息!J480="","",[3]道具信息!J480)</f>
        <v/>
      </c>
      <c r="K480" s="37" t="str">
        <f>IF([3]道具信息!K480="","",[3]道具信息!K480)</f>
        <v/>
      </c>
      <c r="L480" s="37" t="str">
        <f>IF([3]道具信息!L480="","",[3]道具信息!L480)</f>
        <v/>
      </c>
      <c r="M480" s="37" t="str">
        <f>IF([3]道具信息!M480="","",[3]道具信息!M480)</f>
        <v/>
      </c>
      <c r="N480" s="37"/>
      <c r="O480" s="37" t="str">
        <f>IF([3]道具信息!O480="","",[3]道具信息!O480)</f>
        <v/>
      </c>
      <c r="P480" s="37" t="str">
        <f>IF([3]道具信息!P480="","",[3]道具信息!P480)</f>
        <v/>
      </c>
      <c r="Q480" s="37" t="str">
        <f>IF([3]道具信息!Q480="","",[3]道具信息!Q480)</f>
        <v/>
      </c>
    </row>
    <row r="481" spans="3:17" x14ac:dyDescent="0.15">
      <c r="C481" s="37" t="str">
        <f>IF([3]道具信息!C481="","",[3]道具信息!C481)</f>
        <v/>
      </c>
      <c r="D481" s="37" t="str">
        <f>IF([3]道具信息!D481="","",[3]道具信息!D481)</f>
        <v/>
      </c>
      <c r="E481" s="37" t="str">
        <f>IF([3]道具信息!E481="","",[3]道具信息!E481)</f>
        <v/>
      </c>
      <c r="F481" s="37" t="str">
        <f>IF([3]道具信息!F481="","",[3]道具信息!F481)</f>
        <v/>
      </c>
      <c r="G481" s="37" t="str">
        <f>IF([3]道具信息!G481="","",[3]道具信息!G481)</f>
        <v/>
      </c>
      <c r="H481" s="37" t="str">
        <f>IF([3]道具信息!H481="","",[3]道具信息!H481)</f>
        <v/>
      </c>
      <c r="I481" s="37" t="str">
        <f>IF([3]道具信息!I481="","",[3]道具信息!I481)</f>
        <v/>
      </c>
      <c r="J481" s="37" t="str">
        <f>IF([3]道具信息!J481="","",[3]道具信息!J481)</f>
        <v/>
      </c>
      <c r="K481" s="37" t="str">
        <f>IF([3]道具信息!K481="","",[3]道具信息!K481)</f>
        <v/>
      </c>
      <c r="L481" s="37" t="str">
        <f>IF([3]道具信息!L481="","",[3]道具信息!L481)</f>
        <v/>
      </c>
      <c r="M481" s="37" t="str">
        <f>IF([3]道具信息!M481="","",[3]道具信息!M481)</f>
        <v/>
      </c>
      <c r="N481" s="37"/>
      <c r="O481" s="37" t="str">
        <f>IF([3]道具信息!O481="","",[3]道具信息!O481)</f>
        <v/>
      </c>
      <c r="P481" s="37" t="str">
        <f>IF([3]道具信息!P481="","",[3]道具信息!P481)</f>
        <v/>
      </c>
      <c r="Q481" s="37" t="str">
        <f>IF([3]道具信息!Q481="","",[3]道具信息!Q481)</f>
        <v/>
      </c>
    </row>
    <row r="482" spans="3:17" x14ac:dyDescent="0.15">
      <c r="C482" s="37" t="str">
        <f>IF([3]道具信息!C482="","",[3]道具信息!C482)</f>
        <v/>
      </c>
      <c r="D482" s="37" t="str">
        <f>IF([3]道具信息!D482="","",[3]道具信息!D482)</f>
        <v/>
      </c>
      <c r="E482" s="37" t="str">
        <f>IF([3]道具信息!E482="","",[3]道具信息!E482)</f>
        <v/>
      </c>
      <c r="F482" s="37" t="str">
        <f>IF([3]道具信息!F482="","",[3]道具信息!F482)</f>
        <v/>
      </c>
      <c r="G482" s="37" t="str">
        <f>IF([3]道具信息!G482="","",[3]道具信息!G482)</f>
        <v/>
      </c>
      <c r="H482" s="37" t="str">
        <f>IF([3]道具信息!H482="","",[3]道具信息!H482)</f>
        <v/>
      </c>
      <c r="I482" s="37" t="str">
        <f>IF([3]道具信息!I482="","",[3]道具信息!I482)</f>
        <v/>
      </c>
      <c r="J482" s="37" t="str">
        <f>IF([3]道具信息!J482="","",[3]道具信息!J482)</f>
        <v/>
      </c>
      <c r="K482" s="37" t="str">
        <f>IF([3]道具信息!K482="","",[3]道具信息!K482)</f>
        <v/>
      </c>
      <c r="L482" s="37" t="str">
        <f>IF([3]道具信息!L482="","",[3]道具信息!L482)</f>
        <v/>
      </c>
      <c r="M482" s="37" t="str">
        <f>IF([3]道具信息!M482="","",[3]道具信息!M482)</f>
        <v/>
      </c>
      <c r="N482" s="37"/>
      <c r="O482" s="37" t="str">
        <f>IF([3]道具信息!O482="","",[3]道具信息!O482)</f>
        <v/>
      </c>
      <c r="P482" s="37" t="str">
        <f>IF([3]道具信息!P482="","",[3]道具信息!P482)</f>
        <v/>
      </c>
      <c r="Q482" s="37" t="str">
        <f>IF([3]道具信息!Q482="","",[3]道具信息!Q482)</f>
        <v/>
      </c>
    </row>
    <row r="483" spans="3:17" x14ac:dyDescent="0.15">
      <c r="C483" s="37" t="str">
        <f>IF([3]道具信息!C483="","",[3]道具信息!C483)</f>
        <v/>
      </c>
      <c r="D483" s="37" t="str">
        <f>IF([3]道具信息!D483="","",[3]道具信息!D483)</f>
        <v/>
      </c>
      <c r="E483" s="37" t="str">
        <f>IF([3]道具信息!E483="","",[3]道具信息!E483)</f>
        <v/>
      </c>
      <c r="F483" s="37" t="str">
        <f>IF([3]道具信息!F483="","",[3]道具信息!F483)</f>
        <v/>
      </c>
      <c r="G483" s="37" t="str">
        <f>IF([3]道具信息!G483="","",[3]道具信息!G483)</f>
        <v/>
      </c>
      <c r="H483" s="37" t="str">
        <f>IF([3]道具信息!H483="","",[3]道具信息!H483)</f>
        <v/>
      </c>
      <c r="I483" s="37" t="str">
        <f>IF([3]道具信息!I483="","",[3]道具信息!I483)</f>
        <v/>
      </c>
      <c r="J483" s="37" t="str">
        <f>IF([3]道具信息!J483="","",[3]道具信息!J483)</f>
        <v/>
      </c>
      <c r="K483" s="37" t="str">
        <f>IF([3]道具信息!K483="","",[3]道具信息!K483)</f>
        <v/>
      </c>
      <c r="L483" s="37" t="str">
        <f>IF([3]道具信息!L483="","",[3]道具信息!L483)</f>
        <v/>
      </c>
      <c r="M483" s="37" t="str">
        <f>IF([3]道具信息!M483="","",[3]道具信息!M483)</f>
        <v/>
      </c>
      <c r="N483" s="37"/>
      <c r="O483" s="37" t="str">
        <f>IF([3]道具信息!O483="","",[3]道具信息!O483)</f>
        <v/>
      </c>
      <c r="P483" s="37" t="str">
        <f>IF([3]道具信息!P483="","",[3]道具信息!P483)</f>
        <v/>
      </c>
      <c r="Q483" s="37" t="str">
        <f>IF([3]道具信息!Q483="","",[3]道具信息!Q483)</f>
        <v/>
      </c>
    </row>
    <row r="484" spans="3:17" x14ac:dyDescent="0.15">
      <c r="C484" s="37" t="str">
        <f>IF([3]道具信息!C484="","",[3]道具信息!C484)</f>
        <v/>
      </c>
      <c r="D484" s="37" t="str">
        <f>IF([3]道具信息!D484="","",[3]道具信息!D484)</f>
        <v/>
      </c>
      <c r="E484" s="37" t="str">
        <f>IF([3]道具信息!E484="","",[3]道具信息!E484)</f>
        <v/>
      </c>
      <c r="F484" s="37" t="str">
        <f>IF([3]道具信息!F484="","",[3]道具信息!F484)</f>
        <v/>
      </c>
      <c r="G484" s="37" t="str">
        <f>IF([3]道具信息!G484="","",[3]道具信息!G484)</f>
        <v/>
      </c>
      <c r="H484" s="37" t="str">
        <f>IF([3]道具信息!H484="","",[3]道具信息!H484)</f>
        <v/>
      </c>
      <c r="I484" s="37" t="str">
        <f>IF([3]道具信息!I484="","",[3]道具信息!I484)</f>
        <v/>
      </c>
      <c r="J484" s="37" t="str">
        <f>IF([3]道具信息!J484="","",[3]道具信息!J484)</f>
        <v/>
      </c>
      <c r="K484" s="37" t="str">
        <f>IF([3]道具信息!K484="","",[3]道具信息!K484)</f>
        <v/>
      </c>
      <c r="L484" s="37" t="str">
        <f>IF([3]道具信息!L484="","",[3]道具信息!L484)</f>
        <v/>
      </c>
      <c r="M484" s="37" t="str">
        <f>IF([3]道具信息!M484="","",[3]道具信息!M484)</f>
        <v/>
      </c>
      <c r="N484" s="37"/>
      <c r="O484" s="37" t="str">
        <f>IF([3]道具信息!O484="","",[3]道具信息!O484)</f>
        <v/>
      </c>
      <c r="P484" s="37" t="str">
        <f>IF([3]道具信息!P484="","",[3]道具信息!P484)</f>
        <v/>
      </c>
      <c r="Q484" s="37" t="str">
        <f>IF([3]道具信息!Q484="","",[3]道具信息!Q484)</f>
        <v/>
      </c>
    </row>
    <row r="485" spans="3:17" x14ac:dyDescent="0.15">
      <c r="C485" s="37" t="str">
        <f>IF([3]道具信息!C485="","",[3]道具信息!C485)</f>
        <v/>
      </c>
      <c r="D485" s="37" t="str">
        <f>IF([3]道具信息!D485="","",[3]道具信息!D485)</f>
        <v/>
      </c>
      <c r="E485" s="37" t="str">
        <f>IF([3]道具信息!E485="","",[3]道具信息!E485)</f>
        <v/>
      </c>
      <c r="F485" s="37" t="str">
        <f>IF([3]道具信息!F485="","",[3]道具信息!F485)</f>
        <v/>
      </c>
      <c r="G485" s="37" t="str">
        <f>IF([3]道具信息!G485="","",[3]道具信息!G485)</f>
        <v/>
      </c>
      <c r="H485" s="37" t="str">
        <f>IF([3]道具信息!H485="","",[3]道具信息!H485)</f>
        <v/>
      </c>
      <c r="I485" s="37" t="str">
        <f>IF([3]道具信息!I485="","",[3]道具信息!I485)</f>
        <v/>
      </c>
      <c r="J485" s="37" t="str">
        <f>IF([3]道具信息!J485="","",[3]道具信息!J485)</f>
        <v/>
      </c>
      <c r="K485" s="37" t="str">
        <f>IF([3]道具信息!K485="","",[3]道具信息!K485)</f>
        <v/>
      </c>
      <c r="L485" s="37" t="str">
        <f>IF([3]道具信息!L485="","",[3]道具信息!L485)</f>
        <v/>
      </c>
      <c r="M485" s="37" t="str">
        <f>IF([3]道具信息!M485="","",[3]道具信息!M485)</f>
        <v/>
      </c>
      <c r="N485" s="37"/>
      <c r="O485" s="37" t="str">
        <f>IF([3]道具信息!O485="","",[3]道具信息!O485)</f>
        <v/>
      </c>
      <c r="P485" s="37" t="str">
        <f>IF([3]道具信息!P485="","",[3]道具信息!P485)</f>
        <v/>
      </c>
      <c r="Q485" s="37" t="str">
        <f>IF([3]道具信息!Q485="","",[3]道具信息!Q485)</f>
        <v/>
      </c>
    </row>
    <row r="486" spans="3:17" x14ac:dyDescent="0.15">
      <c r="C486" s="37" t="str">
        <f>IF([3]道具信息!C486="","",[3]道具信息!C486)</f>
        <v/>
      </c>
      <c r="D486" s="37" t="str">
        <f>IF([3]道具信息!D486="","",[3]道具信息!D486)</f>
        <v/>
      </c>
      <c r="E486" s="37" t="str">
        <f>IF([3]道具信息!E486="","",[3]道具信息!E486)</f>
        <v/>
      </c>
      <c r="F486" s="37" t="str">
        <f>IF([3]道具信息!F486="","",[3]道具信息!F486)</f>
        <v/>
      </c>
      <c r="G486" s="37" t="str">
        <f>IF([3]道具信息!G486="","",[3]道具信息!G486)</f>
        <v/>
      </c>
      <c r="H486" s="37" t="str">
        <f>IF([3]道具信息!H486="","",[3]道具信息!H486)</f>
        <v/>
      </c>
      <c r="I486" s="37" t="str">
        <f>IF([3]道具信息!I486="","",[3]道具信息!I486)</f>
        <v/>
      </c>
      <c r="J486" s="37" t="str">
        <f>IF([3]道具信息!J486="","",[3]道具信息!J486)</f>
        <v/>
      </c>
      <c r="K486" s="37" t="str">
        <f>IF([3]道具信息!K486="","",[3]道具信息!K486)</f>
        <v/>
      </c>
      <c r="L486" s="37" t="str">
        <f>IF([3]道具信息!L486="","",[3]道具信息!L486)</f>
        <v/>
      </c>
      <c r="M486" s="37" t="str">
        <f>IF([3]道具信息!M486="","",[3]道具信息!M486)</f>
        <v/>
      </c>
      <c r="N486" s="37"/>
      <c r="O486" s="37" t="str">
        <f>IF([3]道具信息!O486="","",[3]道具信息!O486)</f>
        <v/>
      </c>
      <c r="P486" s="37" t="str">
        <f>IF([3]道具信息!P486="","",[3]道具信息!P486)</f>
        <v/>
      </c>
      <c r="Q486" s="37" t="str">
        <f>IF([3]道具信息!Q486="","",[3]道具信息!Q486)</f>
        <v/>
      </c>
    </row>
    <row r="487" spans="3:17" x14ac:dyDescent="0.15">
      <c r="C487" s="37" t="str">
        <f>IF([3]道具信息!C487="","",[3]道具信息!C487)</f>
        <v/>
      </c>
      <c r="D487" s="37" t="str">
        <f>IF([3]道具信息!D487="","",[3]道具信息!D487)</f>
        <v/>
      </c>
      <c r="E487" s="37" t="str">
        <f>IF([3]道具信息!E487="","",[3]道具信息!E487)</f>
        <v/>
      </c>
      <c r="F487" s="37" t="str">
        <f>IF([3]道具信息!F487="","",[3]道具信息!F487)</f>
        <v/>
      </c>
      <c r="G487" s="37" t="str">
        <f>IF([3]道具信息!G487="","",[3]道具信息!G487)</f>
        <v/>
      </c>
      <c r="H487" s="37" t="str">
        <f>IF([3]道具信息!H487="","",[3]道具信息!H487)</f>
        <v/>
      </c>
      <c r="I487" s="37" t="str">
        <f>IF([3]道具信息!I487="","",[3]道具信息!I487)</f>
        <v/>
      </c>
      <c r="J487" s="37" t="str">
        <f>IF([3]道具信息!J487="","",[3]道具信息!J487)</f>
        <v/>
      </c>
      <c r="K487" s="37" t="str">
        <f>IF([3]道具信息!K487="","",[3]道具信息!K487)</f>
        <v/>
      </c>
      <c r="L487" s="37" t="str">
        <f>IF([3]道具信息!L487="","",[3]道具信息!L487)</f>
        <v/>
      </c>
      <c r="M487" s="37" t="str">
        <f>IF([3]道具信息!M487="","",[3]道具信息!M487)</f>
        <v/>
      </c>
      <c r="N487" s="37"/>
      <c r="O487" s="37" t="str">
        <f>IF([3]道具信息!O487="","",[3]道具信息!O487)</f>
        <v/>
      </c>
      <c r="P487" s="37" t="str">
        <f>IF([3]道具信息!P487="","",[3]道具信息!P487)</f>
        <v/>
      </c>
      <c r="Q487" s="37" t="str">
        <f>IF([3]道具信息!Q487="","",[3]道具信息!Q487)</f>
        <v/>
      </c>
    </row>
    <row r="488" spans="3:17" x14ac:dyDescent="0.15">
      <c r="C488" s="37" t="str">
        <f>IF([3]道具信息!C488="","",[3]道具信息!C488)</f>
        <v/>
      </c>
      <c r="D488" s="37" t="str">
        <f>IF([3]道具信息!D488="","",[3]道具信息!D488)</f>
        <v/>
      </c>
      <c r="E488" s="37" t="str">
        <f>IF([3]道具信息!E488="","",[3]道具信息!E488)</f>
        <v/>
      </c>
      <c r="F488" s="37" t="str">
        <f>IF([3]道具信息!F488="","",[3]道具信息!F488)</f>
        <v/>
      </c>
      <c r="G488" s="37" t="str">
        <f>IF([3]道具信息!G488="","",[3]道具信息!G488)</f>
        <v/>
      </c>
      <c r="H488" s="37" t="str">
        <f>IF([3]道具信息!H488="","",[3]道具信息!H488)</f>
        <v/>
      </c>
      <c r="I488" s="37" t="str">
        <f>IF([3]道具信息!I488="","",[3]道具信息!I488)</f>
        <v/>
      </c>
      <c r="J488" s="37" t="str">
        <f>IF([3]道具信息!J488="","",[3]道具信息!J488)</f>
        <v/>
      </c>
      <c r="K488" s="37" t="str">
        <f>IF([3]道具信息!K488="","",[3]道具信息!K488)</f>
        <v/>
      </c>
      <c r="L488" s="37" t="str">
        <f>IF([3]道具信息!L488="","",[3]道具信息!L488)</f>
        <v/>
      </c>
      <c r="M488" s="37" t="str">
        <f>IF([3]道具信息!M488="","",[3]道具信息!M488)</f>
        <v/>
      </c>
      <c r="N488" s="37"/>
      <c r="O488" s="37" t="str">
        <f>IF([3]道具信息!O488="","",[3]道具信息!O488)</f>
        <v/>
      </c>
      <c r="P488" s="37" t="str">
        <f>IF([3]道具信息!P488="","",[3]道具信息!P488)</f>
        <v/>
      </c>
      <c r="Q488" s="37" t="str">
        <f>IF([3]道具信息!Q488="","",[3]道具信息!Q488)</f>
        <v/>
      </c>
    </row>
    <row r="489" spans="3:17" x14ac:dyDescent="0.15">
      <c r="C489" s="37" t="str">
        <f>IF([3]道具信息!C489="","",[3]道具信息!C489)</f>
        <v/>
      </c>
      <c r="D489" s="37" t="str">
        <f>IF([3]道具信息!D489="","",[3]道具信息!D489)</f>
        <v/>
      </c>
      <c r="E489" s="37" t="str">
        <f>IF([3]道具信息!E489="","",[3]道具信息!E489)</f>
        <v/>
      </c>
      <c r="F489" s="37" t="str">
        <f>IF([3]道具信息!F489="","",[3]道具信息!F489)</f>
        <v/>
      </c>
      <c r="G489" s="37" t="str">
        <f>IF([3]道具信息!G489="","",[3]道具信息!G489)</f>
        <v/>
      </c>
      <c r="H489" s="37" t="str">
        <f>IF([3]道具信息!H489="","",[3]道具信息!H489)</f>
        <v/>
      </c>
      <c r="I489" s="37" t="str">
        <f>IF([3]道具信息!I489="","",[3]道具信息!I489)</f>
        <v/>
      </c>
      <c r="J489" s="37" t="str">
        <f>IF([3]道具信息!J489="","",[3]道具信息!J489)</f>
        <v/>
      </c>
      <c r="K489" s="37" t="str">
        <f>IF([3]道具信息!K489="","",[3]道具信息!K489)</f>
        <v/>
      </c>
      <c r="L489" s="37" t="str">
        <f>IF([3]道具信息!L489="","",[3]道具信息!L489)</f>
        <v/>
      </c>
      <c r="M489" s="37" t="str">
        <f>IF([3]道具信息!M489="","",[3]道具信息!M489)</f>
        <v/>
      </c>
      <c r="N489" s="37"/>
      <c r="O489" s="37" t="str">
        <f>IF([3]道具信息!O489="","",[3]道具信息!O489)</f>
        <v/>
      </c>
      <c r="P489" s="37" t="str">
        <f>IF([3]道具信息!P489="","",[3]道具信息!P489)</f>
        <v/>
      </c>
      <c r="Q489" s="37" t="str">
        <f>IF([3]道具信息!Q489="","",[3]道具信息!Q489)</f>
        <v/>
      </c>
    </row>
    <row r="490" spans="3:17" x14ac:dyDescent="0.15">
      <c r="C490" s="37" t="str">
        <f>IF([3]道具信息!C490="","",[3]道具信息!C490)</f>
        <v/>
      </c>
      <c r="D490" s="37" t="str">
        <f>IF([3]道具信息!D490="","",[3]道具信息!D490)</f>
        <v/>
      </c>
      <c r="E490" s="37" t="str">
        <f>IF([3]道具信息!E490="","",[3]道具信息!E490)</f>
        <v/>
      </c>
      <c r="F490" s="37" t="str">
        <f>IF([3]道具信息!F490="","",[3]道具信息!F490)</f>
        <v/>
      </c>
      <c r="G490" s="37" t="str">
        <f>IF([3]道具信息!G490="","",[3]道具信息!G490)</f>
        <v/>
      </c>
      <c r="H490" s="37" t="str">
        <f>IF([3]道具信息!H490="","",[3]道具信息!H490)</f>
        <v/>
      </c>
      <c r="I490" s="37" t="str">
        <f>IF([3]道具信息!I490="","",[3]道具信息!I490)</f>
        <v/>
      </c>
      <c r="J490" s="37" t="str">
        <f>IF([3]道具信息!J490="","",[3]道具信息!J490)</f>
        <v/>
      </c>
      <c r="K490" s="37" t="str">
        <f>IF([3]道具信息!K490="","",[3]道具信息!K490)</f>
        <v/>
      </c>
      <c r="L490" s="37" t="str">
        <f>IF([3]道具信息!L490="","",[3]道具信息!L490)</f>
        <v/>
      </c>
      <c r="M490" s="37" t="str">
        <f>IF([3]道具信息!M490="","",[3]道具信息!M490)</f>
        <v/>
      </c>
      <c r="N490" s="37"/>
      <c r="O490" s="37" t="str">
        <f>IF([3]道具信息!O490="","",[3]道具信息!O490)</f>
        <v/>
      </c>
      <c r="P490" s="37" t="str">
        <f>IF([3]道具信息!P490="","",[3]道具信息!P490)</f>
        <v/>
      </c>
      <c r="Q490" s="37" t="str">
        <f>IF([3]道具信息!Q490="","",[3]道具信息!Q490)</f>
        <v/>
      </c>
    </row>
    <row r="491" spans="3:17" x14ac:dyDescent="0.15">
      <c r="C491" s="37" t="str">
        <f>IF([3]道具信息!C491="","",[3]道具信息!C491)</f>
        <v/>
      </c>
      <c r="D491" s="37" t="str">
        <f>IF([3]道具信息!D491="","",[3]道具信息!D491)</f>
        <v/>
      </c>
      <c r="E491" s="37" t="str">
        <f>IF([3]道具信息!E491="","",[3]道具信息!E491)</f>
        <v/>
      </c>
      <c r="F491" s="37" t="str">
        <f>IF([3]道具信息!F491="","",[3]道具信息!F491)</f>
        <v/>
      </c>
      <c r="G491" s="37" t="str">
        <f>IF([3]道具信息!G491="","",[3]道具信息!G491)</f>
        <v/>
      </c>
      <c r="H491" s="37" t="str">
        <f>IF([3]道具信息!H491="","",[3]道具信息!H491)</f>
        <v/>
      </c>
      <c r="I491" s="37" t="str">
        <f>IF([3]道具信息!I491="","",[3]道具信息!I491)</f>
        <v/>
      </c>
      <c r="J491" s="37" t="str">
        <f>IF([3]道具信息!J491="","",[3]道具信息!J491)</f>
        <v/>
      </c>
      <c r="K491" s="37" t="str">
        <f>IF([3]道具信息!K491="","",[3]道具信息!K491)</f>
        <v/>
      </c>
      <c r="L491" s="37" t="str">
        <f>IF([3]道具信息!L491="","",[3]道具信息!L491)</f>
        <v/>
      </c>
      <c r="M491" s="37" t="str">
        <f>IF([3]道具信息!M491="","",[3]道具信息!M491)</f>
        <v/>
      </c>
      <c r="N491" s="37"/>
      <c r="O491" s="37" t="str">
        <f>IF([3]道具信息!O491="","",[3]道具信息!O491)</f>
        <v/>
      </c>
      <c r="P491" s="37" t="str">
        <f>IF([3]道具信息!P491="","",[3]道具信息!P491)</f>
        <v/>
      </c>
      <c r="Q491" s="37" t="str">
        <f>IF([3]道具信息!Q491="","",[3]道具信息!Q491)</f>
        <v/>
      </c>
    </row>
    <row r="492" spans="3:17" x14ac:dyDescent="0.15">
      <c r="C492" s="37" t="str">
        <f>IF([3]道具信息!C492="","",[3]道具信息!C492)</f>
        <v/>
      </c>
      <c r="D492" s="37" t="str">
        <f>IF([3]道具信息!D492="","",[3]道具信息!D492)</f>
        <v/>
      </c>
      <c r="E492" s="37" t="str">
        <f>IF([3]道具信息!E492="","",[3]道具信息!E492)</f>
        <v/>
      </c>
      <c r="F492" s="37" t="str">
        <f>IF([3]道具信息!F492="","",[3]道具信息!F492)</f>
        <v/>
      </c>
      <c r="G492" s="37" t="str">
        <f>IF([3]道具信息!G492="","",[3]道具信息!G492)</f>
        <v/>
      </c>
      <c r="H492" s="37" t="str">
        <f>IF([3]道具信息!H492="","",[3]道具信息!H492)</f>
        <v/>
      </c>
      <c r="I492" s="37" t="str">
        <f>IF([3]道具信息!I492="","",[3]道具信息!I492)</f>
        <v/>
      </c>
      <c r="J492" s="37" t="str">
        <f>IF([3]道具信息!J492="","",[3]道具信息!J492)</f>
        <v/>
      </c>
      <c r="K492" s="37" t="str">
        <f>IF([3]道具信息!K492="","",[3]道具信息!K492)</f>
        <v/>
      </c>
      <c r="L492" s="37" t="str">
        <f>IF([3]道具信息!L492="","",[3]道具信息!L492)</f>
        <v/>
      </c>
      <c r="M492" s="37" t="str">
        <f>IF([3]道具信息!M492="","",[3]道具信息!M492)</f>
        <v/>
      </c>
      <c r="N492" s="37"/>
      <c r="O492" s="37" t="str">
        <f>IF([3]道具信息!O492="","",[3]道具信息!O492)</f>
        <v/>
      </c>
      <c r="P492" s="37" t="str">
        <f>IF([3]道具信息!P492="","",[3]道具信息!P492)</f>
        <v/>
      </c>
      <c r="Q492" s="37" t="str">
        <f>IF([3]道具信息!Q492="","",[3]道具信息!Q492)</f>
        <v/>
      </c>
    </row>
    <row r="493" spans="3:17" x14ac:dyDescent="0.15">
      <c r="C493" s="37" t="str">
        <f>IF([3]道具信息!C493="","",[3]道具信息!C493)</f>
        <v/>
      </c>
      <c r="D493" s="37" t="str">
        <f>IF([3]道具信息!D493="","",[3]道具信息!D493)</f>
        <v/>
      </c>
      <c r="E493" s="37" t="str">
        <f>IF([3]道具信息!E493="","",[3]道具信息!E493)</f>
        <v/>
      </c>
      <c r="F493" s="37" t="str">
        <f>IF([3]道具信息!F493="","",[3]道具信息!F493)</f>
        <v/>
      </c>
      <c r="G493" s="37" t="str">
        <f>IF([3]道具信息!G493="","",[3]道具信息!G493)</f>
        <v/>
      </c>
      <c r="H493" s="37" t="str">
        <f>IF([3]道具信息!H493="","",[3]道具信息!H493)</f>
        <v/>
      </c>
      <c r="I493" s="37" t="str">
        <f>IF([3]道具信息!I493="","",[3]道具信息!I493)</f>
        <v/>
      </c>
      <c r="J493" s="37" t="str">
        <f>IF([3]道具信息!J493="","",[3]道具信息!J493)</f>
        <v/>
      </c>
      <c r="K493" s="37" t="str">
        <f>IF([3]道具信息!K493="","",[3]道具信息!K493)</f>
        <v/>
      </c>
      <c r="L493" s="37" t="str">
        <f>IF([3]道具信息!L493="","",[3]道具信息!L493)</f>
        <v/>
      </c>
      <c r="M493" s="37" t="str">
        <f>IF([3]道具信息!M493="","",[3]道具信息!M493)</f>
        <v/>
      </c>
      <c r="N493" s="37"/>
      <c r="O493" s="37" t="str">
        <f>IF([3]道具信息!O493="","",[3]道具信息!O493)</f>
        <v/>
      </c>
      <c r="P493" s="37" t="str">
        <f>IF([3]道具信息!P493="","",[3]道具信息!P493)</f>
        <v/>
      </c>
      <c r="Q493" s="37" t="str">
        <f>IF([3]道具信息!Q493="","",[3]道具信息!Q493)</f>
        <v/>
      </c>
    </row>
    <row r="494" spans="3:17" x14ac:dyDescent="0.15">
      <c r="C494" s="37" t="str">
        <f>IF([3]道具信息!C494="","",[3]道具信息!C494)</f>
        <v/>
      </c>
      <c r="D494" s="37" t="str">
        <f>IF([3]道具信息!D494="","",[3]道具信息!D494)</f>
        <v/>
      </c>
      <c r="E494" s="37" t="str">
        <f>IF([3]道具信息!E494="","",[3]道具信息!E494)</f>
        <v/>
      </c>
      <c r="F494" s="37" t="str">
        <f>IF([3]道具信息!F494="","",[3]道具信息!F494)</f>
        <v/>
      </c>
      <c r="G494" s="37" t="str">
        <f>IF([3]道具信息!G494="","",[3]道具信息!G494)</f>
        <v/>
      </c>
      <c r="H494" s="37" t="str">
        <f>IF([3]道具信息!H494="","",[3]道具信息!H494)</f>
        <v/>
      </c>
      <c r="I494" s="37" t="str">
        <f>IF([3]道具信息!I494="","",[3]道具信息!I494)</f>
        <v/>
      </c>
      <c r="J494" s="37" t="str">
        <f>IF([3]道具信息!J494="","",[3]道具信息!J494)</f>
        <v/>
      </c>
      <c r="K494" s="37" t="str">
        <f>IF([3]道具信息!K494="","",[3]道具信息!K494)</f>
        <v/>
      </c>
      <c r="L494" s="37" t="str">
        <f>IF([3]道具信息!L494="","",[3]道具信息!L494)</f>
        <v/>
      </c>
      <c r="M494" s="37" t="str">
        <f>IF([3]道具信息!M494="","",[3]道具信息!M494)</f>
        <v/>
      </c>
      <c r="N494" s="37"/>
      <c r="O494" s="37" t="str">
        <f>IF([3]道具信息!O494="","",[3]道具信息!O494)</f>
        <v/>
      </c>
      <c r="P494" s="37" t="str">
        <f>IF([3]道具信息!P494="","",[3]道具信息!P494)</f>
        <v/>
      </c>
      <c r="Q494" s="37" t="str">
        <f>IF([3]道具信息!Q494="","",[3]道具信息!Q494)</f>
        <v/>
      </c>
    </row>
    <row r="495" spans="3:17" x14ac:dyDescent="0.15">
      <c r="C495" s="37" t="str">
        <f>IF([3]道具信息!C495="","",[3]道具信息!C495)</f>
        <v/>
      </c>
      <c r="D495" s="37" t="str">
        <f>IF([3]道具信息!D495="","",[3]道具信息!D495)</f>
        <v/>
      </c>
      <c r="E495" s="37" t="str">
        <f>IF([3]道具信息!E495="","",[3]道具信息!E495)</f>
        <v/>
      </c>
      <c r="F495" s="37" t="str">
        <f>IF([3]道具信息!F495="","",[3]道具信息!F495)</f>
        <v/>
      </c>
      <c r="G495" s="37" t="str">
        <f>IF([3]道具信息!G495="","",[3]道具信息!G495)</f>
        <v/>
      </c>
      <c r="H495" s="37" t="str">
        <f>IF([3]道具信息!H495="","",[3]道具信息!H495)</f>
        <v/>
      </c>
      <c r="I495" s="37" t="str">
        <f>IF([3]道具信息!I495="","",[3]道具信息!I495)</f>
        <v/>
      </c>
      <c r="J495" s="37" t="str">
        <f>IF([3]道具信息!J495="","",[3]道具信息!J495)</f>
        <v/>
      </c>
      <c r="K495" s="37" t="str">
        <f>IF([3]道具信息!K495="","",[3]道具信息!K495)</f>
        <v/>
      </c>
      <c r="L495" s="37" t="str">
        <f>IF([3]道具信息!L495="","",[3]道具信息!L495)</f>
        <v/>
      </c>
      <c r="M495" s="37" t="str">
        <f>IF([3]道具信息!M495="","",[3]道具信息!M495)</f>
        <v/>
      </c>
      <c r="N495" s="37"/>
      <c r="O495" s="37" t="str">
        <f>IF([3]道具信息!O495="","",[3]道具信息!O495)</f>
        <v/>
      </c>
      <c r="P495" s="37" t="str">
        <f>IF([3]道具信息!P495="","",[3]道具信息!P495)</f>
        <v/>
      </c>
      <c r="Q495" s="37" t="str">
        <f>IF([3]道具信息!Q495="","",[3]道具信息!Q495)</f>
        <v/>
      </c>
    </row>
    <row r="496" spans="3:17" x14ac:dyDescent="0.15">
      <c r="C496" s="37" t="str">
        <f>IF([3]道具信息!C496="","",[3]道具信息!C496)</f>
        <v/>
      </c>
      <c r="D496" s="37" t="str">
        <f>IF([3]道具信息!D496="","",[3]道具信息!D496)</f>
        <v/>
      </c>
      <c r="E496" s="37" t="str">
        <f>IF([3]道具信息!E496="","",[3]道具信息!E496)</f>
        <v/>
      </c>
      <c r="F496" s="37" t="str">
        <f>IF([3]道具信息!F496="","",[3]道具信息!F496)</f>
        <v/>
      </c>
      <c r="G496" s="37" t="str">
        <f>IF([3]道具信息!G496="","",[3]道具信息!G496)</f>
        <v/>
      </c>
      <c r="H496" s="37" t="str">
        <f>IF([3]道具信息!H496="","",[3]道具信息!H496)</f>
        <v/>
      </c>
      <c r="I496" s="37" t="str">
        <f>IF([3]道具信息!I496="","",[3]道具信息!I496)</f>
        <v/>
      </c>
      <c r="J496" s="37" t="str">
        <f>IF([3]道具信息!J496="","",[3]道具信息!J496)</f>
        <v/>
      </c>
      <c r="K496" s="37" t="str">
        <f>IF([3]道具信息!K496="","",[3]道具信息!K496)</f>
        <v/>
      </c>
      <c r="L496" s="37" t="str">
        <f>IF([3]道具信息!L496="","",[3]道具信息!L496)</f>
        <v/>
      </c>
      <c r="M496" s="37" t="str">
        <f>IF([3]道具信息!M496="","",[3]道具信息!M496)</f>
        <v/>
      </c>
      <c r="N496" s="37"/>
      <c r="O496" s="37" t="str">
        <f>IF([3]道具信息!O496="","",[3]道具信息!O496)</f>
        <v/>
      </c>
      <c r="P496" s="37" t="str">
        <f>IF([3]道具信息!P496="","",[3]道具信息!P496)</f>
        <v/>
      </c>
      <c r="Q496" s="37" t="str">
        <f>IF([3]道具信息!Q496="","",[3]道具信息!Q496)</f>
        <v/>
      </c>
    </row>
    <row r="497" spans="3:17" x14ac:dyDescent="0.15">
      <c r="C497" s="37" t="str">
        <f>IF([3]道具信息!C497="","",[3]道具信息!C497)</f>
        <v/>
      </c>
      <c r="D497" s="37" t="str">
        <f>IF([3]道具信息!D497="","",[3]道具信息!D497)</f>
        <v/>
      </c>
      <c r="E497" s="37" t="str">
        <f>IF([3]道具信息!E497="","",[3]道具信息!E497)</f>
        <v/>
      </c>
      <c r="F497" s="37" t="str">
        <f>IF([3]道具信息!F497="","",[3]道具信息!F497)</f>
        <v/>
      </c>
      <c r="G497" s="37" t="str">
        <f>IF([3]道具信息!G497="","",[3]道具信息!G497)</f>
        <v/>
      </c>
      <c r="H497" s="37" t="str">
        <f>IF([3]道具信息!H497="","",[3]道具信息!H497)</f>
        <v/>
      </c>
      <c r="I497" s="37" t="str">
        <f>IF([3]道具信息!I497="","",[3]道具信息!I497)</f>
        <v/>
      </c>
      <c r="J497" s="37" t="str">
        <f>IF([3]道具信息!J497="","",[3]道具信息!J497)</f>
        <v/>
      </c>
      <c r="K497" s="37" t="str">
        <f>IF([3]道具信息!K497="","",[3]道具信息!K497)</f>
        <v/>
      </c>
      <c r="L497" s="37" t="str">
        <f>IF([3]道具信息!L497="","",[3]道具信息!L497)</f>
        <v/>
      </c>
      <c r="M497" s="37" t="str">
        <f>IF([3]道具信息!M497="","",[3]道具信息!M497)</f>
        <v/>
      </c>
      <c r="N497" s="37"/>
      <c r="O497" s="37" t="str">
        <f>IF([3]道具信息!O497="","",[3]道具信息!O497)</f>
        <v/>
      </c>
      <c r="P497" s="37" t="str">
        <f>IF([3]道具信息!P497="","",[3]道具信息!P497)</f>
        <v/>
      </c>
      <c r="Q497" s="37" t="str">
        <f>IF([3]道具信息!Q497="","",[3]道具信息!Q497)</f>
        <v/>
      </c>
    </row>
    <row r="498" spans="3:17" x14ac:dyDescent="0.15">
      <c r="C498" s="37" t="str">
        <f>IF([3]道具信息!C498="","",[3]道具信息!C498)</f>
        <v/>
      </c>
      <c r="D498" s="37" t="str">
        <f>IF([3]道具信息!D498="","",[3]道具信息!D498)</f>
        <v/>
      </c>
      <c r="E498" s="37" t="str">
        <f>IF([3]道具信息!E498="","",[3]道具信息!E498)</f>
        <v/>
      </c>
      <c r="F498" s="37" t="str">
        <f>IF([3]道具信息!F498="","",[3]道具信息!F498)</f>
        <v/>
      </c>
      <c r="G498" s="37" t="str">
        <f>IF([3]道具信息!G498="","",[3]道具信息!G498)</f>
        <v/>
      </c>
      <c r="H498" s="37" t="str">
        <f>IF([3]道具信息!H498="","",[3]道具信息!H498)</f>
        <v/>
      </c>
      <c r="I498" s="37" t="str">
        <f>IF([3]道具信息!I498="","",[3]道具信息!I498)</f>
        <v/>
      </c>
      <c r="J498" s="37" t="str">
        <f>IF([3]道具信息!J498="","",[3]道具信息!J498)</f>
        <v/>
      </c>
      <c r="K498" s="37" t="str">
        <f>IF([3]道具信息!K498="","",[3]道具信息!K498)</f>
        <v/>
      </c>
      <c r="L498" s="37" t="str">
        <f>IF([3]道具信息!L498="","",[3]道具信息!L498)</f>
        <v/>
      </c>
      <c r="M498" s="37" t="str">
        <f>IF([3]道具信息!M498="","",[3]道具信息!M498)</f>
        <v/>
      </c>
      <c r="N498" s="37"/>
      <c r="O498" s="37" t="str">
        <f>IF([3]道具信息!O498="","",[3]道具信息!O498)</f>
        <v/>
      </c>
      <c r="P498" s="37" t="str">
        <f>IF([3]道具信息!P498="","",[3]道具信息!P498)</f>
        <v/>
      </c>
      <c r="Q498" s="37" t="str">
        <f>IF([3]道具信息!Q498="","",[3]道具信息!Q498)</f>
        <v/>
      </c>
    </row>
    <row r="499" spans="3:17" x14ac:dyDescent="0.15">
      <c r="C499" s="37" t="str">
        <f>IF([3]道具信息!C499="","",[3]道具信息!C499)</f>
        <v/>
      </c>
      <c r="D499" s="37" t="str">
        <f>IF([3]道具信息!D499="","",[3]道具信息!D499)</f>
        <v/>
      </c>
      <c r="E499" s="37" t="str">
        <f>IF([3]道具信息!E499="","",[3]道具信息!E499)</f>
        <v/>
      </c>
      <c r="F499" s="37" t="str">
        <f>IF([3]道具信息!F499="","",[3]道具信息!F499)</f>
        <v/>
      </c>
      <c r="G499" s="37" t="str">
        <f>IF([3]道具信息!G499="","",[3]道具信息!G499)</f>
        <v/>
      </c>
      <c r="H499" s="37" t="str">
        <f>IF([3]道具信息!H499="","",[3]道具信息!H499)</f>
        <v/>
      </c>
      <c r="I499" s="37" t="str">
        <f>IF([3]道具信息!I499="","",[3]道具信息!I499)</f>
        <v/>
      </c>
      <c r="J499" s="37" t="str">
        <f>IF([3]道具信息!J499="","",[3]道具信息!J499)</f>
        <v/>
      </c>
      <c r="K499" s="37" t="str">
        <f>IF([3]道具信息!K499="","",[3]道具信息!K499)</f>
        <v/>
      </c>
      <c r="L499" s="37" t="str">
        <f>IF([3]道具信息!L499="","",[3]道具信息!L499)</f>
        <v/>
      </c>
      <c r="M499" s="37" t="str">
        <f>IF([3]道具信息!M499="","",[3]道具信息!M499)</f>
        <v/>
      </c>
      <c r="N499" s="37"/>
      <c r="O499" s="37" t="str">
        <f>IF([3]道具信息!O499="","",[3]道具信息!O499)</f>
        <v/>
      </c>
      <c r="P499" s="37" t="str">
        <f>IF([3]道具信息!P499="","",[3]道具信息!P499)</f>
        <v/>
      </c>
      <c r="Q499" s="37" t="str">
        <f>IF([3]道具信息!Q499="","",[3]道具信息!Q499)</f>
        <v/>
      </c>
    </row>
    <row r="500" spans="3:17" x14ac:dyDescent="0.15">
      <c r="C500" s="37" t="str">
        <f>IF([3]道具信息!C500="","",[3]道具信息!C500)</f>
        <v/>
      </c>
      <c r="D500" s="37" t="str">
        <f>IF([3]道具信息!D500="","",[3]道具信息!D500)</f>
        <v/>
      </c>
      <c r="E500" s="37" t="str">
        <f>IF([3]道具信息!E500="","",[3]道具信息!E500)</f>
        <v/>
      </c>
      <c r="F500" s="37" t="str">
        <f>IF([3]道具信息!F500="","",[3]道具信息!F500)</f>
        <v/>
      </c>
      <c r="G500" s="37" t="str">
        <f>IF([3]道具信息!G500="","",[3]道具信息!G500)</f>
        <v/>
      </c>
      <c r="H500" s="37" t="str">
        <f>IF([3]道具信息!H500="","",[3]道具信息!H500)</f>
        <v/>
      </c>
      <c r="I500" s="37" t="str">
        <f>IF([3]道具信息!I500="","",[3]道具信息!I500)</f>
        <v/>
      </c>
      <c r="J500" s="37" t="str">
        <f>IF([3]道具信息!J500="","",[3]道具信息!J500)</f>
        <v/>
      </c>
      <c r="K500" s="37" t="str">
        <f>IF([3]道具信息!K500="","",[3]道具信息!K500)</f>
        <v/>
      </c>
      <c r="L500" s="37" t="str">
        <f>IF([3]道具信息!L500="","",[3]道具信息!L500)</f>
        <v/>
      </c>
      <c r="M500" s="37" t="str">
        <f>IF([3]道具信息!M500="","",[3]道具信息!M500)</f>
        <v/>
      </c>
      <c r="N500" s="37"/>
      <c r="O500" s="37" t="str">
        <f>IF([3]道具信息!O500="","",[3]道具信息!O500)</f>
        <v/>
      </c>
      <c r="P500" s="37" t="str">
        <f>IF([3]道具信息!P500="","",[3]道具信息!P500)</f>
        <v/>
      </c>
      <c r="Q500" s="37" t="str">
        <f>IF([3]道具信息!Q500="","",[3]道具信息!Q500)</f>
        <v/>
      </c>
    </row>
    <row r="501" spans="3:17" x14ac:dyDescent="0.15">
      <c r="C501" s="37" t="str">
        <f>IF([3]道具信息!C501="","",[3]道具信息!C501)</f>
        <v/>
      </c>
      <c r="D501" s="37" t="str">
        <f>IF([3]道具信息!D501="","",[3]道具信息!D501)</f>
        <v/>
      </c>
      <c r="E501" s="37" t="str">
        <f>IF([3]道具信息!E501="","",[3]道具信息!E501)</f>
        <v/>
      </c>
      <c r="F501" s="37" t="str">
        <f>IF([3]道具信息!F501="","",[3]道具信息!F501)</f>
        <v/>
      </c>
      <c r="G501" s="37" t="str">
        <f>IF([3]道具信息!G501="","",[3]道具信息!G501)</f>
        <v/>
      </c>
      <c r="H501" s="37" t="str">
        <f>IF([3]道具信息!H501="","",[3]道具信息!H501)</f>
        <v/>
      </c>
      <c r="I501" s="37" t="str">
        <f>IF([3]道具信息!I501="","",[3]道具信息!I501)</f>
        <v/>
      </c>
      <c r="J501" s="37" t="str">
        <f>IF([3]道具信息!J501="","",[3]道具信息!J501)</f>
        <v/>
      </c>
      <c r="K501" s="37" t="str">
        <f>IF([3]道具信息!K501="","",[3]道具信息!K501)</f>
        <v/>
      </c>
      <c r="L501" s="37" t="str">
        <f>IF([3]道具信息!L501="","",[3]道具信息!L501)</f>
        <v/>
      </c>
      <c r="M501" s="37" t="str">
        <f>IF([3]道具信息!M501="","",[3]道具信息!M501)</f>
        <v/>
      </c>
      <c r="N501" s="37"/>
      <c r="O501" s="37" t="str">
        <f>IF([3]道具信息!O501="","",[3]道具信息!O501)</f>
        <v/>
      </c>
      <c r="P501" s="37" t="str">
        <f>IF([3]道具信息!P501="","",[3]道具信息!P501)</f>
        <v/>
      </c>
      <c r="Q501" s="37" t="str">
        <f>IF([3]道具信息!Q501="","",[3]道具信息!Q501)</f>
        <v/>
      </c>
    </row>
    <row r="502" spans="3:17" x14ac:dyDescent="0.15">
      <c r="C502" s="37" t="str">
        <f>IF([3]道具信息!C502="","",[3]道具信息!C502)</f>
        <v/>
      </c>
      <c r="D502" s="37" t="str">
        <f>IF([3]道具信息!D502="","",[3]道具信息!D502)</f>
        <v/>
      </c>
      <c r="E502" s="37" t="str">
        <f>IF([3]道具信息!E502="","",[3]道具信息!E502)</f>
        <v/>
      </c>
      <c r="F502" s="37" t="str">
        <f>IF([3]道具信息!F502="","",[3]道具信息!F502)</f>
        <v/>
      </c>
      <c r="G502" s="37" t="str">
        <f>IF([3]道具信息!G502="","",[3]道具信息!G502)</f>
        <v/>
      </c>
      <c r="H502" s="37" t="str">
        <f>IF([3]道具信息!H502="","",[3]道具信息!H502)</f>
        <v/>
      </c>
      <c r="I502" s="37" t="str">
        <f>IF([3]道具信息!I502="","",[3]道具信息!I502)</f>
        <v/>
      </c>
      <c r="J502" s="37" t="str">
        <f>IF([3]道具信息!J502="","",[3]道具信息!J502)</f>
        <v/>
      </c>
      <c r="K502" s="37" t="str">
        <f>IF([3]道具信息!K502="","",[3]道具信息!K502)</f>
        <v/>
      </c>
      <c r="L502" s="37" t="str">
        <f>IF([3]道具信息!L502="","",[3]道具信息!L502)</f>
        <v/>
      </c>
      <c r="M502" s="37" t="str">
        <f>IF([3]道具信息!M502="","",[3]道具信息!M502)</f>
        <v/>
      </c>
      <c r="N502" s="37"/>
      <c r="O502" s="37" t="str">
        <f>IF([3]道具信息!O502="","",[3]道具信息!O502)</f>
        <v/>
      </c>
      <c r="P502" s="37" t="str">
        <f>IF([3]道具信息!P502="","",[3]道具信息!P502)</f>
        <v/>
      </c>
      <c r="Q502" s="37" t="str">
        <f>IF([3]道具信息!Q502="","",[3]道具信息!Q502)</f>
        <v/>
      </c>
    </row>
    <row r="503" spans="3:17" x14ac:dyDescent="0.15">
      <c r="C503" s="37" t="str">
        <f>IF([3]道具信息!C503="","",[3]道具信息!C503)</f>
        <v/>
      </c>
      <c r="D503" s="37" t="str">
        <f>IF([3]道具信息!D503="","",[3]道具信息!D503)</f>
        <v/>
      </c>
      <c r="E503" s="37" t="str">
        <f>IF([3]道具信息!E503="","",[3]道具信息!E503)</f>
        <v/>
      </c>
      <c r="F503" s="37" t="str">
        <f>IF([3]道具信息!F503="","",[3]道具信息!F503)</f>
        <v/>
      </c>
      <c r="G503" s="37" t="str">
        <f>IF([3]道具信息!G503="","",[3]道具信息!G503)</f>
        <v/>
      </c>
      <c r="H503" s="37" t="str">
        <f>IF([3]道具信息!H503="","",[3]道具信息!H503)</f>
        <v/>
      </c>
      <c r="I503" s="37" t="str">
        <f>IF([3]道具信息!I503="","",[3]道具信息!I503)</f>
        <v/>
      </c>
      <c r="J503" s="37" t="str">
        <f>IF([3]道具信息!J503="","",[3]道具信息!J503)</f>
        <v/>
      </c>
      <c r="K503" s="37" t="str">
        <f>IF([3]道具信息!K503="","",[3]道具信息!K503)</f>
        <v/>
      </c>
      <c r="L503" s="37" t="str">
        <f>IF([3]道具信息!L503="","",[3]道具信息!L503)</f>
        <v/>
      </c>
      <c r="M503" s="37" t="str">
        <f>IF([3]道具信息!M503="","",[3]道具信息!M503)</f>
        <v/>
      </c>
      <c r="N503" s="37"/>
      <c r="O503" s="37" t="str">
        <f>IF([3]道具信息!O503="","",[3]道具信息!O503)</f>
        <v/>
      </c>
      <c r="P503" s="37" t="str">
        <f>IF([3]道具信息!P503="","",[3]道具信息!P503)</f>
        <v/>
      </c>
      <c r="Q503" s="37" t="str">
        <f>IF([3]道具信息!Q503="","",[3]道具信息!Q503)</f>
        <v/>
      </c>
    </row>
    <row r="504" spans="3:17" x14ac:dyDescent="0.15">
      <c r="C504" s="37" t="str">
        <f>IF([3]道具信息!C504="","",[3]道具信息!C504)</f>
        <v/>
      </c>
      <c r="D504" s="37" t="str">
        <f>IF([3]道具信息!D504="","",[3]道具信息!D504)</f>
        <v/>
      </c>
      <c r="E504" s="37" t="str">
        <f>IF([3]道具信息!E504="","",[3]道具信息!E504)</f>
        <v/>
      </c>
      <c r="F504" s="37" t="str">
        <f>IF([3]道具信息!F504="","",[3]道具信息!F504)</f>
        <v/>
      </c>
      <c r="G504" s="37" t="str">
        <f>IF([3]道具信息!G504="","",[3]道具信息!G504)</f>
        <v/>
      </c>
      <c r="H504" s="37" t="str">
        <f>IF([3]道具信息!H504="","",[3]道具信息!H504)</f>
        <v/>
      </c>
      <c r="I504" s="37" t="str">
        <f>IF([3]道具信息!I504="","",[3]道具信息!I504)</f>
        <v/>
      </c>
      <c r="J504" s="37" t="str">
        <f>IF([3]道具信息!J504="","",[3]道具信息!J504)</f>
        <v/>
      </c>
      <c r="K504" s="37" t="str">
        <f>IF([3]道具信息!K504="","",[3]道具信息!K504)</f>
        <v/>
      </c>
      <c r="L504" s="37" t="str">
        <f>IF([3]道具信息!L504="","",[3]道具信息!L504)</f>
        <v/>
      </c>
      <c r="M504" s="37" t="str">
        <f>IF([3]道具信息!M504="","",[3]道具信息!M504)</f>
        <v/>
      </c>
      <c r="N504" s="37"/>
      <c r="O504" s="37" t="str">
        <f>IF([3]道具信息!O504="","",[3]道具信息!O504)</f>
        <v/>
      </c>
      <c r="P504" s="37" t="str">
        <f>IF([3]道具信息!P504="","",[3]道具信息!P504)</f>
        <v/>
      </c>
      <c r="Q504" s="37" t="str">
        <f>IF([3]道具信息!Q504="","",[3]道具信息!Q504)</f>
        <v/>
      </c>
    </row>
    <row r="505" spans="3:17" x14ac:dyDescent="0.15">
      <c r="C505" s="37" t="str">
        <f>IF([3]道具信息!C505="","",[3]道具信息!C505)</f>
        <v/>
      </c>
      <c r="D505" s="37" t="str">
        <f>IF([3]道具信息!D505="","",[3]道具信息!D505)</f>
        <v/>
      </c>
      <c r="E505" s="37" t="str">
        <f>IF([3]道具信息!E505="","",[3]道具信息!E505)</f>
        <v/>
      </c>
      <c r="F505" s="37" t="str">
        <f>IF([3]道具信息!F505="","",[3]道具信息!F505)</f>
        <v/>
      </c>
      <c r="G505" s="37" t="str">
        <f>IF([3]道具信息!G505="","",[3]道具信息!G505)</f>
        <v/>
      </c>
      <c r="H505" s="37" t="str">
        <f>IF([3]道具信息!H505="","",[3]道具信息!H505)</f>
        <v/>
      </c>
      <c r="I505" s="37" t="str">
        <f>IF([3]道具信息!I505="","",[3]道具信息!I505)</f>
        <v/>
      </c>
      <c r="J505" s="37" t="str">
        <f>IF([3]道具信息!J505="","",[3]道具信息!J505)</f>
        <v/>
      </c>
      <c r="K505" s="37" t="str">
        <f>IF([3]道具信息!K505="","",[3]道具信息!K505)</f>
        <v/>
      </c>
      <c r="L505" s="37" t="str">
        <f>IF([3]道具信息!L505="","",[3]道具信息!L505)</f>
        <v/>
      </c>
      <c r="M505" s="37" t="str">
        <f>IF([3]道具信息!M505="","",[3]道具信息!M505)</f>
        <v/>
      </c>
      <c r="N505" s="37"/>
      <c r="O505" s="37" t="str">
        <f>IF([3]道具信息!O505="","",[3]道具信息!O505)</f>
        <v/>
      </c>
      <c r="P505" s="37" t="str">
        <f>IF([3]道具信息!P505="","",[3]道具信息!P505)</f>
        <v/>
      </c>
      <c r="Q505" s="37" t="str">
        <f>IF([3]道具信息!Q505="","",[3]道具信息!Q505)</f>
        <v/>
      </c>
    </row>
    <row r="506" spans="3:17" x14ac:dyDescent="0.15">
      <c r="C506" s="37" t="str">
        <f>IF([3]道具信息!C506="","",[3]道具信息!C506)</f>
        <v/>
      </c>
      <c r="D506" s="37" t="str">
        <f>IF([3]道具信息!D506="","",[3]道具信息!D506)</f>
        <v/>
      </c>
      <c r="E506" s="37" t="str">
        <f>IF([3]道具信息!E506="","",[3]道具信息!E506)</f>
        <v/>
      </c>
      <c r="F506" s="37" t="str">
        <f>IF([3]道具信息!F506="","",[3]道具信息!F506)</f>
        <v/>
      </c>
      <c r="G506" s="37" t="str">
        <f>IF([3]道具信息!G506="","",[3]道具信息!G506)</f>
        <v/>
      </c>
      <c r="H506" s="37" t="str">
        <f>IF([3]道具信息!H506="","",[3]道具信息!H506)</f>
        <v/>
      </c>
      <c r="I506" s="37" t="str">
        <f>IF([3]道具信息!I506="","",[3]道具信息!I506)</f>
        <v/>
      </c>
      <c r="J506" s="37" t="str">
        <f>IF([3]道具信息!J506="","",[3]道具信息!J506)</f>
        <v/>
      </c>
      <c r="K506" s="37" t="str">
        <f>IF([3]道具信息!K506="","",[3]道具信息!K506)</f>
        <v/>
      </c>
      <c r="L506" s="37" t="str">
        <f>IF([3]道具信息!L506="","",[3]道具信息!L506)</f>
        <v/>
      </c>
      <c r="M506" s="37" t="str">
        <f>IF([3]道具信息!M506="","",[3]道具信息!M506)</f>
        <v/>
      </c>
      <c r="N506" s="37"/>
      <c r="O506" s="37" t="str">
        <f>IF([3]道具信息!O506="","",[3]道具信息!O506)</f>
        <v/>
      </c>
      <c r="P506" s="37" t="str">
        <f>IF([3]道具信息!P506="","",[3]道具信息!P506)</f>
        <v/>
      </c>
      <c r="Q506" s="37" t="str">
        <f>IF([3]道具信息!Q506="","",[3]道具信息!Q506)</f>
        <v/>
      </c>
    </row>
    <row r="507" spans="3:17" x14ac:dyDescent="0.15">
      <c r="C507" s="37" t="str">
        <f>IF([3]道具信息!C507="","",[3]道具信息!C507)</f>
        <v/>
      </c>
      <c r="D507" s="37" t="str">
        <f>IF([3]道具信息!D507="","",[3]道具信息!D507)</f>
        <v/>
      </c>
      <c r="E507" s="37" t="str">
        <f>IF([3]道具信息!E507="","",[3]道具信息!E507)</f>
        <v/>
      </c>
      <c r="F507" s="37" t="str">
        <f>IF([3]道具信息!F507="","",[3]道具信息!F507)</f>
        <v/>
      </c>
      <c r="G507" s="37" t="str">
        <f>IF([3]道具信息!G507="","",[3]道具信息!G507)</f>
        <v/>
      </c>
      <c r="H507" s="37" t="str">
        <f>IF([3]道具信息!H507="","",[3]道具信息!H507)</f>
        <v/>
      </c>
      <c r="I507" s="37" t="str">
        <f>IF([3]道具信息!I507="","",[3]道具信息!I507)</f>
        <v/>
      </c>
      <c r="J507" s="37" t="str">
        <f>IF([3]道具信息!J507="","",[3]道具信息!J507)</f>
        <v/>
      </c>
      <c r="K507" s="37" t="str">
        <f>IF([3]道具信息!K507="","",[3]道具信息!K507)</f>
        <v/>
      </c>
      <c r="L507" s="37" t="str">
        <f>IF([3]道具信息!L507="","",[3]道具信息!L507)</f>
        <v/>
      </c>
      <c r="M507" s="37" t="str">
        <f>IF([3]道具信息!M507="","",[3]道具信息!M507)</f>
        <v/>
      </c>
      <c r="N507" s="37"/>
      <c r="O507" s="37" t="str">
        <f>IF([3]道具信息!O507="","",[3]道具信息!O507)</f>
        <v/>
      </c>
      <c r="P507" s="37" t="str">
        <f>IF([3]道具信息!P507="","",[3]道具信息!P507)</f>
        <v/>
      </c>
      <c r="Q507" s="37" t="str">
        <f>IF([3]道具信息!Q507="","",[3]道具信息!Q507)</f>
        <v/>
      </c>
    </row>
    <row r="508" spans="3:17" x14ac:dyDescent="0.15">
      <c r="C508" s="37" t="str">
        <f>IF([3]道具信息!C508="","",[3]道具信息!C508)</f>
        <v/>
      </c>
      <c r="D508" s="37" t="str">
        <f>IF([3]道具信息!D508="","",[3]道具信息!D508)</f>
        <v/>
      </c>
      <c r="E508" s="37" t="str">
        <f>IF([3]道具信息!E508="","",[3]道具信息!E508)</f>
        <v/>
      </c>
      <c r="F508" s="37" t="str">
        <f>IF([3]道具信息!F508="","",[3]道具信息!F508)</f>
        <v/>
      </c>
      <c r="G508" s="37" t="str">
        <f>IF([3]道具信息!G508="","",[3]道具信息!G508)</f>
        <v/>
      </c>
      <c r="H508" s="37" t="str">
        <f>IF([3]道具信息!H508="","",[3]道具信息!H508)</f>
        <v/>
      </c>
      <c r="I508" s="37" t="str">
        <f>IF([3]道具信息!I508="","",[3]道具信息!I508)</f>
        <v/>
      </c>
      <c r="J508" s="37" t="str">
        <f>IF([3]道具信息!J508="","",[3]道具信息!J508)</f>
        <v/>
      </c>
      <c r="K508" s="37" t="str">
        <f>IF([3]道具信息!K508="","",[3]道具信息!K508)</f>
        <v/>
      </c>
      <c r="L508" s="37" t="str">
        <f>IF([3]道具信息!L508="","",[3]道具信息!L508)</f>
        <v/>
      </c>
      <c r="M508" s="37" t="str">
        <f>IF([3]道具信息!M508="","",[3]道具信息!M508)</f>
        <v/>
      </c>
      <c r="N508" s="37"/>
      <c r="O508" s="37" t="str">
        <f>IF([3]道具信息!O508="","",[3]道具信息!O508)</f>
        <v/>
      </c>
      <c r="P508" s="37" t="str">
        <f>IF([3]道具信息!P508="","",[3]道具信息!P508)</f>
        <v/>
      </c>
      <c r="Q508" s="37" t="str">
        <f>IF([3]道具信息!Q508="","",[3]道具信息!Q508)</f>
        <v/>
      </c>
    </row>
    <row r="509" spans="3:17" x14ac:dyDescent="0.15">
      <c r="C509" s="37" t="str">
        <f>IF([3]道具信息!C509="","",[3]道具信息!C509)</f>
        <v/>
      </c>
      <c r="D509" s="37" t="str">
        <f>IF([3]道具信息!D509="","",[3]道具信息!D509)</f>
        <v/>
      </c>
      <c r="E509" s="37" t="str">
        <f>IF([3]道具信息!E509="","",[3]道具信息!E509)</f>
        <v/>
      </c>
      <c r="F509" s="37" t="str">
        <f>IF([3]道具信息!F509="","",[3]道具信息!F509)</f>
        <v/>
      </c>
      <c r="G509" s="37" t="str">
        <f>IF([3]道具信息!G509="","",[3]道具信息!G509)</f>
        <v/>
      </c>
      <c r="H509" s="37" t="str">
        <f>IF([3]道具信息!H509="","",[3]道具信息!H509)</f>
        <v/>
      </c>
      <c r="I509" s="37" t="str">
        <f>IF([3]道具信息!I509="","",[3]道具信息!I509)</f>
        <v/>
      </c>
      <c r="J509" s="37" t="str">
        <f>IF([3]道具信息!J509="","",[3]道具信息!J509)</f>
        <v/>
      </c>
      <c r="K509" s="37" t="str">
        <f>IF([3]道具信息!K509="","",[3]道具信息!K509)</f>
        <v/>
      </c>
      <c r="L509" s="37" t="str">
        <f>IF([3]道具信息!L509="","",[3]道具信息!L509)</f>
        <v/>
      </c>
      <c r="M509" s="37" t="str">
        <f>IF([3]道具信息!M509="","",[3]道具信息!M509)</f>
        <v/>
      </c>
      <c r="N509" s="37"/>
      <c r="O509" s="37" t="str">
        <f>IF([3]道具信息!O509="","",[3]道具信息!O509)</f>
        <v/>
      </c>
      <c r="P509" s="37" t="str">
        <f>IF([3]道具信息!P509="","",[3]道具信息!P509)</f>
        <v/>
      </c>
      <c r="Q509" s="37" t="str">
        <f>IF([3]道具信息!Q509="","",[3]道具信息!Q509)</f>
        <v/>
      </c>
    </row>
    <row r="510" spans="3:17" x14ac:dyDescent="0.15">
      <c r="C510" s="37" t="str">
        <f>IF([3]道具信息!C510="","",[3]道具信息!C510)</f>
        <v/>
      </c>
      <c r="D510" s="37" t="str">
        <f>IF([3]道具信息!D510="","",[3]道具信息!D510)</f>
        <v/>
      </c>
      <c r="E510" s="37" t="str">
        <f>IF([3]道具信息!E510="","",[3]道具信息!E510)</f>
        <v/>
      </c>
      <c r="F510" s="37" t="str">
        <f>IF([3]道具信息!F510="","",[3]道具信息!F510)</f>
        <v/>
      </c>
      <c r="G510" s="37" t="str">
        <f>IF([3]道具信息!G510="","",[3]道具信息!G510)</f>
        <v/>
      </c>
      <c r="H510" s="37" t="str">
        <f>IF([3]道具信息!H510="","",[3]道具信息!H510)</f>
        <v/>
      </c>
      <c r="I510" s="37" t="str">
        <f>IF([3]道具信息!I510="","",[3]道具信息!I510)</f>
        <v/>
      </c>
      <c r="J510" s="37" t="str">
        <f>IF([3]道具信息!J510="","",[3]道具信息!J510)</f>
        <v/>
      </c>
      <c r="K510" s="37" t="str">
        <f>IF([3]道具信息!K510="","",[3]道具信息!K510)</f>
        <v/>
      </c>
      <c r="L510" s="37" t="str">
        <f>IF([3]道具信息!L510="","",[3]道具信息!L510)</f>
        <v/>
      </c>
      <c r="M510" s="37" t="str">
        <f>IF([3]道具信息!M510="","",[3]道具信息!M510)</f>
        <v/>
      </c>
      <c r="N510" s="37"/>
      <c r="O510" s="37" t="str">
        <f>IF([3]道具信息!O510="","",[3]道具信息!O510)</f>
        <v/>
      </c>
      <c r="P510" s="37" t="str">
        <f>IF([3]道具信息!P510="","",[3]道具信息!P510)</f>
        <v/>
      </c>
      <c r="Q510" s="37" t="str">
        <f>IF([3]道具信息!Q510="","",[3]道具信息!Q510)</f>
        <v/>
      </c>
    </row>
    <row r="511" spans="3:17" x14ac:dyDescent="0.15">
      <c r="C511" s="37" t="str">
        <f>IF([3]道具信息!C511="","",[3]道具信息!C511)</f>
        <v/>
      </c>
      <c r="D511" s="37" t="str">
        <f>IF([3]道具信息!D511="","",[3]道具信息!D511)</f>
        <v/>
      </c>
      <c r="E511" s="37" t="str">
        <f>IF([3]道具信息!E511="","",[3]道具信息!E511)</f>
        <v/>
      </c>
      <c r="F511" s="37" t="str">
        <f>IF([3]道具信息!F511="","",[3]道具信息!F511)</f>
        <v/>
      </c>
      <c r="G511" s="37" t="str">
        <f>IF([3]道具信息!G511="","",[3]道具信息!G511)</f>
        <v/>
      </c>
      <c r="H511" s="37" t="str">
        <f>IF([3]道具信息!H511="","",[3]道具信息!H511)</f>
        <v/>
      </c>
      <c r="I511" s="37" t="str">
        <f>IF([3]道具信息!I511="","",[3]道具信息!I511)</f>
        <v/>
      </c>
      <c r="J511" s="37" t="str">
        <f>IF([3]道具信息!J511="","",[3]道具信息!J511)</f>
        <v/>
      </c>
      <c r="K511" s="37" t="str">
        <f>IF([3]道具信息!K511="","",[3]道具信息!K511)</f>
        <v/>
      </c>
      <c r="L511" s="37" t="str">
        <f>IF([3]道具信息!L511="","",[3]道具信息!L511)</f>
        <v/>
      </c>
      <c r="M511" s="37" t="str">
        <f>IF([3]道具信息!M511="","",[3]道具信息!M511)</f>
        <v/>
      </c>
      <c r="N511" s="37"/>
      <c r="O511" s="37" t="str">
        <f>IF([3]道具信息!O511="","",[3]道具信息!O511)</f>
        <v/>
      </c>
      <c r="P511" s="37" t="str">
        <f>IF([3]道具信息!P511="","",[3]道具信息!P511)</f>
        <v/>
      </c>
      <c r="Q511" s="37" t="str">
        <f>IF([3]道具信息!Q511="","",[3]道具信息!Q511)</f>
        <v/>
      </c>
    </row>
    <row r="512" spans="3:17" x14ac:dyDescent="0.15">
      <c r="C512" s="37" t="str">
        <f>IF([3]道具信息!C512="","",[3]道具信息!C512)</f>
        <v/>
      </c>
      <c r="D512" s="37" t="str">
        <f>IF([3]道具信息!D512="","",[3]道具信息!D512)</f>
        <v/>
      </c>
      <c r="E512" s="37" t="str">
        <f>IF([3]道具信息!E512="","",[3]道具信息!E512)</f>
        <v/>
      </c>
      <c r="F512" s="37" t="str">
        <f>IF([3]道具信息!F512="","",[3]道具信息!F512)</f>
        <v/>
      </c>
      <c r="G512" s="37" t="str">
        <f>IF([3]道具信息!G512="","",[3]道具信息!G512)</f>
        <v/>
      </c>
      <c r="H512" s="37" t="str">
        <f>IF([3]道具信息!H512="","",[3]道具信息!H512)</f>
        <v/>
      </c>
      <c r="I512" s="37" t="str">
        <f>IF([3]道具信息!I512="","",[3]道具信息!I512)</f>
        <v/>
      </c>
      <c r="J512" s="37" t="str">
        <f>IF([3]道具信息!J512="","",[3]道具信息!J512)</f>
        <v/>
      </c>
      <c r="K512" s="37" t="str">
        <f>IF([3]道具信息!K512="","",[3]道具信息!K512)</f>
        <v/>
      </c>
      <c r="L512" s="37" t="str">
        <f>IF([3]道具信息!L512="","",[3]道具信息!L512)</f>
        <v/>
      </c>
      <c r="M512" s="37" t="str">
        <f>IF([3]道具信息!M512="","",[3]道具信息!M512)</f>
        <v/>
      </c>
      <c r="N512" s="37"/>
      <c r="O512" s="37" t="str">
        <f>IF([3]道具信息!O512="","",[3]道具信息!O512)</f>
        <v/>
      </c>
      <c r="P512" s="37" t="str">
        <f>IF([3]道具信息!P512="","",[3]道具信息!P512)</f>
        <v/>
      </c>
      <c r="Q512" s="37" t="str">
        <f>IF([3]道具信息!Q512="","",[3]道具信息!Q512)</f>
        <v/>
      </c>
    </row>
    <row r="513" spans="3:17" x14ac:dyDescent="0.15">
      <c r="C513" s="37" t="str">
        <f>IF([3]道具信息!C513="","",[3]道具信息!C513)</f>
        <v/>
      </c>
      <c r="D513" s="37" t="str">
        <f>IF([3]道具信息!D513="","",[3]道具信息!D513)</f>
        <v/>
      </c>
      <c r="E513" s="37" t="str">
        <f>IF([3]道具信息!E513="","",[3]道具信息!E513)</f>
        <v/>
      </c>
      <c r="F513" s="37" t="str">
        <f>IF([3]道具信息!F513="","",[3]道具信息!F513)</f>
        <v/>
      </c>
      <c r="G513" s="37" t="str">
        <f>IF([3]道具信息!G513="","",[3]道具信息!G513)</f>
        <v/>
      </c>
      <c r="H513" s="37" t="str">
        <f>IF([3]道具信息!H513="","",[3]道具信息!H513)</f>
        <v/>
      </c>
      <c r="I513" s="37" t="str">
        <f>IF([3]道具信息!I513="","",[3]道具信息!I513)</f>
        <v/>
      </c>
      <c r="J513" s="37" t="str">
        <f>IF([3]道具信息!J513="","",[3]道具信息!J513)</f>
        <v/>
      </c>
      <c r="K513" s="37" t="str">
        <f>IF([3]道具信息!K513="","",[3]道具信息!K513)</f>
        <v/>
      </c>
      <c r="L513" s="37" t="str">
        <f>IF([3]道具信息!L513="","",[3]道具信息!L513)</f>
        <v/>
      </c>
      <c r="M513" s="37" t="str">
        <f>IF([3]道具信息!M513="","",[3]道具信息!M513)</f>
        <v/>
      </c>
      <c r="N513" s="37"/>
      <c r="O513" s="37" t="str">
        <f>IF([3]道具信息!O513="","",[3]道具信息!O513)</f>
        <v/>
      </c>
      <c r="P513" s="37" t="str">
        <f>IF([3]道具信息!P513="","",[3]道具信息!P513)</f>
        <v/>
      </c>
      <c r="Q513" s="37" t="str">
        <f>IF([3]道具信息!Q513="","",[3]道具信息!Q513)</f>
        <v/>
      </c>
    </row>
    <row r="514" spans="3:17" x14ac:dyDescent="0.15">
      <c r="C514" s="37" t="str">
        <f>IF([3]道具信息!C514="","",[3]道具信息!C514)</f>
        <v/>
      </c>
      <c r="D514" s="37" t="str">
        <f>IF([3]道具信息!D514="","",[3]道具信息!D514)</f>
        <v/>
      </c>
      <c r="E514" s="37" t="str">
        <f>IF([3]道具信息!E514="","",[3]道具信息!E514)</f>
        <v/>
      </c>
      <c r="F514" s="37" t="str">
        <f>IF([3]道具信息!F514="","",[3]道具信息!F514)</f>
        <v/>
      </c>
      <c r="G514" s="37" t="str">
        <f>IF([3]道具信息!G514="","",[3]道具信息!G514)</f>
        <v/>
      </c>
      <c r="H514" s="37" t="str">
        <f>IF([3]道具信息!H514="","",[3]道具信息!H514)</f>
        <v/>
      </c>
      <c r="I514" s="37" t="str">
        <f>IF([3]道具信息!I514="","",[3]道具信息!I514)</f>
        <v/>
      </c>
      <c r="J514" s="37" t="str">
        <f>IF([3]道具信息!J514="","",[3]道具信息!J514)</f>
        <v/>
      </c>
      <c r="K514" s="37" t="str">
        <f>IF([3]道具信息!K514="","",[3]道具信息!K514)</f>
        <v/>
      </c>
      <c r="L514" s="37" t="str">
        <f>IF([3]道具信息!L514="","",[3]道具信息!L514)</f>
        <v/>
      </c>
      <c r="M514" s="37" t="str">
        <f>IF([3]道具信息!M514="","",[3]道具信息!M514)</f>
        <v/>
      </c>
      <c r="N514" s="37"/>
      <c r="O514" s="37" t="str">
        <f>IF([3]道具信息!O514="","",[3]道具信息!O514)</f>
        <v/>
      </c>
      <c r="P514" s="37" t="str">
        <f>IF([3]道具信息!P514="","",[3]道具信息!P514)</f>
        <v/>
      </c>
      <c r="Q514" s="37" t="str">
        <f>IF([3]道具信息!Q514="","",[3]道具信息!Q514)</f>
        <v/>
      </c>
    </row>
    <row r="515" spans="3:17" x14ac:dyDescent="0.15">
      <c r="C515" s="37" t="str">
        <f>IF([3]道具信息!C515="","",[3]道具信息!C515)</f>
        <v/>
      </c>
      <c r="D515" s="37" t="str">
        <f>IF([3]道具信息!D515="","",[3]道具信息!D515)</f>
        <v/>
      </c>
      <c r="E515" s="37" t="str">
        <f>IF([3]道具信息!E515="","",[3]道具信息!E515)</f>
        <v/>
      </c>
      <c r="F515" s="37" t="str">
        <f>IF([3]道具信息!F515="","",[3]道具信息!F515)</f>
        <v/>
      </c>
      <c r="G515" s="37" t="str">
        <f>IF([3]道具信息!G515="","",[3]道具信息!G515)</f>
        <v/>
      </c>
      <c r="H515" s="37" t="str">
        <f>IF([3]道具信息!H515="","",[3]道具信息!H515)</f>
        <v/>
      </c>
      <c r="I515" s="37" t="str">
        <f>IF([3]道具信息!I515="","",[3]道具信息!I515)</f>
        <v/>
      </c>
      <c r="J515" s="37" t="str">
        <f>IF([3]道具信息!J515="","",[3]道具信息!J515)</f>
        <v/>
      </c>
      <c r="K515" s="37" t="str">
        <f>IF([3]道具信息!K515="","",[3]道具信息!K515)</f>
        <v/>
      </c>
      <c r="L515" s="37" t="str">
        <f>IF([3]道具信息!L515="","",[3]道具信息!L515)</f>
        <v/>
      </c>
      <c r="M515" s="37" t="str">
        <f>IF([3]道具信息!M515="","",[3]道具信息!M515)</f>
        <v/>
      </c>
      <c r="N515" s="37"/>
      <c r="O515" s="37" t="str">
        <f>IF([3]道具信息!O515="","",[3]道具信息!O515)</f>
        <v/>
      </c>
      <c r="P515" s="37" t="str">
        <f>IF([3]道具信息!P515="","",[3]道具信息!P515)</f>
        <v/>
      </c>
      <c r="Q515" s="37" t="str">
        <f>IF([3]道具信息!Q515="","",[3]道具信息!Q515)</f>
        <v/>
      </c>
    </row>
    <row r="516" spans="3:17" x14ac:dyDescent="0.15">
      <c r="C516" s="37" t="str">
        <f>IF([3]道具信息!C516="","",[3]道具信息!C516)</f>
        <v/>
      </c>
      <c r="D516" s="37" t="str">
        <f>IF([3]道具信息!D516="","",[3]道具信息!D516)</f>
        <v/>
      </c>
      <c r="E516" s="37" t="str">
        <f>IF([3]道具信息!E516="","",[3]道具信息!E516)</f>
        <v/>
      </c>
      <c r="F516" s="37" t="str">
        <f>IF([3]道具信息!F516="","",[3]道具信息!F516)</f>
        <v/>
      </c>
      <c r="G516" s="37" t="str">
        <f>IF([3]道具信息!G516="","",[3]道具信息!G516)</f>
        <v/>
      </c>
      <c r="H516" s="37" t="str">
        <f>IF([3]道具信息!H516="","",[3]道具信息!H516)</f>
        <v/>
      </c>
      <c r="I516" s="37" t="str">
        <f>IF([3]道具信息!I516="","",[3]道具信息!I516)</f>
        <v/>
      </c>
      <c r="J516" s="37" t="str">
        <f>IF([3]道具信息!J516="","",[3]道具信息!J516)</f>
        <v/>
      </c>
      <c r="K516" s="37" t="str">
        <f>IF([3]道具信息!K516="","",[3]道具信息!K516)</f>
        <v/>
      </c>
      <c r="L516" s="37" t="str">
        <f>IF([3]道具信息!L516="","",[3]道具信息!L516)</f>
        <v/>
      </c>
      <c r="M516" s="37" t="str">
        <f>IF([3]道具信息!M516="","",[3]道具信息!M516)</f>
        <v/>
      </c>
      <c r="N516" s="37"/>
      <c r="O516" s="37" t="str">
        <f>IF([3]道具信息!O516="","",[3]道具信息!O516)</f>
        <v/>
      </c>
      <c r="P516" s="37" t="str">
        <f>IF([3]道具信息!P516="","",[3]道具信息!P516)</f>
        <v/>
      </c>
      <c r="Q516" s="37" t="str">
        <f>IF([3]道具信息!Q516="","",[3]道具信息!Q516)</f>
        <v/>
      </c>
    </row>
    <row r="517" spans="3:17" x14ac:dyDescent="0.15">
      <c r="C517" s="37" t="str">
        <f>IF([3]道具信息!C517="","",[3]道具信息!C517)</f>
        <v/>
      </c>
      <c r="D517" s="37" t="str">
        <f>IF([3]道具信息!D517="","",[3]道具信息!D517)</f>
        <v/>
      </c>
      <c r="E517" s="37" t="str">
        <f>IF([3]道具信息!E517="","",[3]道具信息!E517)</f>
        <v/>
      </c>
      <c r="F517" s="37" t="str">
        <f>IF([3]道具信息!F517="","",[3]道具信息!F517)</f>
        <v/>
      </c>
      <c r="G517" s="37" t="str">
        <f>IF([3]道具信息!G517="","",[3]道具信息!G517)</f>
        <v/>
      </c>
      <c r="H517" s="37" t="str">
        <f>IF([3]道具信息!H517="","",[3]道具信息!H517)</f>
        <v/>
      </c>
      <c r="I517" s="37" t="str">
        <f>IF([3]道具信息!I517="","",[3]道具信息!I517)</f>
        <v/>
      </c>
      <c r="J517" s="37" t="str">
        <f>IF([3]道具信息!J517="","",[3]道具信息!J517)</f>
        <v/>
      </c>
      <c r="K517" s="37" t="str">
        <f>IF([3]道具信息!K517="","",[3]道具信息!K517)</f>
        <v/>
      </c>
      <c r="L517" s="37" t="str">
        <f>IF([3]道具信息!L517="","",[3]道具信息!L517)</f>
        <v/>
      </c>
      <c r="M517" s="37" t="str">
        <f>IF([3]道具信息!M517="","",[3]道具信息!M517)</f>
        <v/>
      </c>
      <c r="N517" s="37"/>
      <c r="O517" s="37" t="str">
        <f>IF([3]道具信息!O517="","",[3]道具信息!O517)</f>
        <v/>
      </c>
      <c r="P517" s="37" t="str">
        <f>IF([3]道具信息!P517="","",[3]道具信息!P517)</f>
        <v/>
      </c>
      <c r="Q517" s="37" t="str">
        <f>IF([3]道具信息!Q517="","",[3]道具信息!Q517)</f>
        <v/>
      </c>
    </row>
    <row r="518" spans="3:17" x14ac:dyDescent="0.15">
      <c r="C518" s="37" t="str">
        <f>IF([3]道具信息!C518="","",[3]道具信息!C518)</f>
        <v/>
      </c>
      <c r="D518" s="37" t="str">
        <f>IF([3]道具信息!D518="","",[3]道具信息!D518)</f>
        <v/>
      </c>
      <c r="E518" s="37" t="str">
        <f>IF([3]道具信息!E518="","",[3]道具信息!E518)</f>
        <v/>
      </c>
      <c r="F518" s="37" t="str">
        <f>IF([3]道具信息!F518="","",[3]道具信息!F518)</f>
        <v/>
      </c>
      <c r="G518" s="37" t="str">
        <f>IF([3]道具信息!G518="","",[3]道具信息!G518)</f>
        <v/>
      </c>
      <c r="H518" s="37" t="str">
        <f>IF([3]道具信息!H518="","",[3]道具信息!H518)</f>
        <v/>
      </c>
      <c r="I518" s="37" t="str">
        <f>IF([3]道具信息!I518="","",[3]道具信息!I518)</f>
        <v/>
      </c>
      <c r="J518" s="37" t="str">
        <f>IF([3]道具信息!J518="","",[3]道具信息!J518)</f>
        <v/>
      </c>
      <c r="K518" s="37" t="str">
        <f>IF([3]道具信息!K518="","",[3]道具信息!K518)</f>
        <v/>
      </c>
      <c r="L518" s="37" t="str">
        <f>IF([3]道具信息!L518="","",[3]道具信息!L518)</f>
        <v/>
      </c>
      <c r="M518" s="37" t="str">
        <f>IF([3]道具信息!M518="","",[3]道具信息!M518)</f>
        <v/>
      </c>
      <c r="N518" s="37"/>
      <c r="O518" s="37" t="str">
        <f>IF([3]道具信息!O518="","",[3]道具信息!O518)</f>
        <v/>
      </c>
      <c r="P518" s="37" t="str">
        <f>IF([3]道具信息!P518="","",[3]道具信息!P518)</f>
        <v/>
      </c>
      <c r="Q518" s="37" t="str">
        <f>IF([3]道具信息!Q518="","",[3]道具信息!Q518)</f>
        <v/>
      </c>
    </row>
    <row r="519" spans="3:17" x14ac:dyDescent="0.15">
      <c r="C519" s="37" t="str">
        <f>IF([3]道具信息!C519="","",[3]道具信息!C519)</f>
        <v/>
      </c>
      <c r="D519" s="37" t="str">
        <f>IF([3]道具信息!D519="","",[3]道具信息!D519)</f>
        <v/>
      </c>
      <c r="E519" s="37" t="str">
        <f>IF([3]道具信息!E519="","",[3]道具信息!E519)</f>
        <v/>
      </c>
      <c r="F519" s="37" t="str">
        <f>IF([3]道具信息!F519="","",[3]道具信息!F519)</f>
        <v/>
      </c>
      <c r="G519" s="37" t="str">
        <f>IF([3]道具信息!G519="","",[3]道具信息!G519)</f>
        <v/>
      </c>
      <c r="H519" s="37" t="str">
        <f>IF([3]道具信息!H519="","",[3]道具信息!H519)</f>
        <v/>
      </c>
      <c r="I519" s="37" t="str">
        <f>IF([3]道具信息!I519="","",[3]道具信息!I519)</f>
        <v/>
      </c>
      <c r="J519" s="37" t="str">
        <f>IF([3]道具信息!J519="","",[3]道具信息!J519)</f>
        <v/>
      </c>
      <c r="K519" s="37" t="str">
        <f>IF([3]道具信息!K519="","",[3]道具信息!K519)</f>
        <v/>
      </c>
      <c r="L519" s="37" t="str">
        <f>IF([3]道具信息!L519="","",[3]道具信息!L519)</f>
        <v/>
      </c>
      <c r="M519" s="37" t="str">
        <f>IF([3]道具信息!M519="","",[3]道具信息!M519)</f>
        <v/>
      </c>
      <c r="N519" s="37"/>
      <c r="O519" s="37" t="str">
        <f>IF([3]道具信息!O519="","",[3]道具信息!O519)</f>
        <v/>
      </c>
      <c r="P519" s="37" t="str">
        <f>IF([3]道具信息!P519="","",[3]道具信息!P519)</f>
        <v/>
      </c>
      <c r="Q519" s="37" t="str">
        <f>IF([3]道具信息!Q519="","",[3]道具信息!Q519)</f>
        <v/>
      </c>
    </row>
    <row r="520" spans="3:17" x14ac:dyDescent="0.15">
      <c r="C520" s="37" t="str">
        <f>IF([3]道具信息!C520="","",[3]道具信息!C520)</f>
        <v/>
      </c>
      <c r="D520" s="37" t="str">
        <f>IF([3]道具信息!D520="","",[3]道具信息!D520)</f>
        <v/>
      </c>
      <c r="E520" s="37" t="str">
        <f>IF([3]道具信息!E520="","",[3]道具信息!E520)</f>
        <v/>
      </c>
      <c r="F520" s="37" t="str">
        <f>IF([3]道具信息!F520="","",[3]道具信息!F520)</f>
        <v/>
      </c>
      <c r="G520" s="37" t="str">
        <f>IF([3]道具信息!G520="","",[3]道具信息!G520)</f>
        <v/>
      </c>
      <c r="H520" s="37" t="str">
        <f>IF([3]道具信息!H520="","",[3]道具信息!H520)</f>
        <v/>
      </c>
      <c r="I520" s="37" t="str">
        <f>IF([3]道具信息!I520="","",[3]道具信息!I520)</f>
        <v/>
      </c>
      <c r="J520" s="37" t="str">
        <f>IF([3]道具信息!J520="","",[3]道具信息!J520)</f>
        <v/>
      </c>
      <c r="K520" s="37" t="str">
        <f>IF([3]道具信息!K520="","",[3]道具信息!K520)</f>
        <v/>
      </c>
      <c r="L520" s="37" t="str">
        <f>IF([3]道具信息!L520="","",[3]道具信息!L520)</f>
        <v/>
      </c>
      <c r="M520" s="37" t="str">
        <f>IF([3]道具信息!M520="","",[3]道具信息!M520)</f>
        <v/>
      </c>
      <c r="N520" s="37"/>
      <c r="O520" s="37" t="str">
        <f>IF([3]道具信息!O520="","",[3]道具信息!O520)</f>
        <v/>
      </c>
      <c r="P520" s="37" t="str">
        <f>IF([3]道具信息!P520="","",[3]道具信息!P520)</f>
        <v/>
      </c>
      <c r="Q520" s="37" t="str">
        <f>IF([3]道具信息!Q520="","",[3]道具信息!Q520)</f>
        <v/>
      </c>
    </row>
    <row r="521" spans="3:17" x14ac:dyDescent="0.15">
      <c r="C521" s="37" t="str">
        <f>IF([3]道具信息!C521="","",[3]道具信息!C521)</f>
        <v/>
      </c>
      <c r="D521" s="37" t="str">
        <f>IF([3]道具信息!D521="","",[3]道具信息!D521)</f>
        <v/>
      </c>
      <c r="E521" s="37" t="str">
        <f>IF([3]道具信息!E521="","",[3]道具信息!E521)</f>
        <v/>
      </c>
      <c r="F521" s="37" t="str">
        <f>IF([3]道具信息!F521="","",[3]道具信息!F521)</f>
        <v/>
      </c>
      <c r="G521" s="37" t="str">
        <f>IF([3]道具信息!G521="","",[3]道具信息!G521)</f>
        <v/>
      </c>
      <c r="H521" s="37" t="str">
        <f>IF([3]道具信息!H521="","",[3]道具信息!H521)</f>
        <v/>
      </c>
      <c r="I521" s="37" t="str">
        <f>IF([3]道具信息!I521="","",[3]道具信息!I521)</f>
        <v/>
      </c>
      <c r="J521" s="37" t="str">
        <f>IF([3]道具信息!J521="","",[3]道具信息!J521)</f>
        <v/>
      </c>
      <c r="K521" s="37" t="str">
        <f>IF([3]道具信息!K521="","",[3]道具信息!K521)</f>
        <v/>
      </c>
      <c r="L521" s="37" t="str">
        <f>IF([3]道具信息!L521="","",[3]道具信息!L521)</f>
        <v/>
      </c>
      <c r="M521" s="37" t="str">
        <f>IF([3]道具信息!M521="","",[3]道具信息!M521)</f>
        <v/>
      </c>
      <c r="N521" s="37"/>
      <c r="O521" s="37" t="str">
        <f>IF([3]道具信息!O521="","",[3]道具信息!O521)</f>
        <v/>
      </c>
      <c r="P521" s="37" t="str">
        <f>IF([3]道具信息!P521="","",[3]道具信息!P521)</f>
        <v/>
      </c>
      <c r="Q521" s="37" t="str">
        <f>IF([3]道具信息!Q521="","",[3]道具信息!Q521)</f>
        <v/>
      </c>
    </row>
    <row r="522" spans="3:17" x14ac:dyDescent="0.15">
      <c r="C522" s="37" t="str">
        <f>IF([3]道具信息!C522="","",[3]道具信息!C522)</f>
        <v/>
      </c>
      <c r="D522" s="37" t="str">
        <f>IF([3]道具信息!D522="","",[3]道具信息!D522)</f>
        <v/>
      </c>
      <c r="E522" s="37" t="str">
        <f>IF([3]道具信息!E522="","",[3]道具信息!E522)</f>
        <v/>
      </c>
      <c r="F522" s="37" t="str">
        <f>IF([3]道具信息!F522="","",[3]道具信息!F522)</f>
        <v/>
      </c>
      <c r="G522" s="37" t="str">
        <f>IF([3]道具信息!G522="","",[3]道具信息!G522)</f>
        <v/>
      </c>
      <c r="H522" s="37" t="str">
        <f>IF([3]道具信息!H522="","",[3]道具信息!H522)</f>
        <v/>
      </c>
      <c r="I522" s="37" t="str">
        <f>IF([3]道具信息!I522="","",[3]道具信息!I522)</f>
        <v/>
      </c>
      <c r="J522" s="37" t="str">
        <f>IF([3]道具信息!J522="","",[3]道具信息!J522)</f>
        <v/>
      </c>
      <c r="K522" s="37" t="str">
        <f>IF([3]道具信息!K522="","",[3]道具信息!K522)</f>
        <v/>
      </c>
      <c r="L522" s="37" t="str">
        <f>IF([3]道具信息!L522="","",[3]道具信息!L522)</f>
        <v/>
      </c>
      <c r="M522" s="37" t="str">
        <f>IF([3]道具信息!M522="","",[3]道具信息!M522)</f>
        <v/>
      </c>
      <c r="N522" s="37"/>
      <c r="O522" s="37" t="str">
        <f>IF([3]道具信息!O522="","",[3]道具信息!O522)</f>
        <v/>
      </c>
      <c r="P522" s="37" t="str">
        <f>IF([3]道具信息!P522="","",[3]道具信息!P522)</f>
        <v/>
      </c>
      <c r="Q522" s="37" t="str">
        <f>IF([3]道具信息!Q522="","",[3]道具信息!Q522)</f>
        <v/>
      </c>
    </row>
    <row r="523" spans="3:17" x14ac:dyDescent="0.15">
      <c r="C523" s="37" t="str">
        <f>IF([3]道具信息!C523="","",[3]道具信息!C523)</f>
        <v/>
      </c>
      <c r="D523" s="37" t="str">
        <f>IF([3]道具信息!D523="","",[3]道具信息!D523)</f>
        <v/>
      </c>
      <c r="E523" s="37" t="str">
        <f>IF([3]道具信息!E523="","",[3]道具信息!E523)</f>
        <v/>
      </c>
      <c r="F523" s="37" t="str">
        <f>IF([3]道具信息!F523="","",[3]道具信息!F523)</f>
        <v/>
      </c>
      <c r="G523" s="37" t="str">
        <f>IF([3]道具信息!G523="","",[3]道具信息!G523)</f>
        <v/>
      </c>
      <c r="H523" s="37" t="str">
        <f>IF([3]道具信息!H523="","",[3]道具信息!H523)</f>
        <v/>
      </c>
      <c r="I523" s="37" t="str">
        <f>IF([3]道具信息!I523="","",[3]道具信息!I523)</f>
        <v/>
      </c>
      <c r="J523" s="37" t="str">
        <f>IF([3]道具信息!J523="","",[3]道具信息!J523)</f>
        <v/>
      </c>
      <c r="K523" s="37" t="str">
        <f>IF([3]道具信息!K523="","",[3]道具信息!K523)</f>
        <v/>
      </c>
      <c r="L523" s="37" t="str">
        <f>IF([3]道具信息!L523="","",[3]道具信息!L523)</f>
        <v/>
      </c>
      <c r="M523" s="37" t="str">
        <f>IF([3]道具信息!M523="","",[3]道具信息!M523)</f>
        <v/>
      </c>
      <c r="N523" s="37"/>
      <c r="O523" s="37" t="str">
        <f>IF([3]道具信息!O523="","",[3]道具信息!O523)</f>
        <v/>
      </c>
      <c r="P523" s="37" t="str">
        <f>IF([3]道具信息!P523="","",[3]道具信息!P523)</f>
        <v/>
      </c>
      <c r="Q523" s="37" t="str">
        <f>IF([3]道具信息!Q523="","",[3]道具信息!Q523)</f>
        <v/>
      </c>
    </row>
    <row r="524" spans="3:17" x14ac:dyDescent="0.15">
      <c r="C524" s="37" t="str">
        <f>IF([3]道具信息!C524="","",[3]道具信息!C524)</f>
        <v/>
      </c>
      <c r="D524" s="37" t="str">
        <f>IF([3]道具信息!D524="","",[3]道具信息!D524)</f>
        <v/>
      </c>
      <c r="E524" s="37" t="str">
        <f>IF([3]道具信息!E524="","",[3]道具信息!E524)</f>
        <v/>
      </c>
      <c r="F524" s="37" t="str">
        <f>IF([3]道具信息!F524="","",[3]道具信息!F524)</f>
        <v/>
      </c>
      <c r="G524" s="37" t="str">
        <f>IF([3]道具信息!G524="","",[3]道具信息!G524)</f>
        <v/>
      </c>
      <c r="H524" s="37" t="str">
        <f>IF([3]道具信息!H524="","",[3]道具信息!H524)</f>
        <v/>
      </c>
      <c r="I524" s="37" t="str">
        <f>IF([3]道具信息!I524="","",[3]道具信息!I524)</f>
        <v/>
      </c>
      <c r="J524" s="37" t="str">
        <f>IF([3]道具信息!J524="","",[3]道具信息!J524)</f>
        <v/>
      </c>
      <c r="K524" s="37" t="str">
        <f>IF([3]道具信息!K524="","",[3]道具信息!K524)</f>
        <v/>
      </c>
      <c r="L524" s="37" t="str">
        <f>IF([3]道具信息!L524="","",[3]道具信息!L524)</f>
        <v/>
      </c>
      <c r="M524" s="37" t="str">
        <f>IF([3]道具信息!M524="","",[3]道具信息!M524)</f>
        <v/>
      </c>
      <c r="N524" s="37"/>
      <c r="O524" s="37" t="str">
        <f>IF([3]道具信息!O524="","",[3]道具信息!O524)</f>
        <v/>
      </c>
      <c r="P524" s="37" t="str">
        <f>IF([3]道具信息!P524="","",[3]道具信息!P524)</f>
        <v/>
      </c>
      <c r="Q524" s="37" t="str">
        <f>IF([3]道具信息!Q524="","",[3]道具信息!Q524)</f>
        <v/>
      </c>
    </row>
    <row r="525" spans="3:17" x14ac:dyDescent="0.15">
      <c r="C525" s="37" t="str">
        <f>IF([3]道具信息!C525="","",[3]道具信息!C525)</f>
        <v/>
      </c>
      <c r="D525" s="37" t="str">
        <f>IF([3]道具信息!D525="","",[3]道具信息!D525)</f>
        <v/>
      </c>
      <c r="E525" s="37" t="str">
        <f>IF([3]道具信息!E525="","",[3]道具信息!E525)</f>
        <v/>
      </c>
      <c r="F525" s="37" t="str">
        <f>IF([3]道具信息!F525="","",[3]道具信息!F525)</f>
        <v/>
      </c>
      <c r="G525" s="37" t="str">
        <f>IF([3]道具信息!G525="","",[3]道具信息!G525)</f>
        <v/>
      </c>
      <c r="H525" s="37" t="str">
        <f>IF([3]道具信息!H525="","",[3]道具信息!H525)</f>
        <v/>
      </c>
      <c r="I525" s="37" t="str">
        <f>IF([3]道具信息!I525="","",[3]道具信息!I525)</f>
        <v/>
      </c>
      <c r="J525" s="37" t="str">
        <f>IF([3]道具信息!J525="","",[3]道具信息!J525)</f>
        <v/>
      </c>
      <c r="K525" s="37" t="str">
        <f>IF([3]道具信息!K525="","",[3]道具信息!K525)</f>
        <v/>
      </c>
      <c r="L525" s="37" t="str">
        <f>IF([3]道具信息!L525="","",[3]道具信息!L525)</f>
        <v/>
      </c>
      <c r="M525" s="37" t="str">
        <f>IF([3]道具信息!M525="","",[3]道具信息!M525)</f>
        <v/>
      </c>
      <c r="N525" s="37"/>
      <c r="O525" s="37" t="str">
        <f>IF([3]道具信息!O525="","",[3]道具信息!O525)</f>
        <v/>
      </c>
      <c r="P525" s="37" t="str">
        <f>IF([3]道具信息!P525="","",[3]道具信息!P525)</f>
        <v/>
      </c>
      <c r="Q525" s="37" t="str">
        <f>IF([3]道具信息!Q525="","",[3]道具信息!Q525)</f>
        <v/>
      </c>
    </row>
    <row r="526" spans="3:17" x14ac:dyDescent="0.15">
      <c r="C526" s="37" t="str">
        <f>IF([3]道具信息!C526="","",[3]道具信息!C526)</f>
        <v/>
      </c>
      <c r="D526" s="37" t="str">
        <f>IF([3]道具信息!D526="","",[3]道具信息!D526)</f>
        <v/>
      </c>
      <c r="E526" s="37" t="str">
        <f>IF([3]道具信息!E526="","",[3]道具信息!E526)</f>
        <v/>
      </c>
      <c r="F526" s="37" t="str">
        <f>IF([3]道具信息!F526="","",[3]道具信息!F526)</f>
        <v/>
      </c>
      <c r="G526" s="37" t="str">
        <f>IF([3]道具信息!G526="","",[3]道具信息!G526)</f>
        <v/>
      </c>
      <c r="H526" s="37" t="str">
        <f>IF([3]道具信息!H526="","",[3]道具信息!H526)</f>
        <v/>
      </c>
      <c r="I526" s="37" t="str">
        <f>IF([3]道具信息!I526="","",[3]道具信息!I526)</f>
        <v/>
      </c>
      <c r="J526" s="37" t="str">
        <f>IF([3]道具信息!J526="","",[3]道具信息!J526)</f>
        <v/>
      </c>
      <c r="K526" s="37" t="str">
        <f>IF([3]道具信息!K526="","",[3]道具信息!K526)</f>
        <v/>
      </c>
      <c r="L526" s="37" t="str">
        <f>IF([3]道具信息!L526="","",[3]道具信息!L526)</f>
        <v/>
      </c>
      <c r="M526" s="37" t="str">
        <f>IF([3]道具信息!M526="","",[3]道具信息!M526)</f>
        <v/>
      </c>
      <c r="N526" s="37"/>
      <c r="O526" s="37" t="str">
        <f>IF([3]道具信息!O526="","",[3]道具信息!O526)</f>
        <v/>
      </c>
      <c r="P526" s="37" t="str">
        <f>IF([3]道具信息!P526="","",[3]道具信息!P526)</f>
        <v/>
      </c>
      <c r="Q526" s="37" t="str">
        <f>IF([3]道具信息!Q526="","",[3]道具信息!Q526)</f>
        <v/>
      </c>
    </row>
    <row r="527" spans="3:17" x14ac:dyDescent="0.15">
      <c r="C527" s="37" t="str">
        <f>IF([3]道具信息!C527="","",[3]道具信息!C527)</f>
        <v/>
      </c>
      <c r="D527" s="37" t="str">
        <f>IF([3]道具信息!D527="","",[3]道具信息!D527)</f>
        <v/>
      </c>
      <c r="E527" s="37" t="str">
        <f>IF([3]道具信息!E527="","",[3]道具信息!E527)</f>
        <v/>
      </c>
      <c r="F527" s="37" t="str">
        <f>IF([3]道具信息!F527="","",[3]道具信息!F527)</f>
        <v/>
      </c>
      <c r="G527" s="37" t="str">
        <f>IF([3]道具信息!G527="","",[3]道具信息!G527)</f>
        <v/>
      </c>
      <c r="H527" s="37" t="str">
        <f>IF([3]道具信息!H527="","",[3]道具信息!H527)</f>
        <v/>
      </c>
      <c r="I527" s="37" t="str">
        <f>IF([3]道具信息!I527="","",[3]道具信息!I527)</f>
        <v/>
      </c>
      <c r="J527" s="37" t="str">
        <f>IF([3]道具信息!J527="","",[3]道具信息!J527)</f>
        <v/>
      </c>
      <c r="K527" s="37" t="str">
        <f>IF([3]道具信息!K527="","",[3]道具信息!K527)</f>
        <v/>
      </c>
      <c r="L527" s="37" t="str">
        <f>IF([3]道具信息!L527="","",[3]道具信息!L527)</f>
        <v/>
      </c>
      <c r="M527" s="37" t="str">
        <f>IF([3]道具信息!M527="","",[3]道具信息!M527)</f>
        <v/>
      </c>
      <c r="N527" s="37"/>
      <c r="O527" s="37" t="str">
        <f>IF([3]道具信息!O527="","",[3]道具信息!O527)</f>
        <v/>
      </c>
      <c r="P527" s="37" t="str">
        <f>IF([3]道具信息!P527="","",[3]道具信息!P527)</f>
        <v/>
      </c>
      <c r="Q527" s="37" t="str">
        <f>IF([3]道具信息!Q527="","",[3]道具信息!Q527)</f>
        <v/>
      </c>
    </row>
    <row r="528" spans="3:17" x14ac:dyDescent="0.15">
      <c r="C528" s="37" t="str">
        <f>IF([3]道具信息!C528="","",[3]道具信息!C528)</f>
        <v/>
      </c>
      <c r="D528" s="37" t="str">
        <f>IF([3]道具信息!D528="","",[3]道具信息!D528)</f>
        <v/>
      </c>
      <c r="E528" s="37" t="str">
        <f>IF([3]道具信息!E528="","",[3]道具信息!E528)</f>
        <v/>
      </c>
      <c r="F528" s="37" t="str">
        <f>IF([3]道具信息!F528="","",[3]道具信息!F528)</f>
        <v/>
      </c>
      <c r="G528" s="37" t="str">
        <f>IF([3]道具信息!G528="","",[3]道具信息!G528)</f>
        <v/>
      </c>
      <c r="H528" s="37" t="str">
        <f>IF([3]道具信息!H528="","",[3]道具信息!H528)</f>
        <v/>
      </c>
      <c r="I528" s="37" t="str">
        <f>IF([3]道具信息!I528="","",[3]道具信息!I528)</f>
        <v/>
      </c>
      <c r="J528" s="37" t="str">
        <f>IF([3]道具信息!J528="","",[3]道具信息!J528)</f>
        <v/>
      </c>
      <c r="K528" s="37" t="str">
        <f>IF([3]道具信息!K528="","",[3]道具信息!K528)</f>
        <v/>
      </c>
      <c r="L528" s="37" t="str">
        <f>IF([3]道具信息!L528="","",[3]道具信息!L528)</f>
        <v/>
      </c>
      <c r="M528" s="37" t="str">
        <f>IF([3]道具信息!M528="","",[3]道具信息!M528)</f>
        <v/>
      </c>
      <c r="N528" s="37"/>
      <c r="O528" s="37" t="str">
        <f>IF([3]道具信息!O528="","",[3]道具信息!O528)</f>
        <v/>
      </c>
      <c r="P528" s="37" t="str">
        <f>IF([3]道具信息!P528="","",[3]道具信息!P528)</f>
        <v/>
      </c>
      <c r="Q528" s="37" t="str">
        <f>IF([3]道具信息!Q528="","",[3]道具信息!Q528)</f>
        <v/>
      </c>
    </row>
    <row r="529" spans="3:17" x14ac:dyDescent="0.15">
      <c r="C529" s="37" t="str">
        <f>IF([3]道具信息!C529="","",[3]道具信息!C529)</f>
        <v/>
      </c>
      <c r="D529" s="37" t="str">
        <f>IF([3]道具信息!D529="","",[3]道具信息!D529)</f>
        <v/>
      </c>
      <c r="E529" s="37" t="str">
        <f>IF([3]道具信息!E529="","",[3]道具信息!E529)</f>
        <v/>
      </c>
      <c r="F529" s="37" t="str">
        <f>IF([3]道具信息!F529="","",[3]道具信息!F529)</f>
        <v/>
      </c>
      <c r="G529" s="37" t="str">
        <f>IF([3]道具信息!G529="","",[3]道具信息!G529)</f>
        <v/>
      </c>
      <c r="H529" s="37" t="str">
        <f>IF([3]道具信息!H529="","",[3]道具信息!H529)</f>
        <v/>
      </c>
      <c r="I529" s="37" t="str">
        <f>IF([3]道具信息!I529="","",[3]道具信息!I529)</f>
        <v/>
      </c>
      <c r="J529" s="37" t="str">
        <f>IF([3]道具信息!J529="","",[3]道具信息!J529)</f>
        <v/>
      </c>
      <c r="K529" s="37" t="str">
        <f>IF([3]道具信息!K529="","",[3]道具信息!K529)</f>
        <v/>
      </c>
      <c r="L529" s="37" t="str">
        <f>IF([3]道具信息!L529="","",[3]道具信息!L529)</f>
        <v/>
      </c>
      <c r="M529" s="37" t="str">
        <f>IF([3]道具信息!M529="","",[3]道具信息!M529)</f>
        <v/>
      </c>
      <c r="N529" s="37"/>
      <c r="O529" s="37" t="str">
        <f>IF([3]道具信息!O529="","",[3]道具信息!O529)</f>
        <v/>
      </c>
      <c r="P529" s="37" t="str">
        <f>IF([3]道具信息!P529="","",[3]道具信息!P529)</f>
        <v/>
      </c>
      <c r="Q529" s="37" t="str">
        <f>IF([3]道具信息!Q529="","",[3]道具信息!Q529)</f>
        <v/>
      </c>
    </row>
    <row r="530" spans="3:17" x14ac:dyDescent="0.15">
      <c r="C530" s="37" t="str">
        <f>IF([3]道具信息!C530="","",[3]道具信息!C530)</f>
        <v/>
      </c>
      <c r="D530" s="37" t="str">
        <f>IF([3]道具信息!D530="","",[3]道具信息!D530)</f>
        <v/>
      </c>
      <c r="E530" s="37" t="str">
        <f>IF([3]道具信息!E530="","",[3]道具信息!E530)</f>
        <v/>
      </c>
      <c r="F530" s="37" t="str">
        <f>IF([3]道具信息!F530="","",[3]道具信息!F530)</f>
        <v/>
      </c>
      <c r="G530" s="37" t="str">
        <f>IF([3]道具信息!G530="","",[3]道具信息!G530)</f>
        <v/>
      </c>
      <c r="H530" s="37" t="str">
        <f>IF([3]道具信息!H530="","",[3]道具信息!H530)</f>
        <v/>
      </c>
      <c r="I530" s="37" t="str">
        <f>IF([3]道具信息!I530="","",[3]道具信息!I530)</f>
        <v/>
      </c>
      <c r="J530" s="37" t="str">
        <f>IF([3]道具信息!J530="","",[3]道具信息!J530)</f>
        <v/>
      </c>
      <c r="K530" s="37" t="str">
        <f>IF([3]道具信息!K530="","",[3]道具信息!K530)</f>
        <v/>
      </c>
      <c r="L530" s="37" t="str">
        <f>IF([3]道具信息!L530="","",[3]道具信息!L530)</f>
        <v/>
      </c>
      <c r="M530" s="37" t="str">
        <f>IF([3]道具信息!M530="","",[3]道具信息!M530)</f>
        <v/>
      </c>
      <c r="N530" s="37"/>
      <c r="O530" s="37" t="str">
        <f>IF([3]道具信息!O530="","",[3]道具信息!O530)</f>
        <v/>
      </c>
      <c r="P530" s="37" t="str">
        <f>IF([3]道具信息!P530="","",[3]道具信息!P530)</f>
        <v/>
      </c>
      <c r="Q530" s="37" t="str">
        <f>IF([3]道具信息!Q530="","",[3]道具信息!Q530)</f>
        <v/>
      </c>
    </row>
    <row r="531" spans="3:17" x14ac:dyDescent="0.15">
      <c r="C531" s="37" t="str">
        <f>IF([3]道具信息!C531="","",[3]道具信息!C531)</f>
        <v/>
      </c>
      <c r="D531" s="37" t="str">
        <f>IF([3]道具信息!D531="","",[3]道具信息!D531)</f>
        <v/>
      </c>
      <c r="E531" s="37" t="str">
        <f>IF([3]道具信息!E531="","",[3]道具信息!E531)</f>
        <v/>
      </c>
      <c r="F531" s="37" t="str">
        <f>IF([3]道具信息!F531="","",[3]道具信息!F531)</f>
        <v/>
      </c>
      <c r="G531" s="37" t="str">
        <f>IF([3]道具信息!G531="","",[3]道具信息!G531)</f>
        <v/>
      </c>
      <c r="H531" s="37" t="str">
        <f>IF([3]道具信息!H531="","",[3]道具信息!H531)</f>
        <v/>
      </c>
      <c r="I531" s="37" t="str">
        <f>IF([3]道具信息!I531="","",[3]道具信息!I531)</f>
        <v/>
      </c>
      <c r="J531" s="37" t="str">
        <f>IF([3]道具信息!J531="","",[3]道具信息!J531)</f>
        <v/>
      </c>
      <c r="K531" s="37" t="str">
        <f>IF([3]道具信息!K531="","",[3]道具信息!K531)</f>
        <v/>
      </c>
      <c r="L531" s="37" t="str">
        <f>IF([3]道具信息!L531="","",[3]道具信息!L531)</f>
        <v/>
      </c>
      <c r="M531" s="37" t="str">
        <f>IF([3]道具信息!M531="","",[3]道具信息!M531)</f>
        <v/>
      </c>
      <c r="N531" s="37"/>
      <c r="O531" s="37" t="str">
        <f>IF([3]道具信息!O531="","",[3]道具信息!O531)</f>
        <v/>
      </c>
      <c r="P531" s="37" t="str">
        <f>IF([3]道具信息!P531="","",[3]道具信息!P531)</f>
        <v/>
      </c>
      <c r="Q531" s="37" t="str">
        <f>IF([3]道具信息!Q531="","",[3]道具信息!Q531)</f>
        <v/>
      </c>
    </row>
    <row r="532" spans="3:17" x14ac:dyDescent="0.15">
      <c r="C532" s="37" t="str">
        <f>IF([3]道具信息!C532="","",[3]道具信息!C532)</f>
        <v/>
      </c>
      <c r="D532" s="37" t="str">
        <f>IF([3]道具信息!D532="","",[3]道具信息!D532)</f>
        <v/>
      </c>
      <c r="E532" s="37" t="str">
        <f>IF([3]道具信息!E532="","",[3]道具信息!E532)</f>
        <v/>
      </c>
      <c r="F532" s="37" t="str">
        <f>IF([3]道具信息!F532="","",[3]道具信息!F532)</f>
        <v/>
      </c>
      <c r="G532" s="37" t="str">
        <f>IF([3]道具信息!G532="","",[3]道具信息!G532)</f>
        <v/>
      </c>
      <c r="H532" s="37" t="str">
        <f>IF([3]道具信息!H532="","",[3]道具信息!H532)</f>
        <v/>
      </c>
      <c r="I532" s="37" t="str">
        <f>IF([3]道具信息!I532="","",[3]道具信息!I532)</f>
        <v/>
      </c>
      <c r="J532" s="37" t="str">
        <f>IF([3]道具信息!J532="","",[3]道具信息!J532)</f>
        <v/>
      </c>
      <c r="K532" s="37" t="str">
        <f>IF([3]道具信息!K532="","",[3]道具信息!K532)</f>
        <v/>
      </c>
      <c r="L532" s="37" t="str">
        <f>IF([3]道具信息!L532="","",[3]道具信息!L532)</f>
        <v/>
      </c>
      <c r="M532" s="37" t="str">
        <f>IF([3]道具信息!M532="","",[3]道具信息!M532)</f>
        <v/>
      </c>
      <c r="N532" s="37"/>
      <c r="O532" s="37" t="str">
        <f>IF([3]道具信息!O532="","",[3]道具信息!O532)</f>
        <v/>
      </c>
      <c r="P532" s="37" t="str">
        <f>IF([3]道具信息!P532="","",[3]道具信息!P532)</f>
        <v/>
      </c>
      <c r="Q532" s="37" t="str">
        <f>IF([3]道具信息!Q532="","",[3]道具信息!Q532)</f>
        <v/>
      </c>
    </row>
    <row r="533" spans="3:17" x14ac:dyDescent="0.15">
      <c r="C533" s="37" t="str">
        <f>IF([3]道具信息!C533="","",[3]道具信息!C533)</f>
        <v/>
      </c>
      <c r="D533" s="37" t="str">
        <f>IF([3]道具信息!D533="","",[3]道具信息!D533)</f>
        <v/>
      </c>
      <c r="E533" s="37" t="str">
        <f>IF([3]道具信息!E533="","",[3]道具信息!E533)</f>
        <v/>
      </c>
      <c r="F533" s="37" t="str">
        <f>IF([3]道具信息!F533="","",[3]道具信息!F533)</f>
        <v/>
      </c>
      <c r="G533" s="37" t="str">
        <f>IF([3]道具信息!G533="","",[3]道具信息!G533)</f>
        <v/>
      </c>
      <c r="H533" s="37" t="str">
        <f>IF([3]道具信息!H533="","",[3]道具信息!H533)</f>
        <v/>
      </c>
      <c r="I533" s="37" t="str">
        <f>IF([3]道具信息!I533="","",[3]道具信息!I533)</f>
        <v/>
      </c>
      <c r="J533" s="37" t="str">
        <f>IF([3]道具信息!J533="","",[3]道具信息!J533)</f>
        <v/>
      </c>
      <c r="K533" s="37" t="str">
        <f>IF([3]道具信息!K533="","",[3]道具信息!K533)</f>
        <v/>
      </c>
      <c r="L533" s="37" t="str">
        <f>IF([3]道具信息!L533="","",[3]道具信息!L533)</f>
        <v/>
      </c>
      <c r="M533" s="37" t="str">
        <f>IF([3]道具信息!M533="","",[3]道具信息!M533)</f>
        <v/>
      </c>
      <c r="N533" s="37"/>
      <c r="O533" s="37" t="str">
        <f>IF([3]道具信息!O533="","",[3]道具信息!O533)</f>
        <v/>
      </c>
      <c r="P533" s="37" t="str">
        <f>IF([3]道具信息!P533="","",[3]道具信息!P533)</f>
        <v/>
      </c>
      <c r="Q533" s="37" t="str">
        <f>IF([3]道具信息!Q533="","",[3]道具信息!Q533)</f>
        <v/>
      </c>
    </row>
    <row r="534" spans="3:17" x14ac:dyDescent="0.15">
      <c r="C534" s="37" t="str">
        <f>IF([3]道具信息!C534="","",[3]道具信息!C534)</f>
        <v/>
      </c>
      <c r="D534" s="37" t="str">
        <f>IF([3]道具信息!D534="","",[3]道具信息!D534)</f>
        <v/>
      </c>
      <c r="E534" s="37" t="str">
        <f>IF([3]道具信息!E534="","",[3]道具信息!E534)</f>
        <v/>
      </c>
      <c r="F534" s="37" t="str">
        <f>IF([3]道具信息!F534="","",[3]道具信息!F534)</f>
        <v/>
      </c>
      <c r="G534" s="37" t="str">
        <f>IF([3]道具信息!G534="","",[3]道具信息!G534)</f>
        <v/>
      </c>
      <c r="H534" s="37" t="str">
        <f>IF([3]道具信息!H534="","",[3]道具信息!H534)</f>
        <v/>
      </c>
      <c r="I534" s="37" t="str">
        <f>IF([3]道具信息!I534="","",[3]道具信息!I534)</f>
        <v/>
      </c>
      <c r="J534" s="37" t="str">
        <f>IF([3]道具信息!J534="","",[3]道具信息!J534)</f>
        <v/>
      </c>
      <c r="K534" s="37" t="str">
        <f>IF([3]道具信息!K534="","",[3]道具信息!K534)</f>
        <v/>
      </c>
      <c r="L534" s="37" t="str">
        <f>IF([3]道具信息!L534="","",[3]道具信息!L534)</f>
        <v/>
      </c>
      <c r="M534" s="37" t="str">
        <f>IF([3]道具信息!M534="","",[3]道具信息!M534)</f>
        <v/>
      </c>
      <c r="N534" s="37"/>
      <c r="O534" s="37" t="str">
        <f>IF([3]道具信息!O534="","",[3]道具信息!O534)</f>
        <v/>
      </c>
      <c r="P534" s="37" t="str">
        <f>IF([3]道具信息!P534="","",[3]道具信息!P534)</f>
        <v/>
      </c>
      <c r="Q534" s="37" t="str">
        <f>IF([3]道具信息!Q534="","",[3]道具信息!Q534)</f>
        <v/>
      </c>
    </row>
    <row r="535" spans="3:17" x14ac:dyDescent="0.15">
      <c r="C535" s="37" t="str">
        <f>IF([3]道具信息!C535="","",[3]道具信息!C535)</f>
        <v/>
      </c>
      <c r="D535" s="37" t="str">
        <f>IF([3]道具信息!D535="","",[3]道具信息!D535)</f>
        <v/>
      </c>
      <c r="E535" s="37" t="str">
        <f>IF([3]道具信息!E535="","",[3]道具信息!E535)</f>
        <v/>
      </c>
      <c r="F535" s="37" t="str">
        <f>IF([3]道具信息!F535="","",[3]道具信息!F535)</f>
        <v/>
      </c>
      <c r="G535" s="37" t="str">
        <f>IF([3]道具信息!G535="","",[3]道具信息!G535)</f>
        <v/>
      </c>
      <c r="H535" s="37" t="str">
        <f>IF([3]道具信息!H535="","",[3]道具信息!H535)</f>
        <v/>
      </c>
      <c r="I535" s="37" t="str">
        <f>IF([3]道具信息!I535="","",[3]道具信息!I535)</f>
        <v/>
      </c>
      <c r="J535" s="37" t="str">
        <f>IF([3]道具信息!J535="","",[3]道具信息!J535)</f>
        <v/>
      </c>
      <c r="K535" s="37" t="str">
        <f>IF([3]道具信息!K535="","",[3]道具信息!K535)</f>
        <v/>
      </c>
      <c r="L535" s="37" t="str">
        <f>IF([3]道具信息!L535="","",[3]道具信息!L535)</f>
        <v/>
      </c>
      <c r="M535" s="37" t="str">
        <f>IF([3]道具信息!M535="","",[3]道具信息!M535)</f>
        <v/>
      </c>
      <c r="N535" s="37"/>
      <c r="O535" s="37" t="str">
        <f>IF([3]道具信息!O535="","",[3]道具信息!O535)</f>
        <v/>
      </c>
      <c r="P535" s="37" t="str">
        <f>IF([3]道具信息!P535="","",[3]道具信息!P535)</f>
        <v/>
      </c>
      <c r="Q535" s="37" t="str">
        <f>IF([3]道具信息!Q535="","",[3]道具信息!Q535)</f>
        <v/>
      </c>
    </row>
    <row r="536" spans="3:17" x14ac:dyDescent="0.15">
      <c r="C536" s="37" t="str">
        <f>IF([3]道具信息!C536="","",[3]道具信息!C536)</f>
        <v/>
      </c>
      <c r="D536" s="37" t="str">
        <f>IF([3]道具信息!D536="","",[3]道具信息!D536)</f>
        <v/>
      </c>
      <c r="E536" s="37" t="str">
        <f>IF([3]道具信息!E536="","",[3]道具信息!E536)</f>
        <v/>
      </c>
      <c r="F536" s="37" t="str">
        <f>IF([3]道具信息!F536="","",[3]道具信息!F536)</f>
        <v/>
      </c>
      <c r="G536" s="37" t="str">
        <f>IF([3]道具信息!G536="","",[3]道具信息!G536)</f>
        <v/>
      </c>
      <c r="H536" s="37" t="str">
        <f>IF([3]道具信息!H536="","",[3]道具信息!H536)</f>
        <v/>
      </c>
      <c r="I536" s="37" t="str">
        <f>IF([3]道具信息!I536="","",[3]道具信息!I536)</f>
        <v/>
      </c>
      <c r="J536" s="37" t="str">
        <f>IF([3]道具信息!J536="","",[3]道具信息!J536)</f>
        <v/>
      </c>
      <c r="K536" s="37" t="str">
        <f>IF([3]道具信息!K536="","",[3]道具信息!K536)</f>
        <v/>
      </c>
      <c r="L536" s="37" t="str">
        <f>IF([3]道具信息!L536="","",[3]道具信息!L536)</f>
        <v/>
      </c>
      <c r="M536" s="37" t="str">
        <f>IF([3]道具信息!M536="","",[3]道具信息!M536)</f>
        <v/>
      </c>
      <c r="N536" s="37"/>
      <c r="O536" s="37" t="str">
        <f>IF([3]道具信息!O536="","",[3]道具信息!O536)</f>
        <v/>
      </c>
      <c r="P536" s="37" t="str">
        <f>IF([3]道具信息!P536="","",[3]道具信息!P536)</f>
        <v/>
      </c>
      <c r="Q536" s="37" t="str">
        <f>IF([3]道具信息!Q536="","",[3]道具信息!Q536)</f>
        <v/>
      </c>
    </row>
    <row r="537" spans="3:17" x14ac:dyDescent="0.15">
      <c r="C537" s="37" t="str">
        <f>IF([3]道具信息!C537="","",[3]道具信息!C537)</f>
        <v/>
      </c>
      <c r="D537" s="37" t="str">
        <f>IF([3]道具信息!D537="","",[3]道具信息!D537)</f>
        <v/>
      </c>
      <c r="E537" s="37" t="str">
        <f>IF([3]道具信息!E537="","",[3]道具信息!E537)</f>
        <v/>
      </c>
      <c r="F537" s="37" t="str">
        <f>IF([3]道具信息!F537="","",[3]道具信息!F537)</f>
        <v/>
      </c>
      <c r="G537" s="37" t="str">
        <f>IF([3]道具信息!G537="","",[3]道具信息!G537)</f>
        <v/>
      </c>
      <c r="H537" s="37" t="str">
        <f>IF([3]道具信息!H537="","",[3]道具信息!H537)</f>
        <v/>
      </c>
      <c r="I537" s="37" t="str">
        <f>IF([3]道具信息!I537="","",[3]道具信息!I537)</f>
        <v/>
      </c>
      <c r="J537" s="37" t="str">
        <f>IF([3]道具信息!J537="","",[3]道具信息!J537)</f>
        <v/>
      </c>
      <c r="K537" s="37" t="str">
        <f>IF([3]道具信息!K537="","",[3]道具信息!K537)</f>
        <v/>
      </c>
      <c r="L537" s="37" t="str">
        <f>IF([3]道具信息!L537="","",[3]道具信息!L537)</f>
        <v/>
      </c>
      <c r="M537" s="37" t="str">
        <f>IF([3]道具信息!M537="","",[3]道具信息!M537)</f>
        <v/>
      </c>
      <c r="N537" s="37"/>
      <c r="O537" s="37" t="str">
        <f>IF([3]道具信息!O537="","",[3]道具信息!O537)</f>
        <v/>
      </c>
      <c r="P537" s="37" t="str">
        <f>IF([3]道具信息!P537="","",[3]道具信息!P537)</f>
        <v/>
      </c>
      <c r="Q537" s="37" t="str">
        <f>IF([3]道具信息!Q537="","",[3]道具信息!Q537)</f>
        <v/>
      </c>
    </row>
    <row r="538" spans="3:17" x14ac:dyDescent="0.15">
      <c r="C538" s="37" t="str">
        <f>IF([3]道具信息!C538="","",[3]道具信息!C538)</f>
        <v/>
      </c>
      <c r="D538" s="37" t="str">
        <f>IF([3]道具信息!D538="","",[3]道具信息!D538)</f>
        <v/>
      </c>
      <c r="E538" s="37" t="str">
        <f>IF([3]道具信息!E538="","",[3]道具信息!E538)</f>
        <v/>
      </c>
      <c r="F538" s="37" t="str">
        <f>IF([3]道具信息!F538="","",[3]道具信息!F538)</f>
        <v/>
      </c>
      <c r="G538" s="37" t="str">
        <f>IF([3]道具信息!G538="","",[3]道具信息!G538)</f>
        <v/>
      </c>
      <c r="H538" s="37" t="str">
        <f>IF([3]道具信息!H538="","",[3]道具信息!H538)</f>
        <v/>
      </c>
      <c r="I538" s="37" t="str">
        <f>IF([3]道具信息!I538="","",[3]道具信息!I538)</f>
        <v/>
      </c>
      <c r="J538" s="37" t="str">
        <f>IF([3]道具信息!J538="","",[3]道具信息!J538)</f>
        <v/>
      </c>
      <c r="K538" s="37" t="str">
        <f>IF([3]道具信息!K538="","",[3]道具信息!K538)</f>
        <v/>
      </c>
      <c r="L538" s="37" t="str">
        <f>IF([3]道具信息!L538="","",[3]道具信息!L538)</f>
        <v/>
      </c>
      <c r="M538" s="37" t="str">
        <f>IF([3]道具信息!M538="","",[3]道具信息!M538)</f>
        <v/>
      </c>
      <c r="N538" s="37"/>
      <c r="O538" s="37" t="str">
        <f>IF([3]道具信息!O538="","",[3]道具信息!O538)</f>
        <v/>
      </c>
      <c r="P538" s="37" t="str">
        <f>IF([3]道具信息!P538="","",[3]道具信息!P538)</f>
        <v/>
      </c>
      <c r="Q538" s="37" t="str">
        <f>IF([3]道具信息!Q538="","",[3]道具信息!Q538)</f>
        <v/>
      </c>
    </row>
    <row r="539" spans="3:17" x14ac:dyDescent="0.15">
      <c r="C539" s="37" t="str">
        <f>IF([3]道具信息!C539="","",[3]道具信息!C539)</f>
        <v/>
      </c>
      <c r="D539" s="37" t="str">
        <f>IF([3]道具信息!D539="","",[3]道具信息!D539)</f>
        <v/>
      </c>
      <c r="E539" s="37" t="str">
        <f>IF([3]道具信息!E539="","",[3]道具信息!E539)</f>
        <v/>
      </c>
      <c r="F539" s="37" t="str">
        <f>IF([3]道具信息!F539="","",[3]道具信息!F539)</f>
        <v/>
      </c>
      <c r="G539" s="37" t="str">
        <f>IF([3]道具信息!G539="","",[3]道具信息!G539)</f>
        <v/>
      </c>
      <c r="H539" s="37" t="str">
        <f>IF([3]道具信息!H539="","",[3]道具信息!H539)</f>
        <v/>
      </c>
      <c r="I539" s="37" t="str">
        <f>IF([3]道具信息!I539="","",[3]道具信息!I539)</f>
        <v/>
      </c>
      <c r="J539" s="37" t="str">
        <f>IF([3]道具信息!J539="","",[3]道具信息!J539)</f>
        <v/>
      </c>
      <c r="K539" s="37" t="str">
        <f>IF([3]道具信息!K539="","",[3]道具信息!K539)</f>
        <v/>
      </c>
      <c r="L539" s="37" t="str">
        <f>IF([3]道具信息!L539="","",[3]道具信息!L539)</f>
        <v/>
      </c>
      <c r="M539" s="37" t="str">
        <f>IF([3]道具信息!M539="","",[3]道具信息!M539)</f>
        <v/>
      </c>
      <c r="N539" s="37"/>
      <c r="O539" s="37" t="str">
        <f>IF([3]道具信息!O539="","",[3]道具信息!O539)</f>
        <v/>
      </c>
      <c r="P539" s="37" t="str">
        <f>IF([3]道具信息!P539="","",[3]道具信息!P539)</f>
        <v/>
      </c>
      <c r="Q539" s="37" t="str">
        <f>IF([3]道具信息!Q539="","",[3]道具信息!Q539)</f>
        <v/>
      </c>
    </row>
    <row r="540" spans="3:17" x14ac:dyDescent="0.15">
      <c r="C540" s="37" t="str">
        <f>IF([3]道具信息!C540="","",[3]道具信息!C540)</f>
        <v/>
      </c>
      <c r="D540" s="37" t="str">
        <f>IF([3]道具信息!D540="","",[3]道具信息!D540)</f>
        <v/>
      </c>
      <c r="E540" s="37" t="str">
        <f>IF([3]道具信息!E540="","",[3]道具信息!E540)</f>
        <v/>
      </c>
      <c r="F540" s="37" t="str">
        <f>IF([3]道具信息!F540="","",[3]道具信息!F540)</f>
        <v/>
      </c>
      <c r="G540" s="37" t="str">
        <f>IF([3]道具信息!G540="","",[3]道具信息!G540)</f>
        <v/>
      </c>
      <c r="H540" s="37" t="str">
        <f>IF([3]道具信息!H540="","",[3]道具信息!H540)</f>
        <v/>
      </c>
      <c r="I540" s="37" t="str">
        <f>IF([3]道具信息!I540="","",[3]道具信息!I540)</f>
        <v/>
      </c>
      <c r="J540" s="37" t="str">
        <f>IF([3]道具信息!J540="","",[3]道具信息!J540)</f>
        <v/>
      </c>
      <c r="K540" s="37" t="str">
        <f>IF([3]道具信息!K540="","",[3]道具信息!K540)</f>
        <v/>
      </c>
      <c r="L540" s="37" t="str">
        <f>IF([3]道具信息!L540="","",[3]道具信息!L540)</f>
        <v/>
      </c>
      <c r="M540" s="37" t="str">
        <f>IF([3]道具信息!M540="","",[3]道具信息!M540)</f>
        <v/>
      </c>
      <c r="N540" s="37"/>
      <c r="O540" s="37" t="str">
        <f>IF([3]道具信息!O540="","",[3]道具信息!O540)</f>
        <v/>
      </c>
      <c r="P540" s="37" t="str">
        <f>IF([3]道具信息!P540="","",[3]道具信息!P540)</f>
        <v/>
      </c>
      <c r="Q540" s="37" t="str">
        <f>IF([3]道具信息!Q540="","",[3]道具信息!Q540)</f>
        <v/>
      </c>
    </row>
    <row r="541" spans="3:17" x14ac:dyDescent="0.15">
      <c r="C541" s="37" t="str">
        <f>IF([3]道具信息!C541="","",[3]道具信息!C541)</f>
        <v/>
      </c>
      <c r="D541" s="37" t="str">
        <f>IF([3]道具信息!D541="","",[3]道具信息!D541)</f>
        <v/>
      </c>
      <c r="E541" s="37" t="str">
        <f>IF([3]道具信息!E541="","",[3]道具信息!E541)</f>
        <v/>
      </c>
      <c r="F541" s="37" t="str">
        <f>IF([3]道具信息!F541="","",[3]道具信息!F541)</f>
        <v/>
      </c>
      <c r="G541" s="37" t="str">
        <f>IF([3]道具信息!G541="","",[3]道具信息!G541)</f>
        <v/>
      </c>
      <c r="H541" s="37" t="str">
        <f>IF([3]道具信息!H541="","",[3]道具信息!H541)</f>
        <v/>
      </c>
      <c r="I541" s="37" t="str">
        <f>IF([3]道具信息!I541="","",[3]道具信息!I541)</f>
        <v/>
      </c>
      <c r="J541" s="37" t="str">
        <f>IF([3]道具信息!J541="","",[3]道具信息!J541)</f>
        <v/>
      </c>
      <c r="K541" s="37" t="str">
        <f>IF([3]道具信息!K541="","",[3]道具信息!K541)</f>
        <v/>
      </c>
      <c r="L541" s="37" t="str">
        <f>IF([3]道具信息!L541="","",[3]道具信息!L541)</f>
        <v/>
      </c>
      <c r="M541" s="37" t="str">
        <f>IF([3]道具信息!M541="","",[3]道具信息!M541)</f>
        <v/>
      </c>
      <c r="N541" s="37"/>
      <c r="O541" s="37" t="str">
        <f>IF([3]道具信息!O541="","",[3]道具信息!O541)</f>
        <v/>
      </c>
      <c r="P541" s="37" t="str">
        <f>IF([3]道具信息!P541="","",[3]道具信息!P541)</f>
        <v/>
      </c>
      <c r="Q541" s="37" t="str">
        <f>IF([3]道具信息!Q541="","",[3]道具信息!Q541)</f>
        <v/>
      </c>
    </row>
    <row r="542" spans="3:17" x14ac:dyDescent="0.15">
      <c r="C542" s="37" t="str">
        <f>IF([3]道具信息!C542="","",[3]道具信息!C542)</f>
        <v/>
      </c>
      <c r="D542" s="37" t="str">
        <f>IF([3]道具信息!D542="","",[3]道具信息!D542)</f>
        <v/>
      </c>
      <c r="E542" s="37" t="str">
        <f>IF([3]道具信息!E542="","",[3]道具信息!E542)</f>
        <v/>
      </c>
      <c r="F542" s="37" t="str">
        <f>IF([3]道具信息!F542="","",[3]道具信息!F542)</f>
        <v/>
      </c>
      <c r="G542" s="37" t="str">
        <f>IF([3]道具信息!G542="","",[3]道具信息!G542)</f>
        <v/>
      </c>
      <c r="H542" s="37" t="str">
        <f>IF([3]道具信息!H542="","",[3]道具信息!H542)</f>
        <v/>
      </c>
      <c r="I542" s="37" t="str">
        <f>IF([3]道具信息!I542="","",[3]道具信息!I542)</f>
        <v/>
      </c>
      <c r="J542" s="37" t="str">
        <f>IF([3]道具信息!J542="","",[3]道具信息!J542)</f>
        <v/>
      </c>
      <c r="K542" s="37" t="str">
        <f>IF([3]道具信息!K542="","",[3]道具信息!K542)</f>
        <v/>
      </c>
      <c r="L542" s="37" t="str">
        <f>IF([3]道具信息!L542="","",[3]道具信息!L542)</f>
        <v/>
      </c>
      <c r="M542" s="37" t="str">
        <f>IF([3]道具信息!M542="","",[3]道具信息!M542)</f>
        <v/>
      </c>
      <c r="N542" s="37"/>
      <c r="O542" s="37" t="str">
        <f>IF([3]道具信息!O542="","",[3]道具信息!O542)</f>
        <v/>
      </c>
      <c r="P542" s="37" t="str">
        <f>IF([3]道具信息!P542="","",[3]道具信息!P542)</f>
        <v/>
      </c>
      <c r="Q542" s="37" t="str">
        <f>IF([3]道具信息!Q542="","",[3]道具信息!Q542)</f>
        <v/>
      </c>
    </row>
    <row r="543" spans="3:17" x14ac:dyDescent="0.15">
      <c r="C543" s="37" t="str">
        <f>IF([3]道具信息!C543="","",[3]道具信息!C543)</f>
        <v/>
      </c>
      <c r="D543" s="37" t="str">
        <f>IF([3]道具信息!D543="","",[3]道具信息!D543)</f>
        <v/>
      </c>
      <c r="E543" s="37" t="str">
        <f>IF([3]道具信息!E543="","",[3]道具信息!E543)</f>
        <v/>
      </c>
      <c r="F543" s="37" t="str">
        <f>IF([3]道具信息!F543="","",[3]道具信息!F543)</f>
        <v/>
      </c>
      <c r="G543" s="37" t="str">
        <f>IF([3]道具信息!G543="","",[3]道具信息!G543)</f>
        <v/>
      </c>
      <c r="H543" s="37" t="str">
        <f>IF([3]道具信息!H543="","",[3]道具信息!H543)</f>
        <v/>
      </c>
      <c r="I543" s="37" t="str">
        <f>IF([3]道具信息!I543="","",[3]道具信息!I543)</f>
        <v/>
      </c>
      <c r="J543" s="37" t="str">
        <f>IF([3]道具信息!J543="","",[3]道具信息!J543)</f>
        <v/>
      </c>
      <c r="K543" s="37" t="str">
        <f>IF([3]道具信息!K543="","",[3]道具信息!K543)</f>
        <v/>
      </c>
      <c r="L543" s="37" t="str">
        <f>IF([3]道具信息!L543="","",[3]道具信息!L543)</f>
        <v/>
      </c>
      <c r="M543" s="37" t="str">
        <f>IF([3]道具信息!M543="","",[3]道具信息!M543)</f>
        <v/>
      </c>
      <c r="N543" s="37"/>
      <c r="O543" s="37" t="str">
        <f>IF([3]道具信息!O543="","",[3]道具信息!O543)</f>
        <v/>
      </c>
      <c r="P543" s="37" t="str">
        <f>IF([3]道具信息!P543="","",[3]道具信息!P543)</f>
        <v/>
      </c>
      <c r="Q543" s="37" t="str">
        <f>IF([3]道具信息!Q543="","",[3]道具信息!Q543)</f>
        <v/>
      </c>
    </row>
    <row r="544" spans="3:17" x14ac:dyDescent="0.15">
      <c r="C544" s="37" t="str">
        <f>IF([3]道具信息!C544="","",[3]道具信息!C544)</f>
        <v/>
      </c>
      <c r="D544" s="37" t="str">
        <f>IF([3]道具信息!D544="","",[3]道具信息!D544)</f>
        <v/>
      </c>
      <c r="E544" s="37" t="str">
        <f>IF([3]道具信息!E544="","",[3]道具信息!E544)</f>
        <v/>
      </c>
      <c r="F544" s="37" t="str">
        <f>IF([3]道具信息!F544="","",[3]道具信息!F544)</f>
        <v/>
      </c>
      <c r="G544" s="37" t="str">
        <f>IF([3]道具信息!G544="","",[3]道具信息!G544)</f>
        <v/>
      </c>
      <c r="H544" s="37" t="str">
        <f>IF([3]道具信息!H544="","",[3]道具信息!H544)</f>
        <v/>
      </c>
      <c r="I544" s="37" t="str">
        <f>IF([3]道具信息!I544="","",[3]道具信息!I544)</f>
        <v/>
      </c>
      <c r="J544" s="37" t="str">
        <f>IF([3]道具信息!J544="","",[3]道具信息!J544)</f>
        <v/>
      </c>
      <c r="K544" s="37" t="str">
        <f>IF([3]道具信息!K544="","",[3]道具信息!K544)</f>
        <v/>
      </c>
      <c r="L544" s="37" t="str">
        <f>IF([3]道具信息!L544="","",[3]道具信息!L544)</f>
        <v/>
      </c>
      <c r="M544" s="37" t="str">
        <f>IF([3]道具信息!M544="","",[3]道具信息!M544)</f>
        <v/>
      </c>
      <c r="N544" s="37"/>
      <c r="O544" s="37" t="str">
        <f>IF([3]道具信息!O544="","",[3]道具信息!O544)</f>
        <v/>
      </c>
      <c r="P544" s="37" t="str">
        <f>IF([3]道具信息!P544="","",[3]道具信息!P544)</f>
        <v/>
      </c>
      <c r="Q544" s="37" t="str">
        <f>IF([3]道具信息!Q544="","",[3]道具信息!Q544)</f>
        <v/>
      </c>
    </row>
    <row r="545" spans="3:17" x14ac:dyDescent="0.15">
      <c r="C545" s="37" t="str">
        <f>IF([3]道具信息!C545="","",[3]道具信息!C545)</f>
        <v/>
      </c>
      <c r="D545" s="37" t="str">
        <f>IF([3]道具信息!D545="","",[3]道具信息!D545)</f>
        <v/>
      </c>
      <c r="E545" s="37" t="str">
        <f>IF([3]道具信息!E545="","",[3]道具信息!E545)</f>
        <v/>
      </c>
      <c r="F545" s="37" t="str">
        <f>IF([3]道具信息!F545="","",[3]道具信息!F545)</f>
        <v/>
      </c>
      <c r="G545" s="37" t="str">
        <f>IF([3]道具信息!G545="","",[3]道具信息!G545)</f>
        <v/>
      </c>
      <c r="H545" s="37" t="str">
        <f>IF([3]道具信息!H545="","",[3]道具信息!H545)</f>
        <v/>
      </c>
      <c r="I545" s="37" t="str">
        <f>IF([3]道具信息!I545="","",[3]道具信息!I545)</f>
        <v/>
      </c>
      <c r="J545" s="37" t="str">
        <f>IF([3]道具信息!J545="","",[3]道具信息!J545)</f>
        <v/>
      </c>
      <c r="K545" s="37" t="str">
        <f>IF([3]道具信息!K545="","",[3]道具信息!K545)</f>
        <v/>
      </c>
      <c r="L545" s="37" t="str">
        <f>IF([3]道具信息!L545="","",[3]道具信息!L545)</f>
        <v/>
      </c>
      <c r="M545" s="37" t="str">
        <f>IF([3]道具信息!M545="","",[3]道具信息!M545)</f>
        <v/>
      </c>
      <c r="N545" s="37"/>
      <c r="O545" s="37" t="str">
        <f>IF([3]道具信息!O545="","",[3]道具信息!O545)</f>
        <v/>
      </c>
      <c r="P545" s="37" t="str">
        <f>IF([3]道具信息!P545="","",[3]道具信息!P545)</f>
        <v/>
      </c>
      <c r="Q545" s="37" t="str">
        <f>IF([3]道具信息!Q545="","",[3]道具信息!Q545)</f>
        <v/>
      </c>
    </row>
    <row r="546" spans="3:17" x14ac:dyDescent="0.15">
      <c r="C546" s="37" t="str">
        <f>IF([3]道具信息!C546="","",[3]道具信息!C546)</f>
        <v/>
      </c>
      <c r="D546" s="37" t="str">
        <f>IF([3]道具信息!D546="","",[3]道具信息!D546)</f>
        <v/>
      </c>
      <c r="E546" s="37" t="str">
        <f>IF([3]道具信息!E546="","",[3]道具信息!E546)</f>
        <v/>
      </c>
      <c r="F546" s="37" t="str">
        <f>IF([3]道具信息!F546="","",[3]道具信息!F546)</f>
        <v/>
      </c>
      <c r="G546" s="37" t="str">
        <f>IF([3]道具信息!G546="","",[3]道具信息!G546)</f>
        <v/>
      </c>
      <c r="H546" s="37" t="str">
        <f>IF([3]道具信息!H546="","",[3]道具信息!H546)</f>
        <v/>
      </c>
      <c r="I546" s="37" t="str">
        <f>IF([3]道具信息!I546="","",[3]道具信息!I546)</f>
        <v/>
      </c>
      <c r="J546" s="37" t="str">
        <f>IF([3]道具信息!J546="","",[3]道具信息!J546)</f>
        <v/>
      </c>
      <c r="K546" s="37" t="str">
        <f>IF([3]道具信息!K546="","",[3]道具信息!K546)</f>
        <v/>
      </c>
      <c r="L546" s="37" t="str">
        <f>IF([3]道具信息!L546="","",[3]道具信息!L546)</f>
        <v/>
      </c>
      <c r="M546" s="37" t="str">
        <f>IF([3]道具信息!M546="","",[3]道具信息!M546)</f>
        <v/>
      </c>
      <c r="N546" s="37"/>
      <c r="O546" s="37" t="str">
        <f>IF([3]道具信息!O546="","",[3]道具信息!O546)</f>
        <v/>
      </c>
      <c r="P546" s="37" t="str">
        <f>IF([3]道具信息!P546="","",[3]道具信息!P546)</f>
        <v/>
      </c>
      <c r="Q546" s="37" t="str">
        <f>IF([3]道具信息!Q546="","",[3]道具信息!Q546)</f>
        <v/>
      </c>
    </row>
    <row r="547" spans="3:17" x14ac:dyDescent="0.15">
      <c r="C547" s="37" t="str">
        <f>IF([3]道具信息!C547="","",[3]道具信息!C547)</f>
        <v/>
      </c>
      <c r="D547" s="37" t="str">
        <f>IF([3]道具信息!D547="","",[3]道具信息!D547)</f>
        <v/>
      </c>
      <c r="E547" s="37" t="str">
        <f>IF([3]道具信息!E547="","",[3]道具信息!E547)</f>
        <v/>
      </c>
      <c r="F547" s="37" t="str">
        <f>IF([3]道具信息!F547="","",[3]道具信息!F547)</f>
        <v/>
      </c>
      <c r="G547" s="37" t="str">
        <f>IF([3]道具信息!G547="","",[3]道具信息!G547)</f>
        <v/>
      </c>
      <c r="H547" s="37" t="str">
        <f>IF([3]道具信息!H547="","",[3]道具信息!H547)</f>
        <v/>
      </c>
      <c r="I547" s="37" t="str">
        <f>IF([3]道具信息!I547="","",[3]道具信息!I547)</f>
        <v/>
      </c>
      <c r="J547" s="37" t="str">
        <f>IF([3]道具信息!J547="","",[3]道具信息!J547)</f>
        <v/>
      </c>
      <c r="K547" s="37" t="str">
        <f>IF([3]道具信息!K547="","",[3]道具信息!K547)</f>
        <v/>
      </c>
      <c r="L547" s="37" t="str">
        <f>IF([3]道具信息!L547="","",[3]道具信息!L547)</f>
        <v/>
      </c>
      <c r="M547" s="37" t="str">
        <f>IF([3]道具信息!M547="","",[3]道具信息!M547)</f>
        <v/>
      </c>
      <c r="N547" s="37"/>
      <c r="O547" s="37" t="str">
        <f>IF([3]道具信息!O547="","",[3]道具信息!O547)</f>
        <v/>
      </c>
      <c r="P547" s="37" t="str">
        <f>IF([3]道具信息!P547="","",[3]道具信息!P547)</f>
        <v/>
      </c>
      <c r="Q547" s="37" t="str">
        <f>IF([3]道具信息!Q547="","",[3]道具信息!Q547)</f>
        <v/>
      </c>
    </row>
    <row r="548" spans="3:17" x14ac:dyDescent="0.15">
      <c r="C548" s="37" t="str">
        <f>IF([3]道具信息!C548="","",[3]道具信息!C548)</f>
        <v/>
      </c>
      <c r="D548" s="37" t="str">
        <f>IF([3]道具信息!D548="","",[3]道具信息!D548)</f>
        <v/>
      </c>
      <c r="E548" s="37" t="str">
        <f>IF([3]道具信息!E548="","",[3]道具信息!E548)</f>
        <v/>
      </c>
      <c r="F548" s="37" t="str">
        <f>IF([3]道具信息!F548="","",[3]道具信息!F548)</f>
        <v/>
      </c>
      <c r="G548" s="37" t="str">
        <f>IF([3]道具信息!G548="","",[3]道具信息!G548)</f>
        <v/>
      </c>
      <c r="H548" s="37" t="str">
        <f>IF([3]道具信息!H548="","",[3]道具信息!H548)</f>
        <v/>
      </c>
      <c r="I548" s="37" t="str">
        <f>IF([3]道具信息!I548="","",[3]道具信息!I548)</f>
        <v/>
      </c>
      <c r="J548" s="37" t="str">
        <f>IF([3]道具信息!J548="","",[3]道具信息!J548)</f>
        <v/>
      </c>
      <c r="K548" s="37" t="str">
        <f>IF([3]道具信息!K548="","",[3]道具信息!K548)</f>
        <v/>
      </c>
      <c r="L548" s="37" t="str">
        <f>IF([3]道具信息!L548="","",[3]道具信息!L548)</f>
        <v/>
      </c>
      <c r="M548" s="37" t="str">
        <f>IF([3]道具信息!M548="","",[3]道具信息!M548)</f>
        <v/>
      </c>
      <c r="N548" s="37"/>
      <c r="O548" s="37" t="str">
        <f>IF([3]道具信息!O548="","",[3]道具信息!O548)</f>
        <v/>
      </c>
      <c r="P548" s="37" t="str">
        <f>IF([3]道具信息!P548="","",[3]道具信息!P548)</f>
        <v/>
      </c>
      <c r="Q548" s="37" t="str">
        <f>IF([3]道具信息!Q548="","",[3]道具信息!Q548)</f>
        <v/>
      </c>
    </row>
    <row r="549" spans="3:17" x14ac:dyDescent="0.15">
      <c r="C549" s="37" t="str">
        <f>IF([3]道具信息!C549="","",[3]道具信息!C549)</f>
        <v/>
      </c>
      <c r="D549" s="37" t="str">
        <f>IF([3]道具信息!D549="","",[3]道具信息!D549)</f>
        <v/>
      </c>
      <c r="E549" s="37" t="str">
        <f>IF([3]道具信息!E549="","",[3]道具信息!E549)</f>
        <v/>
      </c>
      <c r="F549" s="37" t="str">
        <f>IF([3]道具信息!F549="","",[3]道具信息!F549)</f>
        <v/>
      </c>
      <c r="G549" s="37" t="str">
        <f>IF([3]道具信息!G549="","",[3]道具信息!G549)</f>
        <v/>
      </c>
      <c r="H549" s="37" t="str">
        <f>IF([3]道具信息!H549="","",[3]道具信息!H549)</f>
        <v/>
      </c>
      <c r="I549" s="37" t="str">
        <f>IF([3]道具信息!I549="","",[3]道具信息!I549)</f>
        <v/>
      </c>
      <c r="J549" s="37" t="str">
        <f>IF([3]道具信息!J549="","",[3]道具信息!J549)</f>
        <v/>
      </c>
      <c r="K549" s="37" t="str">
        <f>IF([3]道具信息!K549="","",[3]道具信息!K549)</f>
        <v/>
      </c>
      <c r="L549" s="37" t="str">
        <f>IF([3]道具信息!L549="","",[3]道具信息!L549)</f>
        <v/>
      </c>
      <c r="M549" s="37" t="str">
        <f>IF([3]道具信息!M549="","",[3]道具信息!M549)</f>
        <v/>
      </c>
      <c r="N549" s="37"/>
      <c r="O549" s="37" t="str">
        <f>IF([3]道具信息!O549="","",[3]道具信息!O549)</f>
        <v/>
      </c>
      <c r="P549" s="37" t="str">
        <f>IF([3]道具信息!P549="","",[3]道具信息!P549)</f>
        <v/>
      </c>
      <c r="Q549" s="37" t="str">
        <f>IF([3]道具信息!Q549="","",[3]道具信息!Q549)</f>
        <v/>
      </c>
    </row>
    <row r="550" spans="3:17" x14ac:dyDescent="0.15">
      <c r="C550" s="37" t="str">
        <f>IF([3]道具信息!C550="","",[3]道具信息!C550)</f>
        <v/>
      </c>
      <c r="D550" s="37" t="str">
        <f>IF([3]道具信息!D550="","",[3]道具信息!D550)</f>
        <v/>
      </c>
      <c r="E550" s="37" t="str">
        <f>IF([3]道具信息!E550="","",[3]道具信息!E550)</f>
        <v/>
      </c>
      <c r="F550" s="37" t="str">
        <f>IF([3]道具信息!F550="","",[3]道具信息!F550)</f>
        <v/>
      </c>
      <c r="G550" s="37" t="str">
        <f>IF([3]道具信息!G550="","",[3]道具信息!G550)</f>
        <v/>
      </c>
      <c r="H550" s="37" t="str">
        <f>IF([3]道具信息!H550="","",[3]道具信息!H550)</f>
        <v/>
      </c>
      <c r="I550" s="37" t="str">
        <f>IF([3]道具信息!I550="","",[3]道具信息!I550)</f>
        <v/>
      </c>
      <c r="J550" s="37" t="str">
        <f>IF([3]道具信息!J550="","",[3]道具信息!J550)</f>
        <v/>
      </c>
      <c r="K550" s="37" t="str">
        <f>IF([3]道具信息!K550="","",[3]道具信息!K550)</f>
        <v/>
      </c>
      <c r="L550" s="37" t="str">
        <f>IF([3]道具信息!L550="","",[3]道具信息!L550)</f>
        <v/>
      </c>
      <c r="M550" s="37" t="str">
        <f>IF([3]道具信息!M550="","",[3]道具信息!M550)</f>
        <v/>
      </c>
      <c r="N550" s="37"/>
      <c r="O550" s="37" t="str">
        <f>IF([3]道具信息!O550="","",[3]道具信息!O550)</f>
        <v/>
      </c>
      <c r="P550" s="37" t="str">
        <f>IF([3]道具信息!P550="","",[3]道具信息!P550)</f>
        <v/>
      </c>
      <c r="Q550" s="37" t="str">
        <f>IF([3]道具信息!Q550="","",[3]道具信息!Q550)</f>
        <v/>
      </c>
    </row>
    <row r="551" spans="3:17" x14ac:dyDescent="0.15">
      <c r="C551" s="37" t="str">
        <f>IF([3]道具信息!C551="","",[3]道具信息!C551)</f>
        <v/>
      </c>
      <c r="D551" s="37" t="str">
        <f>IF([3]道具信息!D551="","",[3]道具信息!D551)</f>
        <v/>
      </c>
      <c r="E551" s="37" t="str">
        <f>IF([3]道具信息!E551="","",[3]道具信息!E551)</f>
        <v/>
      </c>
      <c r="F551" s="37" t="str">
        <f>IF([3]道具信息!F551="","",[3]道具信息!F551)</f>
        <v/>
      </c>
      <c r="G551" s="37" t="str">
        <f>IF([3]道具信息!G551="","",[3]道具信息!G551)</f>
        <v/>
      </c>
      <c r="H551" s="37" t="str">
        <f>IF([3]道具信息!H551="","",[3]道具信息!H551)</f>
        <v/>
      </c>
      <c r="I551" s="37" t="str">
        <f>IF([3]道具信息!I551="","",[3]道具信息!I551)</f>
        <v/>
      </c>
      <c r="J551" s="37" t="str">
        <f>IF([3]道具信息!J551="","",[3]道具信息!J551)</f>
        <v/>
      </c>
      <c r="K551" s="37" t="str">
        <f>IF([3]道具信息!K551="","",[3]道具信息!K551)</f>
        <v/>
      </c>
      <c r="L551" s="37" t="str">
        <f>IF([3]道具信息!L551="","",[3]道具信息!L551)</f>
        <v/>
      </c>
      <c r="M551" s="37" t="str">
        <f>IF([3]道具信息!M551="","",[3]道具信息!M551)</f>
        <v/>
      </c>
      <c r="N551" s="37"/>
      <c r="O551" s="37" t="str">
        <f>IF([3]道具信息!O551="","",[3]道具信息!O551)</f>
        <v/>
      </c>
      <c r="P551" s="37" t="str">
        <f>IF([3]道具信息!P551="","",[3]道具信息!P551)</f>
        <v/>
      </c>
      <c r="Q551" s="37" t="str">
        <f>IF([3]道具信息!Q551="","",[3]道具信息!Q551)</f>
        <v/>
      </c>
    </row>
    <row r="552" spans="3:17" x14ac:dyDescent="0.15">
      <c r="C552" s="37" t="str">
        <f>IF([3]道具信息!C552="","",[3]道具信息!C552)</f>
        <v/>
      </c>
      <c r="D552" s="37" t="str">
        <f>IF([3]道具信息!D552="","",[3]道具信息!D552)</f>
        <v/>
      </c>
      <c r="E552" s="37" t="str">
        <f>IF([3]道具信息!E552="","",[3]道具信息!E552)</f>
        <v/>
      </c>
      <c r="F552" s="37" t="str">
        <f>IF([3]道具信息!F552="","",[3]道具信息!F552)</f>
        <v/>
      </c>
      <c r="G552" s="37" t="str">
        <f>IF([3]道具信息!G552="","",[3]道具信息!G552)</f>
        <v/>
      </c>
      <c r="H552" s="37" t="str">
        <f>IF([3]道具信息!H552="","",[3]道具信息!H552)</f>
        <v/>
      </c>
      <c r="I552" s="37" t="str">
        <f>IF([3]道具信息!I552="","",[3]道具信息!I552)</f>
        <v/>
      </c>
      <c r="J552" s="37" t="str">
        <f>IF([3]道具信息!J552="","",[3]道具信息!J552)</f>
        <v/>
      </c>
      <c r="K552" s="37" t="str">
        <f>IF([3]道具信息!K552="","",[3]道具信息!K552)</f>
        <v/>
      </c>
      <c r="L552" s="37" t="str">
        <f>IF([3]道具信息!L552="","",[3]道具信息!L552)</f>
        <v/>
      </c>
      <c r="M552" s="37" t="str">
        <f>IF([3]道具信息!M552="","",[3]道具信息!M552)</f>
        <v/>
      </c>
      <c r="N552" s="37"/>
      <c r="O552" s="37" t="str">
        <f>IF([3]道具信息!O552="","",[3]道具信息!O552)</f>
        <v/>
      </c>
      <c r="P552" s="37" t="str">
        <f>IF([3]道具信息!P552="","",[3]道具信息!P552)</f>
        <v/>
      </c>
      <c r="Q552" s="37" t="str">
        <f>IF([3]道具信息!Q552="","",[3]道具信息!Q552)</f>
        <v/>
      </c>
    </row>
    <row r="553" spans="3:17" x14ac:dyDescent="0.15">
      <c r="C553" s="37" t="str">
        <f>IF([3]道具信息!C553="","",[3]道具信息!C553)</f>
        <v/>
      </c>
      <c r="D553" s="37" t="str">
        <f>IF([3]道具信息!D553="","",[3]道具信息!D553)</f>
        <v/>
      </c>
      <c r="E553" s="37" t="str">
        <f>IF([3]道具信息!E553="","",[3]道具信息!E553)</f>
        <v/>
      </c>
      <c r="F553" s="37" t="str">
        <f>IF([3]道具信息!F553="","",[3]道具信息!F553)</f>
        <v/>
      </c>
      <c r="G553" s="37" t="str">
        <f>IF([3]道具信息!G553="","",[3]道具信息!G553)</f>
        <v/>
      </c>
      <c r="H553" s="37" t="str">
        <f>IF([3]道具信息!H553="","",[3]道具信息!H553)</f>
        <v/>
      </c>
      <c r="I553" s="37" t="str">
        <f>IF([3]道具信息!I553="","",[3]道具信息!I553)</f>
        <v/>
      </c>
      <c r="J553" s="37" t="str">
        <f>IF([3]道具信息!J553="","",[3]道具信息!J553)</f>
        <v/>
      </c>
      <c r="K553" s="37" t="str">
        <f>IF([3]道具信息!K553="","",[3]道具信息!K553)</f>
        <v/>
      </c>
      <c r="L553" s="37" t="str">
        <f>IF([3]道具信息!L553="","",[3]道具信息!L553)</f>
        <v/>
      </c>
      <c r="M553" s="37" t="str">
        <f>IF([3]道具信息!M553="","",[3]道具信息!M553)</f>
        <v/>
      </c>
      <c r="N553" s="37"/>
      <c r="O553" s="37" t="str">
        <f>IF([3]道具信息!O553="","",[3]道具信息!O553)</f>
        <v/>
      </c>
      <c r="P553" s="37" t="str">
        <f>IF([3]道具信息!P553="","",[3]道具信息!P553)</f>
        <v/>
      </c>
      <c r="Q553" s="37" t="str">
        <f>IF([3]道具信息!Q553="","",[3]道具信息!Q553)</f>
        <v/>
      </c>
    </row>
    <row r="554" spans="3:17" x14ac:dyDescent="0.15">
      <c r="C554" s="37" t="str">
        <f>IF([3]道具信息!C554="","",[3]道具信息!C554)</f>
        <v/>
      </c>
      <c r="D554" s="37" t="str">
        <f>IF([3]道具信息!D554="","",[3]道具信息!D554)</f>
        <v/>
      </c>
      <c r="E554" s="37" t="str">
        <f>IF([3]道具信息!E554="","",[3]道具信息!E554)</f>
        <v/>
      </c>
      <c r="F554" s="37" t="str">
        <f>IF([3]道具信息!F554="","",[3]道具信息!F554)</f>
        <v/>
      </c>
      <c r="G554" s="37" t="str">
        <f>IF([3]道具信息!G554="","",[3]道具信息!G554)</f>
        <v/>
      </c>
      <c r="H554" s="37" t="str">
        <f>IF([3]道具信息!H554="","",[3]道具信息!H554)</f>
        <v/>
      </c>
      <c r="I554" s="37" t="str">
        <f>IF([3]道具信息!I554="","",[3]道具信息!I554)</f>
        <v/>
      </c>
      <c r="J554" s="37" t="str">
        <f>IF([3]道具信息!J554="","",[3]道具信息!J554)</f>
        <v/>
      </c>
      <c r="K554" s="37" t="str">
        <f>IF([3]道具信息!K554="","",[3]道具信息!K554)</f>
        <v/>
      </c>
      <c r="L554" s="37" t="str">
        <f>IF([3]道具信息!L554="","",[3]道具信息!L554)</f>
        <v/>
      </c>
      <c r="M554" s="37" t="str">
        <f>IF([3]道具信息!M554="","",[3]道具信息!M554)</f>
        <v/>
      </c>
      <c r="N554" s="37"/>
      <c r="O554" s="37" t="str">
        <f>IF([3]道具信息!O554="","",[3]道具信息!O554)</f>
        <v/>
      </c>
      <c r="P554" s="37" t="str">
        <f>IF([3]道具信息!P554="","",[3]道具信息!P554)</f>
        <v/>
      </c>
      <c r="Q554" s="37" t="str">
        <f>IF([3]道具信息!Q554="","",[3]道具信息!Q554)</f>
        <v/>
      </c>
    </row>
    <row r="555" spans="3:17" x14ac:dyDescent="0.15">
      <c r="C555" s="37" t="str">
        <f>IF([3]道具信息!C555="","",[3]道具信息!C555)</f>
        <v/>
      </c>
      <c r="D555" s="37" t="str">
        <f>IF([3]道具信息!D555="","",[3]道具信息!D555)</f>
        <v/>
      </c>
      <c r="E555" s="37" t="str">
        <f>IF([3]道具信息!E555="","",[3]道具信息!E555)</f>
        <v/>
      </c>
      <c r="F555" s="37" t="str">
        <f>IF([3]道具信息!F555="","",[3]道具信息!F555)</f>
        <v/>
      </c>
      <c r="G555" s="37" t="str">
        <f>IF([3]道具信息!G555="","",[3]道具信息!G555)</f>
        <v/>
      </c>
      <c r="H555" s="37" t="str">
        <f>IF([3]道具信息!H555="","",[3]道具信息!H555)</f>
        <v/>
      </c>
      <c r="I555" s="37" t="str">
        <f>IF([3]道具信息!I555="","",[3]道具信息!I555)</f>
        <v/>
      </c>
      <c r="J555" s="37" t="str">
        <f>IF([3]道具信息!J555="","",[3]道具信息!J555)</f>
        <v/>
      </c>
      <c r="K555" s="37" t="str">
        <f>IF([3]道具信息!K555="","",[3]道具信息!K555)</f>
        <v/>
      </c>
      <c r="L555" s="37" t="str">
        <f>IF([3]道具信息!L555="","",[3]道具信息!L555)</f>
        <v/>
      </c>
      <c r="M555" s="37" t="str">
        <f>IF([3]道具信息!M555="","",[3]道具信息!M555)</f>
        <v/>
      </c>
      <c r="N555" s="37"/>
      <c r="O555" s="37" t="str">
        <f>IF([3]道具信息!O555="","",[3]道具信息!O555)</f>
        <v/>
      </c>
      <c r="P555" s="37" t="str">
        <f>IF([3]道具信息!P555="","",[3]道具信息!P555)</f>
        <v/>
      </c>
      <c r="Q555" s="37" t="str">
        <f>IF([3]道具信息!Q555="","",[3]道具信息!Q555)</f>
        <v/>
      </c>
    </row>
    <row r="556" spans="3:17" x14ac:dyDescent="0.15">
      <c r="C556" s="37" t="str">
        <f>IF([3]道具信息!C556="","",[3]道具信息!C556)</f>
        <v/>
      </c>
      <c r="D556" s="37" t="str">
        <f>IF([3]道具信息!D556="","",[3]道具信息!D556)</f>
        <v/>
      </c>
      <c r="E556" s="37" t="str">
        <f>IF([3]道具信息!E556="","",[3]道具信息!E556)</f>
        <v/>
      </c>
      <c r="F556" s="37" t="str">
        <f>IF([3]道具信息!F556="","",[3]道具信息!F556)</f>
        <v/>
      </c>
      <c r="G556" s="37" t="str">
        <f>IF([3]道具信息!G556="","",[3]道具信息!G556)</f>
        <v/>
      </c>
      <c r="H556" s="37" t="str">
        <f>IF([3]道具信息!H556="","",[3]道具信息!H556)</f>
        <v/>
      </c>
      <c r="I556" s="37" t="str">
        <f>IF([3]道具信息!I556="","",[3]道具信息!I556)</f>
        <v/>
      </c>
      <c r="J556" s="37" t="str">
        <f>IF([3]道具信息!J556="","",[3]道具信息!J556)</f>
        <v/>
      </c>
      <c r="K556" s="37" t="str">
        <f>IF([3]道具信息!K556="","",[3]道具信息!K556)</f>
        <v/>
      </c>
      <c r="L556" s="37" t="str">
        <f>IF([3]道具信息!L556="","",[3]道具信息!L556)</f>
        <v/>
      </c>
      <c r="M556" s="37" t="str">
        <f>IF([3]道具信息!M556="","",[3]道具信息!M556)</f>
        <v/>
      </c>
      <c r="N556" s="37"/>
      <c r="O556" s="37" t="str">
        <f>IF([3]道具信息!O556="","",[3]道具信息!O556)</f>
        <v/>
      </c>
      <c r="P556" s="37" t="str">
        <f>IF([3]道具信息!P556="","",[3]道具信息!P556)</f>
        <v/>
      </c>
      <c r="Q556" s="37" t="str">
        <f>IF([3]道具信息!Q556="","",[3]道具信息!Q556)</f>
        <v/>
      </c>
    </row>
    <row r="557" spans="3:17" x14ac:dyDescent="0.15">
      <c r="C557" s="37" t="str">
        <f>IF([3]道具信息!C557="","",[3]道具信息!C557)</f>
        <v/>
      </c>
      <c r="D557" s="37" t="str">
        <f>IF([3]道具信息!D557="","",[3]道具信息!D557)</f>
        <v/>
      </c>
      <c r="E557" s="37" t="str">
        <f>IF([3]道具信息!E557="","",[3]道具信息!E557)</f>
        <v/>
      </c>
      <c r="F557" s="37" t="str">
        <f>IF([3]道具信息!F557="","",[3]道具信息!F557)</f>
        <v/>
      </c>
      <c r="G557" s="37" t="str">
        <f>IF([3]道具信息!G557="","",[3]道具信息!G557)</f>
        <v/>
      </c>
      <c r="H557" s="37" t="str">
        <f>IF([3]道具信息!H557="","",[3]道具信息!H557)</f>
        <v/>
      </c>
      <c r="I557" s="37" t="str">
        <f>IF([3]道具信息!I557="","",[3]道具信息!I557)</f>
        <v/>
      </c>
      <c r="J557" s="37" t="str">
        <f>IF([3]道具信息!J557="","",[3]道具信息!J557)</f>
        <v/>
      </c>
      <c r="K557" s="37" t="str">
        <f>IF([3]道具信息!K557="","",[3]道具信息!K557)</f>
        <v/>
      </c>
      <c r="L557" s="37" t="str">
        <f>IF([3]道具信息!L557="","",[3]道具信息!L557)</f>
        <v/>
      </c>
      <c r="M557" s="37" t="str">
        <f>IF([3]道具信息!M557="","",[3]道具信息!M557)</f>
        <v/>
      </c>
      <c r="N557" s="37"/>
      <c r="O557" s="37" t="str">
        <f>IF([3]道具信息!O557="","",[3]道具信息!O557)</f>
        <v/>
      </c>
      <c r="P557" s="37" t="str">
        <f>IF([3]道具信息!P557="","",[3]道具信息!P557)</f>
        <v/>
      </c>
      <c r="Q557" s="37" t="str">
        <f>IF([3]道具信息!Q557="","",[3]道具信息!Q557)</f>
        <v/>
      </c>
    </row>
    <row r="558" spans="3:17" x14ac:dyDescent="0.15">
      <c r="C558" s="37" t="str">
        <f>IF([3]道具信息!C558="","",[3]道具信息!C558)</f>
        <v/>
      </c>
      <c r="D558" s="37" t="str">
        <f>IF([3]道具信息!D558="","",[3]道具信息!D558)</f>
        <v/>
      </c>
      <c r="E558" s="37" t="str">
        <f>IF([3]道具信息!E558="","",[3]道具信息!E558)</f>
        <v/>
      </c>
      <c r="F558" s="37" t="str">
        <f>IF([3]道具信息!F558="","",[3]道具信息!F558)</f>
        <v/>
      </c>
      <c r="G558" s="37" t="str">
        <f>IF([3]道具信息!G558="","",[3]道具信息!G558)</f>
        <v/>
      </c>
      <c r="H558" s="37" t="str">
        <f>IF([3]道具信息!H558="","",[3]道具信息!H558)</f>
        <v/>
      </c>
      <c r="I558" s="37" t="str">
        <f>IF([3]道具信息!I558="","",[3]道具信息!I558)</f>
        <v/>
      </c>
      <c r="J558" s="37" t="str">
        <f>IF([3]道具信息!J558="","",[3]道具信息!J558)</f>
        <v/>
      </c>
      <c r="K558" s="37" t="str">
        <f>IF([3]道具信息!K558="","",[3]道具信息!K558)</f>
        <v/>
      </c>
      <c r="L558" s="37" t="str">
        <f>IF([3]道具信息!L558="","",[3]道具信息!L558)</f>
        <v/>
      </c>
      <c r="M558" s="37" t="str">
        <f>IF([3]道具信息!M558="","",[3]道具信息!M558)</f>
        <v/>
      </c>
      <c r="N558" s="37"/>
      <c r="O558" s="37" t="str">
        <f>IF([3]道具信息!O558="","",[3]道具信息!O558)</f>
        <v/>
      </c>
      <c r="P558" s="37" t="str">
        <f>IF([3]道具信息!P558="","",[3]道具信息!P558)</f>
        <v/>
      </c>
      <c r="Q558" s="37" t="str">
        <f>IF([3]道具信息!Q558="","",[3]道具信息!Q558)</f>
        <v/>
      </c>
    </row>
    <row r="559" spans="3:17" x14ac:dyDescent="0.15">
      <c r="C559" s="37" t="str">
        <f>IF([3]道具信息!C559="","",[3]道具信息!C559)</f>
        <v/>
      </c>
      <c r="D559" s="37" t="str">
        <f>IF([3]道具信息!D559="","",[3]道具信息!D559)</f>
        <v/>
      </c>
      <c r="E559" s="37" t="str">
        <f>IF([3]道具信息!E559="","",[3]道具信息!E559)</f>
        <v/>
      </c>
      <c r="F559" s="37" t="str">
        <f>IF([3]道具信息!F559="","",[3]道具信息!F559)</f>
        <v/>
      </c>
      <c r="G559" s="37" t="str">
        <f>IF([3]道具信息!G559="","",[3]道具信息!G559)</f>
        <v/>
      </c>
      <c r="H559" s="37" t="str">
        <f>IF([3]道具信息!H559="","",[3]道具信息!H559)</f>
        <v/>
      </c>
      <c r="I559" s="37" t="str">
        <f>IF([3]道具信息!I559="","",[3]道具信息!I559)</f>
        <v/>
      </c>
      <c r="J559" s="37" t="str">
        <f>IF([3]道具信息!J559="","",[3]道具信息!J559)</f>
        <v/>
      </c>
      <c r="K559" s="37" t="str">
        <f>IF([3]道具信息!K559="","",[3]道具信息!K559)</f>
        <v/>
      </c>
      <c r="L559" s="37" t="str">
        <f>IF([3]道具信息!L559="","",[3]道具信息!L559)</f>
        <v/>
      </c>
      <c r="M559" s="37" t="str">
        <f>IF([3]道具信息!M559="","",[3]道具信息!M559)</f>
        <v/>
      </c>
      <c r="N559" s="37"/>
      <c r="O559" s="37" t="str">
        <f>IF([3]道具信息!O559="","",[3]道具信息!O559)</f>
        <v/>
      </c>
      <c r="P559" s="37" t="str">
        <f>IF([3]道具信息!P559="","",[3]道具信息!P559)</f>
        <v/>
      </c>
      <c r="Q559" s="37" t="str">
        <f>IF([3]道具信息!Q559="","",[3]道具信息!Q559)</f>
        <v/>
      </c>
    </row>
    <row r="560" spans="3:17" x14ac:dyDescent="0.15">
      <c r="C560" s="37" t="str">
        <f>IF([3]道具信息!C560="","",[3]道具信息!C560)</f>
        <v/>
      </c>
      <c r="D560" s="37" t="str">
        <f>IF([3]道具信息!D560="","",[3]道具信息!D560)</f>
        <v/>
      </c>
      <c r="E560" s="37" t="str">
        <f>IF([3]道具信息!E560="","",[3]道具信息!E560)</f>
        <v/>
      </c>
      <c r="F560" s="37" t="str">
        <f>IF([3]道具信息!F560="","",[3]道具信息!F560)</f>
        <v/>
      </c>
      <c r="G560" s="37" t="str">
        <f>IF([3]道具信息!G560="","",[3]道具信息!G560)</f>
        <v/>
      </c>
      <c r="H560" s="37" t="str">
        <f>IF([3]道具信息!H560="","",[3]道具信息!H560)</f>
        <v/>
      </c>
      <c r="I560" s="37" t="str">
        <f>IF([3]道具信息!I560="","",[3]道具信息!I560)</f>
        <v/>
      </c>
      <c r="J560" s="37" t="str">
        <f>IF([3]道具信息!J560="","",[3]道具信息!J560)</f>
        <v/>
      </c>
      <c r="K560" s="37" t="str">
        <f>IF([3]道具信息!K560="","",[3]道具信息!K560)</f>
        <v/>
      </c>
      <c r="L560" s="37" t="str">
        <f>IF([3]道具信息!L560="","",[3]道具信息!L560)</f>
        <v/>
      </c>
      <c r="M560" s="37" t="str">
        <f>IF([3]道具信息!M560="","",[3]道具信息!M560)</f>
        <v/>
      </c>
      <c r="N560" s="37"/>
      <c r="O560" s="37" t="str">
        <f>IF([3]道具信息!O560="","",[3]道具信息!O560)</f>
        <v/>
      </c>
      <c r="P560" s="37" t="str">
        <f>IF([3]道具信息!P560="","",[3]道具信息!P560)</f>
        <v/>
      </c>
      <c r="Q560" s="37" t="str">
        <f>IF([3]道具信息!Q560="","",[3]道具信息!Q560)</f>
        <v/>
      </c>
    </row>
    <row r="561" spans="3:17" x14ac:dyDescent="0.15">
      <c r="C561" s="37" t="str">
        <f>IF([3]道具信息!C561="","",[3]道具信息!C561)</f>
        <v/>
      </c>
      <c r="D561" s="37" t="str">
        <f>IF([3]道具信息!D561="","",[3]道具信息!D561)</f>
        <v/>
      </c>
      <c r="E561" s="37" t="str">
        <f>IF([3]道具信息!E561="","",[3]道具信息!E561)</f>
        <v/>
      </c>
      <c r="F561" s="37" t="str">
        <f>IF([3]道具信息!F561="","",[3]道具信息!F561)</f>
        <v/>
      </c>
      <c r="G561" s="37" t="str">
        <f>IF([3]道具信息!G561="","",[3]道具信息!G561)</f>
        <v/>
      </c>
      <c r="H561" s="37" t="str">
        <f>IF([3]道具信息!H561="","",[3]道具信息!H561)</f>
        <v/>
      </c>
      <c r="I561" s="37" t="str">
        <f>IF([3]道具信息!I561="","",[3]道具信息!I561)</f>
        <v/>
      </c>
      <c r="J561" s="37" t="str">
        <f>IF([3]道具信息!J561="","",[3]道具信息!J561)</f>
        <v/>
      </c>
      <c r="K561" s="37" t="str">
        <f>IF([3]道具信息!K561="","",[3]道具信息!K561)</f>
        <v/>
      </c>
      <c r="L561" s="37" t="str">
        <f>IF([3]道具信息!L561="","",[3]道具信息!L561)</f>
        <v/>
      </c>
      <c r="M561" s="37" t="str">
        <f>IF([3]道具信息!M561="","",[3]道具信息!M561)</f>
        <v/>
      </c>
      <c r="N561" s="37"/>
      <c r="O561" s="37" t="str">
        <f>IF([3]道具信息!O561="","",[3]道具信息!O561)</f>
        <v/>
      </c>
      <c r="P561" s="37" t="str">
        <f>IF([3]道具信息!P561="","",[3]道具信息!P561)</f>
        <v/>
      </c>
      <c r="Q561" s="37" t="str">
        <f>IF([3]道具信息!Q561="","",[3]道具信息!Q561)</f>
        <v/>
      </c>
    </row>
    <row r="562" spans="3:17" x14ac:dyDescent="0.15">
      <c r="C562" s="37" t="str">
        <f>IF([3]道具信息!C562="","",[3]道具信息!C562)</f>
        <v/>
      </c>
      <c r="D562" s="37" t="str">
        <f>IF([3]道具信息!D562="","",[3]道具信息!D562)</f>
        <v/>
      </c>
      <c r="E562" s="37" t="str">
        <f>IF([3]道具信息!E562="","",[3]道具信息!E562)</f>
        <v/>
      </c>
      <c r="F562" s="37" t="str">
        <f>IF([3]道具信息!F562="","",[3]道具信息!F562)</f>
        <v/>
      </c>
      <c r="G562" s="37" t="str">
        <f>IF([3]道具信息!G562="","",[3]道具信息!G562)</f>
        <v/>
      </c>
      <c r="H562" s="37" t="str">
        <f>IF([3]道具信息!H562="","",[3]道具信息!H562)</f>
        <v/>
      </c>
      <c r="I562" s="37" t="str">
        <f>IF([3]道具信息!I562="","",[3]道具信息!I562)</f>
        <v/>
      </c>
      <c r="J562" s="37" t="str">
        <f>IF([3]道具信息!J562="","",[3]道具信息!J562)</f>
        <v/>
      </c>
      <c r="K562" s="37" t="str">
        <f>IF([3]道具信息!K562="","",[3]道具信息!K562)</f>
        <v/>
      </c>
      <c r="L562" s="37" t="str">
        <f>IF([3]道具信息!L562="","",[3]道具信息!L562)</f>
        <v/>
      </c>
      <c r="M562" s="37" t="str">
        <f>IF([3]道具信息!M562="","",[3]道具信息!M562)</f>
        <v/>
      </c>
      <c r="N562" s="37"/>
      <c r="O562" s="37" t="str">
        <f>IF([3]道具信息!O562="","",[3]道具信息!O562)</f>
        <v/>
      </c>
      <c r="P562" s="37" t="str">
        <f>IF([3]道具信息!P562="","",[3]道具信息!P562)</f>
        <v/>
      </c>
      <c r="Q562" s="37" t="str">
        <f>IF([3]道具信息!Q562="","",[3]道具信息!Q562)</f>
        <v/>
      </c>
    </row>
    <row r="563" spans="3:17" x14ac:dyDescent="0.15">
      <c r="C563" s="37" t="str">
        <f>IF([3]道具信息!C563="","",[3]道具信息!C563)</f>
        <v/>
      </c>
      <c r="D563" s="37" t="str">
        <f>IF([3]道具信息!D563="","",[3]道具信息!D563)</f>
        <v/>
      </c>
      <c r="E563" s="37" t="str">
        <f>IF([3]道具信息!E563="","",[3]道具信息!E563)</f>
        <v/>
      </c>
      <c r="F563" s="37" t="str">
        <f>IF([3]道具信息!F563="","",[3]道具信息!F563)</f>
        <v/>
      </c>
      <c r="G563" s="37" t="str">
        <f>IF([3]道具信息!G563="","",[3]道具信息!G563)</f>
        <v/>
      </c>
      <c r="H563" s="37" t="str">
        <f>IF([3]道具信息!H563="","",[3]道具信息!H563)</f>
        <v/>
      </c>
      <c r="I563" s="37" t="str">
        <f>IF([3]道具信息!I563="","",[3]道具信息!I563)</f>
        <v/>
      </c>
      <c r="J563" s="37" t="str">
        <f>IF([3]道具信息!J563="","",[3]道具信息!J563)</f>
        <v/>
      </c>
      <c r="K563" s="37" t="str">
        <f>IF([3]道具信息!K563="","",[3]道具信息!K563)</f>
        <v/>
      </c>
      <c r="L563" s="37" t="str">
        <f>IF([3]道具信息!L563="","",[3]道具信息!L563)</f>
        <v/>
      </c>
      <c r="M563" s="37" t="str">
        <f>IF([3]道具信息!M563="","",[3]道具信息!M563)</f>
        <v/>
      </c>
      <c r="N563" s="37"/>
      <c r="O563" s="37" t="str">
        <f>IF([3]道具信息!O563="","",[3]道具信息!O563)</f>
        <v/>
      </c>
      <c r="P563" s="37" t="str">
        <f>IF([3]道具信息!P563="","",[3]道具信息!P563)</f>
        <v/>
      </c>
      <c r="Q563" s="37" t="str">
        <f>IF([3]道具信息!Q563="","",[3]道具信息!Q563)</f>
        <v/>
      </c>
    </row>
    <row r="564" spans="3:17" x14ac:dyDescent="0.15">
      <c r="C564" s="37" t="str">
        <f>IF([3]道具信息!C564="","",[3]道具信息!C564)</f>
        <v/>
      </c>
      <c r="D564" s="37" t="str">
        <f>IF([3]道具信息!D564="","",[3]道具信息!D564)</f>
        <v/>
      </c>
      <c r="E564" s="37" t="str">
        <f>IF([3]道具信息!E564="","",[3]道具信息!E564)</f>
        <v/>
      </c>
      <c r="F564" s="37" t="str">
        <f>IF([3]道具信息!F564="","",[3]道具信息!F564)</f>
        <v/>
      </c>
      <c r="G564" s="37" t="str">
        <f>IF([3]道具信息!G564="","",[3]道具信息!G564)</f>
        <v/>
      </c>
      <c r="H564" s="37" t="str">
        <f>IF([3]道具信息!H564="","",[3]道具信息!H564)</f>
        <v/>
      </c>
      <c r="I564" s="37" t="str">
        <f>IF([3]道具信息!I564="","",[3]道具信息!I564)</f>
        <v/>
      </c>
      <c r="J564" s="37" t="str">
        <f>IF([3]道具信息!J564="","",[3]道具信息!J564)</f>
        <v/>
      </c>
      <c r="K564" s="37" t="str">
        <f>IF([3]道具信息!K564="","",[3]道具信息!K564)</f>
        <v/>
      </c>
      <c r="L564" s="37" t="str">
        <f>IF([3]道具信息!L564="","",[3]道具信息!L564)</f>
        <v/>
      </c>
      <c r="M564" s="37" t="str">
        <f>IF([3]道具信息!M564="","",[3]道具信息!M564)</f>
        <v/>
      </c>
      <c r="N564" s="37"/>
      <c r="O564" s="37" t="str">
        <f>IF([3]道具信息!O564="","",[3]道具信息!O564)</f>
        <v/>
      </c>
      <c r="P564" s="37" t="str">
        <f>IF([3]道具信息!P564="","",[3]道具信息!P564)</f>
        <v/>
      </c>
      <c r="Q564" s="37" t="str">
        <f>IF([3]道具信息!Q564="","",[3]道具信息!Q564)</f>
        <v/>
      </c>
    </row>
    <row r="565" spans="3:17" x14ac:dyDescent="0.15">
      <c r="C565" s="37" t="str">
        <f>IF([3]道具信息!C565="","",[3]道具信息!C565)</f>
        <v/>
      </c>
      <c r="D565" s="37" t="str">
        <f>IF([3]道具信息!D565="","",[3]道具信息!D565)</f>
        <v/>
      </c>
      <c r="E565" s="37" t="str">
        <f>IF([3]道具信息!E565="","",[3]道具信息!E565)</f>
        <v/>
      </c>
      <c r="F565" s="37" t="str">
        <f>IF([3]道具信息!F565="","",[3]道具信息!F565)</f>
        <v/>
      </c>
      <c r="G565" s="37" t="str">
        <f>IF([3]道具信息!G565="","",[3]道具信息!G565)</f>
        <v/>
      </c>
      <c r="H565" s="37" t="str">
        <f>IF([3]道具信息!H565="","",[3]道具信息!H565)</f>
        <v/>
      </c>
      <c r="I565" s="37" t="str">
        <f>IF([3]道具信息!I565="","",[3]道具信息!I565)</f>
        <v/>
      </c>
      <c r="J565" s="37" t="str">
        <f>IF([3]道具信息!J565="","",[3]道具信息!J565)</f>
        <v/>
      </c>
      <c r="K565" s="37" t="str">
        <f>IF([3]道具信息!K565="","",[3]道具信息!K565)</f>
        <v/>
      </c>
      <c r="L565" s="37" t="str">
        <f>IF([3]道具信息!L565="","",[3]道具信息!L565)</f>
        <v/>
      </c>
      <c r="M565" s="37" t="str">
        <f>IF([3]道具信息!M565="","",[3]道具信息!M565)</f>
        <v/>
      </c>
      <c r="N565" s="37"/>
      <c r="O565" s="37" t="str">
        <f>IF([3]道具信息!O565="","",[3]道具信息!O565)</f>
        <v/>
      </c>
      <c r="P565" s="37" t="str">
        <f>IF([3]道具信息!P565="","",[3]道具信息!P565)</f>
        <v/>
      </c>
      <c r="Q565" s="37" t="str">
        <f>IF([3]道具信息!Q565="","",[3]道具信息!Q565)</f>
        <v/>
      </c>
    </row>
    <row r="566" spans="3:17" x14ac:dyDescent="0.15">
      <c r="C566" s="37" t="str">
        <f>IF([3]道具信息!C566="","",[3]道具信息!C566)</f>
        <v/>
      </c>
      <c r="D566" s="37" t="str">
        <f>IF([3]道具信息!D566="","",[3]道具信息!D566)</f>
        <v/>
      </c>
      <c r="E566" s="37" t="str">
        <f>IF([3]道具信息!E566="","",[3]道具信息!E566)</f>
        <v/>
      </c>
      <c r="F566" s="37" t="str">
        <f>IF([3]道具信息!F566="","",[3]道具信息!F566)</f>
        <v/>
      </c>
      <c r="G566" s="37" t="str">
        <f>IF([3]道具信息!G566="","",[3]道具信息!G566)</f>
        <v/>
      </c>
      <c r="H566" s="37" t="str">
        <f>IF([3]道具信息!H566="","",[3]道具信息!H566)</f>
        <v/>
      </c>
      <c r="I566" s="37" t="str">
        <f>IF([3]道具信息!I566="","",[3]道具信息!I566)</f>
        <v/>
      </c>
      <c r="J566" s="37" t="str">
        <f>IF([3]道具信息!J566="","",[3]道具信息!J566)</f>
        <v/>
      </c>
      <c r="K566" s="37" t="str">
        <f>IF([3]道具信息!K566="","",[3]道具信息!K566)</f>
        <v/>
      </c>
      <c r="L566" s="37" t="str">
        <f>IF([3]道具信息!L566="","",[3]道具信息!L566)</f>
        <v/>
      </c>
      <c r="M566" s="37" t="str">
        <f>IF([3]道具信息!M566="","",[3]道具信息!M566)</f>
        <v/>
      </c>
      <c r="N566" s="37"/>
      <c r="O566" s="37" t="str">
        <f>IF([3]道具信息!O566="","",[3]道具信息!O566)</f>
        <v/>
      </c>
      <c r="P566" s="37" t="str">
        <f>IF([3]道具信息!P566="","",[3]道具信息!P566)</f>
        <v/>
      </c>
      <c r="Q566" s="37" t="str">
        <f>IF([3]道具信息!Q566="","",[3]道具信息!Q566)</f>
        <v/>
      </c>
    </row>
    <row r="567" spans="3:17" x14ac:dyDescent="0.15">
      <c r="C567" s="37" t="str">
        <f>IF([3]道具信息!C567="","",[3]道具信息!C567)</f>
        <v/>
      </c>
      <c r="D567" s="37" t="str">
        <f>IF([3]道具信息!D567="","",[3]道具信息!D567)</f>
        <v/>
      </c>
      <c r="E567" s="37" t="str">
        <f>IF([3]道具信息!E567="","",[3]道具信息!E567)</f>
        <v/>
      </c>
      <c r="F567" s="37" t="str">
        <f>IF([3]道具信息!F567="","",[3]道具信息!F567)</f>
        <v/>
      </c>
      <c r="G567" s="37" t="str">
        <f>IF([3]道具信息!G567="","",[3]道具信息!G567)</f>
        <v/>
      </c>
      <c r="H567" s="37" t="str">
        <f>IF([3]道具信息!H567="","",[3]道具信息!H567)</f>
        <v/>
      </c>
      <c r="I567" s="37" t="str">
        <f>IF([3]道具信息!I567="","",[3]道具信息!I567)</f>
        <v/>
      </c>
      <c r="J567" s="37" t="str">
        <f>IF([3]道具信息!J567="","",[3]道具信息!J567)</f>
        <v/>
      </c>
      <c r="K567" s="37" t="str">
        <f>IF([3]道具信息!K567="","",[3]道具信息!K567)</f>
        <v/>
      </c>
      <c r="L567" s="37" t="str">
        <f>IF([3]道具信息!L567="","",[3]道具信息!L567)</f>
        <v/>
      </c>
      <c r="M567" s="37" t="str">
        <f>IF([3]道具信息!M567="","",[3]道具信息!M567)</f>
        <v/>
      </c>
      <c r="N567" s="37"/>
      <c r="O567" s="37" t="str">
        <f>IF([3]道具信息!O567="","",[3]道具信息!O567)</f>
        <v/>
      </c>
      <c r="P567" s="37" t="str">
        <f>IF([3]道具信息!P567="","",[3]道具信息!P567)</f>
        <v/>
      </c>
      <c r="Q567" s="37" t="str">
        <f>IF([3]道具信息!Q567="","",[3]道具信息!Q567)</f>
        <v/>
      </c>
    </row>
    <row r="568" spans="3:17" x14ac:dyDescent="0.15">
      <c r="C568" s="37" t="str">
        <f>IF([3]道具信息!C568="","",[3]道具信息!C568)</f>
        <v/>
      </c>
      <c r="D568" s="37" t="str">
        <f>IF([3]道具信息!D568="","",[3]道具信息!D568)</f>
        <v/>
      </c>
      <c r="E568" s="37" t="str">
        <f>IF([3]道具信息!E568="","",[3]道具信息!E568)</f>
        <v/>
      </c>
      <c r="F568" s="37" t="str">
        <f>IF([3]道具信息!F568="","",[3]道具信息!F568)</f>
        <v/>
      </c>
      <c r="G568" s="37" t="str">
        <f>IF([3]道具信息!G568="","",[3]道具信息!G568)</f>
        <v/>
      </c>
      <c r="H568" s="37" t="str">
        <f>IF([3]道具信息!H568="","",[3]道具信息!H568)</f>
        <v/>
      </c>
      <c r="I568" s="37" t="str">
        <f>IF([3]道具信息!I568="","",[3]道具信息!I568)</f>
        <v/>
      </c>
      <c r="J568" s="37" t="str">
        <f>IF([3]道具信息!J568="","",[3]道具信息!J568)</f>
        <v/>
      </c>
      <c r="K568" s="37" t="str">
        <f>IF([3]道具信息!K568="","",[3]道具信息!K568)</f>
        <v/>
      </c>
      <c r="L568" s="37" t="str">
        <f>IF([3]道具信息!L568="","",[3]道具信息!L568)</f>
        <v/>
      </c>
      <c r="M568" s="37" t="str">
        <f>IF([3]道具信息!M568="","",[3]道具信息!M568)</f>
        <v/>
      </c>
      <c r="N568" s="37"/>
      <c r="O568" s="37" t="str">
        <f>IF([3]道具信息!O568="","",[3]道具信息!O568)</f>
        <v/>
      </c>
      <c r="P568" s="37" t="str">
        <f>IF([3]道具信息!P568="","",[3]道具信息!P568)</f>
        <v/>
      </c>
      <c r="Q568" s="37" t="str">
        <f>IF([3]道具信息!Q568="","",[3]道具信息!Q568)</f>
        <v/>
      </c>
    </row>
    <row r="569" spans="3:17" x14ac:dyDescent="0.15">
      <c r="C569" s="37" t="str">
        <f>IF([3]道具信息!C569="","",[3]道具信息!C569)</f>
        <v/>
      </c>
      <c r="D569" s="37" t="str">
        <f>IF([3]道具信息!D569="","",[3]道具信息!D569)</f>
        <v/>
      </c>
      <c r="E569" s="37" t="str">
        <f>IF([3]道具信息!E569="","",[3]道具信息!E569)</f>
        <v/>
      </c>
      <c r="F569" s="37" t="str">
        <f>IF([3]道具信息!F569="","",[3]道具信息!F569)</f>
        <v/>
      </c>
      <c r="G569" s="37" t="str">
        <f>IF([3]道具信息!G569="","",[3]道具信息!G569)</f>
        <v/>
      </c>
      <c r="H569" s="37" t="str">
        <f>IF([3]道具信息!H569="","",[3]道具信息!H569)</f>
        <v/>
      </c>
      <c r="I569" s="37" t="str">
        <f>IF([3]道具信息!I569="","",[3]道具信息!I569)</f>
        <v/>
      </c>
      <c r="J569" s="37" t="str">
        <f>IF([3]道具信息!J569="","",[3]道具信息!J569)</f>
        <v/>
      </c>
      <c r="K569" s="37" t="str">
        <f>IF([3]道具信息!K569="","",[3]道具信息!K569)</f>
        <v/>
      </c>
      <c r="L569" s="37" t="str">
        <f>IF([3]道具信息!L569="","",[3]道具信息!L569)</f>
        <v/>
      </c>
      <c r="M569" s="37" t="str">
        <f>IF([3]道具信息!M569="","",[3]道具信息!M569)</f>
        <v/>
      </c>
      <c r="N569" s="37"/>
      <c r="O569" s="37" t="str">
        <f>IF([3]道具信息!O569="","",[3]道具信息!O569)</f>
        <v/>
      </c>
      <c r="P569" s="37" t="str">
        <f>IF([3]道具信息!P569="","",[3]道具信息!P569)</f>
        <v/>
      </c>
      <c r="Q569" s="37" t="str">
        <f>IF([3]道具信息!Q569="","",[3]道具信息!Q569)</f>
        <v/>
      </c>
    </row>
    <row r="570" spans="3:17" x14ac:dyDescent="0.15">
      <c r="C570" s="37" t="str">
        <f>IF([3]道具信息!C570="","",[3]道具信息!C570)</f>
        <v/>
      </c>
      <c r="D570" s="37" t="str">
        <f>IF([3]道具信息!D570="","",[3]道具信息!D570)</f>
        <v/>
      </c>
      <c r="E570" s="37" t="str">
        <f>IF([3]道具信息!E570="","",[3]道具信息!E570)</f>
        <v/>
      </c>
      <c r="F570" s="37" t="str">
        <f>IF([3]道具信息!F570="","",[3]道具信息!F570)</f>
        <v/>
      </c>
      <c r="G570" s="37" t="str">
        <f>IF([3]道具信息!G570="","",[3]道具信息!G570)</f>
        <v/>
      </c>
      <c r="H570" s="37" t="str">
        <f>IF([3]道具信息!H570="","",[3]道具信息!H570)</f>
        <v/>
      </c>
      <c r="I570" s="37" t="str">
        <f>IF([3]道具信息!I570="","",[3]道具信息!I570)</f>
        <v/>
      </c>
      <c r="J570" s="37" t="str">
        <f>IF([3]道具信息!J570="","",[3]道具信息!J570)</f>
        <v/>
      </c>
      <c r="K570" s="37" t="str">
        <f>IF([3]道具信息!K570="","",[3]道具信息!K570)</f>
        <v/>
      </c>
      <c r="L570" s="37" t="str">
        <f>IF([3]道具信息!L570="","",[3]道具信息!L570)</f>
        <v/>
      </c>
      <c r="M570" s="37" t="str">
        <f>IF([3]道具信息!M570="","",[3]道具信息!M570)</f>
        <v/>
      </c>
      <c r="N570" s="37"/>
      <c r="O570" s="37" t="str">
        <f>IF([3]道具信息!O570="","",[3]道具信息!O570)</f>
        <v/>
      </c>
      <c r="P570" s="37" t="str">
        <f>IF([3]道具信息!P570="","",[3]道具信息!P570)</f>
        <v/>
      </c>
      <c r="Q570" s="37" t="str">
        <f>IF([3]道具信息!Q570="","",[3]道具信息!Q570)</f>
        <v/>
      </c>
    </row>
    <row r="571" spans="3:17" x14ac:dyDescent="0.15">
      <c r="C571" s="37" t="str">
        <f>IF([3]道具信息!C571="","",[3]道具信息!C571)</f>
        <v/>
      </c>
      <c r="D571" s="37" t="str">
        <f>IF([3]道具信息!D571="","",[3]道具信息!D571)</f>
        <v/>
      </c>
      <c r="E571" s="37" t="str">
        <f>IF([3]道具信息!E571="","",[3]道具信息!E571)</f>
        <v/>
      </c>
      <c r="F571" s="37" t="str">
        <f>IF([3]道具信息!F571="","",[3]道具信息!F571)</f>
        <v/>
      </c>
      <c r="G571" s="37" t="str">
        <f>IF([3]道具信息!G571="","",[3]道具信息!G571)</f>
        <v/>
      </c>
      <c r="H571" s="37" t="str">
        <f>IF([3]道具信息!H571="","",[3]道具信息!H571)</f>
        <v/>
      </c>
      <c r="I571" s="37" t="str">
        <f>IF([3]道具信息!I571="","",[3]道具信息!I571)</f>
        <v/>
      </c>
      <c r="J571" s="37" t="str">
        <f>IF([3]道具信息!J571="","",[3]道具信息!J571)</f>
        <v/>
      </c>
      <c r="K571" s="37" t="str">
        <f>IF([3]道具信息!K571="","",[3]道具信息!K571)</f>
        <v/>
      </c>
      <c r="L571" s="37" t="str">
        <f>IF([3]道具信息!L571="","",[3]道具信息!L571)</f>
        <v/>
      </c>
      <c r="M571" s="37" t="str">
        <f>IF([3]道具信息!M571="","",[3]道具信息!M571)</f>
        <v/>
      </c>
      <c r="N571" s="37"/>
      <c r="O571" s="37" t="str">
        <f>IF([3]道具信息!O571="","",[3]道具信息!O571)</f>
        <v/>
      </c>
      <c r="P571" s="37" t="str">
        <f>IF([3]道具信息!P571="","",[3]道具信息!P571)</f>
        <v/>
      </c>
      <c r="Q571" s="37" t="str">
        <f>IF([3]道具信息!Q571="","",[3]道具信息!Q571)</f>
        <v/>
      </c>
    </row>
    <row r="572" spans="3:17" x14ac:dyDescent="0.15">
      <c r="C572" s="37" t="str">
        <f>IF([3]道具信息!C572="","",[3]道具信息!C572)</f>
        <v/>
      </c>
      <c r="D572" s="37" t="str">
        <f>IF([3]道具信息!D572="","",[3]道具信息!D572)</f>
        <v/>
      </c>
      <c r="E572" s="37" t="str">
        <f>IF([3]道具信息!E572="","",[3]道具信息!E572)</f>
        <v/>
      </c>
      <c r="F572" s="37" t="str">
        <f>IF([3]道具信息!F572="","",[3]道具信息!F572)</f>
        <v/>
      </c>
      <c r="G572" s="37" t="str">
        <f>IF([3]道具信息!G572="","",[3]道具信息!G572)</f>
        <v/>
      </c>
      <c r="H572" s="37" t="str">
        <f>IF([3]道具信息!H572="","",[3]道具信息!H572)</f>
        <v/>
      </c>
      <c r="I572" s="37" t="str">
        <f>IF([3]道具信息!I572="","",[3]道具信息!I572)</f>
        <v/>
      </c>
      <c r="J572" s="37" t="str">
        <f>IF([3]道具信息!J572="","",[3]道具信息!J572)</f>
        <v/>
      </c>
      <c r="K572" s="37" t="str">
        <f>IF([3]道具信息!K572="","",[3]道具信息!K572)</f>
        <v/>
      </c>
      <c r="L572" s="37" t="str">
        <f>IF([3]道具信息!L572="","",[3]道具信息!L572)</f>
        <v/>
      </c>
      <c r="M572" s="37" t="str">
        <f>IF([3]道具信息!M572="","",[3]道具信息!M572)</f>
        <v/>
      </c>
      <c r="N572" s="37"/>
      <c r="O572" s="37" t="str">
        <f>IF([3]道具信息!O572="","",[3]道具信息!O572)</f>
        <v/>
      </c>
      <c r="P572" s="37" t="str">
        <f>IF([3]道具信息!P572="","",[3]道具信息!P572)</f>
        <v/>
      </c>
      <c r="Q572" s="37" t="str">
        <f>IF([3]道具信息!Q572="","",[3]道具信息!Q572)</f>
        <v/>
      </c>
    </row>
    <row r="573" spans="3:17" x14ac:dyDescent="0.15">
      <c r="C573" s="37" t="str">
        <f>IF([3]道具信息!C573="","",[3]道具信息!C573)</f>
        <v/>
      </c>
      <c r="D573" s="37" t="str">
        <f>IF([3]道具信息!D573="","",[3]道具信息!D573)</f>
        <v/>
      </c>
      <c r="E573" s="37" t="str">
        <f>IF([3]道具信息!E573="","",[3]道具信息!E573)</f>
        <v/>
      </c>
      <c r="F573" s="37" t="str">
        <f>IF([3]道具信息!F573="","",[3]道具信息!F573)</f>
        <v/>
      </c>
      <c r="G573" s="37" t="str">
        <f>IF([3]道具信息!G573="","",[3]道具信息!G573)</f>
        <v/>
      </c>
      <c r="H573" s="37" t="str">
        <f>IF([3]道具信息!H573="","",[3]道具信息!H573)</f>
        <v/>
      </c>
      <c r="I573" s="37" t="str">
        <f>IF([3]道具信息!I573="","",[3]道具信息!I573)</f>
        <v/>
      </c>
      <c r="J573" s="37" t="str">
        <f>IF([3]道具信息!J573="","",[3]道具信息!J573)</f>
        <v/>
      </c>
      <c r="K573" s="37" t="str">
        <f>IF([3]道具信息!K573="","",[3]道具信息!K573)</f>
        <v/>
      </c>
      <c r="L573" s="37" t="str">
        <f>IF([3]道具信息!L573="","",[3]道具信息!L573)</f>
        <v/>
      </c>
      <c r="M573" s="37" t="str">
        <f>IF([3]道具信息!M573="","",[3]道具信息!M573)</f>
        <v/>
      </c>
      <c r="N573" s="37"/>
      <c r="O573" s="37" t="str">
        <f>IF([3]道具信息!O573="","",[3]道具信息!O573)</f>
        <v/>
      </c>
      <c r="P573" s="37" t="str">
        <f>IF([3]道具信息!P573="","",[3]道具信息!P573)</f>
        <v/>
      </c>
      <c r="Q573" s="37" t="str">
        <f>IF([3]道具信息!Q573="","",[3]道具信息!Q573)</f>
        <v/>
      </c>
    </row>
    <row r="574" spans="3:17" x14ac:dyDescent="0.15">
      <c r="C574" s="37" t="str">
        <f>IF([3]道具信息!C574="","",[3]道具信息!C574)</f>
        <v/>
      </c>
      <c r="D574" s="37" t="str">
        <f>IF([3]道具信息!D574="","",[3]道具信息!D574)</f>
        <v/>
      </c>
      <c r="E574" s="37" t="str">
        <f>IF([3]道具信息!E574="","",[3]道具信息!E574)</f>
        <v/>
      </c>
      <c r="F574" s="37" t="str">
        <f>IF([3]道具信息!F574="","",[3]道具信息!F574)</f>
        <v/>
      </c>
      <c r="G574" s="37" t="str">
        <f>IF([3]道具信息!G574="","",[3]道具信息!G574)</f>
        <v/>
      </c>
      <c r="H574" s="37" t="str">
        <f>IF([3]道具信息!H574="","",[3]道具信息!H574)</f>
        <v/>
      </c>
      <c r="I574" s="37" t="str">
        <f>IF([3]道具信息!I574="","",[3]道具信息!I574)</f>
        <v/>
      </c>
      <c r="J574" s="37" t="str">
        <f>IF([3]道具信息!J574="","",[3]道具信息!J574)</f>
        <v/>
      </c>
      <c r="K574" s="37" t="str">
        <f>IF([3]道具信息!K574="","",[3]道具信息!K574)</f>
        <v/>
      </c>
      <c r="L574" s="37" t="str">
        <f>IF([3]道具信息!L574="","",[3]道具信息!L574)</f>
        <v/>
      </c>
      <c r="M574" s="37" t="str">
        <f>IF([3]道具信息!M574="","",[3]道具信息!M574)</f>
        <v/>
      </c>
      <c r="N574" s="37"/>
      <c r="O574" s="37" t="str">
        <f>IF([3]道具信息!O574="","",[3]道具信息!O574)</f>
        <v/>
      </c>
      <c r="P574" s="37" t="str">
        <f>IF([3]道具信息!P574="","",[3]道具信息!P574)</f>
        <v/>
      </c>
      <c r="Q574" s="37" t="str">
        <f>IF([3]道具信息!Q574="","",[3]道具信息!Q574)</f>
        <v/>
      </c>
    </row>
    <row r="575" spans="3:17" x14ac:dyDescent="0.15">
      <c r="C575" s="37" t="str">
        <f>IF([3]道具信息!C575="","",[3]道具信息!C575)</f>
        <v/>
      </c>
      <c r="D575" s="37" t="str">
        <f>IF([3]道具信息!D575="","",[3]道具信息!D575)</f>
        <v/>
      </c>
      <c r="E575" s="37" t="str">
        <f>IF([3]道具信息!E575="","",[3]道具信息!E575)</f>
        <v/>
      </c>
      <c r="F575" s="37" t="str">
        <f>IF([3]道具信息!F575="","",[3]道具信息!F575)</f>
        <v/>
      </c>
      <c r="G575" s="37" t="str">
        <f>IF([3]道具信息!G575="","",[3]道具信息!G575)</f>
        <v/>
      </c>
      <c r="H575" s="37" t="str">
        <f>IF([3]道具信息!H575="","",[3]道具信息!H575)</f>
        <v/>
      </c>
      <c r="I575" s="37" t="str">
        <f>IF([3]道具信息!I575="","",[3]道具信息!I575)</f>
        <v/>
      </c>
      <c r="J575" s="37" t="str">
        <f>IF([3]道具信息!J575="","",[3]道具信息!J575)</f>
        <v/>
      </c>
      <c r="K575" s="37" t="str">
        <f>IF([3]道具信息!K575="","",[3]道具信息!K575)</f>
        <v/>
      </c>
      <c r="L575" s="37" t="str">
        <f>IF([3]道具信息!L575="","",[3]道具信息!L575)</f>
        <v/>
      </c>
      <c r="M575" s="37" t="str">
        <f>IF([3]道具信息!M575="","",[3]道具信息!M575)</f>
        <v/>
      </c>
      <c r="N575" s="37"/>
      <c r="O575" s="37" t="str">
        <f>IF([3]道具信息!O575="","",[3]道具信息!O575)</f>
        <v/>
      </c>
      <c r="P575" s="37" t="str">
        <f>IF([3]道具信息!P575="","",[3]道具信息!P575)</f>
        <v/>
      </c>
      <c r="Q575" s="37" t="str">
        <f>IF([3]道具信息!Q575="","",[3]道具信息!Q575)</f>
        <v/>
      </c>
    </row>
    <row r="576" spans="3:17" x14ac:dyDescent="0.15">
      <c r="C576" s="37" t="str">
        <f>IF([3]道具信息!C576="","",[3]道具信息!C576)</f>
        <v/>
      </c>
      <c r="D576" s="37" t="str">
        <f>IF([3]道具信息!D576="","",[3]道具信息!D576)</f>
        <v/>
      </c>
      <c r="E576" s="37" t="str">
        <f>IF([3]道具信息!E576="","",[3]道具信息!E576)</f>
        <v/>
      </c>
      <c r="F576" s="37" t="str">
        <f>IF([3]道具信息!F576="","",[3]道具信息!F576)</f>
        <v/>
      </c>
      <c r="G576" s="37" t="str">
        <f>IF([3]道具信息!G576="","",[3]道具信息!G576)</f>
        <v/>
      </c>
      <c r="H576" s="37" t="str">
        <f>IF([3]道具信息!H576="","",[3]道具信息!H576)</f>
        <v/>
      </c>
      <c r="I576" s="37" t="str">
        <f>IF([3]道具信息!I576="","",[3]道具信息!I576)</f>
        <v/>
      </c>
      <c r="J576" s="37" t="str">
        <f>IF([3]道具信息!J576="","",[3]道具信息!J576)</f>
        <v/>
      </c>
      <c r="K576" s="37" t="str">
        <f>IF([3]道具信息!K576="","",[3]道具信息!K576)</f>
        <v/>
      </c>
      <c r="L576" s="37" t="str">
        <f>IF([3]道具信息!L576="","",[3]道具信息!L576)</f>
        <v/>
      </c>
      <c r="M576" s="37" t="str">
        <f>IF([3]道具信息!M576="","",[3]道具信息!M576)</f>
        <v/>
      </c>
      <c r="N576" s="37"/>
      <c r="O576" s="37" t="str">
        <f>IF([3]道具信息!O576="","",[3]道具信息!O576)</f>
        <v/>
      </c>
      <c r="P576" s="37" t="str">
        <f>IF([3]道具信息!P576="","",[3]道具信息!P576)</f>
        <v/>
      </c>
      <c r="Q576" s="37" t="str">
        <f>IF([3]道具信息!Q576="","",[3]道具信息!Q576)</f>
        <v/>
      </c>
    </row>
    <row r="577" spans="3:17" x14ac:dyDescent="0.15">
      <c r="C577" s="37" t="str">
        <f>IF([3]道具信息!C577="","",[3]道具信息!C577)</f>
        <v/>
      </c>
      <c r="D577" s="37" t="str">
        <f>IF([3]道具信息!D577="","",[3]道具信息!D577)</f>
        <v/>
      </c>
      <c r="E577" s="37" t="str">
        <f>IF([3]道具信息!E577="","",[3]道具信息!E577)</f>
        <v/>
      </c>
      <c r="F577" s="37" t="str">
        <f>IF([3]道具信息!F577="","",[3]道具信息!F577)</f>
        <v/>
      </c>
      <c r="G577" s="37" t="str">
        <f>IF([3]道具信息!G577="","",[3]道具信息!G577)</f>
        <v/>
      </c>
      <c r="H577" s="37" t="str">
        <f>IF([3]道具信息!H577="","",[3]道具信息!H577)</f>
        <v/>
      </c>
      <c r="I577" s="37" t="str">
        <f>IF([3]道具信息!I577="","",[3]道具信息!I577)</f>
        <v/>
      </c>
      <c r="J577" s="37" t="str">
        <f>IF([3]道具信息!J577="","",[3]道具信息!J577)</f>
        <v/>
      </c>
      <c r="K577" s="37" t="str">
        <f>IF([3]道具信息!K577="","",[3]道具信息!K577)</f>
        <v/>
      </c>
      <c r="L577" s="37" t="str">
        <f>IF([3]道具信息!L577="","",[3]道具信息!L577)</f>
        <v/>
      </c>
      <c r="M577" s="37" t="str">
        <f>IF([3]道具信息!M577="","",[3]道具信息!M577)</f>
        <v/>
      </c>
      <c r="N577" s="37"/>
      <c r="O577" s="37" t="str">
        <f>IF([3]道具信息!O577="","",[3]道具信息!O577)</f>
        <v/>
      </c>
      <c r="P577" s="37" t="str">
        <f>IF([3]道具信息!P577="","",[3]道具信息!P577)</f>
        <v/>
      </c>
      <c r="Q577" s="37" t="str">
        <f>IF([3]道具信息!Q577="","",[3]道具信息!Q577)</f>
        <v/>
      </c>
    </row>
    <row r="578" spans="3:17" x14ac:dyDescent="0.15">
      <c r="C578" s="37" t="str">
        <f>IF([3]道具信息!C578="","",[3]道具信息!C578)</f>
        <v/>
      </c>
      <c r="D578" s="37" t="str">
        <f>IF([3]道具信息!D578="","",[3]道具信息!D578)</f>
        <v/>
      </c>
      <c r="E578" s="37" t="str">
        <f>IF([3]道具信息!E578="","",[3]道具信息!E578)</f>
        <v/>
      </c>
      <c r="F578" s="37" t="str">
        <f>IF([3]道具信息!F578="","",[3]道具信息!F578)</f>
        <v/>
      </c>
      <c r="G578" s="37" t="str">
        <f>IF([3]道具信息!G578="","",[3]道具信息!G578)</f>
        <v/>
      </c>
      <c r="H578" s="37" t="str">
        <f>IF([3]道具信息!H578="","",[3]道具信息!H578)</f>
        <v/>
      </c>
      <c r="I578" s="37" t="str">
        <f>IF([3]道具信息!I578="","",[3]道具信息!I578)</f>
        <v/>
      </c>
      <c r="J578" s="37" t="str">
        <f>IF([3]道具信息!J578="","",[3]道具信息!J578)</f>
        <v/>
      </c>
      <c r="K578" s="37" t="str">
        <f>IF([3]道具信息!K578="","",[3]道具信息!K578)</f>
        <v/>
      </c>
      <c r="L578" s="37" t="str">
        <f>IF([3]道具信息!L578="","",[3]道具信息!L578)</f>
        <v/>
      </c>
      <c r="M578" s="37" t="str">
        <f>IF([3]道具信息!M578="","",[3]道具信息!M578)</f>
        <v/>
      </c>
      <c r="N578" s="37"/>
      <c r="O578" s="37" t="str">
        <f>IF([3]道具信息!O578="","",[3]道具信息!O578)</f>
        <v/>
      </c>
      <c r="P578" s="37" t="str">
        <f>IF([3]道具信息!P578="","",[3]道具信息!P578)</f>
        <v/>
      </c>
      <c r="Q578" s="37" t="str">
        <f>IF([3]道具信息!Q578="","",[3]道具信息!Q578)</f>
        <v/>
      </c>
    </row>
    <row r="579" spans="3:17" x14ac:dyDescent="0.15">
      <c r="C579" s="37" t="str">
        <f>IF([3]道具信息!C579="","",[3]道具信息!C579)</f>
        <v/>
      </c>
      <c r="D579" s="37" t="str">
        <f>IF([3]道具信息!D579="","",[3]道具信息!D579)</f>
        <v/>
      </c>
      <c r="E579" s="37" t="str">
        <f>IF([3]道具信息!E579="","",[3]道具信息!E579)</f>
        <v/>
      </c>
      <c r="F579" s="37" t="str">
        <f>IF([3]道具信息!F579="","",[3]道具信息!F579)</f>
        <v/>
      </c>
      <c r="G579" s="37" t="str">
        <f>IF([3]道具信息!G579="","",[3]道具信息!G579)</f>
        <v/>
      </c>
      <c r="H579" s="37" t="str">
        <f>IF([3]道具信息!H579="","",[3]道具信息!H579)</f>
        <v/>
      </c>
      <c r="I579" s="37" t="str">
        <f>IF([3]道具信息!I579="","",[3]道具信息!I579)</f>
        <v/>
      </c>
      <c r="J579" s="37" t="str">
        <f>IF([3]道具信息!J579="","",[3]道具信息!J579)</f>
        <v/>
      </c>
      <c r="K579" s="37" t="str">
        <f>IF([3]道具信息!K579="","",[3]道具信息!K579)</f>
        <v/>
      </c>
      <c r="L579" s="37" t="str">
        <f>IF([3]道具信息!L579="","",[3]道具信息!L579)</f>
        <v/>
      </c>
      <c r="M579" s="37" t="str">
        <f>IF([3]道具信息!M579="","",[3]道具信息!M579)</f>
        <v/>
      </c>
      <c r="N579" s="37"/>
      <c r="O579" s="37" t="str">
        <f>IF([3]道具信息!O579="","",[3]道具信息!O579)</f>
        <v/>
      </c>
      <c r="P579" s="37" t="str">
        <f>IF([3]道具信息!P579="","",[3]道具信息!P579)</f>
        <v/>
      </c>
      <c r="Q579" s="37" t="str">
        <f>IF([3]道具信息!Q579="","",[3]道具信息!Q579)</f>
        <v/>
      </c>
    </row>
    <row r="580" spans="3:17" x14ac:dyDescent="0.15">
      <c r="C580" s="37" t="str">
        <f>IF([3]道具信息!C580="","",[3]道具信息!C580)</f>
        <v/>
      </c>
      <c r="D580" s="37" t="str">
        <f>IF([3]道具信息!D580="","",[3]道具信息!D580)</f>
        <v/>
      </c>
      <c r="E580" s="37" t="str">
        <f>IF([3]道具信息!E580="","",[3]道具信息!E580)</f>
        <v/>
      </c>
      <c r="F580" s="37" t="str">
        <f>IF([3]道具信息!F580="","",[3]道具信息!F580)</f>
        <v/>
      </c>
      <c r="G580" s="37" t="str">
        <f>IF([3]道具信息!G580="","",[3]道具信息!G580)</f>
        <v/>
      </c>
      <c r="H580" s="37" t="str">
        <f>IF([3]道具信息!H580="","",[3]道具信息!H580)</f>
        <v/>
      </c>
      <c r="I580" s="37" t="str">
        <f>IF([3]道具信息!I580="","",[3]道具信息!I580)</f>
        <v/>
      </c>
      <c r="J580" s="37" t="str">
        <f>IF([3]道具信息!J580="","",[3]道具信息!J580)</f>
        <v/>
      </c>
      <c r="K580" s="37" t="str">
        <f>IF([3]道具信息!K580="","",[3]道具信息!K580)</f>
        <v/>
      </c>
      <c r="L580" s="37" t="str">
        <f>IF([3]道具信息!L580="","",[3]道具信息!L580)</f>
        <v/>
      </c>
      <c r="M580" s="37" t="str">
        <f>IF([3]道具信息!M580="","",[3]道具信息!M580)</f>
        <v/>
      </c>
      <c r="N580" s="37"/>
      <c r="O580" s="37" t="str">
        <f>IF([3]道具信息!O580="","",[3]道具信息!O580)</f>
        <v/>
      </c>
      <c r="P580" s="37" t="str">
        <f>IF([3]道具信息!P580="","",[3]道具信息!P580)</f>
        <v/>
      </c>
      <c r="Q580" s="37" t="str">
        <f>IF([3]道具信息!Q580="","",[3]道具信息!Q580)</f>
        <v/>
      </c>
    </row>
    <row r="581" spans="3:17" x14ac:dyDescent="0.15">
      <c r="C581" s="37" t="str">
        <f>IF([3]道具信息!C581="","",[3]道具信息!C581)</f>
        <v/>
      </c>
      <c r="D581" s="37" t="str">
        <f>IF([3]道具信息!D581="","",[3]道具信息!D581)</f>
        <v/>
      </c>
      <c r="E581" s="37" t="str">
        <f>IF([3]道具信息!E581="","",[3]道具信息!E581)</f>
        <v/>
      </c>
      <c r="F581" s="37" t="str">
        <f>IF([3]道具信息!F581="","",[3]道具信息!F581)</f>
        <v/>
      </c>
      <c r="G581" s="37" t="str">
        <f>IF([3]道具信息!G581="","",[3]道具信息!G581)</f>
        <v/>
      </c>
      <c r="H581" s="37" t="str">
        <f>IF([3]道具信息!H581="","",[3]道具信息!H581)</f>
        <v/>
      </c>
      <c r="I581" s="37" t="str">
        <f>IF([3]道具信息!I581="","",[3]道具信息!I581)</f>
        <v/>
      </c>
      <c r="J581" s="37" t="str">
        <f>IF([3]道具信息!J581="","",[3]道具信息!J581)</f>
        <v/>
      </c>
      <c r="K581" s="37" t="str">
        <f>IF([3]道具信息!K581="","",[3]道具信息!K581)</f>
        <v/>
      </c>
      <c r="L581" s="37" t="str">
        <f>IF([3]道具信息!L581="","",[3]道具信息!L581)</f>
        <v/>
      </c>
      <c r="M581" s="37" t="str">
        <f>IF([3]道具信息!M581="","",[3]道具信息!M581)</f>
        <v/>
      </c>
      <c r="N581" s="37"/>
      <c r="O581" s="37" t="str">
        <f>IF([3]道具信息!O581="","",[3]道具信息!O581)</f>
        <v/>
      </c>
      <c r="P581" s="37" t="str">
        <f>IF([3]道具信息!P581="","",[3]道具信息!P581)</f>
        <v/>
      </c>
      <c r="Q581" s="37" t="str">
        <f>IF([3]道具信息!Q581="","",[3]道具信息!Q581)</f>
        <v/>
      </c>
    </row>
    <row r="582" spans="3:17" x14ac:dyDescent="0.15">
      <c r="C582" s="37" t="str">
        <f>IF([3]道具信息!C582="","",[3]道具信息!C582)</f>
        <v/>
      </c>
      <c r="D582" s="37" t="str">
        <f>IF([3]道具信息!D582="","",[3]道具信息!D582)</f>
        <v/>
      </c>
      <c r="E582" s="37" t="str">
        <f>IF([3]道具信息!E582="","",[3]道具信息!E582)</f>
        <v/>
      </c>
      <c r="F582" s="37" t="str">
        <f>IF([3]道具信息!F582="","",[3]道具信息!F582)</f>
        <v/>
      </c>
      <c r="G582" s="37" t="str">
        <f>IF([3]道具信息!G582="","",[3]道具信息!G582)</f>
        <v/>
      </c>
      <c r="H582" s="37" t="str">
        <f>IF([3]道具信息!H582="","",[3]道具信息!H582)</f>
        <v/>
      </c>
      <c r="I582" s="37" t="str">
        <f>IF([3]道具信息!I582="","",[3]道具信息!I582)</f>
        <v/>
      </c>
      <c r="J582" s="37" t="str">
        <f>IF([3]道具信息!J582="","",[3]道具信息!J582)</f>
        <v/>
      </c>
      <c r="K582" s="37" t="str">
        <f>IF([3]道具信息!K582="","",[3]道具信息!K582)</f>
        <v/>
      </c>
      <c r="L582" s="37" t="str">
        <f>IF([3]道具信息!L582="","",[3]道具信息!L582)</f>
        <v/>
      </c>
      <c r="M582" s="37" t="str">
        <f>IF([3]道具信息!M582="","",[3]道具信息!M582)</f>
        <v/>
      </c>
      <c r="N582" s="37"/>
      <c r="O582" s="37" t="str">
        <f>IF([3]道具信息!O582="","",[3]道具信息!O582)</f>
        <v/>
      </c>
      <c r="P582" s="37" t="str">
        <f>IF([3]道具信息!P582="","",[3]道具信息!P582)</f>
        <v/>
      </c>
      <c r="Q582" s="37" t="str">
        <f>IF([3]道具信息!Q582="","",[3]道具信息!Q582)</f>
        <v/>
      </c>
    </row>
    <row r="583" spans="3:17" x14ac:dyDescent="0.15">
      <c r="C583" s="37" t="str">
        <f>IF([3]道具信息!C583="","",[3]道具信息!C583)</f>
        <v/>
      </c>
      <c r="D583" s="37" t="str">
        <f>IF([3]道具信息!D583="","",[3]道具信息!D583)</f>
        <v/>
      </c>
      <c r="E583" s="37" t="str">
        <f>IF([3]道具信息!E583="","",[3]道具信息!E583)</f>
        <v/>
      </c>
      <c r="F583" s="37" t="str">
        <f>IF([3]道具信息!F583="","",[3]道具信息!F583)</f>
        <v/>
      </c>
      <c r="G583" s="37" t="str">
        <f>IF([3]道具信息!G583="","",[3]道具信息!G583)</f>
        <v/>
      </c>
      <c r="H583" s="37" t="str">
        <f>IF([3]道具信息!H583="","",[3]道具信息!H583)</f>
        <v/>
      </c>
      <c r="I583" s="37" t="str">
        <f>IF([3]道具信息!I583="","",[3]道具信息!I583)</f>
        <v/>
      </c>
      <c r="J583" s="37" t="str">
        <f>IF([3]道具信息!J583="","",[3]道具信息!J583)</f>
        <v/>
      </c>
      <c r="K583" s="37" t="str">
        <f>IF([3]道具信息!K583="","",[3]道具信息!K583)</f>
        <v/>
      </c>
      <c r="L583" s="37" t="str">
        <f>IF([3]道具信息!L583="","",[3]道具信息!L583)</f>
        <v/>
      </c>
      <c r="M583" s="37" t="str">
        <f>IF([3]道具信息!M583="","",[3]道具信息!M583)</f>
        <v/>
      </c>
      <c r="N583" s="37"/>
      <c r="O583" s="37" t="str">
        <f>IF([3]道具信息!O583="","",[3]道具信息!O583)</f>
        <v/>
      </c>
      <c r="P583" s="37" t="str">
        <f>IF([3]道具信息!P583="","",[3]道具信息!P583)</f>
        <v/>
      </c>
      <c r="Q583" s="37" t="str">
        <f>IF([3]道具信息!Q583="","",[3]道具信息!Q583)</f>
        <v/>
      </c>
    </row>
    <row r="584" spans="3:17" x14ac:dyDescent="0.15">
      <c r="C584" s="37" t="str">
        <f>IF([3]道具信息!C584="","",[3]道具信息!C584)</f>
        <v/>
      </c>
      <c r="D584" s="37" t="str">
        <f>IF([3]道具信息!D584="","",[3]道具信息!D584)</f>
        <v/>
      </c>
      <c r="E584" s="37" t="str">
        <f>IF([3]道具信息!E584="","",[3]道具信息!E584)</f>
        <v/>
      </c>
      <c r="F584" s="37" t="str">
        <f>IF([3]道具信息!F584="","",[3]道具信息!F584)</f>
        <v/>
      </c>
      <c r="G584" s="37" t="str">
        <f>IF([3]道具信息!G584="","",[3]道具信息!G584)</f>
        <v/>
      </c>
      <c r="H584" s="37" t="str">
        <f>IF([3]道具信息!H584="","",[3]道具信息!H584)</f>
        <v/>
      </c>
      <c r="I584" s="37" t="str">
        <f>IF([3]道具信息!I584="","",[3]道具信息!I584)</f>
        <v/>
      </c>
      <c r="J584" s="37" t="str">
        <f>IF([3]道具信息!J584="","",[3]道具信息!J584)</f>
        <v/>
      </c>
      <c r="K584" s="37" t="str">
        <f>IF([3]道具信息!K584="","",[3]道具信息!K584)</f>
        <v/>
      </c>
      <c r="L584" s="37" t="str">
        <f>IF([3]道具信息!L584="","",[3]道具信息!L584)</f>
        <v/>
      </c>
      <c r="M584" s="37" t="str">
        <f>IF([3]道具信息!M584="","",[3]道具信息!M584)</f>
        <v/>
      </c>
      <c r="N584" s="37"/>
      <c r="O584" s="37" t="str">
        <f>IF([3]道具信息!O584="","",[3]道具信息!O584)</f>
        <v/>
      </c>
      <c r="P584" s="37" t="str">
        <f>IF([3]道具信息!P584="","",[3]道具信息!P584)</f>
        <v/>
      </c>
      <c r="Q584" s="37" t="str">
        <f>IF([3]道具信息!Q584="","",[3]道具信息!Q584)</f>
        <v/>
      </c>
    </row>
    <row r="585" spans="3:17" x14ac:dyDescent="0.15">
      <c r="C585" s="37" t="str">
        <f>IF([3]道具信息!C585="","",[3]道具信息!C585)</f>
        <v/>
      </c>
      <c r="D585" s="37" t="str">
        <f>IF([3]道具信息!D585="","",[3]道具信息!D585)</f>
        <v/>
      </c>
      <c r="E585" s="37" t="str">
        <f>IF([3]道具信息!E585="","",[3]道具信息!E585)</f>
        <v/>
      </c>
      <c r="F585" s="37" t="str">
        <f>IF([3]道具信息!F585="","",[3]道具信息!F585)</f>
        <v/>
      </c>
      <c r="G585" s="37" t="str">
        <f>IF([3]道具信息!G585="","",[3]道具信息!G585)</f>
        <v/>
      </c>
      <c r="H585" s="37" t="str">
        <f>IF([3]道具信息!H585="","",[3]道具信息!H585)</f>
        <v/>
      </c>
      <c r="I585" s="37" t="str">
        <f>IF([3]道具信息!I585="","",[3]道具信息!I585)</f>
        <v/>
      </c>
      <c r="J585" s="37" t="str">
        <f>IF([3]道具信息!J585="","",[3]道具信息!J585)</f>
        <v/>
      </c>
      <c r="K585" s="37" t="str">
        <f>IF([3]道具信息!K585="","",[3]道具信息!K585)</f>
        <v/>
      </c>
      <c r="L585" s="37" t="str">
        <f>IF([3]道具信息!L585="","",[3]道具信息!L585)</f>
        <v/>
      </c>
      <c r="M585" s="37" t="str">
        <f>IF([3]道具信息!M585="","",[3]道具信息!M585)</f>
        <v/>
      </c>
      <c r="N585" s="37"/>
      <c r="O585" s="37" t="str">
        <f>IF([3]道具信息!O585="","",[3]道具信息!O585)</f>
        <v/>
      </c>
      <c r="P585" s="37" t="str">
        <f>IF([3]道具信息!P585="","",[3]道具信息!P585)</f>
        <v/>
      </c>
      <c r="Q585" s="37" t="str">
        <f>IF([3]道具信息!Q585="","",[3]道具信息!Q585)</f>
        <v/>
      </c>
    </row>
    <row r="586" spans="3:17" x14ac:dyDescent="0.15">
      <c r="C586" s="37" t="str">
        <f>IF([3]道具信息!C586="","",[3]道具信息!C586)</f>
        <v/>
      </c>
      <c r="D586" s="37" t="str">
        <f>IF([3]道具信息!D586="","",[3]道具信息!D586)</f>
        <v/>
      </c>
      <c r="E586" s="37" t="str">
        <f>IF([3]道具信息!E586="","",[3]道具信息!E586)</f>
        <v/>
      </c>
      <c r="F586" s="37" t="str">
        <f>IF([3]道具信息!F586="","",[3]道具信息!F586)</f>
        <v/>
      </c>
      <c r="G586" s="37" t="str">
        <f>IF([3]道具信息!G586="","",[3]道具信息!G586)</f>
        <v/>
      </c>
      <c r="H586" s="37" t="str">
        <f>IF([3]道具信息!H586="","",[3]道具信息!H586)</f>
        <v/>
      </c>
      <c r="I586" s="37" t="str">
        <f>IF([3]道具信息!I586="","",[3]道具信息!I586)</f>
        <v/>
      </c>
      <c r="J586" s="37" t="str">
        <f>IF([3]道具信息!J586="","",[3]道具信息!J586)</f>
        <v/>
      </c>
      <c r="K586" s="37" t="str">
        <f>IF([3]道具信息!K586="","",[3]道具信息!K586)</f>
        <v/>
      </c>
      <c r="L586" s="37" t="str">
        <f>IF([3]道具信息!L586="","",[3]道具信息!L586)</f>
        <v/>
      </c>
      <c r="M586" s="37" t="str">
        <f>IF([3]道具信息!M586="","",[3]道具信息!M586)</f>
        <v/>
      </c>
      <c r="N586" s="37"/>
      <c r="O586" s="37" t="str">
        <f>IF([3]道具信息!O586="","",[3]道具信息!O586)</f>
        <v/>
      </c>
      <c r="P586" s="37" t="str">
        <f>IF([3]道具信息!P586="","",[3]道具信息!P586)</f>
        <v/>
      </c>
      <c r="Q586" s="37" t="str">
        <f>IF([3]道具信息!Q586="","",[3]道具信息!Q586)</f>
        <v/>
      </c>
    </row>
    <row r="587" spans="3:17" x14ac:dyDescent="0.15">
      <c r="C587" s="37" t="str">
        <f>IF([3]道具信息!C587="","",[3]道具信息!C587)</f>
        <v/>
      </c>
      <c r="D587" s="37" t="str">
        <f>IF([3]道具信息!D587="","",[3]道具信息!D587)</f>
        <v/>
      </c>
      <c r="E587" s="37" t="str">
        <f>IF([3]道具信息!E587="","",[3]道具信息!E587)</f>
        <v/>
      </c>
      <c r="F587" s="37" t="str">
        <f>IF([3]道具信息!F587="","",[3]道具信息!F587)</f>
        <v/>
      </c>
      <c r="G587" s="37" t="str">
        <f>IF([3]道具信息!G587="","",[3]道具信息!G587)</f>
        <v/>
      </c>
      <c r="H587" s="37" t="str">
        <f>IF([3]道具信息!H587="","",[3]道具信息!H587)</f>
        <v/>
      </c>
      <c r="I587" s="37" t="str">
        <f>IF([3]道具信息!I587="","",[3]道具信息!I587)</f>
        <v/>
      </c>
      <c r="J587" s="37" t="str">
        <f>IF([3]道具信息!J587="","",[3]道具信息!J587)</f>
        <v/>
      </c>
      <c r="K587" s="37" t="str">
        <f>IF([3]道具信息!K587="","",[3]道具信息!K587)</f>
        <v/>
      </c>
      <c r="L587" s="37" t="str">
        <f>IF([3]道具信息!L587="","",[3]道具信息!L587)</f>
        <v/>
      </c>
      <c r="M587" s="37" t="str">
        <f>IF([3]道具信息!M587="","",[3]道具信息!M587)</f>
        <v/>
      </c>
      <c r="N587" s="37"/>
      <c r="O587" s="37" t="str">
        <f>IF([3]道具信息!O587="","",[3]道具信息!O587)</f>
        <v/>
      </c>
      <c r="P587" s="37" t="str">
        <f>IF([3]道具信息!P587="","",[3]道具信息!P587)</f>
        <v/>
      </c>
      <c r="Q587" s="37" t="str">
        <f>IF([3]道具信息!Q587="","",[3]道具信息!Q587)</f>
        <v/>
      </c>
    </row>
    <row r="588" spans="3:17" x14ac:dyDescent="0.15">
      <c r="C588" s="37" t="str">
        <f>IF([3]道具信息!C588="","",[3]道具信息!C588)</f>
        <v/>
      </c>
      <c r="D588" s="37" t="str">
        <f>IF([3]道具信息!D588="","",[3]道具信息!D588)</f>
        <v/>
      </c>
      <c r="E588" s="37" t="str">
        <f>IF([3]道具信息!E588="","",[3]道具信息!E588)</f>
        <v/>
      </c>
      <c r="F588" s="37" t="str">
        <f>IF([3]道具信息!F588="","",[3]道具信息!F588)</f>
        <v/>
      </c>
      <c r="G588" s="37" t="str">
        <f>IF([3]道具信息!G588="","",[3]道具信息!G588)</f>
        <v/>
      </c>
      <c r="H588" s="37" t="str">
        <f>IF([3]道具信息!H588="","",[3]道具信息!H588)</f>
        <v/>
      </c>
      <c r="I588" s="37" t="str">
        <f>IF([3]道具信息!I588="","",[3]道具信息!I588)</f>
        <v/>
      </c>
      <c r="J588" s="37" t="str">
        <f>IF([3]道具信息!J588="","",[3]道具信息!J588)</f>
        <v/>
      </c>
      <c r="K588" s="37" t="str">
        <f>IF([3]道具信息!K588="","",[3]道具信息!K588)</f>
        <v/>
      </c>
      <c r="L588" s="37" t="str">
        <f>IF([3]道具信息!L588="","",[3]道具信息!L588)</f>
        <v/>
      </c>
      <c r="M588" s="37" t="str">
        <f>IF([3]道具信息!M588="","",[3]道具信息!M588)</f>
        <v/>
      </c>
      <c r="N588" s="37"/>
      <c r="O588" s="37" t="str">
        <f>IF([3]道具信息!O588="","",[3]道具信息!O588)</f>
        <v/>
      </c>
      <c r="P588" s="37" t="str">
        <f>IF([3]道具信息!P588="","",[3]道具信息!P588)</f>
        <v/>
      </c>
      <c r="Q588" s="37" t="str">
        <f>IF([3]道具信息!Q588="","",[3]道具信息!Q588)</f>
        <v/>
      </c>
    </row>
    <row r="589" spans="3:17" x14ac:dyDescent="0.15">
      <c r="C589" s="37" t="str">
        <f>IF([3]道具信息!C589="","",[3]道具信息!C589)</f>
        <v/>
      </c>
      <c r="D589" s="37" t="str">
        <f>IF([3]道具信息!D589="","",[3]道具信息!D589)</f>
        <v/>
      </c>
      <c r="E589" s="37" t="str">
        <f>IF([3]道具信息!E589="","",[3]道具信息!E589)</f>
        <v/>
      </c>
      <c r="F589" s="37" t="str">
        <f>IF([3]道具信息!F589="","",[3]道具信息!F589)</f>
        <v/>
      </c>
      <c r="G589" s="37" t="str">
        <f>IF([3]道具信息!G589="","",[3]道具信息!G589)</f>
        <v/>
      </c>
      <c r="H589" s="37" t="str">
        <f>IF([3]道具信息!H589="","",[3]道具信息!H589)</f>
        <v/>
      </c>
      <c r="I589" s="37" t="str">
        <f>IF([3]道具信息!I589="","",[3]道具信息!I589)</f>
        <v/>
      </c>
      <c r="J589" s="37" t="str">
        <f>IF([3]道具信息!J589="","",[3]道具信息!J589)</f>
        <v/>
      </c>
      <c r="K589" s="37" t="str">
        <f>IF([3]道具信息!K589="","",[3]道具信息!K589)</f>
        <v/>
      </c>
      <c r="L589" s="37" t="str">
        <f>IF([3]道具信息!L589="","",[3]道具信息!L589)</f>
        <v/>
      </c>
      <c r="M589" s="37" t="str">
        <f>IF([3]道具信息!M589="","",[3]道具信息!M589)</f>
        <v/>
      </c>
      <c r="N589" s="37"/>
      <c r="O589" s="37" t="str">
        <f>IF([3]道具信息!O589="","",[3]道具信息!O589)</f>
        <v/>
      </c>
      <c r="P589" s="37" t="str">
        <f>IF([3]道具信息!P589="","",[3]道具信息!P589)</f>
        <v/>
      </c>
      <c r="Q589" s="37" t="str">
        <f>IF([3]道具信息!Q589="","",[3]道具信息!Q589)</f>
        <v/>
      </c>
    </row>
    <row r="590" spans="3:17" x14ac:dyDescent="0.15">
      <c r="C590" s="37" t="str">
        <f>IF([3]道具信息!C590="","",[3]道具信息!C590)</f>
        <v/>
      </c>
      <c r="D590" s="37" t="str">
        <f>IF([3]道具信息!D590="","",[3]道具信息!D590)</f>
        <v/>
      </c>
      <c r="E590" s="37" t="str">
        <f>IF([3]道具信息!E590="","",[3]道具信息!E590)</f>
        <v/>
      </c>
      <c r="F590" s="37" t="str">
        <f>IF([3]道具信息!F590="","",[3]道具信息!F590)</f>
        <v/>
      </c>
      <c r="G590" s="37" t="str">
        <f>IF([3]道具信息!G590="","",[3]道具信息!G590)</f>
        <v/>
      </c>
      <c r="H590" s="37" t="str">
        <f>IF([3]道具信息!H590="","",[3]道具信息!H590)</f>
        <v/>
      </c>
      <c r="I590" s="37" t="str">
        <f>IF([3]道具信息!I590="","",[3]道具信息!I590)</f>
        <v/>
      </c>
      <c r="J590" s="37" t="str">
        <f>IF([3]道具信息!J590="","",[3]道具信息!J590)</f>
        <v/>
      </c>
      <c r="K590" s="37" t="str">
        <f>IF([3]道具信息!K590="","",[3]道具信息!K590)</f>
        <v/>
      </c>
      <c r="L590" s="37" t="str">
        <f>IF([3]道具信息!L590="","",[3]道具信息!L590)</f>
        <v/>
      </c>
      <c r="M590" s="37" t="str">
        <f>IF([3]道具信息!M590="","",[3]道具信息!M590)</f>
        <v/>
      </c>
      <c r="N590" s="37"/>
      <c r="O590" s="37" t="str">
        <f>IF([3]道具信息!O590="","",[3]道具信息!O590)</f>
        <v/>
      </c>
      <c r="P590" s="37" t="str">
        <f>IF([3]道具信息!P590="","",[3]道具信息!P590)</f>
        <v/>
      </c>
      <c r="Q590" s="37" t="str">
        <f>IF([3]道具信息!Q590="","",[3]道具信息!Q590)</f>
        <v/>
      </c>
    </row>
    <row r="591" spans="3:17" x14ac:dyDescent="0.15">
      <c r="C591" s="37" t="str">
        <f>IF([3]道具信息!C591="","",[3]道具信息!C591)</f>
        <v/>
      </c>
      <c r="D591" s="37" t="str">
        <f>IF([3]道具信息!D591="","",[3]道具信息!D591)</f>
        <v/>
      </c>
      <c r="E591" s="37" t="str">
        <f>IF([3]道具信息!E591="","",[3]道具信息!E591)</f>
        <v/>
      </c>
      <c r="F591" s="37" t="str">
        <f>IF([3]道具信息!F591="","",[3]道具信息!F591)</f>
        <v/>
      </c>
      <c r="G591" s="37" t="str">
        <f>IF([3]道具信息!G591="","",[3]道具信息!G591)</f>
        <v/>
      </c>
      <c r="H591" s="37" t="str">
        <f>IF([3]道具信息!H591="","",[3]道具信息!H591)</f>
        <v/>
      </c>
      <c r="I591" s="37" t="str">
        <f>IF([3]道具信息!I591="","",[3]道具信息!I591)</f>
        <v/>
      </c>
      <c r="J591" s="37" t="str">
        <f>IF([3]道具信息!J591="","",[3]道具信息!J591)</f>
        <v/>
      </c>
      <c r="K591" s="37" t="str">
        <f>IF([3]道具信息!K591="","",[3]道具信息!K591)</f>
        <v/>
      </c>
      <c r="L591" s="37" t="str">
        <f>IF([3]道具信息!L591="","",[3]道具信息!L591)</f>
        <v/>
      </c>
      <c r="M591" s="37" t="str">
        <f>IF([3]道具信息!M591="","",[3]道具信息!M591)</f>
        <v/>
      </c>
      <c r="N591" s="37"/>
      <c r="O591" s="37" t="str">
        <f>IF([3]道具信息!O591="","",[3]道具信息!O591)</f>
        <v/>
      </c>
      <c r="P591" s="37" t="str">
        <f>IF([3]道具信息!P591="","",[3]道具信息!P591)</f>
        <v/>
      </c>
      <c r="Q591" s="37" t="str">
        <f>IF([3]道具信息!Q591="","",[3]道具信息!Q591)</f>
        <v/>
      </c>
    </row>
    <row r="592" spans="3:17" x14ac:dyDescent="0.15">
      <c r="C592" s="37" t="str">
        <f>IF([3]道具信息!C592="","",[3]道具信息!C592)</f>
        <v/>
      </c>
      <c r="D592" s="37" t="str">
        <f>IF([3]道具信息!D592="","",[3]道具信息!D592)</f>
        <v/>
      </c>
      <c r="E592" s="37" t="str">
        <f>IF([3]道具信息!E592="","",[3]道具信息!E592)</f>
        <v/>
      </c>
      <c r="F592" s="37" t="str">
        <f>IF([3]道具信息!F592="","",[3]道具信息!F592)</f>
        <v/>
      </c>
      <c r="G592" s="37" t="str">
        <f>IF([3]道具信息!G592="","",[3]道具信息!G592)</f>
        <v/>
      </c>
      <c r="H592" s="37" t="str">
        <f>IF([3]道具信息!H592="","",[3]道具信息!H592)</f>
        <v/>
      </c>
      <c r="I592" s="37" t="str">
        <f>IF([3]道具信息!I592="","",[3]道具信息!I592)</f>
        <v/>
      </c>
      <c r="J592" s="37" t="str">
        <f>IF([3]道具信息!J592="","",[3]道具信息!J592)</f>
        <v/>
      </c>
      <c r="K592" s="37" t="str">
        <f>IF([3]道具信息!K592="","",[3]道具信息!K592)</f>
        <v/>
      </c>
      <c r="L592" s="37" t="str">
        <f>IF([3]道具信息!L592="","",[3]道具信息!L592)</f>
        <v/>
      </c>
      <c r="M592" s="37" t="str">
        <f>IF([3]道具信息!M592="","",[3]道具信息!M592)</f>
        <v/>
      </c>
      <c r="N592" s="37"/>
      <c r="O592" s="37" t="str">
        <f>IF([3]道具信息!O592="","",[3]道具信息!O592)</f>
        <v/>
      </c>
      <c r="P592" s="37" t="str">
        <f>IF([3]道具信息!P592="","",[3]道具信息!P592)</f>
        <v/>
      </c>
      <c r="Q592" s="37" t="str">
        <f>IF([3]道具信息!Q592="","",[3]道具信息!Q592)</f>
        <v/>
      </c>
    </row>
    <row r="593" spans="3:17" x14ac:dyDescent="0.15">
      <c r="C593" s="37" t="str">
        <f>IF([3]道具信息!C593="","",[3]道具信息!C593)</f>
        <v/>
      </c>
      <c r="D593" s="37" t="str">
        <f>IF([3]道具信息!D593="","",[3]道具信息!D593)</f>
        <v/>
      </c>
      <c r="E593" s="37" t="str">
        <f>IF([3]道具信息!E593="","",[3]道具信息!E593)</f>
        <v/>
      </c>
      <c r="F593" s="37" t="str">
        <f>IF([3]道具信息!F593="","",[3]道具信息!F593)</f>
        <v/>
      </c>
      <c r="G593" s="37" t="str">
        <f>IF([3]道具信息!G593="","",[3]道具信息!G593)</f>
        <v/>
      </c>
      <c r="H593" s="37" t="str">
        <f>IF([3]道具信息!H593="","",[3]道具信息!H593)</f>
        <v/>
      </c>
      <c r="I593" s="37" t="str">
        <f>IF([3]道具信息!I593="","",[3]道具信息!I593)</f>
        <v/>
      </c>
      <c r="J593" s="37" t="str">
        <f>IF([3]道具信息!J593="","",[3]道具信息!J593)</f>
        <v/>
      </c>
      <c r="K593" s="37" t="str">
        <f>IF([3]道具信息!K593="","",[3]道具信息!K593)</f>
        <v/>
      </c>
      <c r="L593" s="37" t="str">
        <f>IF([3]道具信息!L593="","",[3]道具信息!L593)</f>
        <v/>
      </c>
      <c r="M593" s="37" t="str">
        <f>IF([3]道具信息!M593="","",[3]道具信息!M593)</f>
        <v/>
      </c>
      <c r="N593" s="37"/>
      <c r="O593" s="37" t="str">
        <f>IF([3]道具信息!O593="","",[3]道具信息!O593)</f>
        <v/>
      </c>
      <c r="P593" s="37" t="str">
        <f>IF([3]道具信息!P593="","",[3]道具信息!P593)</f>
        <v/>
      </c>
      <c r="Q593" s="37" t="str">
        <f>IF([3]道具信息!Q593="","",[3]道具信息!Q593)</f>
        <v/>
      </c>
    </row>
    <row r="594" spans="3:17" x14ac:dyDescent="0.15">
      <c r="C594" s="37" t="str">
        <f>IF([3]道具信息!C594="","",[3]道具信息!C594)</f>
        <v/>
      </c>
      <c r="D594" s="37" t="str">
        <f>IF([3]道具信息!D594="","",[3]道具信息!D594)</f>
        <v/>
      </c>
      <c r="E594" s="37" t="str">
        <f>IF([3]道具信息!E594="","",[3]道具信息!E594)</f>
        <v/>
      </c>
      <c r="F594" s="37" t="str">
        <f>IF([3]道具信息!F594="","",[3]道具信息!F594)</f>
        <v/>
      </c>
      <c r="G594" s="37" t="str">
        <f>IF([3]道具信息!G594="","",[3]道具信息!G594)</f>
        <v/>
      </c>
      <c r="H594" s="37" t="str">
        <f>IF([3]道具信息!H594="","",[3]道具信息!H594)</f>
        <v/>
      </c>
      <c r="I594" s="37" t="str">
        <f>IF([3]道具信息!I594="","",[3]道具信息!I594)</f>
        <v/>
      </c>
      <c r="J594" s="37" t="str">
        <f>IF([3]道具信息!J594="","",[3]道具信息!J594)</f>
        <v/>
      </c>
      <c r="K594" s="37" t="str">
        <f>IF([3]道具信息!K594="","",[3]道具信息!K594)</f>
        <v/>
      </c>
      <c r="L594" s="37" t="str">
        <f>IF([3]道具信息!L594="","",[3]道具信息!L594)</f>
        <v/>
      </c>
      <c r="M594" s="37" t="str">
        <f>IF([3]道具信息!M594="","",[3]道具信息!M594)</f>
        <v/>
      </c>
      <c r="N594" s="37"/>
      <c r="O594" s="37" t="str">
        <f>IF([3]道具信息!O594="","",[3]道具信息!O594)</f>
        <v/>
      </c>
      <c r="P594" s="37" t="str">
        <f>IF([3]道具信息!P594="","",[3]道具信息!P594)</f>
        <v/>
      </c>
      <c r="Q594" s="37" t="str">
        <f>IF([3]道具信息!Q594="","",[3]道具信息!Q594)</f>
        <v/>
      </c>
    </row>
    <row r="595" spans="3:17" x14ac:dyDescent="0.15">
      <c r="C595" s="37" t="str">
        <f>IF([3]道具信息!C595="","",[3]道具信息!C595)</f>
        <v/>
      </c>
      <c r="D595" s="37" t="str">
        <f>IF([3]道具信息!D595="","",[3]道具信息!D595)</f>
        <v/>
      </c>
      <c r="E595" s="37" t="str">
        <f>IF([3]道具信息!E595="","",[3]道具信息!E595)</f>
        <v/>
      </c>
      <c r="F595" s="37" t="str">
        <f>IF([3]道具信息!F595="","",[3]道具信息!F595)</f>
        <v/>
      </c>
      <c r="G595" s="37" t="str">
        <f>IF([3]道具信息!G595="","",[3]道具信息!G595)</f>
        <v/>
      </c>
      <c r="H595" s="37" t="str">
        <f>IF([3]道具信息!H595="","",[3]道具信息!H595)</f>
        <v/>
      </c>
      <c r="I595" s="37" t="str">
        <f>IF([3]道具信息!I595="","",[3]道具信息!I595)</f>
        <v/>
      </c>
      <c r="J595" s="37" t="str">
        <f>IF([3]道具信息!J595="","",[3]道具信息!J595)</f>
        <v/>
      </c>
      <c r="K595" s="37" t="str">
        <f>IF([3]道具信息!K595="","",[3]道具信息!K595)</f>
        <v/>
      </c>
      <c r="L595" s="37" t="str">
        <f>IF([3]道具信息!L595="","",[3]道具信息!L595)</f>
        <v/>
      </c>
      <c r="M595" s="37" t="str">
        <f>IF([3]道具信息!M595="","",[3]道具信息!M595)</f>
        <v/>
      </c>
      <c r="N595" s="37"/>
      <c r="O595" s="37" t="str">
        <f>IF([3]道具信息!O595="","",[3]道具信息!O595)</f>
        <v/>
      </c>
      <c r="P595" s="37" t="str">
        <f>IF([3]道具信息!P595="","",[3]道具信息!P595)</f>
        <v/>
      </c>
      <c r="Q595" s="37" t="str">
        <f>IF([3]道具信息!Q595="","",[3]道具信息!Q595)</f>
        <v/>
      </c>
    </row>
    <row r="596" spans="3:17" x14ac:dyDescent="0.15">
      <c r="C596" s="37" t="str">
        <f>IF([3]道具信息!C596="","",[3]道具信息!C596)</f>
        <v/>
      </c>
      <c r="D596" s="37" t="str">
        <f>IF([3]道具信息!D596="","",[3]道具信息!D596)</f>
        <v/>
      </c>
      <c r="E596" s="37" t="str">
        <f>IF([3]道具信息!E596="","",[3]道具信息!E596)</f>
        <v/>
      </c>
      <c r="F596" s="37" t="str">
        <f>IF([3]道具信息!F596="","",[3]道具信息!F596)</f>
        <v/>
      </c>
      <c r="G596" s="37" t="str">
        <f>IF([3]道具信息!G596="","",[3]道具信息!G596)</f>
        <v/>
      </c>
      <c r="H596" s="37" t="str">
        <f>IF([3]道具信息!H596="","",[3]道具信息!H596)</f>
        <v/>
      </c>
      <c r="I596" s="37" t="str">
        <f>IF([3]道具信息!I596="","",[3]道具信息!I596)</f>
        <v/>
      </c>
      <c r="J596" s="37" t="str">
        <f>IF([3]道具信息!J596="","",[3]道具信息!J596)</f>
        <v/>
      </c>
      <c r="K596" s="37" t="str">
        <f>IF([3]道具信息!K596="","",[3]道具信息!K596)</f>
        <v/>
      </c>
      <c r="L596" s="37" t="str">
        <f>IF([3]道具信息!L596="","",[3]道具信息!L596)</f>
        <v/>
      </c>
      <c r="M596" s="37" t="str">
        <f>IF([3]道具信息!M596="","",[3]道具信息!M596)</f>
        <v/>
      </c>
      <c r="N596" s="37"/>
      <c r="O596" s="37" t="str">
        <f>IF([3]道具信息!O596="","",[3]道具信息!O596)</f>
        <v/>
      </c>
      <c r="P596" s="37" t="str">
        <f>IF([3]道具信息!P596="","",[3]道具信息!P596)</f>
        <v/>
      </c>
      <c r="Q596" s="37" t="str">
        <f>IF([3]道具信息!Q596="","",[3]道具信息!Q596)</f>
        <v/>
      </c>
    </row>
    <row r="597" spans="3:17" x14ac:dyDescent="0.15">
      <c r="C597" s="37" t="str">
        <f>IF([3]道具信息!C597="","",[3]道具信息!C597)</f>
        <v/>
      </c>
      <c r="D597" s="37" t="str">
        <f>IF([3]道具信息!D597="","",[3]道具信息!D597)</f>
        <v/>
      </c>
      <c r="E597" s="37" t="str">
        <f>IF([3]道具信息!E597="","",[3]道具信息!E597)</f>
        <v/>
      </c>
      <c r="F597" s="37" t="str">
        <f>IF([3]道具信息!F597="","",[3]道具信息!F597)</f>
        <v/>
      </c>
      <c r="G597" s="37" t="str">
        <f>IF([3]道具信息!G597="","",[3]道具信息!G597)</f>
        <v/>
      </c>
      <c r="H597" s="37" t="str">
        <f>IF([3]道具信息!H597="","",[3]道具信息!H597)</f>
        <v/>
      </c>
      <c r="I597" s="37" t="str">
        <f>IF([3]道具信息!I597="","",[3]道具信息!I597)</f>
        <v/>
      </c>
      <c r="J597" s="37" t="str">
        <f>IF([3]道具信息!J597="","",[3]道具信息!J597)</f>
        <v/>
      </c>
      <c r="K597" s="37" t="str">
        <f>IF([3]道具信息!K597="","",[3]道具信息!K597)</f>
        <v/>
      </c>
      <c r="L597" s="37" t="str">
        <f>IF([3]道具信息!L597="","",[3]道具信息!L597)</f>
        <v/>
      </c>
      <c r="M597" s="37" t="str">
        <f>IF([3]道具信息!M597="","",[3]道具信息!M597)</f>
        <v/>
      </c>
      <c r="N597" s="37"/>
      <c r="O597" s="37" t="str">
        <f>IF([3]道具信息!O597="","",[3]道具信息!O597)</f>
        <v/>
      </c>
      <c r="P597" s="37" t="str">
        <f>IF([3]道具信息!P597="","",[3]道具信息!P597)</f>
        <v/>
      </c>
      <c r="Q597" s="37" t="str">
        <f>IF([3]道具信息!Q597="","",[3]道具信息!Q597)</f>
        <v/>
      </c>
    </row>
    <row r="598" spans="3:17" x14ac:dyDescent="0.15">
      <c r="C598" s="37" t="str">
        <f>IF([3]道具信息!C598="","",[3]道具信息!C598)</f>
        <v/>
      </c>
      <c r="D598" s="37" t="str">
        <f>IF([3]道具信息!D598="","",[3]道具信息!D598)</f>
        <v/>
      </c>
      <c r="E598" s="37" t="str">
        <f>IF([3]道具信息!E598="","",[3]道具信息!E598)</f>
        <v/>
      </c>
      <c r="F598" s="37" t="str">
        <f>IF([3]道具信息!F598="","",[3]道具信息!F598)</f>
        <v/>
      </c>
      <c r="G598" s="37" t="str">
        <f>IF([3]道具信息!G598="","",[3]道具信息!G598)</f>
        <v/>
      </c>
      <c r="H598" s="37" t="str">
        <f>IF([3]道具信息!H598="","",[3]道具信息!H598)</f>
        <v/>
      </c>
      <c r="I598" s="37" t="str">
        <f>IF([3]道具信息!I598="","",[3]道具信息!I598)</f>
        <v/>
      </c>
      <c r="J598" s="37" t="str">
        <f>IF([3]道具信息!J598="","",[3]道具信息!J598)</f>
        <v/>
      </c>
      <c r="K598" s="37" t="str">
        <f>IF([3]道具信息!K598="","",[3]道具信息!K598)</f>
        <v/>
      </c>
      <c r="L598" s="37" t="str">
        <f>IF([3]道具信息!L598="","",[3]道具信息!L598)</f>
        <v/>
      </c>
      <c r="M598" s="37" t="str">
        <f>IF([3]道具信息!M598="","",[3]道具信息!M598)</f>
        <v/>
      </c>
      <c r="N598" s="37"/>
      <c r="O598" s="37" t="str">
        <f>IF([3]道具信息!O598="","",[3]道具信息!O598)</f>
        <v/>
      </c>
      <c r="P598" s="37" t="str">
        <f>IF([3]道具信息!P598="","",[3]道具信息!P598)</f>
        <v/>
      </c>
      <c r="Q598" s="37" t="str">
        <f>IF([3]道具信息!Q598="","",[3]道具信息!Q598)</f>
        <v/>
      </c>
    </row>
    <row r="599" spans="3:17" x14ac:dyDescent="0.15">
      <c r="C599" s="37" t="str">
        <f>IF([3]道具信息!C599="","",[3]道具信息!C599)</f>
        <v/>
      </c>
      <c r="D599" s="37" t="str">
        <f>IF([3]道具信息!D599="","",[3]道具信息!D599)</f>
        <v/>
      </c>
      <c r="E599" s="37" t="str">
        <f>IF([3]道具信息!E599="","",[3]道具信息!E599)</f>
        <v/>
      </c>
      <c r="F599" s="37" t="str">
        <f>IF([3]道具信息!F599="","",[3]道具信息!F599)</f>
        <v/>
      </c>
      <c r="G599" s="37" t="str">
        <f>IF([3]道具信息!G599="","",[3]道具信息!G599)</f>
        <v/>
      </c>
      <c r="H599" s="37" t="str">
        <f>IF([3]道具信息!H599="","",[3]道具信息!H599)</f>
        <v/>
      </c>
      <c r="I599" s="37" t="str">
        <f>IF([3]道具信息!I599="","",[3]道具信息!I599)</f>
        <v/>
      </c>
      <c r="J599" s="37" t="str">
        <f>IF([3]道具信息!J599="","",[3]道具信息!J599)</f>
        <v/>
      </c>
      <c r="K599" s="37" t="str">
        <f>IF([3]道具信息!K599="","",[3]道具信息!K599)</f>
        <v/>
      </c>
      <c r="L599" s="37" t="str">
        <f>IF([3]道具信息!L599="","",[3]道具信息!L599)</f>
        <v/>
      </c>
      <c r="M599" s="37" t="str">
        <f>IF([3]道具信息!M599="","",[3]道具信息!M599)</f>
        <v/>
      </c>
      <c r="N599" s="37"/>
      <c r="O599" s="37" t="str">
        <f>IF([3]道具信息!O599="","",[3]道具信息!O599)</f>
        <v/>
      </c>
      <c r="P599" s="37" t="str">
        <f>IF([3]道具信息!P599="","",[3]道具信息!P599)</f>
        <v/>
      </c>
      <c r="Q599" s="37" t="str">
        <f>IF([3]道具信息!Q599="","",[3]道具信息!Q599)</f>
        <v/>
      </c>
    </row>
    <row r="600" spans="3:17" x14ac:dyDescent="0.15">
      <c r="C600" s="37" t="str">
        <f>IF([3]道具信息!C600="","",[3]道具信息!C600)</f>
        <v/>
      </c>
      <c r="D600" s="37" t="str">
        <f>IF([3]道具信息!D600="","",[3]道具信息!D600)</f>
        <v/>
      </c>
      <c r="E600" s="37" t="str">
        <f>IF([3]道具信息!E600="","",[3]道具信息!E600)</f>
        <v/>
      </c>
      <c r="F600" s="37" t="str">
        <f>IF([3]道具信息!F600="","",[3]道具信息!F600)</f>
        <v/>
      </c>
      <c r="G600" s="37" t="str">
        <f>IF([3]道具信息!G600="","",[3]道具信息!G600)</f>
        <v/>
      </c>
      <c r="H600" s="37" t="str">
        <f>IF([3]道具信息!H600="","",[3]道具信息!H600)</f>
        <v/>
      </c>
      <c r="I600" s="37" t="str">
        <f>IF([3]道具信息!I600="","",[3]道具信息!I600)</f>
        <v/>
      </c>
      <c r="J600" s="37" t="str">
        <f>IF([3]道具信息!J600="","",[3]道具信息!J600)</f>
        <v/>
      </c>
      <c r="K600" s="37" t="str">
        <f>IF([3]道具信息!K600="","",[3]道具信息!K600)</f>
        <v/>
      </c>
      <c r="L600" s="37" t="str">
        <f>IF([3]道具信息!L600="","",[3]道具信息!L600)</f>
        <v/>
      </c>
      <c r="M600" s="37" t="str">
        <f>IF([3]道具信息!M600="","",[3]道具信息!M600)</f>
        <v/>
      </c>
      <c r="N600" s="37"/>
      <c r="O600" s="37" t="str">
        <f>IF([3]道具信息!O600="","",[3]道具信息!O600)</f>
        <v/>
      </c>
      <c r="P600" s="37" t="str">
        <f>IF([3]道具信息!P600="","",[3]道具信息!P600)</f>
        <v/>
      </c>
      <c r="Q600" s="37" t="str">
        <f>IF([3]道具信息!Q600="","",[3]道具信息!Q600)</f>
        <v/>
      </c>
    </row>
    <row r="601" spans="3:17" x14ac:dyDescent="0.15">
      <c r="C601" s="37" t="str">
        <f>IF([3]道具信息!C601="","",[3]道具信息!C601)</f>
        <v/>
      </c>
      <c r="D601" s="37" t="str">
        <f>IF([3]道具信息!D601="","",[3]道具信息!D601)</f>
        <v/>
      </c>
      <c r="E601" s="37" t="str">
        <f>IF([3]道具信息!E601="","",[3]道具信息!E601)</f>
        <v/>
      </c>
      <c r="F601" s="37" t="str">
        <f>IF([3]道具信息!F601="","",[3]道具信息!F601)</f>
        <v/>
      </c>
      <c r="G601" s="37" t="str">
        <f>IF([3]道具信息!G601="","",[3]道具信息!G601)</f>
        <v/>
      </c>
      <c r="H601" s="37" t="str">
        <f>IF([3]道具信息!H601="","",[3]道具信息!H601)</f>
        <v/>
      </c>
      <c r="I601" s="37" t="str">
        <f>IF([3]道具信息!I601="","",[3]道具信息!I601)</f>
        <v/>
      </c>
      <c r="J601" s="37" t="str">
        <f>IF([3]道具信息!J601="","",[3]道具信息!J601)</f>
        <v/>
      </c>
      <c r="K601" s="37" t="str">
        <f>IF([3]道具信息!K601="","",[3]道具信息!K601)</f>
        <v/>
      </c>
      <c r="L601" s="37" t="str">
        <f>IF([3]道具信息!L601="","",[3]道具信息!L601)</f>
        <v/>
      </c>
      <c r="M601" s="37" t="str">
        <f>IF([3]道具信息!M601="","",[3]道具信息!M601)</f>
        <v/>
      </c>
      <c r="N601" s="37"/>
      <c r="O601" s="37" t="str">
        <f>IF([3]道具信息!O601="","",[3]道具信息!O601)</f>
        <v/>
      </c>
      <c r="P601" s="37" t="str">
        <f>IF([3]道具信息!P601="","",[3]道具信息!P601)</f>
        <v/>
      </c>
      <c r="Q601" s="37" t="str">
        <f>IF([3]道具信息!Q601="","",[3]道具信息!Q601)</f>
        <v/>
      </c>
    </row>
    <row r="602" spans="3:17" x14ac:dyDescent="0.15">
      <c r="C602" s="37" t="str">
        <f>IF([3]道具信息!C602="","",[3]道具信息!C602)</f>
        <v/>
      </c>
      <c r="D602" s="37" t="str">
        <f>IF([3]道具信息!D602="","",[3]道具信息!D602)</f>
        <v/>
      </c>
      <c r="E602" s="37" t="str">
        <f>IF([3]道具信息!E602="","",[3]道具信息!E602)</f>
        <v/>
      </c>
      <c r="F602" s="37" t="str">
        <f>IF([3]道具信息!F602="","",[3]道具信息!F602)</f>
        <v/>
      </c>
      <c r="G602" s="37" t="str">
        <f>IF([3]道具信息!G602="","",[3]道具信息!G602)</f>
        <v/>
      </c>
      <c r="H602" s="37" t="str">
        <f>IF([3]道具信息!H602="","",[3]道具信息!H602)</f>
        <v/>
      </c>
      <c r="I602" s="37" t="str">
        <f>IF([3]道具信息!I602="","",[3]道具信息!I602)</f>
        <v/>
      </c>
      <c r="J602" s="37" t="str">
        <f>IF([3]道具信息!J602="","",[3]道具信息!J602)</f>
        <v/>
      </c>
      <c r="K602" s="37" t="str">
        <f>IF([3]道具信息!K602="","",[3]道具信息!K602)</f>
        <v/>
      </c>
      <c r="L602" s="37" t="str">
        <f>IF([3]道具信息!L602="","",[3]道具信息!L602)</f>
        <v/>
      </c>
      <c r="M602" s="37" t="str">
        <f>IF([3]道具信息!M602="","",[3]道具信息!M602)</f>
        <v/>
      </c>
      <c r="N602" s="37"/>
      <c r="O602" s="37" t="str">
        <f>IF([3]道具信息!O602="","",[3]道具信息!O602)</f>
        <v/>
      </c>
      <c r="P602" s="37" t="str">
        <f>IF([3]道具信息!P602="","",[3]道具信息!P602)</f>
        <v/>
      </c>
      <c r="Q602" s="37" t="str">
        <f>IF([3]道具信息!Q602="","",[3]道具信息!Q602)</f>
        <v/>
      </c>
    </row>
    <row r="603" spans="3:17" x14ac:dyDescent="0.15">
      <c r="C603" s="37" t="str">
        <f>IF([3]道具信息!C603="","",[3]道具信息!C603)</f>
        <v/>
      </c>
      <c r="D603" s="37" t="str">
        <f>IF([3]道具信息!D603="","",[3]道具信息!D603)</f>
        <v/>
      </c>
      <c r="E603" s="37" t="str">
        <f>IF([3]道具信息!E603="","",[3]道具信息!E603)</f>
        <v/>
      </c>
      <c r="F603" s="37" t="str">
        <f>IF([3]道具信息!F603="","",[3]道具信息!F603)</f>
        <v/>
      </c>
      <c r="G603" s="37" t="str">
        <f>IF([3]道具信息!G603="","",[3]道具信息!G603)</f>
        <v/>
      </c>
      <c r="H603" s="37" t="str">
        <f>IF([3]道具信息!H603="","",[3]道具信息!H603)</f>
        <v/>
      </c>
      <c r="I603" s="37" t="str">
        <f>IF([3]道具信息!I603="","",[3]道具信息!I603)</f>
        <v/>
      </c>
      <c r="J603" s="37" t="str">
        <f>IF([3]道具信息!J603="","",[3]道具信息!J603)</f>
        <v/>
      </c>
      <c r="K603" s="37" t="str">
        <f>IF([3]道具信息!K603="","",[3]道具信息!K603)</f>
        <v/>
      </c>
      <c r="L603" s="37" t="str">
        <f>IF([3]道具信息!L603="","",[3]道具信息!L603)</f>
        <v/>
      </c>
      <c r="M603" s="37" t="str">
        <f>IF([3]道具信息!M603="","",[3]道具信息!M603)</f>
        <v/>
      </c>
      <c r="N603" s="37"/>
      <c r="O603" s="37" t="str">
        <f>IF([3]道具信息!O603="","",[3]道具信息!O603)</f>
        <v/>
      </c>
      <c r="P603" s="37" t="str">
        <f>IF([3]道具信息!P603="","",[3]道具信息!P603)</f>
        <v/>
      </c>
      <c r="Q603" s="37" t="str">
        <f>IF([3]道具信息!Q603="","",[3]道具信息!Q603)</f>
        <v/>
      </c>
    </row>
    <row r="604" spans="3:17" x14ac:dyDescent="0.15">
      <c r="C604" s="37" t="str">
        <f>IF([3]道具信息!C604="","",[3]道具信息!C604)</f>
        <v/>
      </c>
      <c r="D604" s="37" t="str">
        <f>IF([3]道具信息!D604="","",[3]道具信息!D604)</f>
        <v/>
      </c>
      <c r="E604" s="37" t="str">
        <f>IF([3]道具信息!E604="","",[3]道具信息!E604)</f>
        <v/>
      </c>
      <c r="F604" s="37" t="str">
        <f>IF([3]道具信息!F604="","",[3]道具信息!F604)</f>
        <v/>
      </c>
      <c r="G604" s="37" t="str">
        <f>IF([3]道具信息!G604="","",[3]道具信息!G604)</f>
        <v/>
      </c>
      <c r="H604" s="37" t="str">
        <f>IF([3]道具信息!H604="","",[3]道具信息!H604)</f>
        <v/>
      </c>
      <c r="I604" s="37" t="str">
        <f>IF([3]道具信息!I604="","",[3]道具信息!I604)</f>
        <v/>
      </c>
      <c r="J604" s="37" t="str">
        <f>IF([3]道具信息!J604="","",[3]道具信息!J604)</f>
        <v/>
      </c>
      <c r="K604" s="37" t="str">
        <f>IF([3]道具信息!K604="","",[3]道具信息!K604)</f>
        <v/>
      </c>
      <c r="L604" s="37" t="str">
        <f>IF([3]道具信息!L604="","",[3]道具信息!L604)</f>
        <v/>
      </c>
      <c r="M604" s="37" t="str">
        <f>IF([3]道具信息!M604="","",[3]道具信息!M604)</f>
        <v/>
      </c>
      <c r="N604" s="37"/>
      <c r="O604" s="37" t="str">
        <f>IF([3]道具信息!O604="","",[3]道具信息!O604)</f>
        <v/>
      </c>
      <c r="P604" s="37" t="str">
        <f>IF([3]道具信息!P604="","",[3]道具信息!P604)</f>
        <v/>
      </c>
      <c r="Q604" s="37" t="str">
        <f>IF([3]道具信息!Q604="","",[3]道具信息!Q604)</f>
        <v/>
      </c>
    </row>
    <row r="605" spans="3:17" x14ac:dyDescent="0.15">
      <c r="C605" s="37" t="str">
        <f>IF([3]道具信息!C605="","",[3]道具信息!C605)</f>
        <v/>
      </c>
      <c r="D605" s="37" t="str">
        <f>IF([3]道具信息!D605="","",[3]道具信息!D605)</f>
        <v/>
      </c>
      <c r="E605" s="37" t="str">
        <f>IF([3]道具信息!E605="","",[3]道具信息!E605)</f>
        <v/>
      </c>
      <c r="F605" s="37" t="str">
        <f>IF([3]道具信息!F605="","",[3]道具信息!F605)</f>
        <v/>
      </c>
      <c r="G605" s="37" t="str">
        <f>IF([3]道具信息!G605="","",[3]道具信息!G605)</f>
        <v/>
      </c>
      <c r="H605" s="37" t="str">
        <f>IF([3]道具信息!H605="","",[3]道具信息!H605)</f>
        <v/>
      </c>
      <c r="I605" s="37" t="str">
        <f>IF([3]道具信息!I605="","",[3]道具信息!I605)</f>
        <v/>
      </c>
      <c r="J605" s="37" t="str">
        <f>IF([3]道具信息!J605="","",[3]道具信息!J605)</f>
        <v/>
      </c>
      <c r="K605" s="37" t="str">
        <f>IF([3]道具信息!K605="","",[3]道具信息!K605)</f>
        <v/>
      </c>
      <c r="L605" s="37" t="str">
        <f>IF([3]道具信息!L605="","",[3]道具信息!L605)</f>
        <v/>
      </c>
      <c r="M605" s="37" t="str">
        <f>IF([3]道具信息!M605="","",[3]道具信息!M605)</f>
        <v/>
      </c>
      <c r="N605" s="37"/>
      <c r="O605" s="37" t="str">
        <f>IF([3]道具信息!O605="","",[3]道具信息!O605)</f>
        <v/>
      </c>
      <c r="P605" s="37" t="str">
        <f>IF([3]道具信息!P605="","",[3]道具信息!P605)</f>
        <v/>
      </c>
      <c r="Q605" s="37" t="str">
        <f>IF([3]道具信息!Q605="","",[3]道具信息!Q605)</f>
        <v/>
      </c>
    </row>
    <row r="606" spans="3:17" x14ac:dyDescent="0.15">
      <c r="C606" s="37" t="str">
        <f>IF([3]道具信息!C606="","",[3]道具信息!C606)</f>
        <v/>
      </c>
      <c r="D606" s="37" t="str">
        <f>IF([3]道具信息!D606="","",[3]道具信息!D606)</f>
        <v/>
      </c>
      <c r="E606" s="37" t="str">
        <f>IF([3]道具信息!E606="","",[3]道具信息!E606)</f>
        <v/>
      </c>
      <c r="F606" s="37" t="str">
        <f>IF([3]道具信息!F606="","",[3]道具信息!F606)</f>
        <v/>
      </c>
      <c r="G606" s="37" t="str">
        <f>IF([3]道具信息!G606="","",[3]道具信息!G606)</f>
        <v/>
      </c>
      <c r="H606" s="37" t="str">
        <f>IF([3]道具信息!H606="","",[3]道具信息!H606)</f>
        <v/>
      </c>
      <c r="I606" s="37" t="str">
        <f>IF([3]道具信息!I606="","",[3]道具信息!I606)</f>
        <v/>
      </c>
      <c r="J606" s="37" t="str">
        <f>IF([3]道具信息!J606="","",[3]道具信息!J606)</f>
        <v/>
      </c>
      <c r="K606" s="37" t="str">
        <f>IF([3]道具信息!K606="","",[3]道具信息!K606)</f>
        <v/>
      </c>
      <c r="L606" s="37" t="str">
        <f>IF([3]道具信息!L606="","",[3]道具信息!L606)</f>
        <v/>
      </c>
      <c r="M606" s="37" t="str">
        <f>IF([3]道具信息!M606="","",[3]道具信息!M606)</f>
        <v/>
      </c>
      <c r="N606" s="37"/>
      <c r="O606" s="37" t="str">
        <f>IF([3]道具信息!O606="","",[3]道具信息!O606)</f>
        <v/>
      </c>
      <c r="P606" s="37" t="str">
        <f>IF([3]道具信息!P606="","",[3]道具信息!P606)</f>
        <v/>
      </c>
      <c r="Q606" s="37" t="str">
        <f>IF([3]道具信息!Q606="","",[3]道具信息!Q606)</f>
        <v/>
      </c>
    </row>
    <row r="607" spans="3:17" x14ac:dyDescent="0.15">
      <c r="C607" s="37" t="str">
        <f>IF([3]道具信息!C607="","",[3]道具信息!C607)</f>
        <v/>
      </c>
      <c r="D607" s="37" t="str">
        <f>IF([3]道具信息!D607="","",[3]道具信息!D607)</f>
        <v/>
      </c>
      <c r="E607" s="37" t="str">
        <f>IF([3]道具信息!E607="","",[3]道具信息!E607)</f>
        <v/>
      </c>
      <c r="F607" s="37" t="str">
        <f>IF([3]道具信息!F607="","",[3]道具信息!F607)</f>
        <v/>
      </c>
      <c r="G607" s="37" t="str">
        <f>IF([3]道具信息!G607="","",[3]道具信息!G607)</f>
        <v/>
      </c>
      <c r="H607" s="37" t="str">
        <f>IF([3]道具信息!H607="","",[3]道具信息!H607)</f>
        <v/>
      </c>
      <c r="I607" s="37" t="str">
        <f>IF([3]道具信息!I607="","",[3]道具信息!I607)</f>
        <v/>
      </c>
      <c r="J607" s="37" t="str">
        <f>IF([3]道具信息!J607="","",[3]道具信息!J607)</f>
        <v/>
      </c>
      <c r="K607" s="37" t="str">
        <f>IF([3]道具信息!K607="","",[3]道具信息!K607)</f>
        <v/>
      </c>
      <c r="L607" s="37" t="str">
        <f>IF([3]道具信息!L607="","",[3]道具信息!L607)</f>
        <v/>
      </c>
      <c r="M607" s="37" t="str">
        <f>IF([3]道具信息!M607="","",[3]道具信息!M607)</f>
        <v/>
      </c>
      <c r="N607" s="37"/>
      <c r="O607" s="37" t="str">
        <f>IF([3]道具信息!O607="","",[3]道具信息!O607)</f>
        <v/>
      </c>
      <c r="P607" s="37" t="str">
        <f>IF([3]道具信息!P607="","",[3]道具信息!P607)</f>
        <v/>
      </c>
      <c r="Q607" s="37" t="str">
        <f>IF([3]道具信息!Q607="","",[3]道具信息!Q607)</f>
        <v/>
      </c>
    </row>
    <row r="608" spans="3:17" x14ac:dyDescent="0.15">
      <c r="C608" s="37" t="str">
        <f>IF([3]道具信息!C608="","",[3]道具信息!C608)</f>
        <v/>
      </c>
      <c r="D608" s="37" t="str">
        <f>IF([3]道具信息!D608="","",[3]道具信息!D608)</f>
        <v/>
      </c>
      <c r="E608" s="37" t="str">
        <f>IF([3]道具信息!E608="","",[3]道具信息!E608)</f>
        <v/>
      </c>
      <c r="F608" s="37" t="str">
        <f>IF([3]道具信息!F608="","",[3]道具信息!F608)</f>
        <v/>
      </c>
      <c r="G608" s="37" t="str">
        <f>IF([3]道具信息!G608="","",[3]道具信息!G608)</f>
        <v/>
      </c>
      <c r="H608" s="37" t="str">
        <f>IF([3]道具信息!H608="","",[3]道具信息!H608)</f>
        <v/>
      </c>
      <c r="I608" s="37" t="str">
        <f>IF([3]道具信息!I608="","",[3]道具信息!I608)</f>
        <v/>
      </c>
      <c r="J608" s="37" t="str">
        <f>IF([3]道具信息!J608="","",[3]道具信息!J608)</f>
        <v/>
      </c>
      <c r="K608" s="37" t="str">
        <f>IF([3]道具信息!K608="","",[3]道具信息!K608)</f>
        <v/>
      </c>
      <c r="L608" s="37" t="str">
        <f>IF([3]道具信息!L608="","",[3]道具信息!L608)</f>
        <v/>
      </c>
      <c r="M608" s="37" t="str">
        <f>IF([3]道具信息!M608="","",[3]道具信息!M608)</f>
        <v/>
      </c>
      <c r="N608" s="37"/>
      <c r="O608" s="37" t="str">
        <f>IF([3]道具信息!O608="","",[3]道具信息!O608)</f>
        <v/>
      </c>
      <c r="P608" s="37" t="str">
        <f>IF([3]道具信息!P608="","",[3]道具信息!P608)</f>
        <v/>
      </c>
      <c r="Q608" s="37" t="str">
        <f>IF([3]道具信息!Q608="","",[3]道具信息!Q608)</f>
        <v/>
      </c>
    </row>
    <row r="609" spans="3:17" x14ac:dyDescent="0.15">
      <c r="C609" s="37" t="str">
        <f>IF([3]道具信息!C609="","",[3]道具信息!C609)</f>
        <v/>
      </c>
      <c r="D609" s="37" t="str">
        <f>IF([3]道具信息!D609="","",[3]道具信息!D609)</f>
        <v/>
      </c>
      <c r="E609" s="37" t="str">
        <f>IF([3]道具信息!E609="","",[3]道具信息!E609)</f>
        <v/>
      </c>
      <c r="F609" s="37" t="str">
        <f>IF([3]道具信息!F609="","",[3]道具信息!F609)</f>
        <v/>
      </c>
      <c r="G609" s="37" t="str">
        <f>IF([3]道具信息!G609="","",[3]道具信息!G609)</f>
        <v/>
      </c>
      <c r="H609" s="37" t="str">
        <f>IF([3]道具信息!H609="","",[3]道具信息!H609)</f>
        <v/>
      </c>
      <c r="I609" s="37" t="str">
        <f>IF([3]道具信息!I609="","",[3]道具信息!I609)</f>
        <v/>
      </c>
      <c r="J609" s="37" t="str">
        <f>IF([3]道具信息!J609="","",[3]道具信息!J609)</f>
        <v/>
      </c>
      <c r="K609" s="37" t="str">
        <f>IF([3]道具信息!K609="","",[3]道具信息!K609)</f>
        <v/>
      </c>
      <c r="L609" s="37" t="str">
        <f>IF([3]道具信息!L609="","",[3]道具信息!L609)</f>
        <v/>
      </c>
      <c r="M609" s="37" t="str">
        <f>IF([3]道具信息!M609="","",[3]道具信息!M609)</f>
        <v/>
      </c>
      <c r="N609" s="37"/>
      <c r="O609" s="37" t="str">
        <f>IF([3]道具信息!O609="","",[3]道具信息!O609)</f>
        <v/>
      </c>
      <c r="P609" s="37" t="str">
        <f>IF([3]道具信息!P609="","",[3]道具信息!P609)</f>
        <v/>
      </c>
      <c r="Q609" s="37" t="str">
        <f>IF([3]道具信息!Q609="","",[3]道具信息!Q609)</f>
        <v/>
      </c>
    </row>
    <row r="610" spans="3:17" x14ac:dyDescent="0.15">
      <c r="C610" s="37" t="str">
        <f>IF([3]道具信息!C610="","",[3]道具信息!C610)</f>
        <v/>
      </c>
      <c r="D610" s="37" t="str">
        <f>IF([3]道具信息!D610="","",[3]道具信息!D610)</f>
        <v/>
      </c>
      <c r="E610" s="37" t="str">
        <f>IF([3]道具信息!E610="","",[3]道具信息!E610)</f>
        <v/>
      </c>
      <c r="F610" s="37" t="str">
        <f>IF([3]道具信息!F610="","",[3]道具信息!F610)</f>
        <v/>
      </c>
      <c r="G610" s="37" t="str">
        <f>IF([3]道具信息!G610="","",[3]道具信息!G610)</f>
        <v/>
      </c>
      <c r="H610" s="37" t="str">
        <f>IF([3]道具信息!H610="","",[3]道具信息!H610)</f>
        <v/>
      </c>
      <c r="I610" s="37" t="str">
        <f>IF([3]道具信息!I610="","",[3]道具信息!I610)</f>
        <v/>
      </c>
      <c r="J610" s="37" t="str">
        <f>IF([3]道具信息!J610="","",[3]道具信息!J610)</f>
        <v/>
      </c>
      <c r="K610" s="37" t="str">
        <f>IF([3]道具信息!K610="","",[3]道具信息!K610)</f>
        <v/>
      </c>
      <c r="L610" s="37" t="str">
        <f>IF([3]道具信息!L610="","",[3]道具信息!L610)</f>
        <v/>
      </c>
      <c r="M610" s="37" t="str">
        <f>IF([3]道具信息!M610="","",[3]道具信息!M610)</f>
        <v/>
      </c>
      <c r="N610" s="37"/>
      <c r="O610" s="37" t="str">
        <f>IF([3]道具信息!O610="","",[3]道具信息!O610)</f>
        <v/>
      </c>
      <c r="P610" s="37" t="str">
        <f>IF([3]道具信息!P610="","",[3]道具信息!P610)</f>
        <v/>
      </c>
      <c r="Q610" s="37" t="str">
        <f>IF([3]道具信息!Q610="","",[3]道具信息!Q610)</f>
        <v/>
      </c>
    </row>
    <row r="611" spans="3:17" x14ac:dyDescent="0.15">
      <c r="C611" s="37" t="str">
        <f>IF([3]道具信息!C611="","",[3]道具信息!C611)</f>
        <v/>
      </c>
      <c r="D611" s="37" t="str">
        <f>IF([3]道具信息!D611="","",[3]道具信息!D611)</f>
        <v/>
      </c>
      <c r="E611" s="37" t="str">
        <f>IF([3]道具信息!E611="","",[3]道具信息!E611)</f>
        <v/>
      </c>
      <c r="F611" s="37" t="str">
        <f>IF([3]道具信息!F611="","",[3]道具信息!F611)</f>
        <v/>
      </c>
      <c r="G611" s="37" t="str">
        <f>IF([3]道具信息!G611="","",[3]道具信息!G611)</f>
        <v/>
      </c>
      <c r="H611" s="37" t="str">
        <f>IF([3]道具信息!H611="","",[3]道具信息!H611)</f>
        <v/>
      </c>
      <c r="I611" s="37" t="str">
        <f>IF([3]道具信息!I611="","",[3]道具信息!I611)</f>
        <v/>
      </c>
      <c r="J611" s="37" t="str">
        <f>IF([3]道具信息!J611="","",[3]道具信息!J611)</f>
        <v/>
      </c>
      <c r="K611" s="37" t="str">
        <f>IF([3]道具信息!K611="","",[3]道具信息!K611)</f>
        <v/>
      </c>
      <c r="L611" s="37" t="str">
        <f>IF([3]道具信息!L611="","",[3]道具信息!L611)</f>
        <v/>
      </c>
      <c r="M611" s="37" t="str">
        <f>IF([3]道具信息!M611="","",[3]道具信息!M611)</f>
        <v/>
      </c>
      <c r="N611" s="37"/>
      <c r="O611" s="37" t="str">
        <f>IF([3]道具信息!O611="","",[3]道具信息!O611)</f>
        <v/>
      </c>
      <c r="P611" s="37" t="str">
        <f>IF([3]道具信息!P611="","",[3]道具信息!P611)</f>
        <v/>
      </c>
      <c r="Q611" s="37" t="str">
        <f>IF([3]道具信息!Q611="","",[3]道具信息!Q611)</f>
        <v/>
      </c>
    </row>
    <row r="612" spans="3:17" x14ac:dyDescent="0.15">
      <c r="C612" s="37" t="str">
        <f>IF([3]道具信息!C612="","",[3]道具信息!C612)</f>
        <v/>
      </c>
      <c r="D612" s="37" t="str">
        <f>IF([3]道具信息!D612="","",[3]道具信息!D612)</f>
        <v/>
      </c>
      <c r="E612" s="37" t="str">
        <f>IF([3]道具信息!E612="","",[3]道具信息!E612)</f>
        <v/>
      </c>
      <c r="F612" s="37" t="str">
        <f>IF([3]道具信息!F612="","",[3]道具信息!F612)</f>
        <v/>
      </c>
      <c r="G612" s="37" t="str">
        <f>IF([3]道具信息!G612="","",[3]道具信息!G612)</f>
        <v/>
      </c>
      <c r="H612" s="37" t="str">
        <f>IF([3]道具信息!H612="","",[3]道具信息!H612)</f>
        <v/>
      </c>
      <c r="I612" s="37" t="str">
        <f>IF([3]道具信息!I612="","",[3]道具信息!I612)</f>
        <v/>
      </c>
      <c r="J612" s="37" t="str">
        <f>IF([3]道具信息!J612="","",[3]道具信息!J612)</f>
        <v/>
      </c>
      <c r="K612" s="37" t="str">
        <f>IF([3]道具信息!K612="","",[3]道具信息!K612)</f>
        <v/>
      </c>
      <c r="L612" s="37" t="str">
        <f>IF([3]道具信息!L612="","",[3]道具信息!L612)</f>
        <v/>
      </c>
      <c r="M612" s="37" t="str">
        <f>IF([3]道具信息!M612="","",[3]道具信息!M612)</f>
        <v/>
      </c>
      <c r="N612" s="37"/>
      <c r="O612" s="37" t="str">
        <f>IF([3]道具信息!O612="","",[3]道具信息!O612)</f>
        <v/>
      </c>
      <c r="P612" s="37" t="str">
        <f>IF([3]道具信息!P612="","",[3]道具信息!P612)</f>
        <v/>
      </c>
      <c r="Q612" s="37" t="str">
        <f>IF([3]道具信息!Q612="","",[3]道具信息!Q612)</f>
        <v/>
      </c>
    </row>
    <row r="613" spans="3:17" x14ac:dyDescent="0.15">
      <c r="C613" s="37" t="str">
        <f>IF([3]道具信息!C613="","",[3]道具信息!C613)</f>
        <v/>
      </c>
      <c r="D613" s="37" t="str">
        <f>IF([3]道具信息!D613="","",[3]道具信息!D613)</f>
        <v/>
      </c>
      <c r="E613" s="37" t="str">
        <f>IF([3]道具信息!E613="","",[3]道具信息!E613)</f>
        <v/>
      </c>
      <c r="F613" s="37" t="str">
        <f>IF([3]道具信息!F613="","",[3]道具信息!F613)</f>
        <v/>
      </c>
      <c r="G613" s="37" t="str">
        <f>IF([3]道具信息!G613="","",[3]道具信息!G613)</f>
        <v/>
      </c>
      <c r="H613" s="37" t="str">
        <f>IF([3]道具信息!H613="","",[3]道具信息!H613)</f>
        <v/>
      </c>
      <c r="I613" s="37" t="str">
        <f>IF([3]道具信息!I613="","",[3]道具信息!I613)</f>
        <v/>
      </c>
      <c r="J613" s="37" t="str">
        <f>IF([3]道具信息!J613="","",[3]道具信息!J613)</f>
        <v/>
      </c>
      <c r="K613" s="37" t="str">
        <f>IF([3]道具信息!K613="","",[3]道具信息!K613)</f>
        <v/>
      </c>
      <c r="L613" s="37" t="str">
        <f>IF([3]道具信息!L613="","",[3]道具信息!L613)</f>
        <v/>
      </c>
      <c r="M613" s="37" t="str">
        <f>IF([3]道具信息!M613="","",[3]道具信息!M613)</f>
        <v/>
      </c>
      <c r="N613" s="37"/>
      <c r="O613" s="37" t="str">
        <f>IF([3]道具信息!O613="","",[3]道具信息!O613)</f>
        <v/>
      </c>
      <c r="P613" s="37" t="str">
        <f>IF([3]道具信息!P613="","",[3]道具信息!P613)</f>
        <v/>
      </c>
      <c r="Q613" s="37" t="str">
        <f>IF([3]道具信息!Q613="","",[3]道具信息!Q613)</f>
        <v/>
      </c>
    </row>
    <row r="614" spans="3:17" x14ac:dyDescent="0.15">
      <c r="C614" s="37" t="str">
        <f>IF([3]道具信息!C614="","",[3]道具信息!C614)</f>
        <v/>
      </c>
      <c r="D614" s="37" t="str">
        <f>IF([3]道具信息!D614="","",[3]道具信息!D614)</f>
        <v/>
      </c>
      <c r="E614" s="37" t="str">
        <f>IF([3]道具信息!E614="","",[3]道具信息!E614)</f>
        <v/>
      </c>
      <c r="F614" s="37" t="str">
        <f>IF([3]道具信息!F614="","",[3]道具信息!F614)</f>
        <v/>
      </c>
      <c r="G614" s="37" t="str">
        <f>IF([3]道具信息!G614="","",[3]道具信息!G614)</f>
        <v/>
      </c>
      <c r="H614" s="37" t="str">
        <f>IF([3]道具信息!H614="","",[3]道具信息!H614)</f>
        <v/>
      </c>
      <c r="I614" s="37" t="str">
        <f>IF([3]道具信息!I614="","",[3]道具信息!I614)</f>
        <v/>
      </c>
      <c r="J614" s="37" t="str">
        <f>IF([3]道具信息!J614="","",[3]道具信息!J614)</f>
        <v/>
      </c>
      <c r="K614" s="37" t="str">
        <f>IF([3]道具信息!K614="","",[3]道具信息!K614)</f>
        <v/>
      </c>
      <c r="L614" s="37" t="str">
        <f>IF([3]道具信息!L614="","",[3]道具信息!L614)</f>
        <v/>
      </c>
      <c r="M614" s="37" t="str">
        <f>IF([3]道具信息!M614="","",[3]道具信息!M614)</f>
        <v/>
      </c>
      <c r="N614" s="37"/>
      <c r="O614" s="37" t="str">
        <f>IF([3]道具信息!O614="","",[3]道具信息!O614)</f>
        <v/>
      </c>
      <c r="P614" s="37" t="str">
        <f>IF([3]道具信息!P614="","",[3]道具信息!P614)</f>
        <v/>
      </c>
      <c r="Q614" s="37" t="str">
        <f>IF([3]道具信息!Q614="","",[3]道具信息!Q614)</f>
        <v/>
      </c>
    </row>
    <row r="615" spans="3:17" x14ac:dyDescent="0.15">
      <c r="C615" s="37" t="str">
        <f>IF([3]道具信息!C615="","",[3]道具信息!C615)</f>
        <v/>
      </c>
      <c r="D615" s="37" t="str">
        <f>IF([3]道具信息!D615="","",[3]道具信息!D615)</f>
        <v/>
      </c>
      <c r="E615" s="37" t="str">
        <f>IF([3]道具信息!E615="","",[3]道具信息!E615)</f>
        <v/>
      </c>
      <c r="F615" s="37" t="str">
        <f>IF([3]道具信息!F615="","",[3]道具信息!F615)</f>
        <v/>
      </c>
      <c r="G615" s="37" t="str">
        <f>IF([3]道具信息!G615="","",[3]道具信息!G615)</f>
        <v/>
      </c>
      <c r="H615" s="37" t="str">
        <f>IF([3]道具信息!H615="","",[3]道具信息!H615)</f>
        <v/>
      </c>
      <c r="I615" s="37" t="str">
        <f>IF([3]道具信息!I615="","",[3]道具信息!I615)</f>
        <v/>
      </c>
      <c r="J615" s="37" t="str">
        <f>IF([3]道具信息!J615="","",[3]道具信息!J615)</f>
        <v/>
      </c>
      <c r="K615" s="37" t="str">
        <f>IF([3]道具信息!K615="","",[3]道具信息!K615)</f>
        <v/>
      </c>
      <c r="L615" s="37" t="str">
        <f>IF([3]道具信息!L615="","",[3]道具信息!L615)</f>
        <v/>
      </c>
      <c r="M615" s="37" t="str">
        <f>IF([3]道具信息!M615="","",[3]道具信息!M615)</f>
        <v/>
      </c>
      <c r="N615" s="37"/>
      <c r="O615" s="37" t="str">
        <f>IF([3]道具信息!O615="","",[3]道具信息!O615)</f>
        <v/>
      </c>
      <c r="P615" s="37" t="str">
        <f>IF([3]道具信息!P615="","",[3]道具信息!P615)</f>
        <v/>
      </c>
      <c r="Q615" s="37" t="str">
        <f>IF([3]道具信息!Q615="","",[3]道具信息!Q615)</f>
        <v/>
      </c>
    </row>
    <row r="616" spans="3:17" x14ac:dyDescent="0.15">
      <c r="C616" s="37" t="str">
        <f>IF([3]道具信息!C616="","",[3]道具信息!C616)</f>
        <v/>
      </c>
      <c r="D616" s="37" t="str">
        <f>IF([3]道具信息!D616="","",[3]道具信息!D616)</f>
        <v/>
      </c>
      <c r="E616" s="37" t="str">
        <f>IF([3]道具信息!E616="","",[3]道具信息!E616)</f>
        <v/>
      </c>
      <c r="F616" s="37" t="str">
        <f>IF([3]道具信息!F616="","",[3]道具信息!F616)</f>
        <v/>
      </c>
      <c r="G616" s="37" t="str">
        <f>IF([3]道具信息!G616="","",[3]道具信息!G616)</f>
        <v/>
      </c>
      <c r="H616" s="37" t="str">
        <f>IF([3]道具信息!H616="","",[3]道具信息!H616)</f>
        <v/>
      </c>
      <c r="I616" s="37" t="str">
        <f>IF([3]道具信息!I616="","",[3]道具信息!I616)</f>
        <v/>
      </c>
      <c r="J616" s="37" t="str">
        <f>IF([3]道具信息!J616="","",[3]道具信息!J616)</f>
        <v/>
      </c>
      <c r="K616" s="37" t="str">
        <f>IF([3]道具信息!K616="","",[3]道具信息!K616)</f>
        <v/>
      </c>
      <c r="L616" s="37" t="str">
        <f>IF([3]道具信息!L616="","",[3]道具信息!L616)</f>
        <v/>
      </c>
      <c r="M616" s="37" t="str">
        <f>IF([3]道具信息!M616="","",[3]道具信息!M616)</f>
        <v/>
      </c>
      <c r="N616" s="37"/>
      <c r="O616" s="37" t="str">
        <f>IF([3]道具信息!O616="","",[3]道具信息!O616)</f>
        <v/>
      </c>
      <c r="P616" s="37" t="str">
        <f>IF([3]道具信息!P616="","",[3]道具信息!P616)</f>
        <v/>
      </c>
      <c r="Q616" s="37" t="str">
        <f>IF([3]道具信息!Q616="","",[3]道具信息!Q616)</f>
        <v/>
      </c>
    </row>
    <row r="617" spans="3:17" x14ac:dyDescent="0.15">
      <c r="C617" s="37" t="str">
        <f>IF([3]道具信息!C617="","",[3]道具信息!C617)</f>
        <v/>
      </c>
      <c r="D617" s="37" t="str">
        <f>IF([3]道具信息!D617="","",[3]道具信息!D617)</f>
        <v/>
      </c>
      <c r="E617" s="37" t="str">
        <f>IF([3]道具信息!E617="","",[3]道具信息!E617)</f>
        <v/>
      </c>
      <c r="F617" s="37" t="str">
        <f>IF([3]道具信息!F617="","",[3]道具信息!F617)</f>
        <v/>
      </c>
      <c r="G617" s="37" t="str">
        <f>IF([3]道具信息!G617="","",[3]道具信息!G617)</f>
        <v/>
      </c>
      <c r="H617" s="37" t="str">
        <f>IF([3]道具信息!H617="","",[3]道具信息!H617)</f>
        <v/>
      </c>
      <c r="I617" s="37" t="str">
        <f>IF([3]道具信息!I617="","",[3]道具信息!I617)</f>
        <v/>
      </c>
      <c r="J617" s="37" t="str">
        <f>IF([3]道具信息!J617="","",[3]道具信息!J617)</f>
        <v/>
      </c>
      <c r="K617" s="37" t="str">
        <f>IF([3]道具信息!K617="","",[3]道具信息!K617)</f>
        <v/>
      </c>
      <c r="L617" s="37" t="str">
        <f>IF([3]道具信息!L617="","",[3]道具信息!L617)</f>
        <v/>
      </c>
      <c r="M617" s="37" t="str">
        <f>IF([3]道具信息!M617="","",[3]道具信息!M617)</f>
        <v/>
      </c>
      <c r="N617" s="37"/>
      <c r="O617" s="37" t="str">
        <f>IF([3]道具信息!O617="","",[3]道具信息!O617)</f>
        <v/>
      </c>
      <c r="P617" s="37" t="str">
        <f>IF([3]道具信息!P617="","",[3]道具信息!P617)</f>
        <v/>
      </c>
      <c r="Q617" s="37" t="str">
        <f>IF([3]道具信息!Q617="","",[3]道具信息!Q617)</f>
        <v/>
      </c>
    </row>
    <row r="618" spans="3:17" x14ac:dyDescent="0.15">
      <c r="C618" s="37" t="str">
        <f>IF([3]道具信息!C618="","",[3]道具信息!C618)</f>
        <v/>
      </c>
      <c r="D618" s="37" t="str">
        <f>IF([3]道具信息!D618="","",[3]道具信息!D618)</f>
        <v/>
      </c>
      <c r="E618" s="37" t="str">
        <f>IF([3]道具信息!E618="","",[3]道具信息!E618)</f>
        <v/>
      </c>
      <c r="F618" s="37" t="str">
        <f>IF([3]道具信息!F618="","",[3]道具信息!F618)</f>
        <v/>
      </c>
      <c r="G618" s="37" t="str">
        <f>IF([3]道具信息!G618="","",[3]道具信息!G618)</f>
        <v/>
      </c>
      <c r="H618" s="37" t="str">
        <f>IF([3]道具信息!H618="","",[3]道具信息!H618)</f>
        <v/>
      </c>
      <c r="I618" s="37" t="str">
        <f>IF([3]道具信息!I618="","",[3]道具信息!I618)</f>
        <v/>
      </c>
      <c r="J618" s="37" t="str">
        <f>IF([3]道具信息!J618="","",[3]道具信息!J618)</f>
        <v/>
      </c>
      <c r="K618" s="37" t="str">
        <f>IF([3]道具信息!K618="","",[3]道具信息!K618)</f>
        <v/>
      </c>
      <c r="L618" s="37" t="str">
        <f>IF([3]道具信息!L618="","",[3]道具信息!L618)</f>
        <v/>
      </c>
      <c r="M618" s="37" t="str">
        <f>IF([3]道具信息!M618="","",[3]道具信息!M618)</f>
        <v/>
      </c>
      <c r="N618" s="37"/>
      <c r="O618" s="37" t="str">
        <f>IF([3]道具信息!O618="","",[3]道具信息!O618)</f>
        <v/>
      </c>
      <c r="P618" s="37" t="str">
        <f>IF([3]道具信息!P618="","",[3]道具信息!P618)</f>
        <v/>
      </c>
      <c r="Q618" s="37" t="str">
        <f>IF([3]道具信息!Q618="","",[3]道具信息!Q618)</f>
        <v/>
      </c>
    </row>
    <row r="619" spans="3:17" x14ac:dyDescent="0.15">
      <c r="C619" s="37" t="str">
        <f>IF([3]道具信息!C619="","",[3]道具信息!C619)</f>
        <v/>
      </c>
      <c r="D619" s="37" t="str">
        <f>IF([3]道具信息!D619="","",[3]道具信息!D619)</f>
        <v/>
      </c>
      <c r="E619" s="37" t="str">
        <f>IF([3]道具信息!E619="","",[3]道具信息!E619)</f>
        <v/>
      </c>
      <c r="F619" s="37" t="str">
        <f>IF([3]道具信息!F619="","",[3]道具信息!F619)</f>
        <v/>
      </c>
      <c r="G619" s="37" t="str">
        <f>IF([3]道具信息!G619="","",[3]道具信息!G619)</f>
        <v/>
      </c>
      <c r="H619" s="37" t="str">
        <f>IF([3]道具信息!H619="","",[3]道具信息!H619)</f>
        <v/>
      </c>
      <c r="I619" s="37" t="str">
        <f>IF([3]道具信息!I619="","",[3]道具信息!I619)</f>
        <v/>
      </c>
      <c r="J619" s="37" t="str">
        <f>IF([3]道具信息!J619="","",[3]道具信息!J619)</f>
        <v/>
      </c>
      <c r="K619" s="37" t="str">
        <f>IF([3]道具信息!K619="","",[3]道具信息!K619)</f>
        <v/>
      </c>
      <c r="L619" s="37" t="str">
        <f>IF([3]道具信息!L619="","",[3]道具信息!L619)</f>
        <v/>
      </c>
      <c r="M619" s="37" t="str">
        <f>IF([3]道具信息!M619="","",[3]道具信息!M619)</f>
        <v/>
      </c>
      <c r="N619" s="37"/>
      <c r="O619" s="37" t="str">
        <f>IF([3]道具信息!O619="","",[3]道具信息!O619)</f>
        <v/>
      </c>
      <c r="P619" s="37" t="str">
        <f>IF([3]道具信息!P619="","",[3]道具信息!P619)</f>
        <v/>
      </c>
      <c r="Q619" s="37" t="str">
        <f>IF([3]道具信息!Q619="","",[3]道具信息!Q619)</f>
        <v/>
      </c>
    </row>
    <row r="620" spans="3:17" x14ac:dyDescent="0.15">
      <c r="C620" s="37" t="str">
        <f>IF([3]道具信息!C620="","",[3]道具信息!C620)</f>
        <v/>
      </c>
      <c r="D620" s="37" t="str">
        <f>IF([3]道具信息!D620="","",[3]道具信息!D620)</f>
        <v/>
      </c>
      <c r="E620" s="37" t="str">
        <f>IF([3]道具信息!E620="","",[3]道具信息!E620)</f>
        <v/>
      </c>
      <c r="F620" s="37" t="str">
        <f>IF([3]道具信息!F620="","",[3]道具信息!F620)</f>
        <v/>
      </c>
      <c r="G620" s="37" t="str">
        <f>IF([3]道具信息!G620="","",[3]道具信息!G620)</f>
        <v/>
      </c>
      <c r="H620" s="37" t="str">
        <f>IF([3]道具信息!H620="","",[3]道具信息!H620)</f>
        <v/>
      </c>
      <c r="I620" s="37" t="str">
        <f>IF([3]道具信息!I620="","",[3]道具信息!I620)</f>
        <v/>
      </c>
      <c r="J620" s="37" t="str">
        <f>IF([3]道具信息!J620="","",[3]道具信息!J620)</f>
        <v/>
      </c>
      <c r="K620" s="37" t="str">
        <f>IF([3]道具信息!K620="","",[3]道具信息!K620)</f>
        <v/>
      </c>
      <c r="L620" s="37" t="str">
        <f>IF([3]道具信息!L620="","",[3]道具信息!L620)</f>
        <v/>
      </c>
      <c r="M620" s="37" t="str">
        <f>IF([3]道具信息!M620="","",[3]道具信息!M620)</f>
        <v/>
      </c>
      <c r="N620" s="37"/>
      <c r="O620" s="37" t="str">
        <f>IF([3]道具信息!O620="","",[3]道具信息!O620)</f>
        <v/>
      </c>
      <c r="P620" s="37" t="str">
        <f>IF([3]道具信息!P620="","",[3]道具信息!P620)</f>
        <v/>
      </c>
      <c r="Q620" s="37" t="str">
        <f>IF([3]道具信息!Q620="","",[3]道具信息!Q620)</f>
        <v/>
      </c>
    </row>
    <row r="621" spans="3:17" x14ac:dyDescent="0.15">
      <c r="C621" s="37" t="str">
        <f>IF([3]道具信息!C621="","",[3]道具信息!C621)</f>
        <v/>
      </c>
      <c r="D621" s="37" t="str">
        <f>IF([3]道具信息!D621="","",[3]道具信息!D621)</f>
        <v/>
      </c>
      <c r="E621" s="37" t="str">
        <f>IF([3]道具信息!E621="","",[3]道具信息!E621)</f>
        <v/>
      </c>
      <c r="F621" s="37" t="str">
        <f>IF([3]道具信息!F621="","",[3]道具信息!F621)</f>
        <v/>
      </c>
      <c r="G621" s="37" t="str">
        <f>IF([3]道具信息!G621="","",[3]道具信息!G621)</f>
        <v/>
      </c>
      <c r="H621" s="37" t="str">
        <f>IF([3]道具信息!H621="","",[3]道具信息!H621)</f>
        <v/>
      </c>
      <c r="I621" s="37" t="str">
        <f>IF([3]道具信息!I621="","",[3]道具信息!I621)</f>
        <v/>
      </c>
      <c r="J621" s="37" t="str">
        <f>IF([3]道具信息!J621="","",[3]道具信息!J621)</f>
        <v/>
      </c>
      <c r="K621" s="37" t="str">
        <f>IF([3]道具信息!K621="","",[3]道具信息!K621)</f>
        <v/>
      </c>
      <c r="L621" s="37" t="str">
        <f>IF([3]道具信息!L621="","",[3]道具信息!L621)</f>
        <v/>
      </c>
      <c r="M621" s="37" t="str">
        <f>IF([3]道具信息!M621="","",[3]道具信息!M621)</f>
        <v/>
      </c>
      <c r="N621" s="37"/>
      <c r="O621" s="37" t="str">
        <f>IF([3]道具信息!O621="","",[3]道具信息!O621)</f>
        <v/>
      </c>
      <c r="P621" s="37" t="str">
        <f>IF([3]道具信息!P621="","",[3]道具信息!P621)</f>
        <v/>
      </c>
      <c r="Q621" s="37" t="str">
        <f>IF([3]道具信息!Q621="","",[3]道具信息!Q621)</f>
        <v/>
      </c>
    </row>
    <row r="622" spans="3:17" x14ac:dyDescent="0.15">
      <c r="C622" s="37" t="str">
        <f>IF([3]道具信息!C622="","",[3]道具信息!C622)</f>
        <v/>
      </c>
      <c r="D622" s="37" t="str">
        <f>IF([3]道具信息!D622="","",[3]道具信息!D622)</f>
        <v/>
      </c>
      <c r="E622" s="37" t="str">
        <f>IF([3]道具信息!E622="","",[3]道具信息!E622)</f>
        <v/>
      </c>
      <c r="F622" s="37" t="str">
        <f>IF([3]道具信息!F622="","",[3]道具信息!F622)</f>
        <v/>
      </c>
      <c r="G622" s="37" t="str">
        <f>IF([3]道具信息!G622="","",[3]道具信息!G622)</f>
        <v/>
      </c>
      <c r="H622" s="37" t="str">
        <f>IF([3]道具信息!H622="","",[3]道具信息!H622)</f>
        <v/>
      </c>
      <c r="I622" s="37" t="str">
        <f>IF([3]道具信息!I622="","",[3]道具信息!I622)</f>
        <v/>
      </c>
      <c r="J622" s="37" t="str">
        <f>IF([3]道具信息!J622="","",[3]道具信息!J622)</f>
        <v/>
      </c>
      <c r="K622" s="37" t="str">
        <f>IF([3]道具信息!K622="","",[3]道具信息!K622)</f>
        <v/>
      </c>
      <c r="L622" s="37" t="str">
        <f>IF([3]道具信息!L622="","",[3]道具信息!L622)</f>
        <v/>
      </c>
      <c r="M622" s="37" t="str">
        <f>IF([3]道具信息!M622="","",[3]道具信息!M622)</f>
        <v/>
      </c>
      <c r="N622" s="37"/>
      <c r="O622" s="37" t="str">
        <f>IF([3]道具信息!O622="","",[3]道具信息!O622)</f>
        <v/>
      </c>
      <c r="P622" s="37" t="str">
        <f>IF([3]道具信息!P622="","",[3]道具信息!P622)</f>
        <v/>
      </c>
      <c r="Q622" s="37" t="str">
        <f>IF([3]道具信息!Q622="","",[3]道具信息!Q622)</f>
        <v/>
      </c>
    </row>
    <row r="623" spans="3:17" x14ac:dyDescent="0.15">
      <c r="C623" s="37" t="str">
        <f>IF([3]道具信息!C623="","",[3]道具信息!C623)</f>
        <v/>
      </c>
      <c r="D623" s="37" t="str">
        <f>IF([3]道具信息!D623="","",[3]道具信息!D623)</f>
        <v/>
      </c>
      <c r="E623" s="37" t="str">
        <f>IF([3]道具信息!E623="","",[3]道具信息!E623)</f>
        <v/>
      </c>
      <c r="F623" s="37" t="str">
        <f>IF([3]道具信息!F623="","",[3]道具信息!F623)</f>
        <v/>
      </c>
      <c r="G623" s="37" t="str">
        <f>IF([3]道具信息!G623="","",[3]道具信息!G623)</f>
        <v/>
      </c>
      <c r="H623" s="37" t="str">
        <f>IF([3]道具信息!H623="","",[3]道具信息!H623)</f>
        <v/>
      </c>
      <c r="I623" s="37" t="str">
        <f>IF([3]道具信息!I623="","",[3]道具信息!I623)</f>
        <v/>
      </c>
      <c r="J623" s="37" t="str">
        <f>IF([3]道具信息!J623="","",[3]道具信息!J623)</f>
        <v/>
      </c>
      <c r="K623" s="37" t="str">
        <f>IF([3]道具信息!K623="","",[3]道具信息!K623)</f>
        <v/>
      </c>
      <c r="L623" s="37" t="str">
        <f>IF([3]道具信息!L623="","",[3]道具信息!L623)</f>
        <v/>
      </c>
      <c r="M623" s="37" t="str">
        <f>IF([3]道具信息!M623="","",[3]道具信息!M623)</f>
        <v/>
      </c>
      <c r="N623" s="37"/>
      <c r="O623" s="37" t="str">
        <f>IF([3]道具信息!O623="","",[3]道具信息!O623)</f>
        <v/>
      </c>
      <c r="P623" s="37" t="str">
        <f>IF([3]道具信息!P623="","",[3]道具信息!P623)</f>
        <v/>
      </c>
      <c r="Q623" s="37" t="str">
        <f>IF([3]道具信息!Q623="","",[3]道具信息!Q623)</f>
        <v/>
      </c>
    </row>
    <row r="624" spans="3:17" x14ac:dyDescent="0.15">
      <c r="C624" s="37" t="str">
        <f>IF([3]道具信息!C624="","",[3]道具信息!C624)</f>
        <v/>
      </c>
      <c r="D624" s="37" t="str">
        <f>IF([3]道具信息!D624="","",[3]道具信息!D624)</f>
        <v/>
      </c>
      <c r="E624" s="37" t="str">
        <f>IF([3]道具信息!E624="","",[3]道具信息!E624)</f>
        <v/>
      </c>
      <c r="F624" s="37" t="str">
        <f>IF([3]道具信息!F624="","",[3]道具信息!F624)</f>
        <v/>
      </c>
      <c r="G624" s="37" t="str">
        <f>IF([3]道具信息!G624="","",[3]道具信息!G624)</f>
        <v/>
      </c>
      <c r="H624" s="37" t="str">
        <f>IF([3]道具信息!H624="","",[3]道具信息!H624)</f>
        <v/>
      </c>
      <c r="I624" s="37" t="str">
        <f>IF([3]道具信息!I624="","",[3]道具信息!I624)</f>
        <v/>
      </c>
      <c r="J624" s="37" t="str">
        <f>IF([3]道具信息!J624="","",[3]道具信息!J624)</f>
        <v/>
      </c>
      <c r="K624" s="37" t="str">
        <f>IF([3]道具信息!K624="","",[3]道具信息!K624)</f>
        <v/>
      </c>
      <c r="L624" s="37" t="str">
        <f>IF([3]道具信息!L624="","",[3]道具信息!L624)</f>
        <v/>
      </c>
      <c r="M624" s="37" t="str">
        <f>IF([3]道具信息!M624="","",[3]道具信息!M624)</f>
        <v/>
      </c>
      <c r="N624" s="37"/>
      <c r="O624" s="37" t="str">
        <f>IF([3]道具信息!O624="","",[3]道具信息!O624)</f>
        <v/>
      </c>
      <c r="P624" s="37" t="str">
        <f>IF([3]道具信息!P624="","",[3]道具信息!P624)</f>
        <v/>
      </c>
      <c r="Q624" s="37" t="str">
        <f>IF([3]道具信息!Q624="","",[3]道具信息!Q624)</f>
        <v/>
      </c>
    </row>
    <row r="625" spans="3:17" x14ac:dyDescent="0.15">
      <c r="C625" s="37" t="str">
        <f>IF([3]道具信息!C625="","",[3]道具信息!C625)</f>
        <v/>
      </c>
      <c r="D625" s="37" t="str">
        <f>IF([3]道具信息!D625="","",[3]道具信息!D625)</f>
        <v/>
      </c>
      <c r="E625" s="37" t="str">
        <f>IF([3]道具信息!E625="","",[3]道具信息!E625)</f>
        <v/>
      </c>
      <c r="F625" s="37" t="str">
        <f>IF([3]道具信息!F625="","",[3]道具信息!F625)</f>
        <v/>
      </c>
      <c r="G625" s="37" t="str">
        <f>IF([3]道具信息!G625="","",[3]道具信息!G625)</f>
        <v/>
      </c>
      <c r="H625" s="37" t="str">
        <f>IF([3]道具信息!H625="","",[3]道具信息!H625)</f>
        <v/>
      </c>
      <c r="I625" s="37" t="str">
        <f>IF([3]道具信息!I625="","",[3]道具信息!I625)</f>
        <v/>
      </c>
      <c r="J625" s="37" t="str">
        <f>IF([3]道具信息!J625="","",[3]道具信息!J625)</f>
        <v/>
      </c>
      <c r="K625" s="37" t="str">
        <f>IF([3]道具信息!K625="","",[3]道具信息!K625)</f>
        <v/>
      </c>
      <c r="L625" s="37" t="str">
        <f>IF([3]道具信息!L625="","",[3]道具信息!L625)</f>
        <v/>
      </c>
      <c r="M625" s="37" t="str">
        <f>IF([3]道具信息!M625="","",[3]道具信息!M625)</f>
        <v/>
      </c>
      <c r="N625" s="37"/>
      <c r="O625" s="37" t="str">
        <f>IF([3]道具信息!O625="","",[3]道具信息!O625)</f>
        <v/>
      </c>
      <c r="P625" s="37" t="str">
        <f>IF([3]道具信息!P625="","",[3]道具信息!P625)</f>
        <v/>
      </c>
      <c r="Q625" s="37" t="str">
        <f>IF([3]道具信息!Q625="","",[3]道具信息!Q625)</f>
        <v/>
      </c>
    </row>
    <row r="626" spans="3:17" x14ac:dyDescent="0.15">
      <c r="C626" s="37" t="str">
        <f>IF([3]道具信息!C626="","",[3]道具信息!C626)</f>
        <v/>
      </c>
      <c r="D626" s="37" t="str">
        <f>IF([3]道具信息!D626="","",[3]道具信息!D626)</f>
        <v/>
      </c>
      <c r="E626" s="37" t="str">
        <f>IF([3]道具信息!E626="","",[3]道具信息!E626)</f>
        <v/>
      </c>
      <c r="F626" s="37" t="str">
        <f>IF([3]道具信息!F626="","",[3]道具信息!F626)</f>
        <v/>
      </c>
      <c r="G626" s="37" t="str">
        <f>IF([3]道具信息!G626="","",[3]道具信息!G626)</f>
        <v/>
      </c>
      <c r="H626" s="37" t="str">
        <f>IF([3]道具信息!H626="","",[3]道具信息!H626)</f>
        <v/>
      </c>
      <c r="I626" s="37" t="str">
        <f>IF([3]道具信息!I626="","",[3]道具信息!I626)</f>
        <v/>
      </c>
      <c r="J626" s="37" t="str">
        <f>IF([3]道具信息!J626="","",[3]道具信息!J626)</f>
        <v/>
      </c>
      <c r="K626" s="37" t="str">
        <f>IF([3]道具信息!K626="","",[3]道具信息!K626)</f>
        <v/>
      </c>
      <c r="L626" s="37" t="str">
        <f>IF([3]道具信息!L626="","",[3]道具信息!L626)</f>
        <v/>
      </c>
      <c r="M626" s="37" t="str">
        <f>IF([3]道具信息!M626="","",[3]道具信息!M626)</f>
        <v/>
      </c>
      <c r="N626" s="37"/>
      <c r="O626" s="37" t="str">
        <f>IF([3]道具信息!O626="","",[3]道具信息!O626)</f>
        <v/>
      </c>
      <c r="P626" s="37" t="str">
        <f>IF([3]道具信息!P626="","",[3]道具信息!P626)</f>
        <v/>
      </c>
      <c r="Q626" s="37" t="str">
        <f>IF([3]道具信息!Q626="","",[3]道具信息!Q626)</f>
        <v/>
      </c>
    </row>
    <row r="627" spans="3:17" x14ac:dyDescent="0.15">
      <c r="C627" s="37" t="str">
        <f>IF([3]道具信息!C627="","",[3]道具信息!C627)</f>
        <v/>
      </c>
      <c r="D627" s="37" t="str">
        <f>IF([3]道具信息!D627="","",[3]道具信息!D627)</f>
        <v/>
      </c>
      <c r="E627" s="37" t="str">
        <f>IF([3]道具信息!E627="","",[3]道具信息!E627)</f>
        <v/>
      </c>
      <c r="F627" s="37" t="str">
        <f>IF([3]道具信息!F627="","",[3]道具信息!F627)</f>
        <v/>
      </c>
      <c r="G627" s="37" t="str">
        <f>IF([3]道具信息!G627="","",[3]道具信息!G627)</f>
        <v/>
      </c>
      <c r="H627" s="37" t="str">
        <f>IF([3]道具信息!H627="","",[3]道具信息!H627)</f>
        <v/>
      </c>
      <c r="I627" s="37" t="str">
        <f>IF([3]道具信息!I627="","",[3]道具信息!I627)</f>
        <v/>
      </c>
      <c r="J627" s="37" t="str">
        <f>IF([3]道具信息!J627="","",[3]道具信息!J627)</f>
        <v/>
      </c>
      <c r="K627" s="37" t="str">
        <f>IF([3]道具信息!K627="","",[3]道具信息!K627)</f>
        <v/>
      </c>
      <c r="L627" s="37" t="str">
        <f>IF([3]道具信息!L627="","",[3]道具信息!L627)</f>
        <v/>
      </c>
      <c r="M627" s="37" t="str">
        <f>IF([3]道具信息!M627="","",[3]道具信息!M627)</f>
        <v/>
      </c>
      <c r="N627" s="37"/>
      <c r="O627" s="37" t="str">
        <f>IF([3]道具信息!O627="","",[3]道具信息!O627)</f>
        <v/>
      </c>
      <c r="P627" s="37" t="str">
        <f>IF([3]道具信息!P627="","",[3]道具信息!P627)</f>
        <v/>
      </c>
      <c r="Q627" s="37" t="str">
        <f>IF([3]道具信息!Q627="","",[3]道具信息!Q627)</f>
        <v/>
      </c>
    </row>
    <row r="628" spans="3:17" x14ac:dyDescent="0.15">
      <c r="C628" s="37" t="str">
        <f>IF([3]道具信息!C628="","",[3]道具信息!C628)</f>
        <v/>
      </c>
      <c r="D628" s="37" t="str">
        <f>IF([3]道具信息!D628="","",[3]道具信息!D628)</f>
        <v/>
      </c>
      <c r="E628" s="37" t="str">
        <f>IF([3]道具信息!E628="","",[3]道具信息!E628)</f>
        <v/>
      </c>
      <c r="F628" s="37" t="str">
        <f>IF([3]道具信息!F628="","",[3]道具信息!F628)</f>
        <v/>
      </c>
      <c r="G628" s="37" t="str">
        <f>IF([3]道具信息!G628="","",[3]道具信息!G628)</f>
        <v/>
      </c>
      <c r="H628" s="37" t="str">
        <f>IF([3]道具信息!H628="","",[3]道具信息!H628)</f>
        <v/>
      </c>
      <c r="I628" s="37" t="str">
        <f>IF([3]道具信息!I628="","",[3]道具信息!I628)</f>
        <v/>
      </c>
      <c r="J628" s="37" t="str">
        <f>IF([3]道具信息!J628="","",[3]道具信息!J628)</f>
        <v/>
      </c>
      <c r="K628" s="37" t="str">
        <f>IF([3]道具信息!K628="","",[3]道具信息!K628)</f>
        <v/>
      </c>
      <c r="L628" s="37" t="str">
        <f>IF([3]道具信息!L628="","",[3]道具信息!L628)</f>
        <v/>
      </c>
      <c r="M628" s="37" t="str">
        <f>IF([3]道具信息!M628="","",[3]道具信息!M628)</f>
        <v/>
      </c>
      <c r="N628" s="37"/>
      <c r="O628" s="37" t="str">
        <f>IF([3]道具信息!O628="","",[3]道具信息!O628)</f>
        <v/>
      </c>
      <c r="P628" s="37" t="str">
        <f>IF([3]道具信息!P628="","",[3]道具信息!P628)</f>
        <v/>
      </c>
      <c r="Q628" s="37" t="str">
        <f>IF([3]道具信息!Q628="","",[3]道具信息!Q628)</f>
        <v/>
      </c>
    </row>
    <row r="629" spans="3:17" x14ac:dyDescent="0.15">
      <c r="C629" s="37" t="str">
        <f>IF([3]道具信息!C629="","",[3]道具信息!C629)</f>
        <v/>
      </c>
      <c r="D629" s="37" t="str">
        <f>IF([3]道具信息!D629="","",[3]道具信息!D629)</f>
        <v/>
      </c>
      <c r="E629" s="37" t="str">
        <f>IF([3]道具信息!E629="","",[3]道具信息!E629)</f>
        <v/>
      </c>
      <c r="F629" s="37" t="str">
        <f>IF([3]道具信息!F629="","",[3]道具信息!F629)</f>
        <v/>
      </c>
      <c r="G629" s="37" t="str">
        <f>IF([3]道具信息!G629="","",[3]道具信息!G629)</f>
        <v/>
      </c>
      <c r="H629" s="37" t="str">
        <f>IF([3]道具信息!H629="","",[3]道具信息!H629)</f>
        <v/>
      </c>
      <c r="I629" s="37" t="str">
        <f>IF([3]道具信息!I629="","",[3]道具信息!I629)</f>
        <v/>
      </c>
      <c r="J629" s="37" t="str">
        <f>IF([3]道具信息!J629="","",[3]道具信息!J629)</f>
        <v/>
      </c>
      <c r="K629" s="37" t="str">
        <f>IF([3]道具信息!K629="","",[3]道具信息!K629)</f>
        <v/>
      </c>
      <c r="L629" s="37" t="str">
        <f>IF([3]道具信息!L629="","",[3]道具信息!L629)</f>
        <v/>
      </c>
      <c r="M629" s="37" t="str">
        <f>IF([3]道具信息!M629="","",[3]道具信息!M629)</f>
        <v/>
      </c>
      <c r="N629" s="37"/>
      <c r="O629" s="37" t="str">
        <f>IF([3]道具信息!O629="","",[3]道具信息!O629)</f>
        <v/>
      </c>
      <c r="P629" s="37" t="str">
        <f>IF([3]道具信息!P629="","",[3]道具信息!P629)</f>
        <v/>
      </c>
      <c r="Q629" s="37" t="str">
        <f>IF([3]道具信息!Q629="","",[3]道具信息!Q629)</f>
        <v/>
      </c>
    </row>
    <row r="630" spans="3:17" x14ac:dyDescent="0.15">
      <c r="C630" s="37" t="str">
        <f>IF([3]道具信息!C630="","",[3]道具信息!C630)</f>
        <v/>
      </c>
      <c r="D630" s="37" t="str">
        <f>IF([3]道具信息!D630="","",[3]道具信息!D630)</f>
        <v/>
      </c>
      <c r="E630" s="37" t="str">
        <f>IF([3]道具信息!E630="","",[3]道具信息!E630)</f>
        <v/>
      </c>
      <c r="F630" s="37" t="str">
        <f>IF([3]道具信息!F630="","",[3]道具信息!F630)</f>
        <v/>
      </c>
      <c r="G630" s="37" t="str">
        <f>IF([3]道具信息!G630="","",[3]道具信息!G630)</f>
        <v/>
      </c>
      <c r="H630" s="37" t="str">
        <f>IF([3]道具信息!H630="","",[3]道具信息!H630)</f>
        <v/>
      </c>
      <c r="I630" s="37" t="str">
        <f>IF([3]道具信息!I630="","",[3]道具信息!I630)</f>
        <v/>
      </c>
      <c r="J630" s="37" t="str">
        <f>IF([3]道具信息!J630="","",[3]道具信息!J630)</f>
        <v/>
      </c>
      <c r="K630" s="37" t="str">
        <f>IF([3]道具信息!K630="","",[3]道具信息!K630)</f>
        <v/>
      </c>
      <c r="L630" s="37" t="str">
        <f>IF([3]道具信息!L630="","",[3]道具信息!L630)</f>
        <v/>
      </c>
      <c r="M630" s="37" t="str">
        <f>IF([3]道具信息!M630="","",[3]道具信息!M630)</f>
        <v/>
      </c>
      <c r="N630" s="37"/>
      <c r="O630" s="37" t="str">
        <f>IF([3]道具信息!O630="","",[3]道具信息!O630)</f>
        <v/>
      </c>
      <c r="P630" s="37" t="str">
        <f>IF([3]道具信息!P630="","",[3]道具信息!P630)</f>
        <v/>
      </c>
      <c r="Q630" s="37" t="str">
        <f>IF([3]道具信息!Q630="","",[3]道具信息!Q630)</f>
        <v/>
      </c>
    </row>
    <row r="631" spans="3:17" x14ac:dyDescent="0.15">
      <c r="C631" s="37" t="str">
        <f>IF([3]道具信息!C631="","",[3]道具信息!C631)</f>
        <v/>
      </c>
      <c r="D631" s="37" t="str">
        <f>IF([3]道具信息!D631="","",[3]道具信息!D631)</f>
        <v/>
      </c>
      <c r="E631" s="37" t="str">
        <f>IF([3]道具信息!E631="","",[3]道具信息!E631)</f>
        <v/>
      </c>
      <c r="F631" s="37" t="str">
        <f>IF([3]道具信息!F631="","",[3]道具信息!F631)</f>
        <v/>
      </c>
      <c r="G631" s="37" t="str">
        <f>IF([3]道具信息!G631="","",[3]道具信息!G631)</f>
        <v/>
      </c>
      <c r="H631" s="37" t="str">
        <f>IF([3]道具信息!H631="","",[3]道具信息!H631)</f>
        <v/>
      </c>
      <c r="I631" s="37" t="str">
        <f>IF([3]道具信息!I631="","",[3]道具信息!I631)</f>
        <v/>
      </c>
      <c r="J631" s="37" t="str">
        <f>IF([3]道具信息!J631="","",[3]道具信息!J631)</f>
        <v/>
      </c>
      <c r="K631" s="37" t="str">
        <f>IF([3]道具信息!K631="","",[3]道具信息!K631)</f>
        <v/>
      </c>
      <c r="L631" s="37" t="str">
        <f>IF([3]道具信息!L631="","",[3]道具信息!L631)</f>
        <v/>
      </c>
      <c r="M631" s="37" t="str">
        <f>IF([3]道具信息!M631="","",[3]道具信息!M631)</f>
        <v/>
      </c>
      <c r="N631" s="37"/>
      <c r="O631" s="37" t="str">
        <f>IF([3]道具信息!O631="","",[3]道具信息!O631)</f>
        <v/>
      </c>
      <c r="P631" s="37" t="str">
        <f>IF([3]道具信息!P631="","",[3]道具信息!P631)</f>
        <v/>
      </c>
      <c r="Q631" s="37" t="str">
        <f>IF([3]道具信息!Q631="","",[3]道具信息!Q631)</f>
        <v/>
      </c>
    </row>
    <row r="632" spans="3:17" x14ac:dyDescent="0.15">
      <c r="C632" s="37" t="str">
        <f>IF([3]道具信息!C632="","",[3]道具信息!C632)</f>
        <v/>
      </c>
      <c r="D632" s="37" t="str">
        <f>IF([3]道具信息!D632="","",[3]道具信息!D632)</f>
        <v/>
      </c>
      <c r="E632" s="37" t="str">
        <f>IF([3]道具信息!E632="","",[3]道具信息!E632)</f>
        <v/>
      </c>
      <c r="F632" s="37" t="str">
        <f>IF([3]道具信息!F632="","",[3]道具信息!F632)</f>
        <v/>
      </c>
      <c r="G632" s="37" t="str">
        <f>IF([3]道具信息!G632="","",[3]道具信息!G632)</f>
        <v/>
      </c>
      <c r="H632" s="37" t="str">
        <f>IF([3]道具信息!H632="","",[3]道具信息!H632)</f>
        <v/>
      </c>
      <c r="I632" s="37" t="str">
        <f>IF([3]道具信息!I632="","",[3]道具信息!I632)</f>
        <v/>
      </c>
      <c r="J632" s="37" t="str">
        <f>IF([3]道具信息!J632="","",[3]道具信息!J632)</f>
        <v/>
      </c>
      <c r="K632" s="37" t="str">
        <f>IF([3]道具信息!K632="","",[3]道具信息!K632)</f>
        <v/>
      </c>
      <c r="L632" s="37" t="str">
        <f>IF([3]道具信息!L632="","",[3]道具信息!L632)</f>
        <v/>
      </c>
      <c r="M632" s="37" t="str">
        <f>IF([3]道具信息!M632="","",[3]道具信息!M632)</f>
        <v/>
      </c>
      <c r="N632" s="37"/>
      <c r="O632" s="37" t="str">
        <f>IF([3]道具信息!O632="","",[3]道具信息!O632)</f>
        <v/>
      </c>
      <c r="P632" s="37" t="str">
        <f>IF([3]道具信息!P632="","",[3]道具信息!P632)</f>
        <v/>
      </c>
      <c r="Q632" s="37" t="str">
        <f>IF([3]道具信息!Q632="","",[3]道具信息!Q632)</f>
        <v/>
      </c>
    </row>
    <row r="633" spans="3:17" x14ac:dyDescent="0.15">
      <c r="C633" s="37" t="str">
        <f>IF([3]道具信息!C633="","",[3]道具信息!C633)</f>
        <v/>
      </c>
      <c r="D633" s="37" t="str">
        <f>IF([3]道具信息!D633="","",[3]道具信息!D633)</f>
        <v/>
      </c>
      <c r="E633" s="37" t="str">
        <f>IF([3]道具信息!E633="","",[3]道具信息!E633)</f>
        <v/>
      </c>
      <c r="F633" s="37" t="str">
        <f>IF([3]道具信息!F633="","",[3]道具信息!F633)</f>
        <v/>
      </c>
      <c r="G633" s="37" t="str">
        <f>IF([3]道具信息!G633="","",[3]道具信息!G633)</f>
        <v/>
      </c>
      <c r="H633" s="37" t="str">
        <f>IF([3]道具信息!H633="","",[3]道具信息!H633)</f>
        <v/>
      </c>
      <c r="I633" s="37" t="str">
        <f>IF([3]道具信息!I633="","",[3]道具信息!I633)</f>
        <v/>
      </c>
      <c r="J633" s="37" t="str">
        <f>IF([3]道具信息!J633="","",[3]道具信息!J633)</f>
        <v/>
      </c>
      <c r="K633" s="37" t="str">
        <f>IF([3]道具信息!K633="","",[3]道具信息!K633)</f>
        <v/>
      </c>
      <c r="L633" s="37" t="str">
        <f>IF([3]道具信息!L633="","",[3]道具信息!L633)</f>
        <v/>
      </c>
      <c r="M633" s="37" t="str">
        <f>IF([3]道具信息!M633="","",[3]道具信息!M633)</f>
        <v/>
      </c>
      <c r="N633" s="37"/>
      <c r="O633" s="37" t="str">
        <f>IF([3]道具信息!O633="","",[3]道具信息!O633)</f>
        <v/>
      </c>
      <c r="P633" s="37" t="str">
        <f>IF([3]道具信息!P633="","",[3]道具信息!P633)</f>
        <v/>
      </c>
      <c r="Q633" s="37" t="str">
        <f>IF([3]道具信息!Q633="","",[3]道具信息!Q633)</f>
        <v/>
      </c>
    </row>
    <row r="634" spans="3:17" x14ac:dyDescent="0.15">
      <c r="C634" s="37" t="str">
        <f>IF([3]道具信息!C634="","",[3]道具信息!C634)</f>
        <v/>
      </c>
      <c r="D634" s="37" t="str">
        <f>IF([3]道具信息!D634="","",[3]道具信息!D634)</f>
        <v/>
      </c>
      <c r="E634" s="37" t="str">
        <f>IF([3]道具信息!E634="","",[3]道具信息!E634)</f>
        <v/>
      </c>
      <c r="F634" s="37" t="str">
        <f>IF([3]道具信息!F634="","",[3]道具信息!F634)</f>
        <v/>
      </c>
      <c r="G634" s="37" t="str">
        <f>IF([3]道具信息!G634="","",[3]道具信息!G634)</f>
        <v/>
      </c>
      <c r="H634" s="37" t="str">
        <f>IF([3]道具信息!H634="","",[3]道具信息!H634)</f>
        <v/>
      </c>
      <c r="I634" s="37" t="str">
        <f>IF([3]道具信息!I634="","",[3]道具信息!I634)</f>
        <v/>
      </c>
      <c r="J634" s="37" t="str">
        <f>IF([3]道具信息!J634="","",[3]道具信息!J634)</f>
        <v/>
      </c>
      <c r="K634" s="37" t="str">
        <f>IF([3]道具信息!K634="","",[3]道具信息!K634)</f>
        <v/>
      </c>
      <c r="L634" s="37" t="str">
        <f>IF([3]道具信息!L634="","",[3]道具信息!L634)</f>
        <v/>
      </c>
      <c r="M634" s="37" t="str">
        <f>IF([3]道具信息!M634="","",[3]道具信息!M634)</f>
        <v/>
      </c>
      <c r="N634" s="37"/>
      <c r="O634" s="37" t="str">
        <f>IF([3]道具信息!O634="","",[3]道具信息!O634)</f>
        <v/>
      </c>
      <c r="P634" s="37" t="str">
        <f>IF([3]道具信息!P634="","",[3]道具信息!P634)</f>
        <v/>
      </c>
      <c r="Q634" s="37" t="str">
        <f>IF([3]道具信息!Q634="","",[3]道具信息!Q634)</f>
        <v/>
      </c>
    </row>
    <row r="635" spans="3:17" x14ac:dyDescent="0.15">
      <c r="C635" s="37" t="str">
        <f>IF([3]道具信息!C635="","",[3]道具信息!C635)</f>
        <v/>
      </c>
      <c r="D635" s="37" t="str">
        <f>IF([3]道具信息!D635="","",[3]道具信息!D635)</f>
        <v/>
      </c>
      <c r="E635" s="37" t="str">
        <f>IF([3]道具信息!E635="","",[3]道具信息!E635)</f>
        <v/>
      </c>
      <c r="F635" s="37" t="str">
        <f>IF([3]道具信息!F635="","",[3]道具信息!F635)</f>
        <v/>
      </c>
      <c r="G635" s="37" t="str">
        <f>IF([3]道具信息!G635="","",[3]道具信息!G635)</f>
        <v/>
      </c>
      <c r="H635" s="37" t="str">
        <f>IF([3]道具信息!H635="","",[3]道具信息!H635)</f>
        <v/>
      </c>
      <c r="I635" s="37" t="str">
        <f>IF([3]道具信息!I635="","",[3]道具信息!I635)</f>
        <v/>
      </c>
      <c r="J635" s="37" t="str">
        <f>IF([3]道具信息!J635="","",[3]道具信息!J635)</f>
        <v/>
      </c>
      <c r="K635" s="37" t="str">
        <f>IF([3]道具信息!K635="","",[3]道具信息!K635)</f>
        <v/>
      </c>
      <c r="L635" s="37" t="str">
        <f>IF([3]道具信息!L635="","",[3]道具信息!L635)</f>
        <v/>
      </c>
      <c r="M635" s="37" t="str">
        <f>IF([3]道具信息!M635="","",[3]道具信息!M635)</f>
        <v/>
      </c>
      <c r="N635" s="37"/>
      <c r="O635" s="37" t="str">
        <f>IF([3]道具信息!O635="","",[3]道具信息!O635)</f>
        <v/>
      </c>
      <c r="P635" s="37" t="str">
        <f>IF([3]道具信息!P635="","",[3]道具信息!P635)</f>
        <v/>
      </c>
      <c r="Q635" s="37" t="str">
        <f>IF([3]道具信息!Q635="","",[3]道具信息!Q635)</f>
        <v/>
      </c>
    </row>
    <row r="636" spans="3:17" x14ac:dyDescent="0.15">
      <c r="C636" s="37" t="str">
        <f>IF([3]道具信息!C636="","",[3]道具信息!C636)</f>
        <v/>
      </c>
      <c r="D636" s="37" t="str">
        <f>IF([3]道具信息!D636="","",[3]道具信息!D636)</f>
        <v/>
      </c>
      <c r="E636" s="37" t="str">
        <f>IF([3]道具信息!E636="","",[3]道具信息!E636)</f>
        <v/>
      </c>
      <c r="F636" s="37" t="str">
        <f>IF([3]道具信息!F636="","",[3]道具信息!F636)</f>
        <v/>
      </c>
      <c r="G636" s="37" t="str">
        <f>IF([3]道具信息!G636="","",[3]道具信息!G636)</f>
        <v/>
      </c>
      <c r="H636" s="37" t="str">
        <f>IF([3]道具信息!H636="","",[3]道具信息!H636)</f>
        <v/>
      </c>
      <c r="I636" s="37" t="str">
        <f>IF([3]道具信息!I636="","",[3]道具信息!I636)</f>
        <v/>
      </c>
      <c r="J636" s="37" t="str">
        <f>IF([3]道具信息!J636="","",[3]道具信息!J636)</f>
        <v/>
      </c>
      <c r="K636" s="37" t="str">
        <f>IF([3]道具信息!K636="","",[3]道具信息!K636)</f>
        <v/>
      </c>
      <c r="L636" s="37" t="str">
        <f>IF([3]道具信息!L636="","",[3]道具信息!L636)</f>
        <v/>
      </c>
      <c r="M636" s="37" t="str">
        <f>IF([3]道具信息!M636="","",[3]道具信息!M636)</f>
        <v/>
      </c>
      <c r="N636" s="37"/>
      <c r="O636" s="37" t="str">
        <f>IF([3]道具信息!O636="","",[3]道具信息!O636)</f>
        <v/>
      </c>
      <c r="P636" s="37" t="str">
        <f>IF([3]道具信息!P636="","",[3]道具信息!P636)</f>
        <v/>
      </c>
      <c r="Q636" s="37" t="str">
        <f>IF([3]道具信息!Q636="","",[3]道具信息!Q636)</f>
        <v/>
      </c>
    </row>
    <row r="637" spans="3:17" x14ac:dyDescent="0.15">
      <c r="C637" s="37" t="str">
        <f>IF([3]道具信息!C637="","",[3]道具信息!C637)</f>
        <v/>
      </c>
      <c r="D637" s="37" t="str">
        <f>IF([3]道具信息!D637="","",[3]道具信息!D637)</f>
        <v/>
      </c>
      <c r="E637" s="37" t="str">
        <f>IF([3]道具信息!E637="","",[3]道具信息!E637)</f>
        <v/>
      </c>
      <c r="F637" s="37" t="str">
        <f>IF([3]道具信息!F637="","",[3]道具信息!F637)</f>
        <v/>
      </c>
      <c r="G637" s="37" t="str">
        <f>IF([3]道具信息!G637="","",[3]道具信息!G637)</f>
        <v/>
      </c>
      <c r="H637" s="37" t="str">
        <f>IF([3]道具信息!H637="","",[3]道具信息!H637)</f>
        <v/>
      </c>
      <c r="I637" s="37" t="str">
        <f>IF([3]道具信息!I637="","",[3]道具信息!I637)</f>
        <v/>
      </c>
      <c r="J637" s="37" t="str">
        <f>IF([3]道具信息!J637="","",[3]道具信息!J637)</f>
        <v/>
      </c>
      <c r="K637" s="37" t="str">
        <f>IF([3]道具信息!K637="","",[3]道具信息!K637)</f>
        <v/>
      </c>
      <c r="L637" s="37" t="str">
        <f>IF([3]道具信息!L637="","",[3]道具信息!L637)</f>
        <v/>
      </c>
      <c r="M637" s="37" t="str">
        <f>IF([3]道具信息!M637="","",[3]道具信息!M637)</f>
        <v/>
      </c>
      <c r="N637" s="37"/>
      <c r="O637" s="37" t="str">
        <f>IF([3]道具信息!O637="","",[3]道具信息!O637)</f>
        <v/>
      </c>
      <c r="P637" s="37" t="str">
        <f>IF([3]道具信息!P637="","",[3]道具信息!P637)</f>
        <v/>
      </c>
      <c r="Q637" s="37" t="str">
        <f>IF([3]道具信息!Q637="","",[3]道具信息!Q637)</f>
        <v/>
      </c>
    </row>
    <row r="638" spans="3:17" x14ac:dyDescent="0.15">
      <c r="C638" s="37" t="str">
        <f>IF([3]道具信息!C638="","",[3]道具信息!C638)</f>
        <v/>
      </c>
      <c r="D638" s="37" t="str">
        <f>IF([3]道具信息!D638="","",[3]道具信息!D638)</f>
        <v/>
      </c>
      <c r="E638" s="37" t="str">
        <f>IF([3]道具信息!E638="","",[3]道具信息!E638)</f>
        <v/>
      </c>
      <c r="F638" s="37" t="str">
        <f>IF([3]道具信息!F638="","",[3]道具信息!F638)</f>
        <v/>
      </c>
      <c r="G638" s="37" t="str">
        <f>IF([3]道具信息!G638="","",[3]道具信息!G638)</f>
        <v/>
      </c>
      <c r="H638" s="37" t="str">
        <f>IF([3]道具信息!H638="","",[3]道具信息!H638)</f>
        <v/>
      </c>
      <c r="I638" s="37" t="str">
        <f>IF([3]道具信息!I638="","",[3]道具信息!I638)</f>
        <v/>
      </c>
      <c r="J638" s="37" t="str">
        <f>IF([3]道具信息!J638="","",[3]道具信息!J638)</f>
        <v/>
      </c>
      <c r="K638" s="37" t="str">
        <f>IF([3]道具信息!K638="","",[3]道具信息!K638)</f>
        <v/>
      </c>
      <c r="L638" s="37" t="str">
        <f>IF([3]道具信息!L638="","",[3]道具信息!L638)</f>
        <v/>
      </c>
      <c r="M638" s="37" t="str">
        <f>IF([3]道具信息!M638="","",[3]道具信息!M638)</f>
        <v/>
      </c>
      <c r="N638" s="37"/>
      <c r="O638" s="37" t="str">
        <f>IF([3]道具信息!O638="","",[3]道具信息!O638)</f>
        <v/>
      </c>
      <c r="P638" s="37" t="str">
        <f>IF([3]道具信息!P638="","",[3]道具信息!P638)</f>
        <v/>
      </c>
      <c r="Q638" s="37" t="str">
        <f>IF([3]道具信息!Q638="","",[3]道具信息!Q638)</f>
        <v/>
      </c>
    </row>
    <row r="639" spans="3:17" x14ac:dyDescent="0.15">
      <c r="C639" s="37" t="str">
        <f>IF([3]道具信息!C639="","",[3]道具信息!C639)</f>
        <v/>
      </c>
      <c r="D639" s="37" t="str">
        <f>IF([3]道具信息!D639="","",[3]道具信息!D639)</f>
        <v/>
      </c>
      <c r="E639" s="37" t="str">
        <f>IF([3]道具信息!E639="","",[3]道具信息!E639)</f>
        <v/>
      </c>
      <c r="F639" s="37" t="str">
        <f>IF([3]道具信息!F639="","",[3]道具信息!F639)</f>
        <v/>
      </c>
      <c r="G639" s="37" t="str">
        <f>IF([3]道具信息!G639="","",[3]道具信息!G639)</f>
        <v/>
      </c>
      <c r="H639" s="37" t="str">
        <f>IF([3]道具信息!H639="","",[3]道具信息!H639)</f>
        <v/>
      </c>
      <c r="I639" s="37" t="str">
        <f>IF([3]道具信息!I639="","",[3]道具信息!I639)</f>
        <v/>
      </c>
      <c r="J639" s="37" t="str">
        <f>IF([3]道具信息!J639="","",[3]道具信息!J639)</f>
        <v/>
      </c>
      <c r="K639" s="37" t="str">
        <f>IF([3]道具信息!K639="","",[3]道具信息!K639)</f>
        <v/>
      </c>
      <c r="L639" s="37" t="str">
        <f>IF([3]道具信息!L639="","",[3]道具信息!L639)</f>
        <v/>
      </c>
      <c r="M639" s="37" t="str">
        <f>IF([3]道具信息!M639="","",[3]道具信息!M639)</f>
        <v/>
      </c>
      <c r="N639" s="37"/>
      <c r="O639" s="37" t="str">
        <f>IF([3]道具信息!O639="","",[3]道具信息!O639)</f>
        <v/>
      </c>
      <c r="P639" s="37" t="str">
        <f>IF([3]道具信息!P639="","",[3]道具信息!P639)</f>
        <v/>
      </c>
      <c r="Q639" s="37" t="str">
        <f>IF([3]道具信息!Q639="","",[3]道具信息!Q639)</f>
        <v/>
      </c>
    </row>
    <row r="640" spans="3:17" x14ac:dyDescent="0.15">
      <c r="C640" s="37" t="str">
        <f>IF([3]道具信息!C640="","",[3]道具信息!C640)</f>
        <v/>
      </c>
      <c r="D640" s="37" t="str">
        <f>IF([3]道具信息!D640="","",[3]道具信息!D640)</f>
        <v/>
      </c>
      <c r="E640" s="37" t="str">
        <f>IF([3]道具信息!E640="","",[3]道具信息!E640)</f>
        <v/>
      </c>
      <c r="F640" s="37" t="str">
        <f>IF([3]道具信息!F640="","",[3]道具信息!F640)</f>
        <v/>
      </c>
      <c r="G640" s="37" t="str">
        <f>IF([3]道具信息!G640="","",[3]道具信息!G640)</f>
        <v/>
      </c>
      <c r="H640" s="37" t="str">
        <f>IF([3]道具信息!H640="","",[3]道具信息!H640)</f>
        <v/>
      </c>
      <c r="I640" s="37" t="str">
        <f>IF([3]道具信息!I640="","",[3]道具信息!I640)</f>
        <v/>
      </c>
      <c r="J640" s="37" t="str">
        <f>IF([3]道具信息!J640="","",[3]道具信息!J640)</f>
        <v/>
      </c>
      <c r="K640" s="37" t="str">
        <f>IF([3]道具信息!K640="","",[3]道具信息!K640)</f>
        <v/>
      </c>
      <c r="L640" s="37" t="str">
        <f>IF([3]道具信息!L640="","",[3]道具信息!L640)</f>
        <v/>
      </c>
      <c r="M640" s="37" t="str">
        <f>IF([3]道具信息!M640="","",[3]道具信息!M640)</f>
        <v/>
      </c>
      <c r="N640" s="37"/>
      <c r="O640" s="37" t="str">
        <f>IF([3]道具信息!O640="","",[3]道具信息!O640)</f>
        <v/>
      </c>
      <c r="P640" s="37" t="str">
        <f>IF([3]道具信息!P640="","",[3]道具信息!P640)</f>
        <v/>
      </c>
      <c r="Q640" s="37" t="str">
        <f>IF([3]道具信息!Q640="","",[3]道具信息!Q640)</f>
        <v/>
      </c>
    </row>
    <row r="641" spans="3:17" x14ac:dyDescent="0.15">
      <c r="C641" s="37" t="str">
        <f>IF([3]道具信息!C641="","",[3]道具信息!C641)</f>
        <v/>
      </c>
      <c r="D641" s="37" t="str">
        <f>IF([3]道具信息!D641="","",[3]道具信息!D641)</f>
        <v/>
      </c>
      <c r="E641" s="37" t="str">
        <f>IF([3]道具信息!E641="","",[3]道具信息!E641)</f>
        <v/>
      </c>
      <c r="F641" s="37" t="str">
        <f>IF([3]道具信息!F641="","",[3]道具信息!F641)</f>
        <v/>
      </c>
      <c r="G641" s="37" t="str">
        <f>IF([3]道具信息!G641="","",[3]道具信息!G641)</f>
        <v/>
      </c>
      <c r="H641" s="37" t="str">
        <f>IF([3]道具信息!H641="","",[3]道具信息!H641)</f>
        <v/>
      </c>
      <c r="I641" s="37" t="str">
        <f>IF([3]道具信息!I641="","",[3]道具信息!I641)</f>
        <v/>
      </c>
      <c r="J641" s="37" t="str">
        <f>IF([3]道具信息!J641="","",[3]道具信息!J641)</f>
        <v/>
      </c>
      <c r="K641" s="37" t="str">
        <f>IF([3]道具信息!K641="","",[3]道具信息!K641)</f>
        <v/>
      </c>
      <c r="L641" s="37" t="str">
        <f>IF([3]道具信息!L641="","",[3]道具信息!L641)</f>
        <v/>
      </c>
      <c r="M641" s="37" t="str">
        <f>IF([3]道具信息!M641="","",[3]道具信息!M641)</f>
        <v/>
      </c>
      <c r="N641" s="37"/>
      <c r="O641" s="37" t="str">
        <f>IF([3]道具信息!O641="","",[3]道具信息!O641)</f>
        <v/>
      </c>
      <c r="P641" s="37" t="str">
        <f>IF([3]道具信息!P641="","",[3]道具信息!P641)</f>
        <v/>
      </c>
      <c r="Q641" s="37" t="str">
        <f>IF([3]道具信息!Q641="","",[3]道具信息!Q641)</f>
        <v/>
      </c>
    </row>
    <row r="642" spans="3:17" x14ac:dyDescent="0.15">
      <c r="C642" s="37" t="str">
        <f>IF([3]道具信息!C642="","",[3]道具信息!C642)</f>
        <v/>
      </c>
      <c r="D642" s="37" t="str">
        <f>IF([3]道具信息!D642="","",[3]道具信息!D642)</f>
        <v/>
      </c>
      <c r="E642" s="37" t="str">
        <f>IF([3]道具信息!E642="","",[3]道具信息!E642)</f>
        <v/>
      </c>
      <c r="F642" s="37" t="str">
        <f>IF([3]道具信息!F642="","",[3]道具信息!F642)</f>
        <v/>
      </c>
      <c r="G642" s="37" t="str">
        <f>IF([3]道具信息!G642="","",[3]道具信息!G642)</f>
        <v/>
      </c>
      <c r="H642" s="37" t="str">
        <f>IF([3]道具信息!H642="","",[3]道具信息!H642)</f>
        <v/>
      </c>
      <c r="I642" s="37" t="str">
        <f>IF([3]道具信息!I642="","",[3]道具信息!I642)</f>
        <v/>
      </c>
      <c r="J642" s="37" t="str">
        <f>IF([3]道具信息!J642="","",[3]道具信息!J642)</f>
        <v/>
      </c>
      <c r="K642" s="37" t="str">
        <f>IF([3]道具信息!K642="","",[3]道具信息!K642)</f>
        <v/>
      </c>
      <c r="L642" s="37" t="str">
        <f>IF([3]道具信息!L642="","",[3]道具信息!L642)</f>
        <v/>
      </c>
      <c r="M642" s="37" t="str">
        <f>IF([3]道具信息!M642="","",[3]道具信息!M642)</f>
        <v/>
      </c>
      <c r="N642" s="37"/>
      <c r="O642" s="37" t="str">
        <f>IF([3]道具信息!O642="","",[3]道具信息!O642)</f>
        <v/>
      </c>
      <c r="P642" s="37" t="str">
        <f>IF([3]道具信息!P642="","",[3]道具信息!P642)</f>
        <v/>
      </c>
      <c r="Q642" s="37" t="str">
        <f>IF([3]道具信息!Q642="","",[3]道具信息!Q642)</f>
        <v/>
      </c>
    </row>
    <row r="643" spans="3:17" x14ac:dyDescent="0.15">
      <c r="C643" s="37" t="str">
        <f>IF([3]道具信息!C643="","",[3]道具信息!C643)</f>
        <v/>
      </c>
      <c r="D643" s="37" t="str">
        <f>IF([3]道具信息!D643="","",[3]道具信息!D643)</f>
        <v/>
      </c>
      <c r="E643" s="37" t="str">
        <f>IF([3]道具信息!E643="","",[3]道具信息!E643)</f>
        <v/>
      </c>
      <c r="F643" s="37" t="str">
        <f>IF([3]道具信息!F643="","",[3]道具信息!F643)</f>
        <v/>
      </c>
      <c r="G643" s="37" t="str">
        <f>IF([3]道具信息!G643="","",[3]道具信息!G643)</f>
        <v/>
      </c>
      <c r="H643" s="37" t="str">
        <f>IF([3]道具信息!H643="","",[3]道具信息!H643)</f>
        <v/>
      </c>
      <c r="I643" s="37" t="str">
        <f>IF([3]道具信息!I643="","",[3]道具信息!I643)</f>
        <v/>
      </c>
      <c r="J643" s="37" t="str">
        <f>IF([3]道具信息!J643="","",[3]道具信息!J643)</f>
        <v/>
      </c>
      <c r="K643" s="37" t="str">
        <f>IF([3]道具信息!K643="","",[3]道具信息!K643)</f>
        <v/>
      </c>
      <c r="L643" s="37" t="str">
        <f>IF([3]道具信息!L643="","",[3]道具信息!L643)</f>
        <v/>
      </c>
      <c r="M643" s="37" t="str">
        <f>IF([3]道具信息!M643="","",[3]道具信息!M643)</f>
        <v/>
      </c>
      <c r="N643" s="37"/>
      <c r="O643" s="37" t="str">
        <f>IF([3]道具信息!O643="","",[3]道具信息!O643)</f>
        <v/>
      </c>
      <c r="P643" s="37" t="str">
        <f>IF([3]道具信息!P643="","",[3]道具信息!P643)</f>
        <v/>
      </c>
      <c r="Q643" s="37" t="str">
        <f>IF([3]道具信息!Q643="","",[3]道具信息!Q643)</f>
        <v/>
      </c>
    </row>
    <row r="644" spans="3:17" x14ac:dyDescent="0.15">
      <c r="C644" s="37" t="str">
        <f>IF([3]道具信息!C644="","",[3]道具信息!C644)</f>
        <v/>
      </c>
      <c r="D644" s="37" t="str">
        <f>IF([3]道具信息!D644="","",[3]道具信息!D644)</f>
        <v/>
      </c>
      <c r="E644" s="37" t="str">
        <f>IF([3]道具信息!E644="","",[3]道具信息!E644)</f>
        <v/>
      </c>
      <c r="F644" s="37" t="str">
        <f>IF([3]道具信息!F644="","",[3]道具信息!F644)</f>
        <v/>
      </c>
      <c r="G644" s="37" t="str">
        <f>IF([3]道具信息!G644="","",[3]道具信息!G644)</f>
        <v/>
      </c>
      <c r="H644" s="37" t="str">
        <f>IF([3]道具信息!H644="","",[3]道具信息!H644)</f>
        <v/>
      </c>
      <c r="I644" s="37" t="str">
        <f>IF([3]道具信息!I644="","",[3]道具信息!I644)</f>
        <v/>
      </c>
      <c r="J644" s="37" t="str">
        <f>IF([3]道具信息!J644="","",[3]道具信息!J644)</f>
        <v/>
      </c>
      <c r="K644" s="37" t="str">
        <f>IF([3]道具信息!K644="","",[3]道具信息!K644)</f>
        <v/>
      </c>
      <c r="L644" s="37" t="str">
        <f>IF([3]道具信息!L644="","",[3]道具信息!L644)</f>
        <v/>
      </c>
      <c r="M644" s="37" t="str">
        <f>IF([3]道具信息!M644="","",[3]道具信息!M644)</f>
        <v/>
      </c>
      <c r="N644" s="37"/>
      <c r="O644" s="37" t="str">
        <f>IF([3]道具信息!O644="","",[3]道具信息!O644)</f>
        <v/>
      </c>
      <c r="P644" s="37" t="str">
        <f>IF([3]道具信息!P644="","",[3]道具信息!P644)</f>
        <v/>
      </c>
      <c r="Q644" s="37" t="str">
        <f>IF([3]道具信息!Q644="","",[3]道具信息!Q644)</f>
        <v/>
      </c>
    </row>
    <row r="645" spans="3:17" x14ac:dyDescent="0.15">
      <c r="C645" s="37" t="str">
        <f>IF([3]道具信息!C645="","",[3]道具信息!C645)</f>
        <v/>
      </c>
      <c r="D645" s="37" t="str">
        <f>IF([3]道具信息!D645="","",[3]道具信息!D645)</f>
        <v/>
      </c>
      <c r="E645" s="37" t="str">
        <f>IF([3]道具信息!E645="","",[3]道具信息!E645)</f>
        <v/>
      </c>
      <c r="F645" s="37" t="str">
        <f>IF([3]道具信息!F645="","",[3]道具信息!F645)</f>
        <v/>
      </c>
      <c r="G645" s="37" t="str">
        <f>IF([3]道具信息!G645="","",[3]道具信息!G645)</f>
        <v/>
      </c>
      <c r="H645" s="37" t="str">
        <f>IF([3]道具信息!H645="","",[3]道具信息!H645)</f>
        <v/>
      </c>
      <c r="I645" s="37" t="str">
        <f>IF([3]道具信息!I645="","",[3]道具信息!I645)</f>
        <v/>
      </c>
      <c r="J645" s="37" t="str">
        <f>IF([3]道具信息!J645="","",[3]道具信息!J645)</f>
        <v/>
      </c>
      <c r="K645" s="37" t="str">
        <f>IF([3]道具信息!K645="","",[3]道具信息!K645)</f>
        <v/>
      </c>
      <c r="L645" s="37" t="str">
        <f>IF([3]道具信息!L645="","",[3]道具信息!L645)</f>
        <v/>
      </c>
      <c r="M645" s="37" t="str">
        <f>IF([3]道具信息!M645="","",[3]道具信息!M645)</f>
        <v/>
      </c>
      <c r="N645" s="37"/>
      <c r="O645" s="37" t="str">
        <f>IF([3]道具信息!O645="","",[3]道具信息!O645)</f>
        <v/>
      </c>
      <c r="P645" s="37" t="str">
        <f>IF([3]道具信息!P645="","",[3]道具信息!P645)</f>
        <v/>
      </c>
      <c r="Q645" s="37" t="str">
        <f>IF([3]道具信息!Q645="","",[3]道具信息!Q645)</f>
        <v/>
      </c>
    </row>
    <row r="646" spans="3:17" x14ac:dyDescent="0.15">
      <c r="C646" s="37" t="str">
        <f>IF([3]道具信息!C646="","",[3]道具信息!C646)</f>
        <v/>
      </c>
      <c r="D646" s="37" t="str">
        <f>IF([3]道具信息!D646="","",[3]道具信息!D646)</f>
        <v/>
      </c>
      <c r="E646" s="37" t="str">
        <f>IF([3]道具信息!E646="","",[3]道具信息!E646)</f>
        <v/>
      </c>
      <c r="F646" s="37" t="str">
        <f>IF([3]道具信息!F646="","",[3]道具信息!F646)</f>
        <v/>
      </c>
      <c r="G646" s="37" t="str">
        <f>IF([3]道具信息!G646="","",[3]道具信息!G646)</f>
        <v/>
      </c>
      <c r="H646" s="37" t="str">
        <f>IF([3]道具信息!H646="","",[3]道具信息!H646)</f>
        <v/>
      </c>
      <c r="I646" s="37" t="str">
        <f>IF([3]道具信息!I646="","",[3]道具信息!I646)</f>
        <v/>
      </c>
      <c r="J646" s="37" t="str">
        <f>IF([3]道具信息!J646="","",[3]道具信息!J646)</f>
        <v/>
      </c>
      <c r="K646" s="37" t="str">
        <f>IF([3]道具信息!K646="","",[3]道具信息!K646)</f>
        <v/>
      </c>
      <c r="L646" s="37" t="str">
        <f>IF([3]道具信息!L646="","",[3]道具信息!L646)</f>
        <v/>
      </c>
      <c r="M646" s="37" t="str">
        <f>IF([3]道具信息!M646="","",[3]道具信息!M646)</f>
        <v/>
      </c>
      <c r="N646" s="37"/>
      <c r="O646" s="37" t="str">
        <f>IF([3]道具信息!O646="","",[3]道具信息!O646)</f>
        <v/>
      </c>
      <c r="P646" s="37" t="str">
        <f>IF([3]道具信息!P646="","",[3]道具信息!P646)</f>
        <v/>
      </c>
      <c r="Q646" s="37" t="str">
        <f>IF([3]道具信息!Q646="","",[3]道具信息!Q646)</f>
        <v/>
      </c>
    </row>
    <row r="647" spans="3:17" x14ac:dyDescent="0.15">
      <c r="C647" s="37" t="str">
        <f>IF([3]道具信息!C647="","",[3]道具信息!C647)</f>
        <v/>
      </c>
      <c r="D647" s="37" t="str">
        <f>IF([3]道具信息!D647="","",[3]道具信息!D647)</f>
        <v/>
      </c>
      <c r="E647" s="37" t="str">
        <f>IF([3]道具信息!E647="","",[3]道具信息!E647)</f>
        <v/>
      </c>
      <c r="F647" s="37" t="str">
        <f>IF([3]道具信息!F647="","",[3]道具信息!F647)</f>
        <v/>
      </c>
      <c r="G647" s="37" t="str">
        <f>IF([3]道具信息!G647="","",[3]道具信息!G647)</f>
        <v/>
      </c>
      <c r="H647" s="37" t="str">
        <f>IF([3]道具信息!H647="","",[3]道具信息!H647)</f>
        <v/>
      </c>
      <c r="I647" s="37" t="str">
        <f>IF([3]道具信息!I647="","",[3]道具信息!I647)</f>
        <v/>
      </c>
      <c r="J647" s="37" t="str">
        <f>IF([3]道具信息!J647="","",[3]道具信息!J647)</f>
        <v/>
      </c>
      <c r="K647" s="37" t="str">
        <f>IF([3]道具信息!K647="","",[3]道具信息!K647)</f>
        <v/>
      </c>
      <c r="L647" s="37" t="str">
        <f>IF([3]道具信息!L647="","",[3]道具信息!L647)</f>
        <v/>
      </c>
      <c r="M647" s="37" t="str">
        <f>IF([3]道具信息!M647="","",[3]道具信息!M647)</f>
        <v/>
      </c>
      <c r="N647" s="37"/>
      <c r="O647" s="37" t="str">
        <f>IF([3]道具信息!O647="","",[3]道具信息!O647)</f>
        <v/>
      </c>
      <c r="P647" s="37" t="str">
        <f>IF([3]道具信息!P647="","",[3]道具信息!P647)</f>
        <v/>
      </c>
      <c r="Q647" s="37" t="str">
        <f>IF([3]道具信息!Q647="","",[3]道具信息!Q647)</f>
        <v/>
      </c>
    </row>
    <row r="648" spans="3:17" x14ac:dyDescent="0.15">
      <c r="C648" s="37" t="str">
        <f>IF([3]道具信息!C648="","",[3]道具信息!C648)</f>
        <v/>
      </c>
      <c r="D648" s="37" t="str">
        <f>IF([3]道具信息!D648="","",[3]道具信息!D648)</f>
        <v/>
      </c>
      <c r="E648" s="37" t="str">
        <f>IF([3]道具信息!E648="","",[3]道具信息!E648)</f>
        <v/>
      </c>
      <c r="F648" s="37" t="str">
        <f>IF([3]道具信息!F648="","",[3]道具信息!F648)</f>
        <v/>
      </c>
      <c r="G648" s="37" t="str">
        <f>IF([3]道具信息!G648="","",[3]道具信息!G648)</f>
        <v/>
      </c>
      <c r="H648" s="37" t="str">
        <f>IF([3]道具信息!H648="","",[3]道具信息!H648)</f>
        <v/>
      </c>
      <c r="I648" s="37" t="str">
        <f>IF([3]道具信息!I648="","",[3]道具信息!I648)</f>
        <v/>
      </c>
      <c r="J648" s="37" t="str">
        <f>IF([3]道具信息!J648="","",[3]道具信息!J648)</f>
        <v/>
      </c>
      <c r="K648" s="37" t="str">
        <f>IF([3]道具信息!K648="","",[3]道具信息!K648)</f>
        <v/>
      </c>
      <c r="L648" s="37" t="str">
        <f>IF([3]道具信息!L648="","",[3]道具信息!L648)</f>
        <v/>
      </c>
      <c r="M648" s="37" t="str">
        <f>IF([3]道具信息!M648="","",[3]道具信息!M648)</f>
        <v/>
      </c>
      <c r="N648" s="37"/>
      <c r="O648" s="37" t="str">
        <f>IF([3]道具信息!O648="","",[3]道具信息!O648)</f>
        <v/>
      </c>
      <c r="P648" s="37" t="str">
        <f>IF([3]道具信息!P648="","",[3]道具信息!P648)</f>
        <v/>
      </c>
      <c r="Q648" s="37" t="str">
        <f>IF([3]道具信息!Q648="","",[3]道具信息!Q648)</f>
        <v/>
      </c>
    </row>
    <row r="649" spans="3:17" x14ac:dyDescent="0.15">
      <c r="C649" s="37" t="str">
        <f>IF([3]道具信息!C649="","",[3]道具信息!C649)</f>
        <v/>
      </c>
      <c r="D649" s="37" t="str">
        <f>IF([3]道具信息!D649="","",[3]道具信息!D649)</f>
        <v/>
      </c>
      <c r="E649" s="37" t="str">
        <f>IF([3]道具信息!E649="","",[3]道具信息!E649)</f>
        <v/>
      </c>
      <c r="F649" s="37" t="str">
        <f>IF([3]道具信息!F649="","",[3]道具信息!F649)</f>
        <v/>
      </c>
      <c r="G649" s="37" t="str">
        <f>IF([3]道具信息!G649="","",[3]道具信息!G649)</f>
        <v/>
      </c>
      <c r="H649" s="37" t="str">
        <f>IF([3]道具信息!H649="","",[3]道具信息!H649)</f>
        <v/>
      </c>
      <c r="I649" s="37" t="str">
        <f>IF([3]道具信息!I649="","",[3]道具信息!I649)</f>
        <v/>
      </c>
      <c r="J649" s="37" t="str">
        <f>IF([3]道具信息!J649="","",[3]道具信息!J649)</f>
        <v/>
      </c>
      <c r="K649" s="37" t="str">
        <f>IF([3]道具信息!K649="","",[3]道具信息!K649)</f>
        <v/>
      </c>
      <c r="L649" s="37" t="str">
        <f>IF([3]道具信息!L649="","",[3]道具信息!L649)</f>
        <v/>
      </c>
      <c r="M649" s="37" t="str">
        <f>IF([3]道具信息!M649="","",[3]道具信息!M649)</f>
        <v/>
      </c>
      <c r="N649" s="37"/>
      <c r="O649" s="37" t="str">
        <f>IF([3]道具信息!O649="","",[3]道具信息!O649)</f>
        <v/>
      </c>
      <c r="P649" s="37" t="str">
        <f>IF([3]道具信息!P649="","",[3]道具信息!P649)</f>
        <v/>
      </c>
      <c r="Q649" s="37" t="str">
        <f>IF([3]道具信息!Q649="","",[3]道具信息!Q649)</f>
        <v/>
      </c>
    </row>
    <row r="650" spans="3:17" x14ac:dyDescent="0.15">
      <c r="C650" s="37" t="str">
        <f>IF([3]道具信息!C650="","",[3]道具信息!C650)</f>
        <v/>
      </c>
      <c r="D650" s="37" t="str">
        <f>IF([3]道具信息!D650="","",[3]道具信息!D650)</f>
        <v/>
      </c>
      <c r="E650" s="37" t="str">
        <f>IF([3]道具信息!E650="","",[3]道具信息!E650)</f>
        <v/>
      </c>
      <c r="F650" s="37" t="str">
        <f>IF([3]道具信息!F650="","",[3]道具信息!F650)</f>
        <v/>
      </c>
      <c r="G650" s="37" t="str">
        <f>IF([3]道具信息!G650="","",[3]道具信息!G650)</f>
        <v/>
      </c>
      <c r="H650" s="37" t="str">
        <f>IF([3]道具信息!H650="","",[3]道具信息!H650)</f>
        <v/>
      </c>
      <c r="I650" s="37" t="str">
        <f>IF([3]道具信息!I650="","",[3]道具信息!I650)</f>
        <v/>
      </c>
      <c r="J650" s="37" t="str">
        <f>IF([3]道具信息!J650="","",[3]道具信息!J650)</f>
        <v/>
      </c>
      <c r="K650" s="37" t="str">
        <f>IF([3]道具信息!K650="","",[3]道具信息!K650)</f>
        <v/>
      </c>
      <c r="L650" s="37" t="str">
        <f>IF([3]道具信息!L650="","",[3]道具信息!L650)</f>
        <v/>
      </c>
      <c r="M650" s="37" t="str">
        <f>IF([3]道具信息!M650="","",[3]道具信息!M650)</f>
        <v/>
      </c>
      <c r="N650" s="37"/>
      <c r="O650" s="37" t="str">
        <f>IF([3]道具信息!O650="","",[3]道具信息!O650)</f>
        <v/>
      </c>
      <c r="P650" s="37" t="str">
        <f>IF([3]道具信息!P650="","",[3]道具信息!P650)</f>
        <v/>
      </c>
      <c r="Q650" s="37" t="str">
        <f>IF([3]道具信息!Q650="","",[3]道具信息!Q650)</f>
        <v/>
      </c>
    </row>
    <row r="651" spans="3:17" x14ac:dyDescent="0.15">
      <c r="C651" s="37" t="str">
        <f>IF([3]道具信息!C651="","",[3]道具信息!C651)</f>
        <v/>
      </c>
      <c r="D651" s="37" t="str">
        <f>IF([3]道具信息!D651="","",[3]道具信息!D651)</f>
        <v/>
      </c>
      <c r="E651" s="37" t="str">
        <f>IF([3]道具信息!E651="","",[3]道具信息!E651)</f>
        <v/>
      </c>
      <c r="F651" s="37" t="str">
        <f>IF([3]道具信息!F651="","",[3]道具信息!F651)</f>
        <v/>
      </c>
      <c r="G651" s="37" t="str">
        <f>IF([3]道具信息!G651="","",[3]道具信息!G651)</f>
        <v/>
      </c>
      <c r="H651" s="37" t="str">
        <f>IF([3]道具信息!H651="","",[3]道具信息!H651)</f>
        <v/>
      </c>
      <c r="I651" s="37" t="str">
        <f>IF([3]道具信息!I651="","",[3]道具信息!I651)</f>
        <v/>
      </c>
      <c r="J651" s="37" t="str">
        <f>IF([3]道具信息!J651="","",[3]道具信息!J651)</f>
        <v/>
      </c>
      <c r="K651" s="37" t="str">
        <f>IF([3]道具信息!K651="","",[3]道具信息!K651)</f>
        <v/>
      </c>
      <c r="L651" s="37" t="str">
        <f>IF([3]道具信息!L651="","",[3]道具信息!L651)</f>
        <v/>
      </c>
      <c r="M651" s="37" t="str">
        <f>IF([3]道具信息!M651="","",[3]道具信息!M651)</f>
        <v/>
      </c>
      <c r="N651" s="37"/>
      <c r="O651" s="37" t="str">
        <f>IF([3]道具信息!O651="","",[3]道具信息!O651)</f>
        <v/>
      </c>
      <c r="P651" s="37" t="str">
        <f>IF([3]道具信息!P651="","",[3]道具信息!P651)</f>
        <v/>
      </c>
      <c r="Q651" s="37" t="str">
        <f>IF([3]道具信息!Q651="","",[3]道具信息!Q651)</f>
        <v/>
      </c>
    </row>
    <row r="652" spans="3:17" x14ac:dyDescent="0.15">
      <c r="C652" s="37" t="str">
        <f>IF([3]道具信息!C652="","",[3]道具信息!C652)</f>
        <v/>
      </c>
      <c r="D652" s="37" t="str">
        <f>IF([3]道具信息!D652="","",[3]道具信息!D652)</f>
        <v/>
      </c>
      <c r="E652" s="37" t="str">
        <f>IF([3]道具信息!E652="","",[3]道具信息!E652)</f>
        <v/>
      </c>
      <c r="F652" s="37" t="str">
        <f>IF([3]道具信息!F652="","",[3]道具信息!F652)</f>
        <v/>
      </c>
      <c r="G652" s="37" t="str">
        <f>IF([3]道具信息!G652="","",[3]道具信息!G652)</f>
        <v/>
      </c>
      <c r="H652" s="37" t="str">
        <f>IF([3]道具信息!H652="","",[3]道具信息!H652)</f>
        <v/>
      </c>
      <c r="I652" s="37" t="str">
        <f>IF([3]道具信息!I652="","",[3]道具信息!I652)</f>
        <v/>
      </c>
      <c r="J652" s="37" t="str">
        <f>IF([3]道具信息!J652="","",[3]道具信息!J652)</f>
        <v/>
      </c>
      <c r="K652" s="37" t="str">
        <f>IF([3]道具信息!K652="","",[3]道具信息!K652)</f>
        <v/>
      </c>
      <c r="L652" s="37" t="str">
        <f>IF([3]道具信息!L652="","",[3]道具信息!L652)</f>
        <v/>
      </c>
      <c r="M652" s="37" t="str">
        <f>IF([3]道具信息!M652="","",[3]道具信息!M652)</f>
        <v/>
      </c>
      <c r="N652" s="37"/>
      <c r="O652" s="37" t="str">
        <f>IF([3]道具信息!O652="","",[3]道具信息!O652)</f>
        <v/>
      </c>
      <c r="P652" s="37" t="str">
        <f>IF([3]道具信息!P652="","",[3]道具信息!P652)</f>
        <v/>
      </c>
      <c r="Q652" s="37" t="str">
        <f>IF([3]道具信息!Q652="","",[3]道具信息!Q652)</f>
        <v/>
      </c>
    </row>
    <row r="653" spans="3:17" x14ac:dyDescent="0.15">
      <c r="C653" s="37" t="str">
        <f>IF([3]道具信息!C653="","",[3]道具信息!C653)</f>
        <v/>
      </c>
      <c r="D653" s="37" t="str">
        <f>IF([3]道具信息!D653="","",[3]道具信息!D653)</f>
        <v/>
      </c>
      <c r="E653" s="37" t="str">
        <f>IF([3]道具信息!E653="","",[3]道具信息!E653)</f>
        <v/>
      </c>
      <c r="F653" s="37" t="str">
        <f>IF([3]道具信息!F653="","",[3]道具信息!F653)</f>
        <v/>
      </c>
      <c r="G653" s="37" t="str">
        <f>IF([3]道具信息!G653="","",[3]道具信息!G653)</f>
        <v/>
      </c>
      <c r="H653" s="37" t="str">
        <f>IF([3]道具信息!H653="","",[3]道具信息!H653)</f>
        <v/>
      </c>
      <c r="I653" s="37" t="str">
        <f>IF([3]道具信息!I653="","",[3]道具信息!I653)</f>
        <v/>
      </c>
      <c r="J653" s="37" t="str">
        <f>IF([3]道具信息!J653="","",[3]道具信息!J653)</f>
        <v/>
      </c>
      <c r="K653" s="37" t="str">
        <f>IF([3]道具信息!K653="","",[3]道具信息!K653)</f>
        <v/>
      </c>
      <c r="L653" s="37" t="str">
        <f>IF([3]道具信息!L653="","",[3]道具信息!L653)</f>
        <v/>
      </c>
      <c r="M653" s="37" t="str">
        <f>IF([3]道具信息!M653="","",[3]道具信息!M653)</f>
        <v/>
      </c>
      <c r="N653" s="37"/>
      <c r="O653" s="37" t="str">
        <f>IF([3]道具信息!O653="","",[3]道具信息!O653)</f>
        <v/>
      </c>
      <c r="P653" s="37" t="str">
        <f>IF([3]道具信息!P653="","",[3]道具信息!P653)</f>
        <v/>
      </c>
      <c r="Q653" s="37" t="str">
        <f>IF([3]道具信息!Q653="","",[3]道具信息!Q653)</f>
        <v/>
      </c>
    </row>
    <row r="654" spans="3:17" x14ac:dyDescent="0.15">
      <c r="C654" s="37" t="str">
        <f>IF([3]道具信息!C654="","",[3]道具信息!C654)</f>
        <v/>
      </c>
      <c r="D654" s="37" t="str">
        <f>IF([3]道具信息!D654="","",[3]道具信息!D654)</f>
        <v/>
      </c>
      <c r="E654" s="37" t="str">
        <f>IF([3]道具信息!E654="","",[3]道具信息!E654)</f>
        <v/>
      </c>
      <c r="F654" s="37" t="str">
        <f>IF([3]道具信息!F654="","",[3]道具信息!F654)</f>
        <v/>
      </c>
      <c r="G654" s="37" t="str">
        <f>IF([3]道具信息!G654="","",[3]道具信息!G654)</f>
        <v/>
      </c>
      <c r="H654" s="37" t="str">
        <f>IF([3]道具信息!H654="","",[3]道具信息!H654)</f>
        <v/>
      </c>
      <c r="I654" s="37" t="str">
        <f>IF([3]道具信息!I654="","",[3]道具信息!I654)</f>
        <v/>
      </c>
      <c r="J654" s="37" t="str">
        <f>IF([3]道具信息!J654="","",[3]道具信息!J654)</f>
        <v/>
      </c>
      <c r="K654" s="37" t="str">
        <f>IF([3]道具信息!K654="","",[3]道具信息!K654)</f>
        <v/>
      </c>
      <c r="L654" s="37" t="str">
        <f>IF([3]道具信息!L654="","",[3]道具信息!L654)</f>
        <v/>
      </c>
      <c r="M654" s="37" t="str">
        <f>IF([3]道具信息!M654="","",[3]道具信息!M654)</f>
        <v/>
      </c>
      <c r="N654" s="37"/>
      <c r="O654" s="37" t="str">
        <f>IF([3]道具信息!O654="","",[3]道具信息!O654)</f>
        <v/>
      </c>
      <c r="P654" s="37" t="str">
        <f>IF([3]道具信息!P654="","",[3]道具信息!P654)</f>
        <v/>
      </c>
      <c r="Q654" s="37" t="str">
        <f>IF([3]道具信息!Q654="","",[3]道具信息!Q654)</f>
        <v/>
      </c>
    </row>
    <row r="655" spans="3:17" x14ac:dyDescent="0.15">
      <c r="C655" s="37" t="str">
        <f>IF([3]道具信息!C655="","",[3]道具信息!C655)</f>
        <v/>
      </c>
      <c r="D655" s="37" t="str">
        <f>IF([3]道具信息!D655="","",[3]道具信息!D655)</f>
        <v/>
      </c>
      <c r="E655" s="37" t="str">
        <f>IF([3]道具信息!E655="","",[3]道具信息!E655)</f>
        <v/>
      </c>
      <c r="F655" s="37" t="str">
        <f>IF([3]道具信息!F655="","",[3]道具信息!F655)</f>
        <v/>
      </c>
      <c r="G655" s="37" t="str">
        <f>IF([3]道具信息!G655="","",[3]道具信息!G655)</f>
        <v/>
      </c>
      <c r="H655" s="37" t="str">
        <f>IF([3]道具信息!H655="","",[3]道具信息!H655)</f>
        <v/>
      </c>
      <c r="I655" s="37" t="str">
        <f>IF([3]道具信息!I655="","",[3]道具信息!I655)</f>
        <v/>
      </c>
      <c r="J655" s="37" t="str">
        <f>IF([3]道具信息!J655="","",[3]道具信息!J655)</f>
        <v/>
      </c>
      <c r="K655" s="37" t="str">
        <f>IF([3]道具信息!K655="","",[3]道具信息!K655)</f>
        <v/>
      </c>
      <c r="L655" s="37" t="str">
        <f>IF([3]道具信息!L655="","",[3]道具信息!L655)</f>
        <v/>
      </c>
      <c r="M655" s="37" t="str">
        <f>IF([3]道具信息!M655="","",[3]道具信息!M655)</f>
        <v/>
      </c>
      <c r="N655" s="37"/>
      <c r="O655" s="37" t="str">
        <f>IF([3]道具信息!O655="","",[3]道具信息!O655)</f>
        <v/>
      </c>
      <c r="P655" s="37" t="str">
        <f>IF([3]道具信息!P655="","",[3]道具信息!P655)</f>
        <v/>
      </c>
      <c r="Q655" s="37" t="str">
        <f>IF([3]道具信息!Q655="","",[3]道具信息!Q655)</f>
        <v/>
      </c>
    </row>
    <row r="656" spans="3:17" x14ac:dyDescent="0.15">
      <c r="C656" s="37" t="str">
        <f>IF([3]道具信息!C656="","",[3]道具信息!C656)</f>
        <v/>
      </c>
      <c r="D656" s="37" t="str">
        <f>IF([3]道具信息!D656="","",[3]道具信息!D656)</f>
        <v/>
      </c>
      <c r="E656" s="37" t="str">
        <f>IF([3]道具信息!E656="","",[3]道具信息!E656)</f>
        <v/>
      </c>
      <c r="F656" s="37" t="str">
        <f>IF([3]道具信息!F656="","",[3]道具信息!F656)</f>
        <v/>
      </c>
      <c r="G656" s="37" t="str">
        <f>IF([3]道具信息!G656="","",[3]道具信息!G656)</f>
        <v/>
      </c>
      <c r="H656" s="37" t="str">
        <f>IF([3]道具信息!H656="","",[3]道具信息!H656)</f>
        <v/>
      </c>
      <c r="I656" s="37" t="str">
        <f>IF([3]道具信息!I656="","",[3]道具信息!I656)</f>
        <v/>
      </c>
      <c r="J656" s="37" t="str">
        <f>IF([3]道具信息!J656="","",[3]道具信息!J656)</f>
        <v/>
      </c>
      <c r="K656" s="37" t="str">
        <f>IF([3]道具信息!K656="","",[3]道具信息!K656)</f>
        <v/>
      </c>
      <c r="L656" s="37" t="str">
        <f>IF([3]道具信息!L656="","",[3]道具信息!L656)</f>
        <v/>
      </c>
      <c r="M656" s="37" t="str">
        <f>IF([3]道具信息!M656="","",[3]道具信息!M656)</f>
        <v/>
      </c>
      <c r="N656" s="37"/>
      <c r="O656" s="37" t="str">
        <f>IF([3]道具信息!O656="","",[3]道具信息!O656)</f>
        <v/>
      </c>
      <c r="P656" s="37" t="str">
        <f>IF([3]道具信息!P656="","",[3]道具信息!P656)</f>
        <v/>
      </c>
      <c r="Q656" s="37" t="str">
        <f>IF([3]道具信息!Q656="","",[3]道具信息!Q656)</f>
        <v/>
      </c>
    </row>
    <row r="657" spans="3:17" x14ac:dyDescent="0.15">
      <c r="C657" s="37" t="str">
        <f>IF([3]道具信息!C657="","",[3]道具信息!C657)</f>
        <v/>
      </c>
      <c r="D657" s="37" t="str">
        <f>IF([3]道具信息!D657="","",[3]道具信息!D657)</f>
        <v/>
      </c>
      <c r="E657" s="37" t="str">
        <f>IF([3]道具信息!E657="","",[3]道具信息!E657)</f>
        <v/>
      </c>
      <c r="F657" s="37" t="str">
        <f>IF([3]道具信息!F657="","",[3]道具信息!F657)</f>
        <v/>
      </c>
      <c r="G657" s="37" t="str">
        <f>IF([3]道具信息!G657="","",[3]道具信息!G657)</f>
        <v/>
      </c>
      <c r="H657" s="37" t="str">
        <f>IF([3]道具信息!H657="","",[3]道具信息!H657)</f>
        <v/>
      </c>
      <c r="I657" s="37" t="str">
        <f>IF([3]道具信息!I657="","",[3]道具信息!I657)</f>
        <v/>
      </c>
      <c r="J657" s="37" t="str">
        <f>IF([3]道具信息!J657="","",[3]道具信息!J657)</f>
        <v/>
      </c>
      <c r="K657" s="37" t="str">
        <f>IF([3]道具信息!K657="","",[3]道具信息!K657)</f>
        <v/>
      </c>
      <c r="L657" s="37" t="str">
        <f>IF([3]道具信息!L657="","",[3]道具信息!L657)</f>
        <v/>
      </c>
      <c r="M657" s="37" t="str">
        <f>IF([3]道具信息!M657="","",[3]道具信息!M657)</f>
        <v/>
      </c>
      <c r="N657" s="37"/>
      <c r="O657" s="37" t="str">
        <f>IF([3]道具信息!O657="","",[3]道具信息!O657)</f>
        <v/>
      </c>
      <c r="P657" s="37" t="str">
        <f>IF([3]道具信息!P657="","",[3]道具信息!P657)</f>
        <v/>
      </c>
      <c r="Q657" s="37" t="str">
        <f>IF([3]道具信息!Q657="","",[3]道具信息!Q657)</f>
        <v/>
      </c>
    </row>
    <row r="658" spans="3:17" x14ac:dyDescent="0.15">
      <c r="C658" s="37" t="str">
        <f>IF([3]道具信息!C658="","",[3]道具信息!C658)</f>
        <v/>
      </c>
      <c r="D658" s="37" t="str">
        <f>IF([3]道具信息!D658="","",[3]道具信息!D658)</f>
        <v/>
      </c>
      <c r="E658" s="37" t="str">
        <f>IF([3]道具信息!E658="","",[3]道具信息!E658)</f>
        <v/>
      </c>
      <c r="F658" s="37" t="str">
        <f>IF([3]道具信息!F658="","",[3]道具信息!F658)</f>
        <v/>
      </c>
      <c r="G658" s="37" t="str">
        <f>IF([3]道具信息!G658="","",[3]道具信息!G658)</f>
        <v/>
      </c>
      <c r="H658" s="37" t="str">
        <f>IF([3]道具信息!H658="","",[3]道具信息!H658)</f>
        <v/>
      </c>
      <c r="I658" s="37" t="str">
        <f>IF([3]道具信息!I658="","",[3]道具信息!I658)</f>
        <v/>
      </c>
      <c r="J658" s="37" t="str">
        <f>IF([3]道具信息!J658="","",[3]道具信息!J658)</f>
        <v/>
      </c>
      <c r="K658" s="37" t="str">
        <f>IF([3]道具信息!K658="","",[3]道具信息!K658)</f>
        <v/>
      </c>
      <c r="L658" s="37" t="str">
        <f>IF([3]道具信息!L658="","",[3]道具信息!L658)</f>
        <v/>
      </c>
      <c r="M658" s="37" t="str">
        <f>IF([3]道具信息!M658="","",[3]道具信息!M658)</f>
        <v/>
      </c>
      <c r="N658" s="37"/>
      <c r="O658" s="37" t="str">
        <f>IF([3]道具信息!O658="","",[3]道具信息!O658)</f>
        <v/>
      </c>
      <c r="P658" s="37" t="str">
        <f>IF([3]道具信息!P658="","",[3]道具信息!P658)</f>
        <v/>
      </c>
      <c r="Q658" s="37" t="str">
        <f>IF([3]道具信息!Q658="","",[3]道具信息!Q658)</f>
        <v/>
      </c>
    </row>
    <row r="659" spans="3:17" x14ac:dyDescent="0.15">
      <c r="C659" s="37" t="str">
        <f>IF([3]道具信息!C659="","",[3]道具信息!C659)</f>
        <v/>
      </c>
      <c r="D659" s="37" t="str">
        <f>IF([3]道具信息!D659="","",[3]道具信息!D659)</f>
        <v/>
      </c>
      <c r="E659" s="37" t="str">
        <f>IF([3]道具信息!E659="","",[3]道具信息!E659)</f>
        <v/>
      </c>
      <c r="F659" s="37" t="str">
        <f>IF([3]道具信息!F659="","",[3]道具信息!F659)</f>
        <v/>
      </c>
      <c r="G659" s="37" t="str">
        <f>IF([3]道具信息!G659="","",[3]道具信息!G659)</f>
        <v/>
      </c>
      <c r="H659" s="37" t="str">
        <f>IF([3]道具信息!H659="","",[3]道具信息!H659)</f>
        <v/>
      </c>
      <c r="I659" s="37" t="str">
        <f>IF([3]道具信息!I659="","",[3]道具信息!I659)</f>
        <v/>
      </c>
      <c r="J659" s="37" t="str">
        <f>IF([3]道具信息!J659="","",[3]道具信息!J659)</f>
        <v/>
      </c>
      <c r="K659" s="37" t="str">
        <f>IF([3]道具信息!K659="","",[3]道具信息!K659)</f>
        <v/>
      </c>
      <c r="L659" s="37" t="str">
        <f>IF([3]道具信息!L659="","",[3]道具信息!L659)</f>
        <v/>
      </c>
      <c r="M659" s="37" t="str">
        <f>IF([3]道具信息!M659="","",[3]道具信息!M659)</f>
        <v/>
      </c>
      <c r="N659" s="37"/>
      <c r="O659" s="37" t="str">
        <f>IF([3]道具信息!O659="","",[3]道具信息!O659)</f>
        <v/>
      </c>
      <c r="P659" s="37" t="str">
        <f>IF([3]道具信息!P659="","",[3]道具信息!P659)</f>
        <v/>
      </c>
      <c r="Q659" s="37" t="str">
        <f>IF([3]道具信息!Q659="","",[3]道具信息!Q659)</f>
        <v/>
      </c>
    </row>
    <row r="660" spans="3:17" x14ac:dyDescent="0.15">
      <c r="C660" s="37" t="str">
        <f>IF([3]道具信息!C660="","",[3]道具信息!C660)</f>
        <v/>
      </c>
      <c r="D660" s="37" t="str">
        <f>IF([3]道具信息!D660="","",[3]道具信息!D660)</f>
        <v/>
      </c>
      <c r="E660" s="37" t="str">
        <f>IF([3]道具信息!E660="","",[3]道具信息!E660)</f>
        <v/>
      </c>
      <c r="F660" s="37" t="str">
        <f>IF([3]道具信息!F660="","",[3]道具信息!F660)</f>
        <v/>
      </c>
      <c r="G660" s="37" t="str">
        <f>IF([3]道具信息!G660="","",[3]道具信息!G660)</f>
        <v/>
      </c>
      <c r="H660" s="37" t="str">
        <f>IF([3]道具信息!H660="","",[3]道具信息!H660)</f>
        <v/>
      </c>
      <c r="I660" s="37" t="str">
        <f>IF([3]道具信息!I660="","",[3]道具信息!I660)</f>
        <v/>
      </c>
      <c r="J660" s="37" t="str">
        <f>IF([3]道具信息!J660="","",[3]道具信息!J660)</f>
        <v/>
      </c>
      <c r="K660" s="37" t="str">
        <f>IF([3]道具信息!K660="","",[3]道具信息!K660)</f>
        <v/>
      </c>
      <c r="L660" s="37" t="str">
        <f>IF([3]道具信息!L660="","",[3]道具信息!L660)</f>
        <v/>
      </c>
      <c r="M660" s="37" t="str">
        <f>IF([3]道具信息!M660="","",[3]道具信息!M660)</f>
        <v/>
      </c>
      <c r="N660" s="37"/>
      <c r="O660" s="37" t="str">
        <f>IF([3]道具信息!O660="","",[3]道具信息!O660)</f>
        <v/>
      </c>
      <c r="P660" s="37" t="str">
        <f>IF([3]道具信息!P660="","",[3]道具信息!P660)</f>
        <v/>
      </c>
      <c r="Q660" s="37" t="str">
        <f>IF([3]道具信息!Q660="","",[3]道具信息!Q660)</f>
        <v/>
      </c>
    </row>
    <row r="661" spans="3:17" x14ac:dyDescent="0.15">
      <c r="C661" s="37" t="str">
        <f>IF([3]道具信息!C661="","",[3]道具信息!C661)</f>
        <v/>
      </c>
      <c r="D661" s="37" t="str">
        <f>IF([3]道具信息!D661="","",[3]道具信息!D661)</f>
        <v/>
      </c>
      <c r="E661" s="37" t="str">
        <f>IF([3]道具信息!E661="","",[3]道具信息!E661)</f>
        <v/>
      </c>
      <c r="F661" s="37" t="str">
        <f>IF([3]道具信息!F661="","",[3]道具信息!F661)</f>
        <v/>
      </c>
      <c r="G661" s="37" t="str">
        <f>IF([3]道具信息!G661="","",[3]道具信息!G661)</f>
        <v/>
      </c>
      <c r="H661" s="37" t="str">
        <f>IF([3]道具信息!H661="","",[3]道具信息!H661)</f>
        <v/>
      </c>
      <c r="I661" s="37" t="str">
        <f>IF([3]道具信息!I661="","",[3]道具信息!I661)</f>
        <v/>
      </c>
      <c r="J661" s="37" t="str">
        <f>IF([3]道具信息!J661="","",[3]道具信息!J661)</f>
        <v/>
      </c>
      <c r="K661" s="37" t="str">
        <f>IF([3]道具信息!K661="","",[3]道具信息!K661)</f>
        <v/>
      </c>
      <c r="L661" s="37" t="str">
        <f>IF([3]道具信息!L661="","",[3]道具信息!L661)</f>
        <v/>
      </c>
      <c r="M661" s="37" t="str">
        <f>IF([3]道具信息!M661="","",[3]道具信息!M661)</f>
        <v/>
      </c>
      <c r="N661" s="37"/>
      <c r="O661" s="37" t="str">
        <f>IF([3]道具信息!O661="","",[3]道具信息!O661)</f>
        <v/>
      </c>
      <c r="P661" s="37" t="str">
        <f>IF([3]道具信息!P661="","",[3]道具信息!P661)</f>
        <v/>
      </c>
      <c r="Q661" s="37" t="str">
        <f>IF([3]道具信息!Q661="","",[3]道具信息!Q661)</f>
        <v/>
      </c>
    </row>
    <row r="662" spans="3:17" x14ac:dyDescent="0.15">
      <c r="C662" s="37" t="str">
        <f>IF([3]道具信息!C662="","",[3]道具信息!C662)</f>
        <v/>
      </c>
      <c r="D662" s="37" t="str">
        <f>IF([3]道具信息!D662="","",[3]道具信息!D662)</f>
        <v/>
      </c>
      <c r="E662" s="37" t="str">
        <f>IF([3]道具信息!E662="","",[3]道具信息!E662)</f>
        <v/>
      </c>
      <c r="F662" s="37" t="str">
        <f>IF([3]道具信息!F662="","",[3]道具信息!F662)</f>
        <v/>
      </c>
      <c r="G662" s="37" t="str">
        <f>IF([3]道具信息!G662="","",[3]道具信息!G662)</f>
        <v/>
      </c>
      <c r="H662" s="37" t="str">
        <f>IF([3]道具信息!H662="","",[3]道具信息!H662)</f>
        <v/>
      </c>
      <c r="I662" s="37" t="str">
        <f>IF([3]道具信息!I662="","",[3]道具信息!I662)</f>
        <v/>
      </c>
      <c r="J662" s="37" t="str">
        <f>IF([3]道具信息!J662="","",[3]道具信息!J662)</f>
        <v/>
      </c>
      <c r="K662" s="37" t="str">
        <f>IF([3]道具信息!K662="","",[3]道具信息!K662)</f>
        <v/>
      </c>
      <c r="L662" s="37" t="str">
        <f>IF([3]道具信息!L662="","",[3]道具信息!L662)</f>
        <v/>
      </c>
      <c r="M662" s="37" t="str">
        <f>IF([3]道具信息!M662="","",[3]道具信息!M662)</f>
        <v/>
      </c>
      <c r="N662" s="37"/>
      <c r="O662" s="37" t="str">
        <f>IF([3]道具信息!O662="","",[3]道具信息!O662)</f>
        <v/>
      </c>
      <c r="P662" s="37" t="str">
        <f>IF([3]道具信息!P662="","",[3]道具信息!P662)</f>
        <v/>
      </c>
      <c r="Q662" s="37" t="str">
        <f>IF([3]道具信息!Q662="","",[3]道具信息!Q662)</f>
        <v/>
      </c>
    </row>
    <row r="663" spans="3:17" x14ac:dyDescent="0.15">
      <c r="C663" s="37" t="str">
        <f>IF([3]道具信息!C663="","",[3]道具信息!C663)</f>
        <v/>
      </c>
      <c r="D663" s="37" t="str">
        <f>IF([3]道具信息!D663="","",[3]道具信息!D663)</f>
        <v/>
      </c>
      <c r="E663" s="37" t="str">
        <f>IF([3]道具信息!E663="","",[3]道具信息!E663)</f>
        <v/>
      </c>
      <c r="F663" s="37" t="str">
        <f>IF([3]道具信息!F663="","",[3]道具信息!F663)</f>
        <v/>
      </c>
      <c r="G663" s="37" t="str">
        <f>IF([3]道具信息!G663="","",[3]道具信息!G663)</f>
        <v/>
      </c>
      <c r="H663" s="37" t="str">
        <f>IF([3]道具信息!H663="","",[3]道具信息!H663)</f>
        <v/>
      </c>
      <c r="I663" s="37" t="str">
        <f>IF([3]道具信息!I663="","",[3]道具信息!I663)</f>
        <v/>
      </c>
      <c r="J663" s="37" t="str">
        <f>IF([3]道具信息!J663="","",[3]道具信息!J663)</f>
        <v/>
      </c>
      <c r="K663" s="37" t="str">
        <f>IF([3]道具信息!K663="","",[3]道具信息!K663)</f>
        <v/>
      </c>
      <c r="L663" s="37" t="str">
        <f>IF([3]道具信息!L663="","",[3]道具信息!L663)</f>
        <v/>
      </c>
      <c r="M663" s="37" t="str">
        <f>IF([3]道具信息!M663="","",[3]道具信息!M663)</f>
        <v/>
      </c>
      <c r="N663" s="37"/>
      <c r="O663" s="37" t="str">
        <f>IF([3]道具信息!O663="","",[3]道具信息!O663)</f>
        <v/>
      </c>
      <c r="P663" s="37" t="str">
        <f>IF([3]道具信息!P663="","",[3]道具信息!P663)</f>
        <v/>
      </c>
      <c r="Q663" s="37" t="str">
        <f>IF([3]道具信息!Q663="","",[3]道具信息!Q663)</f>
        <v/>
      </c>
    </row>
    <row r="664" spans="3:17" x14ac:dyDescent="0.15">
      <c r="C664" s="37" t="str">
        <f>IF([3]道具信息!C664="","",[3]道具信息!C664)</f>
        <v/>
      </c>
      <c r="D664" s="37" t="str">
        <f>IF([3]道具信息!D664="","",[3]道具信息!D664)</f>
        <v/>
      </c>
      <c r="E664" s="37" t="str">
        <f>IF([3]道具信息!E664="","",[3]道具信息!E664)</f>
        <v/>
      </c>
      <c r="F664" s="37" t="str">
        <f>IF([3]道具信息!F664="","",[3]道具信息!F664)</f>
        <v/>
      </c>
      <c r="G664" s="37" t="str">
        <f>IF([3]道具信息!G664="","",[3]道具信息!G664)</f>
        <v/>
      </c>
      <c r="H664" s="37" t="str">
        <f>IF([3]道具信息!H664="","",[3]道具信息!H664)</f>
        <v/>
      </c>
      <c r="I664" s="37" t="str">
        <f>IF([3]道具信息!I664="","",[3]道具信息!I664)</f>
        <v/>
      </c>
      <c r="J664" s="37" t="str">
        <f>IF([3]道具信息!J664="","",[3]道具信息!J664)</f>
        <v/>
      </c>
      <c r="K664" s="37" t="str">
        <f>IF([3]道具信息!K664="","",[3]道具信息!K664)</f>
        <v/>
      </c>
      <c r="L664" s="37" t="str">
        <f>IF([3]道具信息!L664="","",[3]道具信息!L664)</f>
        <v/>
      </c>
      <c r="M664" s="37" t="str">
        <f>IF([3]道具信息!M664="","",[3]道具信息!M664)</f>
        <v/>
      </c>
      <c r="N664" s="37"/>
      <c r="O664" s="37" t="str">
        <f>IF([3]道具信息!O664="","",[3]道具信息!O664)</f>
        <v/>
      </c>
      <c r="P664" s="37" t="str">
        <f>IF([3]道具信息!P664="","",[3]道具信息!P664)</f>
        <v/>
      </c>
      <c r="Q664" s="37" t="str">
        <f>IF([3]道具信息!Q664="","",[3]道具信息!Q664)</f>
        <v/>
      </c>
    </row>
    <row r="665" spans="3:17" x14ac:dyDescent="0.15">
      <c r="C665" s="37" t="str">
        <f>IF([3]道具信息!C665="","",[3]道具信息!C665)</f>
        <v/>
      </c>
      <c r="D665" s="37" t="str">
        <f>IF([3]道具信息!D665="","",[3]道具信息!D665)</f>
        <v/>
      </c>
      <c r="E665" s="37" t="str">
        <f>IF([3]道具信息!E665="","",[3]道具信息!E665)</f>
        <v/>
      </c>
      <c r="F665" s="37" t="str">
        <f>IF([3]道具信息!F665="","",[3]道具信息!F665)</f>
        <v/>
      </c>
      <c r="G665" s="37" t="str">
        <f>IF([3]道具信息!G665="","",[3]道具信息!G665)</f>
        <v/>
      </c>
      <c r="H665" s="37" t="str">
        <f>IF([3]道具信息!H665="","",[3]道具信息!H665)</f>
        <v/>
      </c>
      <c r="I665" s="37" t="str">
        <f>IF([3]道具信息!I665="","",[3]道具信息!I665)</f>
        <v/>
      </c>
      <c r="J665" s="37" t="str">
        <f>IF([3]道具信息!J665="","",[3]道具信息!J665)</f>
        <v/>
      </c>
      <c r="K665" s="37" t="str">
        <f>IF([3]道具信息!K665="","",[3]道具信息!K665)</f>
        <v/>
      </c>
      <c r="L665" s="37" t="str">
        <f>IF([3]道具信息!L665="","",[3]道具信息!L665)</f>
        <v/>
      </c>
      <c r="M665" s="37" t="str">
        <f>IF([3]道具信息!M665="","",[3]道具信息!M665)</f>
        <v/>
      </c>
      <c r="N665" s="37"/>
      <c r="O665" s="37" t="str">
        <f>IF([3]道具信息!O665="","",[3]道具信息!O665)</f>
        <v/>
      </c>
      <c r="P665" s="37" t="str">
        <f>IF([3]道具信息!P665="","",[3]道具信息!P665)</f>
        <v/>
      </c>
      <c r="Q665" s="37" t="str">
        <f>IF([3]道具信息!Q665="","",[3]道具信息!Q665)</f>
        <v/>
      </c>
    </row>
    <row r="666" spans="3:17" x14ac:dyDescent="0.15">
      <c r="C666" s="37" t="str">
        <f>IF([3]道具信息!C666="","",[3]道具信息!C666)</f>
        <v/>
      </c>
      <c r="D666" s="37" t="str">
        <f>IF([3]道具信息!D666="","",[3]道具信息!D666)</f>
        <v/>
      </c>
      <c r="E666" s="37" t="str">
        <f>IF([3]道具信息!E666="","",[3]道具信息!E666)</f>
        <v/>
      </c>
      <c r="F666" s="37" t="str">
        <f>IF([3]道具信息!F666="","",[3]道具信息!F666)</f>
        <v/>
      </c>
      <c r="G666" s="37" t="str">
        <f>IF([3]道具信息!G666="","",[3]道具信息!G666)</f>
        <v/>
      </c>
      <c r="H666" s="37" t="str">
        <f>IF([3]道具信息!H666="","",[3]道具信息!H666)</f>
        <v/>
      </c>
      <c r="I666" s="37" t="str">
        <f>IF([3]道具信息!I666="","",[3]道具信息!I666)</f>
        <v/>
      </c>
      <c r="J666" s="37" t="str">
        <f>IF([3]道具信息!J666="","",[3]道具信息!J666)</f>
        <v/>
      </c>
      <c r="K666" s="37" t="str">
        <f>IF([3]道具信息!K666="","",[3]道具信息!K666)</f>
        <v/>
      </c>
      <c r="L666" s="37" t="str">
        <f>IF([3]道具信息!L666="","",[3]道具信息!L666)</f>
        <v/>
      </c>
      <c r="M666" s="37" t="str">
        <f>IF([3]道具信息!M666="","",[3]道具信息!M666)</f>
        <v/>
      </c>
      <c r="N666" s="37"/>
      <c r="O666" s="37" t="str">
        <f>IF([3]道具信息!O666="","",[3]道具信息!O666)</f>
        <v/>
      </c>
      <c r="P666" s="37" t="str">
        <f>IF([3]道具信息!P666="","",[3]道具信息!P666)</f>
        <v/>
      </c>
      <c r="Q666" s="37" t="str">
        <f>IF([3]道具信息!Q666="","",[3]道具信息!Q666)</f>
        <v/>
      </c>
    </row>
    <row r="667" spans="3:17" x14ac:dyDescent="0.15">
      <c r="C667" s="37" t="str">
        <f>IF([3]道具信息!C667="","",[3]道具信息!C667)</f>
        <v/>
      </c>
      <c r="D667" s="37" t="str">
        <f>IF([3]道具信息!D667="","",[3]道具信息!D667)</f>
        <v/>
      </c>
      <c r="E667" s="37" t="str">
        <f>IF([3]道具信息!E667="","",[3]道具信息!E667)</f>
        <v/>
      </c>
      <c r="F667" s="37" t="str">
        <f>IF([3]道具信息!F667="","",[3]道具信息!F667)</f>
        <v/>
      </c>
      <c r="G667" s="37" t="str">
        <f>IF([3]道具信息!G667="","",[3]道具信息!G667)</f>
        <v/>
      </c>
      <c r="H667" s="37" t="str">
        <f>IF([3]道具信息!H667="","",[3]道具信息!H667)</f>
        <v/>
      </c>
      <c r="I667" s="37" t="str">
        <f>IF([3]道具信息!I667="","",[3]道具信息!I667)</f>
        <v/>
      </c>
      <c r="J667" s="37" t="str">
        <f>IF([3]道具信息!J667="","",[3]道具信息!J667)</f>
        <v/>
      </c>
      <c r="K667" s="37" t="str">
        <f>IF([3]道具信息!K667="","",[3]道具信息!K667)</f>
        <v/>
      </c>
      <c r="L667" s="37" t="str">
        <f>IF([3]道具信息!L667="","",[3]道具信息!L667)</f>
        <v/>
      </c>
      <c r="M667" s="37" t="str">
        <f>IF([3]道具信息!M667="","",[3]道具信息!M667)</f>
        <v/>
      </c>
      <c r="N667" s="37"/>
      <c r="O667" s="37" t="str">
        <f>IF([3]道具信息!O667="","",[3]道具信息!O667)</f>
        <v/>
      </c>
      <c r="P667" s="37" t="str">
        <f>IF([3]道具信息!P667="","",[3]道具信息!P667)</f>
        <v/>
      </c>
      <c r="Q667" s="37" t="str">
        <f>IF([3]道具信息!Q667="","",[3]道具信息!Q667)</f>
        <v/>
      </c>
    </row>
    <row r="668" spans="3:17" x14ac:dyDescent="0.15">
      <c r="C668" s="37" t="str">
        <f>IF([3]道具信息!C668="","",[3]道具信息!C668)</f>
        <v/>
      </c>
      <c r="D668" s="37" t="str">
        <f>IF([3]道具信息!D668="","",[3]道具信息!D668)</f>
        <v/>
      </c>
      <c r="E668" s="37" t="str">
        <f>IF([3]道具信息!E668="","",[3]道具信息!E668)</f>
        <v/>
      </c>
      <c r="F668" s="37" t="str">
        <f>IF([3]道具信息!F668="","",[3]道具信息!F668)</f>
        <v/>
      </c>
      <c r="G668" s="37" t="str">
        <f>IF([3]道具信息!G668="","",[3]道具信息!G668)</f>
        <v/>
      </c>
      <c r="H668" s="37" t="str">
        <f>IF([3]道具信息!H668="","",[3]道具信息!H668)</f>
        <v/>
      </c>
      <c r="I668" s="37" t="str">
        <f>IF([3]道具信息!I668="","",[3]道具信息!I668)</f>
        <v/>
      </c>
      <c r="J668" s="37" t="str">
        <f>IF([3]道具信息!J668="","",[3]道具信息!J668)</f>
        <v/>
      </c>
      <c r="K668" s="37" t="str">
        <f>IF([3]道具信息!K668="","",[3]道具信息!K668)</f>
        <v/>
      </c>
      <c r="L668" s="37" t="str">
        <f>IF([3]道具信息!L668="","",[3]道具信息!L668)</f>
        <v/>
      </c>
      <c r="M668" s="37" t="str">
        <f>IF([3]道具信息!M668="","",[3]道具信息!M668)</f>
        <v/>
      </c>
      <c r="N668" s="37"/>
      <c r="O668" s="37" t="str">
        <f>IF([3]道具信息!O668="","",[3]道具信息!O668)</f>
        <v/>
      </c>
      <c r="P668" s="37" t="str">
        <f>IF([3]道具信息!P668="","",[3]道具信息!P668)</f>
        <v/>
      </c>
      <c r="Q668" s="37" t="str">
        <f>IF([3]道具信息!Q668="","",[3]道具信息!Q668)</f>
        <v/>
      </c>
    </row>
    <row r="669" spans="3:17" x14ac:dyDescent="0.15">
      <c r="C669" s="37" t="str">
        <f>IF([3]道具信息!C669="","",[3]道具信息!C669)</f>
        <v/>
      </c>
      <c r="D669" s="37" t="str">
        <f>IF([3]道具信息!D669="","",[3]道具信息!D669)</f>
        <v/>
      </c>
      <c r="E669" s="37" t="str">
        <f>IF([3]道具信息!E669="","",[3]道具信息!E669)</f>
        <v/>
      </c>
      <c r="F669" s="37" t="str">
        <f>IF([3]道具信息!F669="","",[3]道具信息!F669)</f>
        <v/>
      </c>
      <c r="G669" s="37" t="str">
        <f>IF([3]道具信息!G669="","",[3]道具信息!G669)</f>
        <v/>
      </c>
      <c r="H669" s="37" t="str">
        <f>IF([3]道具信息!H669="","",[3]道具信息!H669)</f>
        <v/>
      </c>
      <c r="I669" s="37" t="str">
        <f>IF([3]道具信息!I669="","",[3]道具信息!I669)</f>
        <v/>
      </c>
      <c r="J669" s="37" t="str">
        <f>IF([3]道具信息!J669="","",[3]道具信息!J669)</f>
        <v/>
      </c>
      <c r="K669" s="37" t="str">
        <f>IF([3]道具信息!K669="","",[3]道具信息!K669)</f>
        <v/>
      </c>
      <c r="L669" s="37" t="str">
        <f>IF([3]道具信息!L669="","",[3]道具信息!L669)</f>
        <v/>
      </c>
      <c r="M669" s="37" t="str">
        <f>IF([3]道具信息!M669="","",[3]道具信息!M669)</f>
        <v/>
      </c>
      <c r="N669" s="37"/>
      <c r="O669" s="37" t="str">
        <f>IF([3]道具信息!O669="","",[3]道具信息!O669)</f>
        <v/>
      </c>
      <c r="P669" s="37" t="str">
        <f>IF([3]道具信息!P669="","",[3]道具信息!P669)</f>
        <v/>
      </c>
      <c r="Q669" s="37" t="str">
        <f>IF([3]道具信息!Q669="","",[3]道具信息!Q669)</f>
        <v/>
      </c>
    </row>
    <row r="670" spans="3:17" x14ac:dyDescent="0.15">
      <c r="C670" s="37" t="str">
        <f>IF([3]道具信息!C670="","",[3]道具信息!C670)</f>
        <v/>
      </c>
      <c r="D670" s="37" t="str">
        <f>IF([3]道具信息!D670="","",[3]道具信息!D670)</f>
        <v/>
      </c>
      <c r="E670" s="37" t="str">
        <f>IF([3]道具信息!E670="","",[3]道具信息!E670)</f>
        <v/>
      </c>
      <c r="F670" s="37" t="str">
        <f>IF([3]道具信息!F670="","",[3]道具信息!F670)</f>
        <v/>
      </c>
      <c r="G670" s="37" t="str">
        <f>IF([3]道具信息!G670="","",[3]道具信息!G670)</f>
        <v/>
      </c>
      <c r="H670" s="37" t="str">
        <f>IF([3]道具信息!H670="","",[3]道具信息!H670)</f>
        <v/>
      </c>
      <c r="I670" s="37" t="str">
        <f>IF([3]道具信息!I670="","",[3]道具信息!I670)</f>
        <v/>
      </c>
      <c r="J670" s="37" t="str">
        <f>IF([3]道具信息!J670="","",[3]道具信息!J670)</f>
        <v/>
      </c>
      <c r="K670" s="37" t="str">
        <f>IF([3]道具信息!K670="","",[3]道具信息!K670)</f>
        <v/>
      </c>
      <c r="L670" s="37" t="str">
        <f>IF([3]道具信息!L670="","",[3]道具信息!L670)</f>
        <v/>
      </c>
      <c r="M670" s="37" t="str">
        <f>IF([3]道具信息!M670="","",[3]道具信息!M670)</f>
        <v/>
      </c>
      <c r="N670" s="37"/>
      <c r="O670" s="37" t="str">
        <f>IF([3]道具信息!O670="","",[3]道具信息!O670)</f>
        <v/>
      </c>
      <c r="P670" s="37" t="str">
        <f>IF([3]道具信息!P670="","",[3]道具信息!P670)</f>
        <v/>
      </c>
      <c r="Q670" s="37" t="str">
        <f>IF([3]道具信息!Q670="","",[3]道具信息!Q670)</f>
        <v/>
      </c>
    </row>
    <row r="671" spans="3:17" x14ac:dyDescent="0.15">
      <c r="C671" s="37" t="str">
        <f>IF([3]道具信息!C671="","",[3]道具信息!C671)</f>
        <v/>
      </c>
      <c r="D671" s="37" t="str">
        <f>IF([3]道具信息!D671="","",[3]道具信息!D671)</f>
        <v/>
      </c>
      <c r="E671" s="37" t="str">
        <f>IF([3]道具信息!E671="","",[3]道具信息!E671)</f>
        <v/>
      </c>
      <c r="F671" s="37" t="str">
        <f>IF([3]道具信息!F671="","",[3]道具信息!F671)</f>
        <v/>
      </c>
      <c r="G671" s="37" t="str">
        <f>IF([3]道具信息!G671="","",[3]道具信息!G671)</f>
        <v/>
      </c>
      <c r="H671" s="37" t="str">
        <f>IF([3]道具信息!H671="","",[3]道具信息!H671)</f>
        <v/>
      </c>
      <c r="I671" s="37" t="str">
        <f>IF([3]道具信息!I671="","",[3]道具信息!I671)</f>
        <v/>
      </c>
      <c r="J671" s="37" t="str">
        <f>IF([3]道具信息!J671="","",[3]道具信息!J671)</f>
        <v/>
      </c>
      <c r="K671" s="37" t="str">
        <f>IF([3]道具信息!K671="","",[3]道具信息!K671)</f>
        <v/>
      </c>
      <c r="L671" s="37" t="str">
        <f>IF([3]道具信息!L671="","",[3]道具信息!L671)</f>
        <v/>
      </c>
      <c r="M671" s="37" t="str">
        <f>IF([3]道具信息!M671="","",[3]道具信息!M671)</f>
        <v/>
      </c>
      <c r="N671" s="37"/>
      <c r="O671" s="37" t="str">
        <f>IF([3]道具信息!O671="","",[3]道具信息!O671)</f>
        <v/>
      </c>
      <c r="P671" s="37" t="str">
        <f>IF([3]道具信息!P671="","",[3]道具信息!P671)</f>
        <v/>
      </c>
      <c r="Q671" s="37" t="str">
        <f>IF([3]道具信息!Q671="","",[3]道具信息!Q671)</f>
        <v/>
      </c>
    </row>
    <row r="672" spans="3:17" x14ac:dyDescent="0.15">
      <c r="C672" s="37" t="str">
        <f>IF([3]道具信息!C672="","",[3]道具信息!C672)</f>
        <v/>
      </c>
      <c r="D672" s="37" t="str">
        <f>IF([3]道具信息!D672="","",[3]道具信息!D672)</f>
        <v/>
      </c>
      <c r="E672" s="37" t="str">
        <f>IF([3]道具信息!E672="","",[3]道具信息!E672)</f>
        <v/>
      </c>
      <c r="F672" s="37" t="str">
        <f>IF([3]道具信息!F672="","",[3]道具信息!F672)</f>
        <v/>
      </c>
      <c r="G672" s="37" t="str">
        <f>IF([3]道具信息!G672="","",[3]道具信息!G672)</f>
        <v/>
      </c>
      <c r="H672" s="37" t="str">
        <f>IF([3]道具信息!H672="","",[3]道具信息!H672)</f>
        <v/>
      </c>
      <c r="I672" s="37" t="str">
        <f>IF([3]道具信息!I672="","",[3]道具信息!I672)</f>
        <v/>
      </c>
      <c r="J672" s="37" t="str">
        <f>IF([3]道具信息!J672="","",[3]道具信息!J672)</f>
        <v/>
      </c>
      <c r="K672" s="37" t="str">
        <f>IF([3]道具信息!K672="","",[3]道具信息!K672)</f>
        <v/>
      </c>
      <c r="L672" s="37" t="str">
        <f>IF([3]道具信息!L672="","",[3]道具信息!L672)</f>
        <v/>
      </c>
      <c r="M672" s="37" t="str">
        <f>IF([3]道具信息!M672="","",[3]道具信息!M672)</f>
        <v/>
      </c>
      <c r="N672" s="37"/>
      <c r="O672" s="37" t="str">
        <f>IF([3]道具信息!O672="","",[3]道具信息!O672)</f>
        <v/>
      </c>
      <c r="P672" s="37" t="str">
        <f>IF([3]道具信息!P672="","",[3]道具信息!P672)</f>
        <v/>
      </c>
      <c r="Q672" s="37" t="str">
        <f>IF([3]道具信息!Q672="","",[3]道具信息!Q672)</f>
        <v/>
      </c>
    </row>
    <row r="673" spans="3:17" x14ac:dyDescent="0.15">
      <c r="C673" s="37" t="str">
        <f>IF([3]道具信息!C673="","",[3]道具信息!C673)</f>
        <v/>
      </c>
      <c r="D673" s="37" t="str">
        <f>IF([3]道具信息!D673="","",[3]道具信息!D673)</f>
        <v/>
      </c>
      <c r="E673" s="37" t="str">
        <f>IF([3]道具信息!E673="","",[3]道具信息!E673)</f>
        <v/>
      </c>
      <c r="F673" s="37" t="str">
        <f>IF([3]道具信息!F673="","",[3]道具信息!F673)</f>
        <v/>
      </c>
      <c r="G673" s="37" t="str">
        <f>IF([3]道具信息!G673="","",[3]道具信息!G673)</f>
        <v/>
      </c>
      <c r="H673" s="37" t="str">
        <f>IF([3]道具信息!H673="","",[3]道具信息!H673)</f>
        <v/>
      </c>
      <c r="I673" s="37" t="str">
        <f>IF([3]道具信息!I673="","",[3]道具信息!I673)</f>
        <v/>
      </c>
      <c r="J673" s="37" t="str">
        <f>IF([3]道具信息!J673="","",[3]道具信息!J673)</f>
        <v/>
      </c>
      <c r="K673" s="37" t="str">
        <f>IF([3]道具信息!K673="","",[3]道具信息!K673)</f>
        <v/>
      </c>
      <c r="L673" s="37" t="str">
        <f>IF([3]道具信息!L673="","",[3]道具信息!L673)</f>
        <v/>
      </c>
      <c r="M673" s="37" t="str">
        <f>IF([3]道具信息!M673="","",[3]道具信息!M673)</f>
        <v/>
      </c>
      <c r="N673" s="37"/>
      <c r="O673" s="37" t="str">
        <f>IF([3]道具信息!O673="","",[3]道具信息!O673)</f>
        <v/>
      </c>
      <c r="P673" s="37" t="str">
        <f>IF([3]道具信息!P673="","",[3]道具信息!P673)</f>
        <v/>
      </c>
      <c r="Q673" s="37" t="str">
        <f>IF([3]道具信息!Q673="","",[3]道具信息!Q673)</f>
        <v/>
      </c>
    </row>
    <row r="674" spans="3:17" x14ac:dyDescent="0.15">
      <c r="C674" s="37" t="str">
        <f>IF([3]道具信息!C674="","",[3]道具信息!C674)</f>
        <v/>
      </c>
      <c r="D674" s="37" t="str">
        <f>IF([3]道具信息!D674="","",[3]道具信息!D674)</f>
        <v/>
      </c>
      <c r="E674" s="37" t="str">
        <f>IF([3]道具信息!E674="","",[3]道具信息!E674)</f>
        <v/>
      </c>
      <c r="F674" s="37" t="str">
        <f>IF([3]道具信息!F674="","",[3]道具信息!F674)</f>
        <v/>
      </c>
      <c r="G674" s="37" t="str">
        <f>IF([3]道具信息!G674="","",[3]道具信息!G674)</f>
        <v/>
      </c>
      <c r="H674" s="37" t="str">
        <f>IF([3]道具信息!H674="","",[3]道具信息!H674)</f>
        <v/>
      </c>
      <c r="I674" s="37" t="str">
        <f>IF([3]道具信息!I674="","",[3]道具信息!I674)</f>
        <v/>
      </c>
      <c r="J674" s="37" t="str">
        <f>IF([3]道具信息!J674="","",[3]道具信息!J674)</f>
        <v/>
      </c>
      <c r="K674" s="37" t="str">
        <f>IF([3]道具信息!K674="","",[3]道具信息!K674)</f>
        <v/>
      </c>
      <c r="L674" s="37" t="str">
        <f>IF([3]道具信息!L674="","",[3]道具信息!L674)</f>
        <v/>
      </c>
      <c r="M674" s="37" t="str">
        <f>IF([3]道具信息!M674="","",[3]道具信息!M674)</f>
        <v/>
      </c>
      <c r="N674" s="37"/>
      <c r="O674" s="37" t="str">
        <f>IF([3]道具信息!O674="","",[3]道具信息!O674)</f>
        <v/>
      </c>
      <c r="P674" s="37" t="str">
        <f>IF([3]道具信息!P674="","",[3]道具信息!P674)</f>
        <v/>
      </c>
      <c r="Q674" s="37" t="str">
        <f>IF([3]道具信息!Q674="","",[3]道具信息!Q674)</f>
        <v/>
      </c>
    </row>
    <row r="675" spans="3:17" x14ac:dyDescent="0.15">
      <c r="C675" s="37" t="str">
        <f>IF([3]道具信息!C675="","",[3]道具信息!C675)</f>
        <v/>
      </c>
      <c r="D675" s="37" t="str">
        <f>IF([3]道具信息!D675="","",[3]道具信息!D675)</f>
        <v/>
      </c>
      <c r="E675" s="37" t="str">
        <f>IF([3]道具信息!E675="","",[3]道具信息!E675)</f>
        <v/>
      </c>
      <c r="F675" s="37" t="str">
        <f>IF([3]道具信息!F675="","",[3]道具信息!F675)</f>
        <v/>
      </c>
      <c r="G675" s="37" t="str">
        <f>IF([3]道具信息!G675="","",[3]道具信息!G675)</f>
        <v/>
      </c>
      <c r="H675" s="37" t="str">
        <f>IF([3]道具信息!H675="","",[3]道具信息!H675)</f>
        <v/>
      </c>
      <c r="I675" s="37" t="str">
        <f>IF([3]道具信息!I675="","",[3]道具信息!I675)</f>
        <v/>
      </c>
      <c r="J675" s="37" t="str">
        <f>IF([3]道具信息!J675="","",[3]道具信息!J675)</f>
        <v/>
      </c>
      <c r="K675" s="37" t="str">
        <f>IF([3]道具信息!K675="","",[3]道具信息!K675)</f>
        <v/>
      </c>
      <c r="L675" s="37" t="str">
        <f>IF([3]道具信息!L675="","",[3]道具信息!L675)</f>
        <v/>
      </c>
      <c r="M675" s="37" t="str">
        <f>IF([3]道具信息!M675="","",[3]道具信息!M675)</f>
        <v/>
      </c>
      <c r="N675" s="37"/>
      <c r="O675" s="37" t="str">
        <f>IF([3]道具信息!O675="","",[3]道具信息!O675)</f>
        <v/>
      </c>
      <c r="P675" s="37" t="str">
        <f>IF([3]道具信息!P675="","",[3]道具信息!P675)</f>
        <v/>
      </c>
      <c r="Q675" s="37" t="str">
        <f>IF([3]道具信息!Q675="","",[3]道具信息!Q675)</f>
        <v/>
      </c>
    </row>
    <row r="676" spans="3:17" x14ac:dyDescent="0.15">
      <c r="C676" s="37" t="str">
        <f>IF([3]道具信息!C676="","",[3]道具信息!C676)</f>
        <v/>
      </c>
      <c r="D676" s="37" t="str">
        <f>IF([3]道具信息!D676="","",[3]道具信息!D676)</f>
        <v/>
      </c>
      <c r="E676" s="37" t="str">
        <f>IF([3]道具信息!E676="","",[3]道具信息!E676)</f>
        <v/>
      </c>
      <c r="F676" s="37" t="str">
        <f>IF([3]道具信息!F676="","",[3]道具信息!F676)</f>
        <v/>
      </c>
      <c r="G676" s="37" t="str">
        <f>IF([3]道具信息!G676="","",[3]道具信息!G676)</f>
        <v/>
      </c>
      <c r="H676" s="37" t="str">
        <f>IF([3]道具信息!H676="","",[3]道具信息!H676)</f>
        <v/>
      </c>
      <c r="I676" s="37" t="str">
        <f>IF([3]道具信息!I676="","",[3]道具信息!I676)</f>
        <v/>
      </c>
      <c r="J676" s="37" t="str">
        <f>IF([3]道具信息!J676="","",[3]道具信息!J676)</f>
        <v/>
      </c>
      <c r="K676" s="37" t="str">
        <f>IF([3]道具信息!K676="","",[3]道具信息!K676)</f>
        <v/>
      </c>
      <c r="L676" s="37" t="str">
        <f>IF([3]道具信息!L676="","",[3]道具信息!L676)</f>
        <v/>
      </c>
      <c r="M676" s="37" t="str">
        <f>IF([3]道具信息!M676="","",[3]道具信息!M676)</f>
        <v/>
      </c>
      <c r="N676" s="37"/>
      <c r="O676" s="37" t="str">
        <f>IF([3]道具信息!O676="","",[3]道具信息!O676)</f>
        <v/>
      </c>
      <c r="P676" s="37" t="str">
        <f>IF([3]道具信息!P676="","",[3]道具信息!P676)</f>
        <v/>
      </c>
      <c r="Q676" s="37" t="str">
        <f>IF([3]道具信息!Q676="","",[3]道具信息!Q676)</f>
        <v/>
      </c>
    </row>
    <row r="677" spans="3:17" x14ac:dyDescent="0.15">
      <c r="C677" s="37" t="str">
        <f>IF([3]道具信息!C677="","",[3]道具信息!C677)</f>
        <v/>
      </c>
      <c r="D677" s="37" t="str">
        <f>IF([3]道具信息!D677="","",[3]道具信息!D677)</f>
        <v/>
      </c>
      <c r="E677" s="37" t="str">
        <f>IF([3]道具信息!E677="","",[3]道具信息!E677)</f>
        <v/>
      </c>
      <c r="F677" s="37" t="str">
        <f>IF([3]道具信息!F677="","",[3]道具信息!F677)</f>
        <v/>
      </c>
      <c r="G677" s="37" t="str">
        <f>IF([3]道具信息!G677="","",[3]道具信息!G677)</f>
        <v/>
      </c>
      <c r="H677" s="37" t="str">
        <f>IF([3]道具信息!H677="","",[3]道具信息!H677)</f>
        <v/>
      </c>
      <c r="I677" s="37" t="str">
        <f>IF([3]道具信息!I677="","",[3]道具信息!I677)</f>
        <v/>
      </c>
      <c r="J677" s="37" t="str">
        <f>IF([3]道具信息!J677="","",[3]道具信息!J677)</f>
        <v/>
      </c>
      <c r="K677" s="37" t="str">
        <f>IF([3]道具信息!K677="","",[3]道具信息!K677)</f>
        <v/>
      </c>
      <c r="L677" s="37" t="str">
        <f>IF([3]道具信息!L677="","",[3]道具信息!L677)</f>
        <v/>
      </c>
      <c r="M677" s="37" t="str">
        <f>IF([3]道具信息!M677="","",[3]道具信息!M677)</f>
        <v/>
      </c>
      <c r="N677" s="37"/>
      <c r="O677" s="37" t="str">
        <f>IF([3]道具信息!O677="","",[3]道具信息!O677)</f>
        <v/>
      </c>
      <c r="P677" s="37" t="str">
        <f>IF([3]道具信息!P677="","",[3]道具信息!P677)</f>
        <v/>
      </c>
      <c r="Q677" s="37" t="str">
        <f>IF([3]道具信息!Q677="","",[3]道具信息!Q677)</f>
        <v/>
      </c>
    </row>
    <row r="678" spans="3:17" x14ac:dyDescent="0.15">
      <c r="C678" s="37" t="str">
        <f>IF([3]道具信息!C678="","",[3]道具信息!C678)</f>
        <v/>
      </c>
      <c r="D678" s="37" t="str">
        <f>IF([3]道具信息!D678="","",[3]道具信息!D678)</f>
        <v/>
      </c>
      <c r="E678" s="37" t="str">
        <f>IF([3]道具信息!E678="","",[3]道具信息!E678)</f>
        <v/>
      </c>
      <c r="F678" s="37" t="str">
        <f>IF([3]道具信息!F678="","",[3]道具信息!F678)</f>
        <v/>
      </c>
      <c r="G678" s="37" t="str">
        <f>IF([3]道具信息!G678="","",[3]道具信息!G678)</f>
        <v/>
      </c>
      <c r="H678" s="37" t="str">
        <f>IF([3]道具信息!H678="","",[3]道具信息!H678)</f>
        <v/>
      </c>
      <c r="I678" s="37" t="str">
        <f>IF([3]道具信息!I678="","",[3]道具信息!I678)</f>
        <v/>
      </c>
      <c r="J678" s="37" t="str">
        <f>IF([3]道具信息!J678="","",[3]道具信息!J678)</f>
        <v/>
      </c>
      <c r="K678" s="37" t="str">
        <f>IF([3]道具信息!K678="","",[3]道具信息!K678)</f>
        <v/>
      </c>
      <c r="L678" s="37" t="str">
        <f>IF([3]道具信息!L678="","",[3]道具信息!L678)</f>
        <v/>
      </c>
      <c r="M678" s="37" t="str">
        <f>IF([3]道具信息!M678="","",[3]道具信息!M678)</f>
        <v/>
      </c>
      <c r="N678" s="37"/>
      <c r="O678" s="37" t="str">
        <f>IF([3]道具信息!O678="","",[3]道具信息!O678)</f>
        <v/>
      </c>
      <c r="P678" s="37" t="str">
        <f>IF([3]道具信息!P678="","",[3]道具信息!P678)</f>
        <v/>
      </c>
      <c r="Q678" s="37" t="str">
        <f>IF([3]道具信息!Q678="","",[3]道具信息!Q678)</f>
        <v/>
      </c>
    </row>
    <row r="679" spans="3:17" x14ac:dyDescent="0.15">
      <c r="C679" s="37" t="str">
        <f>IF([3]道具信息!C679="","",[3]道具信息!C679)</f>
        <v/>
      </c>
      <c r="D679" s="37" t="str">
        <f>IF([3]道具信息!D679="","",[3]道具信息!D679)</f>
        <v/>
      </c>
      <c r="E679" s="37" t="str">
        <f>IF([3]道具信息!E679="","",[3]道具信息!E679)</f>
        <v/>
      </c>
      <c r="F679" s="37" t="str">
        <f>IF([3]道具信息!F679="","",[3]道具信息!F679)</f>
        <v/>
      </c>
      <c r="G679" s="37" t="str">
        <f>IF([3]道具信息!G679="","",[3]道具信息!G679)</f>
        <v/>
      </c>
      <c r="H679" s="37" t="str">
        <f>IF([3]道具信息!H679="","",[3]道具信息!H679)</f>
        <v/>
      </c>
      <c r="I679" s="37" t="str">
        <f>IF([3]道具信息!I679="","",[3]道具信息!I679)</f>
        <v/>
      </c>
      <c r="J679" s="37" t="str">
        <f>IF([3]道具信息!J679="","",[3]道具信息!J679)</f>
        <v/>
      </c>
      <c r="K679" s="37" t="str">
        <f>IF([3]道具信息!K679="","",[3]道具信息!K679)</f>
        <v/>
      </c>
      <c r="L679" s="37" t="str">
        <f>IF([3]道具信息!L679="","",[3]道具信息!L679)</f>
        <v/>
      </c>
      <c r="M679" s="37" t="str">
        <f>IF([3]道具信息!M679="","",[3]道具信息!M679)</f>
        <v/>
      </c>
      <c r="N679" s="37"/>
      <c r="O679" s="37" t="str">
        <f>IF([3]道具信息!O679="","",[3]道具信息!O679)</f>
        <v/>
      </c>
      <c r="P679" s="37" t="str">
        <f>IF([3]道具信息!P679="","",[3]道具信息!P679)</f>
        <v/>
      </c>
      <c r="Q679" s="37" t="str">
        <f>IF([3]道具信息!Q679="","",[3]道具信息!Q679)</f>
        <v/>
      </c>
    </row>
    <row r="680" spans="3:17" x14ac:dyDescent="0.15">
      <c r="C680" s="37" t="str">
        <f>IF([3]道具信息!C680="","",[3]道具信息!C680)</f>
        <v/>
      </c>
      <c r="D680" s="37" t="str">
        <f>IF([3]道具信息!D680="","",[3]道具信息!D680)</f>
        <v/>
      </c>
      <c r="E680" s="37" t="str">
        <f>IF([3]道具信息!E680="","",[3]道具信息!E680)</f>
        <v/>
      </c>
      <c r="F680" s="37" t="str">
        <f>IF([3]道具信息!F680="","",[3]道具信息!F680)</f>
        <v/>
      </c>
      <c r="G680" s="37" t="str">
        <f>IF([3]道具信息!G680="","",[3]道具信息!G680)</f>
        <v/>
      </c>
      <c r="H680" s="37" t="str">
        <f>IF([3]道具信息!H680="","",[3]道具信息!H680)</f>
        <v/>
      </c>
      <c r="I680" s="37" t="str">
        <f>IF([3]道具信息!I680="","",[3]道具信息!I680)</f>
        <v/>
      </c>
      <c r="J680" s="37" t="str">
        <f>IF([3]道具信息!J680="","",[3]道具信息!J680)</f>
        <v/>
      </c>
      <c r="K680" s="37" t="str">
        <f>IF([3]道具信息!K680="","",[3]道具信息!K680)</f>
        <v/>
      </c>
      <c r="L680" s="37" t="str">
        <f>IF([3]道具信息!L680="","",[3]道具信息!L680)</f>
        <v/>
      </c>
      <c r="M680" s="37" t="str">
        <f>IF([3]道具信息!M680="","",[3]道具信息!M680)</f>
        <v/>
      </c>
      <c r="N680" s="37"/>
      <c r="O680" s="37" t="str">
        <f>IF([3]道具信息!O680="","",[3]道具信息!O680)</f>
        <v/>
      </c>
      <c r="P680" s="37" t="str">
        <f>IF([3]道具信息!P680="","",[3]道具信息!P680)</f>
        <v/>
      </c>
      <c r="Q680" s="37" t="str">
        <f>IF([3]道具信息!Q680="","",[3]道具信息!Q680)</f>
        <v/>
      </c>
    </row>
    <row r="681" spans="3:17" x14ac:dyDescent="0.15">
      <c r="C681" s="37" t="str">
        <f>IF([3]道具信息!C681="","",[3]道具信息!C681)</f>
        <v/>
      </c>
      <c r="D681" s="37" t="str">
        <f>IF([3]道具信息!D681="","",[3]道具信息!D681)</f>
        <v/>
      </c>
      <c r="E681" s="37" t="str">
        <f>IF([3]道具信息!E681="","",[3]道具信息!E681)</f>
        <v/>
      </c>
      <c r="F681" s="37" t="str">
        <f>IF([3]道具信息!F681="","",[3]道具信息!F681)</f>
        <v/>
      </c>
      <c r="G681" s="37" t="str">
        <f>IF([3]道具信息!G681="","",[3]道具信息!G681)</f>
        <v/>
      </c>
      <c r="H681" s="37" t="str">
        <f>IF([3]道具信息!H681="","",[3]道具信息!H681)</f>
        <v/>
      </c>
      <c r="I681" s="37" t="str">
        <f>IF([3]道具信息!I681="","",[3]道具信息!I681)</f>
        <v/>
      </c>
      <c r="J681" s="37" t="str">
        <f>IF([3]道具信息!J681="","",[3]道具信息!J681)</f>
        <v/>
      </c>
      <c r="K681" s="37" t="str">
        <f>IF([3]道具信息!K681="","",[3]道具信息!K681)</f>
        <v/>
      </c>
      <c r="L681" s="37" t="str">
        <f>IF([3]道具信息!L681="","",[3]道具信息!L681)</f>
        <v/>
      </c>
      <c r="M681" s="37" t="str">
        <f>IF([3]道具信息!M681="","",[3]道具信息!M681)</f>
        <v/>
      </c>
      <c r="N681" s="37"/>
      <c r="O681" s="37" t="str">
        <f>IF([3]道具信息!O681="","",[3]道具信息!O681)</f>
        <v/>
      </c>
      <c r="P681" s="37" t="str">
        <f>IF([3]道具信息!P681="","",[3]道具信息!P681)</f>
        <v/>
      </c>
      <c r="Q681" s="37" t="str">
        <f>IF([3]道具信息!Q681="","",[3]道具信息!Q681)</f>
        <v/>
      </c>
    </row>
    <row r="682" spans="3:17" x14ac:dyDescent="0.15">
      <c r="C682" s="37" t="str">
        <f>IF([3]道具信息!C682="","",[3]道具信息!C682)</f>
        <v/>
      </c>
      <c r="D682" s="37" t="str">
        <f>IF([3]道具信息!D682="","",[3]道具信息!D682)</f>
        <v/>
      </c>
      <c r="E682" s="37" t="str">
        <f>IF([3]道具信息!E682="","",[3]道具信息!E682)</f>
        <v/>
      </c>
      <c r="F682" s="37" t="str">
        <f>IF([3]道具信息!F682="","",[3]道具信息!F682)</f>
        <v/>
      </c>
      <c r="G682" s="37" t="str">
        <f>IF([3]道具信息!G682="","",[3]道具信息!G682)</f>
        <v/>
      </c>
      <c r="H682" s="37" t="str">
        <f>IF([3]道具信息!H682="","",[3]道具信息!H682)</f>
        <v/>
      </c>
      <c r="I682" s="37" t="str">
        <f>IF([3]道具信息!I682="","",[3]道具信息!I682)</f>
        <v/>
      </c>
      <c r="J682" s="37" t="str">
        <f>IF([3]道具信息!J682="","",[3]道具信息!J682)</f>
        <v/>
      </c>
      <c r="K682" s="37" t="str">
        <f>IF([3]道具信息!K682="","",[3]道具信息!K682)</f>
        <v/>
      </c>
      <c r="L682" s="37" t="str">
        <f>IF([3]道具信息!L682="","",[3]道具信息!L682)</f>
        <v/>
      </c>
      <c r="M682" s="37" t="str">
        <f>IF([3]道具信息!M682="","",[3]道具信息!M682)</f>
        <v/>
      </c>
      <c r="N682" s="37"/>
      <c r="O682" s="37" t="str">
        <f>IF([3]道具信息!O682="","",[3]道具信息!O682)</f>
        <v/>
      </c>
      <c r="P682" s="37" t="str">
        <f>IF([3]道具信息!P682="","",[3]道具信息!P682)</f>
        <v/>
      </c>
      <c r="Q682" s="37" t="str">
        <f>IF([3]道具信息!Q682="","",[3]道具信息!Q682)</f>
        <v/>
      </c>
    </row>
    <row r="683" spans="3:17" x14ac:dyDescent="0.15">
      <c r="C683" s="37" t="str">
        <f>IF([3]道具信息!C683="","",[3]道具信息!C683)</f>
        <v/>
      </c>
      <c r="D683" s="37" t="str">
        <f>IF([3]道具信息!D683="","",[3]道具信息!D683)</f>
        <v/>
      </c>
      <c r="E683" s="37" t="str">
        <f>IF([3]道具信息!E683="","",[3]道具信息!E683)</f>
        <v/>
      </c>
      <c r="F683" s="37" t="str">
        <f>IF([3]道具信息!F683="","",[3]道具信息!F683)</f>
        <v/>
      </c>
      <c r="G683" s="37" t="str">
        <f>IF([3]道具信息!G683="","",[3]道具信息!G683)</f>
        <v/>
      </c>
      <c r="H683" s="37" t="str">
        <f>IF([3]道具信息!H683="","",[3]道具信息!H683)</f>
        <v/>
      </c>
      <c r="I683" s="37" t="str">
        <f>IF([3]道具信息!I683="","",[3]道具信息!I683)</f>
        <v/>
      </c>
      <c r="J683" s="37" t="str">
        <f>IF([3]道具信息!J683="","",[3]道具信息!J683)</f>
        <v/>
      </c>
      <c r="K683" s="37" t="str">
        <f>IF([3]道具信息!K683="","",[3]道具信息!K683)</f>
        <v/>
      </c>
      <c r="L683" s="37" t="str">
        <f>IF([3]道具信息!L683="","",[3]道具信息!L683)</f>
        <v/>
      </c>
      <c r="M683" s="37" t="str">
        <f>IF([3]道具信息!M683="","",[3]道具信息!M683)</f>
        <v/>
      </c>
      <c r="N683" s="37"/>
      <c r="O683" s="37" t="str">
        <f>IF([3]道具信息!O683="","",[3]道具信息!O683)</f>
        <v/>
      </c>
      <c r="P683" s="37" t="str">
        <f>IF([3]道具信息!P683="","",[3]道具信息!P683)</f>
        <v/>
      </c>
      <c r="Q683" s="37" t="str">
        <f>IF([3]道具信息!Q683="","",[3]道具信息!Q683)</f>
        <v/>
      </c>
    </row>
    <row r="684" spans="3:17" x14ac:dyDescent="0.15">
      <c r="C684" s="37" t="str">
        <f>IF([3]道具信息!C684="","",[3]道具信息!C684)</f>
        <v/>
      </c>
      <c r="D684" s="37" t="str">
        <f>IF([3]道具信息!D684="","",[3]道具信息!D684)</f>
        <v/>
      </c>
      <c r="E684" s="37" t="str">
        <f>IF([3]道具信息!E684="","",[3]道具信息!E684)</f>
        <v/>
      </c>
      <c r="F684" s="37" t="str">
        <f>IF([3]道具信息!F684="","",[3]道具信息!F684)</f>
        <v/>
      </c>
      <c r="G684" s="37" t="str">
        <f>IF([3]道具信息!G684="","",[3]道具信息!G684)</f>
        <v/>
      </c>
      <c r="H684" s="37" t="str">
        <f>IF([3]道具信息!H684="","",[3]道具信息!H684)</f>
        <v/>
      </c>
      <c r="I684" s="37" t="str">
        <f>IF([3]道具信息!I684="","",[3]道具信息!I684)</f>
        <v/>
      </c>
      <c r="J684" s="37" t="str">
        <f>IF([3]道具信息!J684="","",[3]道具信息!J684)</f>
        <v/>
      </c>
      <c r="K684" s="37" t="str">
        <f>IF([3]道具信息!K684="","",[3]道具信息!K684)</f>
        <v/>
      </c>
      <c r="L684" s="37" t="str">
        <f>IF([3]道具信息!L684="","",[3]道具信息!L684)</f>
        <v/>
      </c>
      <c r="M684" s="37" t="str">
        <f>IF([3]道具信息!M684="","",[3]道具信息!M684)</f>
        <v/>
      </c>
      <c r="N684" s="37"/>
      <c r="O684" s="37" t="str">
        <f>IF([3]道具信息!O684="","",[3]道具信息!O684)</f>
        <v/>
      </c>
      <c r="P684" s="37" t="str">
        <f>IF([3]道具信息!P684="","",[3]道具信息!P684)</f>
        <v/>
      </c>
      <c r="Q684" s="37" t="str">
        <f>IF([3]道具信息!Q684="","",[3]道具信息!Q684)</f>
        <v/>
      </c>
    </row>
    <row r="685" spans="3:17" x14ac:dyDescent="0.15">
      <c r="C685" s="37" t="str">
        <f>IF([3]道具信息!C685="","",[3]道具信息!C685)</f>
        <v/>
      </c>
      <c r="D685" s="37" t="str">
        <f>IF([3]道具信息!D685="","",[3]道具信息!D685)</f>
        <v/>
      </c>
      <c r="E685" s="37" t="str">
        <f>IF([3]道具信息!E685="","",[3]道具信息!E685)</f>
        <v/>
      </c>
      <c r="F685" s="37" t="str">
        <f>IF([3]道具信息!F685="","",[3]道具信息!F685)</f>
        <v/>
      </c>
      <c r="G685" s="37" t="str">
        <f>IF([3]道具信息!G685="","",[3]道具信息!G685)</f>
        <v/>
      </c>
      <c r="H685" s="37" t="str">
        <f>IF([3]道具信息!H685="","",[3]道具信息!H685)</f>
        <v/>
      </c>
      <c r="I685" s="37" t="str">
        <f>IF([3]道具信息!I685="","",[3]道具信息!I685)</f>
        <v/>
      </c>
      <c r="J685" s="37" t="str">
        <f>IF([3]道具信息!J685="","",[3]道具信息!J685)</f>
        <v/>
      </c>
      <c r="K685" s="37" t="str">
        <f>IF([3]道具信息!K685="","",[3]道具信息!K685)</f>
        <v/>
      </c>
      <c r="L685" s="37" t="str">
        <f>IF([3]道具信息!L685="","",[3]道具信息!L685)</f>
        <v/>
      </c>
      <c r="M685" s="37" t="str">
        <f>IF([3]道具信息!M685="","",[3]道具信息!M685)</f>
        <v/>
      </c>
      <c r="N685" s="37"/>
      <c r="O685" s="37" t="str">
        <f>IF([3]道具信息!O685="","",[3]道具信息!O685)</f>
        <v/>
      </c>
      <c r="P685" s="37" t="str">
        <f>IF([3]道具信息!P685="","",[3]道具信息!P685)</f>
        <v/>
      </c>
      <c r="Q685" s="37" t="str">
        <f>IF([3]道具信息!Q685="","",[3]道具信息!Q685)</f>
        <v/>
      </c>
    </row>
    <row r="686" spans="3:17" x14ac:dyDescent="0.15">
      <c r="C686" s="37" t="str">
        <f>IF([3]道具信息!C686="","",[3]道具信息!C686)</f>
        <v/>
      </c>
      <c r="D686" s="37" t="str">
        <f>IF([3]道具信息!D686="","",[3]道具信息!D686)</f>
        <v/>
      </c>
      <c r="E686" s="37" t="str">
        <f>IF([3]道具信息!E686="","",[3]道具信息!E686)</f>
        <v/>
      </c>
      <c r="F686" s="37" t="str">
        <f>IF([3]道具信息!F686="","",[3]道具信息!F686)</f>
        <v/>
      </c>
      <c r="G686" s="37" t="str">
        <f>IF([3]道具信息!G686="","",[3]道具信息!G686)</f>
        <v/>
      </c>
      <c r="H686" s="37" t="str">
        <f>IF([3]道具信息!H686="","",[3]道具信息!H686)</f>
        <v/>
      </c>
      <c r="I686" s="37" t="str">
        <f>IF([3]道具信息!I686="","",[3]道具信息!I686)</f>
        <v/>
      </c>
      <c r="J686" s="37" t="str">
        <f>IF([3]道具信息!J686="","",[3]道具信息!J686)</f>
        <v/>
      </c>
      <c r="K686" s="37" t="str">
        <f>IF([3]道具信息!K686="","",[3]道具信息!K686)</f>
        <v/>
      </c>
      <c r="L686" s="37" t="str">
        <f>IF([3]道具信息!L686="","",[3]道具信息!L686)</f>
        <v/>
      </c>
      <c r="M686" s="37" t="str">
        <f>IF([3]道具信息!M686="","",[3]道具信息!M686)</f>
        <v/>
      </c>
      <c r="N686" s="37"/>
      <c r="O686" s="37" t="str">
        <f>IF([3]道具信息!O686="","",[3]道具信息!O686)</f>
        <v/>
      </c>
      <c r="P686" s="37" t="str">
        <f>IF([3]道具信息!P686="","",[3]道具信息!P686)</f>
        <v/>
      </c>
      <c r="Q686" s="37" t="str">
        <f>IF([3]道具信息!Q686="","",[3]道具信息!Q686)</f>
        <v/>
      </c>
    </row>
    <row r="687" spans="3:17" x14ac:dyDescent="0.15">
      <c r="C687" s="37" t="str">
        <f>IF([3]道具信息!C687="","",[3]道具信息!C687)</f>
        <v/>
      </c>
      <c r="D687" s="37" t="str">
        <f>IF([3]道具信息!D687="","",[3]道具信息!D687)</f>
        <v/>
      </c>
      <c r="E687" s="37" t="str">
        <f>IF([3]道具信息!E687="","",[3]道具信息!E687)</f>
        <v/>
      </c>
      <c r="F687" s="37" t="str">
        <f>IF([3]道具信息!F687="","",[3]道具信息!F687)</f>
        <v/>
      </c>
      <c r="G687" s="37" t="str">
        <f>IF([3]道具信息!G687="","",[3]道具信息!G687)</f>
        <v/>
      </c>
      <c r="H687" s="37" t="str">
        <f>IF([3]道具信息!H687="","",[3]道具信息!H687)</f>
        <v/>
      </c>
      <c r="I687" s="37" t="str">
        <f>IF([3]道具信息!I687="","",[3]道具信息!I687)</f>
        <v/>
      </c>
      <c r="J687" s="37" t="str">
        <f>IF([3]道具信息!J687="","",[3]道具信息!J687)</f>
        <v/>
      </c>
      <c r="K687" s="37" t="str">
        <f>IF([3]道具信息!K687="","",[3]道具信息!K687)</f>
        <v/>
      </c>
      <c r="L687" s="37" t="str">
        <f>IF([3]道具信息!L687="","",[3]道具信息!L687)</f>
        <v/>
      </c>
      <c r="M687" s="37" t="str">
        <f>IF([3]道具信息!M687="","",[3]道具信息!M687)</f>
        <v/>
      </c>
      <c r="N687" s="37"/>
      <c r="O687" s="37" t="str">
        <f>IF([3]道具信息!O687="","",[3]道具信息!O687)</f>
        <v/>
      </c>
      <c r="P687" s="37" t="str">
        <f>IF([3]道具信息!P687="","",[3]道具信息!P687)</f>
        <v/>
      </c>
      <c r="Q687" s="37" t="str">
        <f>IF([3]道具信息!Q687="","",[3]道具信息!Q687)</f>
        <v/>
      </c>
    </row>
    <row r="688" spans="3:17" x14ac:dyDescent="0.15">
      <c r="C688" s="37" t="str">
        <f>IF([3]道具信息!C688="","",[3]道具信息!C688)</f>
        <v/>
      </c>
      <c r="D688" s="37" t="str">
        <f>IF([3]道具信息!D688="","",[3]道具信息!D688)</f>
        <v/>
      </c>
      <c r="E688" s="37" t="str">
        <f>IF([3]道具信息!E688="","",[3]道具信息!E688)</f>
        <v/>
      </c>
      <c r="F688" s="37" t="str">
        <f>IF([3]道具信息!F688="","",[3]道具信息!F688)</f>
        <v/>
      </c>
      <c r="G688" s="37" t="str">
        <f>IF([3]道具信息!G688="","",[3]道具信息!G688)</f>
        <v/>
      </c>
      <c r="H688" s="37" t="str">
        <f>IF([3]道具信息!H688="","",[3]道具信息!H688)</f>
        <v/>
      </c>
      <c r="I688" s="37" t="str">
        <f>IF([3]道具信息!I688="","",[3]道具信息!I688)</f>
        <v/>
      </c>
      <c r="J688" s="37" t="str">
        <f>IF([3]道具信息!J688="","",[3]道具信息!J688)</f>
        <v/>
      </c>
      <c r="K688" s="37" t="str">
        <f>IF([3]道具信息!K688="","",[3]道具信息!K688)</f>
        <v/>
      </c>
      <c r="L688" s="37" t="str">
        <f>IF([3]道具信息!L688="","",[3]道具信息!L688)</f>
        <v/>
      </c>
      <c r="M688" s="37" t="str">
        <f>IF([3]道具信息!M688="","",[3]道具信息!M688)</f>
        <v/>
      </c>
      <c r="N688" s="37"/>
      <c r="O688" s="37" t="str">
        <f>IF([3]道具信息!O688="","",[3]道具信息!O688)</f>
        <v/>
      </c>
      <c r="P688" s="37" t="str">
        <f>IF([3]道具信息!P688="","",[3]道具信息!P688)</f>
        <v/>
      </c>
      <c r="Q688" s="37" t="str">
        <f>IF([3]道具信息!Q688="","",[3]道具信息!Q688)</f>
        <v/>
      </c>
    </row>
    <row r="689" spans="3:17" x14ac:dyDescent="0.15">
      <c r="C689" s="37" t="str">
        <f>IF([3]道具信息!C689="","",[3]道具信息!C689)</f>
        <v/>
      </c>
      <c r="D689" s="37" t="str">
        <f>IF([3]道具信息!D689="","",[3]道具信息!D689)</f>
        <v/>
      </c>
      <c r="E689" s="37" t="str">
        <f>IF([3]道具信息!E689="","",[3]道具信息!E689)</f>
        <v/>
      </c>
      <c r="F689" s="37" t="str">
        <f>IF([3]道具信息!F689="","",[3]道具信息!F689)</f>
        <v/>
      </c>
      <c r="G689" s="37" t="str">
        <f>IF([3]道具信息!G689="","",[3]道具信息!G689)</f>
        <v/>
      </c>
      <c r="H689" s="37" t="str">
        <f>IF([3]道具信息!H689="","",[3]道具信息!H689)</f>
        <v/>
      </c>
      <c r="I689" s="37" t="str">
        <f>IF([3]道具信息!I689="","",[3]道具信息!I689)</f>
        <v/>
      </c>
      <c r="J689" s="37" t="str">
        <f>IF([3]道具信息!J689="","",[3]道具信息!J689)</f>
        <v/>
      </c>
      <c r="K689" s="37" t="str">
        <f>IF([3]道具信息!K689="","",[3]道具信息!K689)</f>
        <v/>
      </c>
      <c r="L689" s="37" t="str">
        <f>IF([3]道具信息!L689="","",[3]道具信息!L689)</f>
        <v/>
      </c>
      <c r="M689" s="37" t="str">
        <f>IF([3]道具信息!M689="","",[3]道具信息!M689)</f>
        <v/>
      </c>
      <c r="N689" s="37"/>
      <c r="O689" s="37" t="str">
        <f>IF([3]道具信息!O689="","",[3]道具信息!O689)</f>
        <v/>
      </c>
      <c r="P689" s="37" t="str">
        <f>IF([3]道具信息!P689="","",[3]道具信息!P689)</f>
        <v/>
      </c>
      <c r="Q689" s="37" t="str">
        <f>IF([3]道具信息!Q689="","",[3]道具信息!Q689)</f>
        <v/>
      </c>
    </row>
    <row r="690" spans="3:17" x14ac:dyDescent="0.15">
      <c r="C690" s="37" t="str">
        <f>IF([3]道具信息!C690="","",[3]道具信息!C690)</f>
        <v/>
      </c>
      <c r="D690" s="37" t="str">
        <f>IF([3]道具信息!D690="","",[3]道具信息!D690)</f>
        <v/>
      </c>
      <c r="E690" s="37" t="str">
        <f>IF([3]道具信息!E690="","",[3]道具信息!E690)</f>
        <v/>
      </c>
      <c r="F690" s="37" t="str">
        <f>IF([3]道具信息!F690="","",[3]道具信息!F690)</f>
        <v/>
      </c>
      <c r="G690" s="37" t="str">
        <f>IF([3]道具信息!G690="","",[3]道具信息!G690)</f>
        <v/>
      </c>
      <c r="H690" s="37" t="str">
        <f>IF([3]道具信息!H690="","",[3]道具信息!H690)</f>
        <v/>
      </c>
      <c r="I690" s="37" t="str">
        <f>IF([3]道具信息!I690="","",[3]道具信息!I690)</f>
        <v/>
      </c>
      <c r="J690" s="37" t="str">
        <f>IF([3]道具信息!J690="","",[3]道具信息!J690)</f>
        <v/>
      </c>
      <c r="K690" s="37" t="str">
        <f>IF([3]道具信息!K690="","",[3]道具信息!K690)</f>
        <v/>
      </c>
      <c r="L690" s="37" t="str">
        <f>IF([3]道具信息!L690="","",[3]道具信息!L690)</f>
        <v/>
      </c>
      <c r="M690" s="37" t="str">
        <f>IF([3]道具信息!M690="","",[3]道具信息!M690)</f>
        <v/>
      </c>
      <c r="N690" s="37"/>
      <c r="O690" s="37" t="str">
        <f>IF([3]道具信息!O690="","",[3]道具信息!O690)</f>
        <v/>
      </c>
      <c r="P690" s="37" t="str">
        <f>IF([3]道具信息!P690="","",[3]道具信息!P690)</f>
        <v/>
      </c>
      <c r="Q690" s="37" t="str">
        <f>IF([3]道具信息!Q690="","",[3]道具信息!Q690)</f>
        <v/>
      </c>
    </row>
    <row r="691" spans="3:17" x14ac:dyDescent="0.15">
      <c r="C691" s="37" t="str">
        <f>IF([3]道具信息!C691="","",[3]道具信息!C691)</f>
        <v/>
      </c>
      <c r="D691" s="37" t="str">
        <f>IF([3]道具信息!D691="","",[3]道具信息!D691)</f>
        <v/>
      </c>
      <c r="E691" s="37" t="str">
        <f>IF([3]道具信息!E691="","",[3]道具信息!E691)</f>
        <v/>
      </c>
      <c r="F691" s="37" t="str">
        <f>IF([3]道具信息!F691="","",[3]道具信息!F691)</f>
        <v/>
      </c>
      <c r="G691" s="37" t="str">
        <f>IF([3]道具信息!G691="","",[3]道具信息!G691)</f>
        <v/>
      </c>
      <c r="H691" s="37" t="str">
        <f>IF([3]道具信息!H691="","",[3]道具信息!H691)</f>
        <v/>
      </c>
      <c r="I691" s="37" t="str">
        <f>IF([3]道具信息!I691="","",[3]道具信息!I691)</f>
        <v/>
      </c>
      <c r="J691" s="37" t="str">
        <f>IF([3]道具信息!J691="","",[3]道具信息!J691)</f>
        <v/>
      </c>
      <c r="K691" s="37" t="str">
        <f>IF([3]道具信息!K691="","",[3]道具信息!K691)</f>
        <v/>
      </c>
      <c r="L691" s="37" t="str">
        <f>IF([3]道具信息!L691="","",[3]道具信息!L691)</f>
        <v/>
      </c>
      <c r="M691" s="37" t="str">
        <f>IF([3]道具信息!M691="","",[3]道具信息!M691)</f>
        <v/>
      </c>
      <c r="N691" s="37"/>
      <c r="O691" s="37" t="str">
        <f>IF([3]道具信息!O691="","",[3]道具信息!O691)</f>
        <v/>
      </c>
      <c r="P691" s="37" t="str">
        <f>IF([3]道具信息!P691="","",[3]道具信息!P691)</f>
        <v/>
      </c>
      <c r="Q691" s="37" t="str">
        <f>IF([3]道具信息!Q691="","",[3]道具信息!Q691)</f>
        <v/>
      </c>
    </row>
    <row r="692" spans="3:17" x14ac:dyDescent="0.15">
      <c r="C692" s="37" t="str">
        <f>IF([3]道具信息!C692="","",[3]道具信息!C692)</f>
        <v/>
      </c>
      <c r="D692" s="37" t="str">
        <f>IF([3]道具信息!D692="","",[3]道具信息!D692)</f>
        <v/>
      </c>
      <c r="E692" s="37" t="str">
        <f>IF([3]道具信息!E692="","",[3]道具信息!E692)</f>
        <v/>
      </c>
      <c r="F692" s="37" t="str">
        <f>IF([3]道具信息!F692="","",[3]道具信息!F692)</f>
        <v/>
      </c>
      <c r="G692" s="37" t="str">
        <f>IF([3]道具信息!G692="","",[3]道具信息!G692)</f>
        <v/>
      </c>
      <c r="H692" s="37" t="str">
        <f>IF([3]道具信息!H692="","",[3]道具信息!H692)</f>
        <v/>
      </c>
      <c r="I692" s="37" t="str">
        <f>IF([3]道具信息!I692="","",[3]道具信息!I692)</f>
        <v/>
      </c>
      <c r="J692" s="37" t="str">
        <f>IF([3]道具信息!J692="","",[3]道具信息!J692)</f>
        <v/>
      </c>
      <c r="K692" s="37" t="str">
        <f>IF([3]道具信息!K692="","",[3]道具信息!K692)</f>
        <v/>
      </c>
      <c r="L692" s="37" t="str">
        <f>IF([3]道具信息!L692="","",[3]道具信息!L692)</f>
        <v/>
      </c>
      <c r="M692" s="37" t="str">
        <f>IF([3]道具信息!M692="","",[3]道具信息!M692)</f>
        <v/>
      </c>
      <c r="N692" s="37"/>
      <c r="O692" s="37" t="str">
        <f>IF([3]道具信息!O692="","",[3]道具信息!O692)</f>
        <v/>
      </c>
      <c r="P692" s="37" t="str">
        <f>IF([3]道具信息!P692="","",[3]道具信息!P692)</f>
        <v/>
      </c>
      <c r="Q692" s="37" t="str">
        <f>IF([3]道具信息!Q692="","",[3]道具信息!Q692)</f>
        <v/>
      </c>
    </row>
    <row r="693" spans="3:17" x14ac:dyDescent="0.15">
      <c r="C693" s="37" t="str">
        <f>IF([3]道具信息!C693="","",[3]道具信息!C693)</f>
        <v/>
      </c>
      <c r="D693" s="37" t="str">
        <f>IF([3]道具信息!D693="","",[3]道具信息!D693)</f>
        <v/>
      </c>
      <c r="E693" s="37" t="str">
        <f>IF([3]道具信息!E693="","",[3]道具信息!E693)</f>
        <v/>
      </c>
      <c r="F693" s="37" t="str">
        <f>IF([3]道具信息!F693="","",[3]道具信息!F693)</f>
        <v/>
      </c>
      <c r="G693" s="37" t="str">
        <f>IF([3]道具信息!G693="","",[3]道具信息!G693)</f>
        <v/>
      </c>
      <c r="H693" s="37" t="str">
        <f>IF([3]道具信息!H693="","",[3]道具信息!H693)</f>
        <v/>
      </c>
      <c r="I693" s="37" t="str">
        <f>IF([3]道具信息!I693="","",[3]道具信息!I693)</f>
        <v/>
      </c>
      <c r="J693" s="37" t="str">
        <f>IF([3]道具信息!J693="","",[3]道具信息!J693)</f>
        <v/>
      </c>
      <c r="K693" s="37" t="str">
        <f>IF([3]道具信息!K693="","",[3]道具信息!K693)</f>
        <v/>
      </c>
      <c r="L693" s="37" t="str">
        <f>IF([3]道具信息!L693="","",[3]道具信息!L693)</f>
        <v/>
      </c>
      <c r="M693" s="37" t="str">
        <f>IF([3]道具信息!M693="","",[3]道具信息!M693)</f>
        <v/>
      </c>
      <c r="N693" s="37"/>
      <c r="O693" s="37" t="str">
        <f>IF([3]道具信息!O693="","",[3]道具信息!O693)</f>
        <v/>
      </c>
      <c r="P693" s="37" t="str">
        <f>IF([3]道具信息!P693="","",[3]道具信息!P693)</f>
        <v/>
      </c>
      <c r="Q693" s="37" t="str">
        <f>IF([3]道具信息!Q693="","",[3]道具信息!Q693)</f>
        <v/>
      </c>
    </row>
    <row r="694" spans="3:17" x14ac:dyDescent="0.15">
      <c r="C694" s="37" t="str">
        <f>IF([3]道具信息!C694="","",[3]道具信息!C694)</f>
        <v/>
      </c>
      <c r="D694" s="37" t="str">
        <f>IF([3]道具信息!D694="","",[3]道具信息!D694)</f>
        <v/>
      </c>
      <c r="E694" s="37" t="str">
        <f>IF([3]道具信息!E694="","",[3]道具信息!E694)</f>
        <v/>
      </c>
      <c r="F694" s="37" t="str">
        <f>IF([3]道具信息!F694="","",[3]道具信息!F694)</f>
        <v/>
      </c>
      <c r="G694" s="37" t="str">
        <f>IF([3]道具信息!G694="","",[3]道具信息!G694)</f>
        <v/>
      </c>
      <c r="H694" s="37" t="str">
        <f>IF([3]道具信息!H694="","",[3]道具信息!H694)</f>
        <v/>
      </c>
      <c r="I694" s="37" t="str">
        <f>IF([3]道具信息!I694="","",[3]道具信息!I694)</f>
        <v/>
      </c>
      <c r="J694" s="37" t="str">
        <f>IF([3]道具信息!J694="","",[3]道具信息!J694)</f>
        <v/>
      </c>
      <c r="K694" s="37" t="str">
        <f>IF([3]道具信息!K694="","",[3]道具信息!K694)</f>
        <v/>
      </c>
      <c r="L694" s="37" t="str">
        <f>IF([3]道具信息!L694="","",[3]道具信息!L694)</f>
        <v/>
      </c>
      <c r="M694" s="37" t="str">
        <f>IF([3]道具信息!M694="","",[3]道具信息!M694)</f>
        <v/>
      </c>
      <c r="N694" s="37"/>
      <c r="O694" s="37" t="str">
        <f>IF([3]道具信息!O694="","",[3]道具信息!O694)</f>
        <v/>
      </c>
      <c r="P694" s="37" t="str">
        <f>IF([3]道具信息!P694="","",[3]道具信息!P694)</f>
        <v/>
      </c>
      <c r="Q694" s="37" t="str">
        <f>IF([3]道具信息!Q694="","",[3]道具信息!Q694)</f>
        <v/>
      </c>
    </row>
    <row r="695" spans="3:17" x14ac:dyDescent="0.15">
      <c r="C695" s="37" t="str">
        <f>IF([3]道具信息!C695="","",[3]道具信息!C695)</f>
        <v/>
      </c>
      <c r="D695" s="37" t="str">
        <f>IF([3]道具信息!D695="","",[3]道具信息!D695)</f>
        <v/>
      </c>
      <c r="E695" s="37" t="str">
        <f>IF([3]道具信息!E695="","",[3]道具信息!E695)</f>
        <v/>
      </c>
      <c r="F695" s="37" t="str">
        <f>IF([3]道具信息!F695="","",[3]道具信息!F695)</f>
        <v/>
      </c>
      <c r="G695" s="37" t="str">
        <f>IF([3]道具信息!G695="","",[3]道具信息!G695)</f>
        <v/>
      </c>
      <c r="H695" s="37" t="str">
        <f>IF([3]道具信息!H695="","",[3]道具信息!H695)</f>
        <v/>
      </c>
      <c r="I695" s="37" t="str">
        <f>IF([3]道具信息!I695="","",[3]道具信息!I695)</f>
        <v/>
      </c>
      <c r="J695" s="37" t="str">
        <f>IF([3]道具信息!J695="","",[3]道具信息!J695)</f>
        <v/>
      </c>
      <c r="K695" s="37" t="str">
        <f>IF([3]道具信息!K695="","",[3]道具信息!K695)</f>
        <v/>
      </c>
      <c r="L695" s="37" t="str">
        <f>IF([3]道具信息!L695="","",[3]道具信息!L695)</f>
        <v/>
      </c>
      <c r="M695" s="37" t="str">
        <f>IF([3]道具信息!M695="","",[3]道具信息!M695)</f>
        <v/>
      </c>
      <c r="N695" s="37"/>
      <c r="O695" s="37" t="str">
        <f>IF([3]道具信息!O695="","",[3]道具信息!O695)</f>
        <v/>
      </c>
      <c r="P695" s="37" t="str">
        <f>IF([3]道具信息!P695="","",[3]道具信息!P695)</f>
        <v/>
      </c>
      <c r="Q695" s="37" t="str">
        <f>IF([3]道具信息!Q695="","",[3]道具信息!Q695)</f>
        <v/>
      </c>
    </row>
    <row r="696" spans="3:17" x14ac:dyDescent="0.15">
      <c r="C696" s="37" t="str">
        <f>IF([3]道具信息!C696="","",[3]道具信息!C696)</f>
        <v/>
      </c>
      <c r="D696" s="37" t="str">
        <f>IF([3]道具信息!D696="","",[3]道具信息!D696)</f>
        <v/>
      </c>
      <c r="E696" s="37" t="str">
        <f>IF([3]道具信息!E696="","",[3]道具信息!E696)</f>
        <v/>
      </c>
      <c r="F696" s="37" t="str">
        <f>IF([3]道具信息!F696="","",[3]道具信息!F696)</f>
        <v/>
      </c>
      <c r="G696" s="37" t="str">
        <f>IF([3]道具信息!G696="","",[3]道具信息!G696)</f>
        <v/>
      </c>
      <c r="H696" s="37" t="str">
        <f>IF([3]道具信息!H696="","",[3]道具信息!H696)</f>
        <v/>
      </c>
      <c r="I696" s="37" t="str">
        <f>IF([3]道具信息!I696="","",[3]道具信息!I696)</f>
        <v/>
      </c>
      <c r="J696" s="37" t="str">
        <f>IF([3]道具信息!J696="","",[3]道具信息!J696)</f>
        <v/>
      </c>
      <c r="K696" s="37" t="str">
        <f>IF([3]道具信息!K696="","",[3]道具信息!K696)</f>
        <v/>
      </c>
      <c r="L696" s="37" t="str">
        <f>IF([3]道具信息!L696="","",[3]道具信息!L696)</f>
        <v/>
      </c>
      <c r="M696" s="37" t="str">
        <f>IF([3]道具信息!M696="","",[3]道具信息!M696)</f>
        <v/>
      </c>
      <c r="N696" s="37"/>
      <c r="O696" s="37" t="str">
        <f>IF([3]道具信息!O696="","",[3]道具信息!O696)</f>
        <v/>
      </c>
      <c r="P696" s="37" t="str">
        <f>IF([3]道具信息!P696="","",[3]道具信息!P696)</f>
        <v/>
      </c>
      <c r="Q696" s="37" t="str">
        <f>IF([3]道具信息!Q696="","",[3]道具信息!Q696)</f>
        <v/>
      </c>
    </row>
    <row r="697" spans="3:17" x14ac:dyDescent="0.15">
      <c r="C697" s="37" t="str">
        <f>IF([3]道具信息!C697="","",[3]道具信息!C697)</f>
        <v/>
      </c>
      <c r="D697" s="37" t="str">
        <f>IF([3]道具信息!D697="","",[3]道具信息!D697)</f>
        <v/>
      </c>
      <c r="E697" s="37" t="str">
        <f>IF([3]道具信息!E697="","",[3]道具信息!E697)</f>
        <v/>
      </c>
      <c r="F697" s="37" t="str">
        <f>IF([3]道具信息!F697="","",[3]道具信息!F697)</f>
        <v/>
      </c>
      <c r="G697" s="37" t="str">
        <f>IF([3]道具信息!G697="","",[3]道具信息!G697)</f>
        <v/>
      </c>
      <c r="H697" s="37" t="str">
        <f>IF([3]道具信息!H697="","",[3]道具信息!H697)</f>
        <v/>
      </c>
      <c r="I697" s="37" t="str">
        <f>IF([3]道具信息!I697="","",[3]道具信息!I697)</f>
        <v/>
      </c>
      <c r="J697" s="37" t="str">
        <f>IF([3]道具信息!J697="","",[3]道具信息!J697)</f>
        <v/>
      </c>
      <c r="K697" s="37" t="str">
        <f>IF([3]道具信息!K697="","",[3]道具信息!K697)</f>
        <v/>
      </c>
      <c r="L697" s="37" t="str">
        <f>IF([3]道具信息!L697="","",[3]道具信息!L697)</f>
        <v/>
      </c>
      <c r="M697" s="37" t="str">
        <f>IF([3]道具信息!M697="","",[3]道具信息!M697)</f>
        <v/>
      </c>
      <c r="N697" s="37"/>
      <c r="O697" s="37" t="str">
        <f>IF([3]道具信息!O697="","",[3]道具信息!O697)</f>
        <v/>
      </c>
      <c r="P697" s="37" t="str">
        <f>IF([3]道具信息!P697="","",[3]道具信息!P697)</f>
        <v/>
      </c>
      <c r="Q697" s="37" t="str">
        <f>IF([3]道具信息!Q697="","",[3]道具信息!Q697)</f>
        <v/>
      </c>
    </row>
    <row r="698" spans="3:17" x14ac:dyDescent="0.15">
      <c r="C698" s="37" t="str">
        <f>IF([3]道具信息!C698="","",[3]道具信息!C698)</f>
        <v/>
      </c>
      <c r="D698" s="37" t="str">
        <f>IF([3]道具信息!D698="","",[3]道具信息!D698)</f>
        <v/>
      </c>
      <c r="E698" s="37" t="str">
        <f>IF([3]道具信息!E698="","",[3]道具信息!E698)</f>
        <v/>
      </c>
      <c r="F698" s="37" t="str">
        <f>IF([3]道具信息!F698="","",[3]道具信息!F698)</f>
        <v/>
      </c>
      <c r="G698" s="37" t="str">
        <f>IF([3]道具信息!G698="","",[3]道具信息!G698)</f>
        <v/>
      </c>
      <c r="H698" s="37" t="str">
        <f>IF([3]道具信息!H698="","",[3]道具信息!H698)</f>
        <v/>
      </c>
      <c r="I698" s="37" t="str">
        <f>IF([3]道具信息!I698="","",[3]道具信息!I698)</f>
        <v/>
      </c>
      <c r="J698" s="37" t="str">
        <f>IF([3]道具信息!J698="","",[3]道具信息!J698)</f>
        <v/>
      </c>
      <c r="K698" s="37" t="str">
        <f>IF([3]道具信息!K698="","",[3]道具信息!K698)</f>
        <v/>
      </c>
      <c r="L698" s="37" t="str">
        <f>IF([3]道具信息!L698="","",[3]道具信息!L698)</f>
        <v/>
      </c>
      <c r="M698" s="37" t="str">
        <f>IF([3]道具信息!M698="","",[3]道具信息!M698)</f>
        <v/>
      </c>
      <c r="N698" s="37"/>
      <c r="O698" s="37" t="str">
        <f>IF([3]道具信息!O698="","",[3]道具信息!O698)</f>
        <v/>
      </c>
      <c r="P698" s="37" t="str">
        <f>IF([3]道具信息!P698="","",[3]道具信息!P698)</f>
        <v/>
      </c>
      <c r="Q698" s="37" t="str">
        <f>IF([3]道具信息!Q698="","",[3]道具信息!Q698)</f>
        <v/>
      </c>
    </row>
    <row r="699" spans="3:17" x14ac:dyDescent="0.15">
      <c r="C699" s="37" t="str">
        <f>IF([3]道具信息!C699="","",[3]道具信息!C699)</f>
        <v/>
      </c>
      <c r="D699" s="37" t="str">
        <f>IF([3]道具信息!D699="","",[3]道具信息!D699)</f>
        <v/>
      </c>
      <c r="E699" s="37" t="str">
        <f>IF([3]道具信息!E699="","",[3]道具信息!E699)</f>
        <v/>
      </c>
      <c r="F699" s="37" t="str">
        <f>IF([3]道具信息!F699="","",[3]道具信息!F699)</f>
        <v/>
      </c>
      <c r="G699" s="37" t="str">
        <f>IF([3]道具信息!G699="","",[3]道具信息!G699)</f>
        <v/>
      </c>
      <c r="H699" s="37" t="str">
        <f>IF([3]道具信息!H699="","",[3]道具信息!H699)</f>
        <v/>
      </c>
      <c r="I699" s="37" t="str">
        <f>IF([3]道具信息!I699="","",[3]道具信息!I699)</f>
        <v/>
      </c>
      <c r="J699" s="37" t="str">
        <f>IF([3]道具信息!J699="","",[3]道具信息!J699)</f>
        <v/>
      </c>
      <c r="K699" s="37" t="str">
        <f>IF([3]道具信息!K699="","",[3]道具信息!K699)</f>
        <v/>
      </c>
      <c r="L699" s="37" t="str">
        <f>IF([3]道具信息!L699="","",[3]道具信息!L699)</f>
        <v/>
      </c>
      <c r="M699" s="37" t="str">
        <f>IF([3]道具信息!M699="","",[3]道具信息!M699)</f>
        <v/>
      </c>
      <c r="N699" s="37"/>
      <c r="O699" s="37" t="str">
        <f>IF([3]道具信息!O699="","",[3]道具信息!O699)</f>
        <v/>
      </c>
      <c r="P699" s="37" t="str">
        <f>IF([3]道具信息!P699="","",[3]道具信息!P699)</f>
        <v/>
      </c>
      <c r="Q699" s="37" t="str">
        <f>IF([3]道具信息!Q699="","",[3]道具信息!Q699)</f>
        <v/>
      </c>
    </row>
    <row r="700" spans="3:17" x14ac:dyDescent="0.15">
      <c r="C700" s="37" t="str">
        <f>IF([3]道具信息!C700="","",[3]道具信息!C700)</f>
        <v/>
      </c>
      <c r="D700" s="37" t="str">
        <f>IF([3]道具信息!D700="","",[3]道具信息!D700)</f>
        <v/>
      </c>
      <c r="E700" s="37" t="str">
        <f>IF([3]道具信息!E700="","",[3]道具信息!E700)</f>
        <v/>
      </c>
      <c r="F700" s="37" t="str">
        <f>IF([3]道具信息!F700="","",[3]道具信息!F700)</f>
        <v/>
      </c>
      <c r="G700" s="37" t="str">
        <f>IF([3]道具信息!G700="","",[3]道具信息!G700)</f>
        <v/>
      </c>
      <c r="H700" s="37" t="str">
        <f>IF([3]道具信息!H700="","",[3]道具信息!H700)</f>
        <v/>
      </c>
      <c r="I700" s="37" t="str">
        <f>IF([3]道具信息!I700="","",[3]道具信息!I700)</f>
        <v/>
      </c>
      <c r="J700" s="37" t="str">
        <f>IF([3]道具信息!J700="","",[3]道具信息!J700)</f>
        <v/>
      </c>
      <c r="K700" s="37" t="str">
        <f>IF([3]道具信息!K700="","",[3]道具信息!K700)</f>
        <v/>
      </c>
      <c r="L700" s="37" t="str">
        <f>IF([3]道具信息!L700="","",[3]道具信息!L700)</f>
        <v/>
      </c>
      <c r="M700" s="37" t="str">
        <f>IF([3]道具信息!M700="","",[3]道具信息!M700)</f>
        <v/>
      </c>
      <c r="N700" s="37"/>
      <c r="O700" s="37" t="str">
        <f>IF([3]道具信息!O700="","",[3]道具信息!O700)</f>
        <v/>
      </c>
      <c r="P700" s="37" t="str">
        <f>IF([3]道具信息!P700="","",[3]道具信息!P700)</f>
        <v/>
      </c>
      <c r="Q700" s="37" t="str">
        <f>IF([3]道具信息!Q700="","",[3]道具信息!Q700)</f>
        <v/>
      </c>
    </row>
    <row r="701" spans="3:17" x14ac:dyDescent="0.15">
      <c r="C701" s="37" t="str">
        <f>IF([3]道具信息!C701="","",[3]道具信息!C701)</f>
        <v/>
      </c>
      <c r="D701" s="37" t="str">
        <f>IF([3]道具信息!D701="","",[3]道具信息!D701)</f>
        <v/>
      </c>
      <c r="E701" s="37" t="str">
        <f>IF([3]道具信息!E701="","",[3]道具信息!E701)</f>
        <v/>
      </c>
      <c r="F701" s="37" t="str">
        <f>IF([3]道具信息!F701="","",[3]道具信息!F701)</f>
        <v/>
      </c>
      <c r="G701" s="37" t="str">
        <f>IF([3]道具信息!G701="","",[3]道具信息!G701)</f>
        <v/>
      </c>
      <c r="H701" s="37" t="str">
        <f>IF([3]道具信息!H701="","",[3]道具信息!H701)</f>
        <v/>
      </c>
      <c r="I701" s="37" t="str">
        <f>IF([3]道具信息!I701="","",[3]道具信息!I701)</f>
        <v/>
      </c>
      <c r="J701" s="37" t="str">
        <f>IF([3]道具信息!J701="","",[3]道具信息!J701)</f>
        <v/>
      </c>
      <c r="K701" s="37" t="str">
        <f>IF([3]道具信息!K701="","",[3]道具信息!K701)</f>
        <v/>
      </c>
      <c r="L701" s="37" t="str">
        <f>IF([3]道具信息!L701="","",[3]道具信息!L701)</f>
        <v/>
      </c>
      <c r="M701" s="37" t="str">
        <f>IF([3]道具信息!M701="","",[3]道具信息!M701)</f>
        <v/>
      </c>
      <c r="N701" s="37"/>
      <c r="O701" s="37" t="str">
        <f>IF([3]道具信息!O701="","",[3]道具信息!O701)</f>
        <v/>
      </c>
      <c r="P701" s="37" t="str">
        <f>IF([3]道具信息!P701="","",[3]道具信息!P701)</f>
        <v/>
      </c>
      <c r="Q701" s="37" t="str">
        <f>IF([3]道具信息!Q701="","",[3]道具信息!Q701)</f>
        <v/>
      </c>
    </row>
    <row r="702" spans="3:17" x14ac:dyDescent="0.15">
      <c r="C702" s="37" t="str">
        <f>IF([3]道具信息!C702="","",[3]道具信息!C702)</f>
        <v/>
      </c>
      <c r="D702" s="37" t="str">
        <f>IF([3]道具信息!D702="","",[3]道具信息!D702)</f>
        <v/>
      </c>
      <c r="E702" s="37" t="str">
        <f>IF([3]道具信息!E702="","",[3]道具信息!E702)</f>
        <v/>
      </c>
      <c r="F702" s="37" t="str">
        <f>IF([3]道具信息!F702="","",[3]道具信息!F702)</f>
        <v/>
      </c>
      <c r="G702" s="37" t="str">
        <f>IF([3]道具信息!G702="","",[3]道具信息!G702)</f>
        <v/>
      </c>
      <c r="H702" s="37" t="str">
        <f>IF([3]道具信息!H702="","",[3]道具信息!H702)</f>
        <v/>
      </c>
      <c r="I702" s="37" t="str">
        <f>IF([3]道具信息!I702="","",[3]道具信息!I702)</f>
        <v/>
      </c>
      <c r="J702" s="37" t="str">
        <f>IF([3]道具信息!J702="","",[3]道具信息!J702)</f>
        <v/>
      </c>
      <c r="K702" s="37" t="str">
        <f>IF([3]道具信息!K702="","",[3]道具信息!K702)</f>
        <v/>
      </c>
      <c r="L702" s="37" t="str">
        <f>IF([3]道具信息!L702="","",[3]道具信息!L702)</f>
        <v/>
      </c>
      <c r="M702" s="37" t="str">
        <f>IF([3]道具信息!M702="","",[3]道具信息!M702)</f>
        <v/>
      </c>
      <c r="N702" s="37"/>
      <c r="O702" s="37" t="str">
        <f>IF([3]道具信息!O702="","",[3]道具信息!O702)</f>
        <v/>
      </c>
      <c r="P702" s="37" t="str">
        <f>IF([3]道具信息!P702="","",[3]道具信息!P702)</f>
        <v/>
      </c>
      <c r="Q702" s="37" t="str">
        <f>IF([3]道具信息!Q702="","",[3]道具信息!Q702)</f>
        <v/>
      </c>
    </row>
    <row r="703" spans="3:17" x14ac:dyDescent="0.15">
      <c r="C703" s="37" t="str">
        <f>IF([3]道具信息!C703="","",[3]道具信息!C703)</f>
        <v/>
      </c>
      <c r="D703" s="37" t="str">
        <f>IF([3]道具信息!D703="","",[3]道具信息!D703)</f>
        <v/>
      </c>
      <c r="E703" s="37" t="str">
        <f>IF([3]道具信息!E703="","",[3]道具信息!E703)</f>
        <v/>
      </c>
      <c r="F703" s="37" t="str">
        <f>IF([3]道具信息!F703="","",[3]道具信息!F703)</f>
        <v/>
      </c>
      <c r="G703" s="37" t="str">
        <f>IF([3]道具信息!G703="","",[3]道具信息!G703)</f>
        <v/>
      </c>
      <c r="H703" s="37" t="str">
        <f>IF([3]道具信息!H703="","",[3]道具信息!H703)</f>
        <v/>
      </c>
      <c r="I703" s="37" t="str">
        <f>IF([3]道具信息!I703="","",[3]道具信息!I703)</f>
        <v/>
      </c>
      <c r="J703" s="37" t="str">
        <f>IF([3]道具信息!J703="","",[3]道具信息!J703)</f>
        <v/>
      </c>
      <c r="K703" s="37" t="str">
        <f>IF([3]道具信息!K703="","",[3]道具信息!K703)</f>
        <v/>
      </c>
      <c r="L703" s="37" t="str">
        <f>IF([3]道具信息!L703="","",[3]道具信息!L703)</f>
        <v/>
      </c>
      <c r="M703" s="37" t="str">
        <f>IF([3]道具信息!M703="","",[3]道具信息!M703)</f>
        <v/>
      </c>
      <c r="N703" s="37"/>
      <c r="O703" s="37" t="str">
        <f>IF([3]道具信息!O703="","",[3]道具信息!O703)</f>
        <v/>
      </c>
      <c r="P703" s="37" t="str">
        <f>IF([3]道具信息!P703="","",[3]道具信息!P703)</f>
        <v/>
      </c>
      <c r="Q703" s="37" t="str">
        <f>IF([3]道具信息!Q703="","",[3]道具信息!Q703)</f>
        <v/>
      </c>
    </row>
    <row r="704" spans="3:17" x14ac:dyDescent="0.15">
      <c r="C704" s="37" t="str">
        <f>IF([3]道具信息!C704="","",[3]道具信息!C704)</f>
        <v/>
      </c>
      <c r="D704" s="37" t="str">
        <f>IF([3]道具信息!D704="","",[3]道具信息!D704)</f>
        <v/>
      </c>
      <c r="E704" s="37" t="str">
        <f>IF([3]道具信息!E704="","",[3]道具信息!E704)</f>
        <v/>
      </c>
      <c r="F704" s="37" t="str">
        <f>IF([3]道具信息!F704="","",[3]道具信息!F704)</f>
        <v/>
      </c>
      <c r="G704" s="37" t="str">
        <f>IF([3]道具信息!G704="","",[3]道具信息!G704)</f>
        <v/>
      </c>
      <c r="H704" s="37" t="str">
        <f>IF([3]道具信息!H704="","",[3]道具信息!H704)</f>
        <v/>
      </c>
      <c r="I704" s="37" t="str">
        <f>IF([3]道具信息!I704="","",[3]道具信息!I704)</f>
        <v/>
      </c>
      <c r="J704" s="37" t="str">
        <f>IF([3]道具信息!J704="","",[3]道具信息!J704)</f>
        <v/>
      </c>
      <c r="K704" s="37" t="str">
        <f>IF([3]道具信息!K704="","",[3]道具信息!K704)</f>
        <v/>
      </c>
      <c r="L704" s="37" t="str">
        <f>IF([3]道具信息!L704="","",[3]道具信息!L704)</f>
        <v/>
      </c>
      <c r="M704" s="37" t="str">
        <f>IF([3]道具信息!M704="","",[3]道具信息!M704)</f>
        <v/>
      </c>
      <c r="N704" s="37"/>
      <c r="O704" s="37" t="str">
        <f>IF([3]道具信息!O704="","",[3]道具信息!O704)</f>
        <v/>
      </c>
      <c r="P704" s="37" t="str">
        <f>IF([3]道具信息!P704="","",[3]道具信息!P704)</f>
        <v/>
      </c>
      <c r="Q704" s="37" t="str">
        <f>IF([3]道具信息!Q704="","",[3]道具信息!Q704)</f>
        <v/>
      </c>
    </row>
    <row r="705" spans="3:17" x14ac:dyDescent="0.15">
      <c r="C705" s="37" t="str">
        <f>IF([3]道具信息!C705="","",[3]道具信息!C705)</f>
        <v/>
      </c>
      <c r="D705" s="37" t="str">
        <f>IF([3]道具信息!D705="","",[3]道具信息!D705)</f>
        <v/>
      </c>
      <c r="E705" s="37" t="str">
        <f>IF([3]道具信息!E705="","",[3]道具信息!E705)</f>
        <v/>
      </c>
      <c r="F705" s="37" t="str">
        <f>IF([3]道具信息!F705="","",[3]道具信息!F705)</f>
        <v/>
      </c>
      <c r="G705" s="37" t="str">
        <f>IF([3]道具信息!G705="","",[3]道具信息!G705)</f>
        <v/>
      </c>
      <c r="H705" s="37" t="str">
        <f>IF([3]道具信息!H705="","",[3]道具信息!H705)</f>
        <v/>
      </c>
      <c r="I705" s="37" t="str">
        <f>IF([3]道具信息!I705="","",[3]道具信息!I705)</f>
        <v/>
      </c>
      <c r="J705" s="37" t="str">
        <f>IF([3]道具信息!J705="","",[3]道具信息!J705)</f>
        <v/>
      </c>
      <c r="K705" s="37" t="str">
        <f>IF([3]道具信息!K705="","",[3]道具信息!K705)</f>
        <v/>
      </c>
      <c r="L705" s="37" t="str">
        <f>IF([3]道具信息!L705="","",[3]道具信息!L705)</f>
        <v/>
      </c>
      <c r="M705" s="37" t="str">
        <f>IF([3]道具信息!M705="","",[3]道具信息!M705)</f>
        <v/>
      </c>
      <c r="N705" s="37"/>
      <c r="O705" s="37" t="str">
        <f>IF([3]道具信息!O705="","",[3]道具信息!O705)</f>
        <v/>
      </c>
      <c r="P705" s="37" t="str">
        <f>IF([3]道具信息!P705="","",[3]道具信息!P705)</f>
        <v/>
      </c>
      <c r="Q705" s="37" t="str">
        <f>IF([3]道具信息!Q705="","",[3]道具信息!Q705)</f>
        <v/>
      </c>
    </row>
    <row r="706" spans="3:17" x14ac:dyDescent="0.15">
      <c r="C706" s="37" t="str">
        <f>IF([3]道具信息!C706="","",[3]道具信息!C706)</f>
        <v/>
      </c>
      <c r="D706" s="37" t="str">
        <f>IF([3]道具信息!D706="","",[3]道具信息!D706)</f>
        <v/>
      </c>
      <c r="E706" s="37" t="str">
        <f>IF([3]道具信息!E706="","",[3]道具信息!E706)</f>
        <v/>
      </c>
      <c r="F706" s="37" t="str">
        <f>IF([3]道具信息!F706="","",[3]道具信息!F706)</f>
        <v/>
      </c>
      <c r="G706" s="37" t="str">
        <f>IF([3]道具信息!G706="","",[3]道具信息!G706)</f>
        <v/>
      </c>
      <c r="H706" s="37" t="str">
        <f>IF([3]道具信息!H706="","",[3]道具信息!H706)</f>
        <v/>
      </c>
      <c r="I706" s="37" t="str">
        <f>IF([3]道具信息!I706="","",[3]道具信息!I706)</f>
        <v/>
      </c>
      <c r="J706" s="37" t="str">
        <f>IF([3]道具信息!J706="","",[3]道具信息!J706)</f>
        <v/>
      </c>
      <c r="K706" s="37" t="str">
        <f>IF([3]道具信息!K706="","",[3]道具信息!K706)</f>
        <v/>
      </c>
      <c r="L706" s="37" t="str">
        <f>IF([3]道具信息!L706="","",[3]道具信息!L706)</f>
        <v/>
      </c>
      <c r="M706" s="37" t="str">
        <f>IF([3]道具信息!M706="","",[3]道具信息!M706)</f>
        <v/>
      </c>
      <c r="N706" s="37"/>
      <c r="O706" s="37" t="str">
        <f>IF([3]道具信息!O706="","",[3]道具信息!O706)</f>
        <v/>
      </c>
      <c r="P706" s="37" t="str">
        <f>IF([3]道具信息!P706="","",[3]道具信息!P706)</f>
        <v/>
      </c>
      <c r="Q706" s="37" t="str">
        <f>IF([3]道具信息!Q706="","",[3]道具信息!Q706)</f>
        <v/>
      </c>
    </row>
    <row r="707" spans="3:17" x14ac:dyDescent="0.15">
      <c r="C707" s="37" t="str">
        <f>IF([3]道具信息!C707="","",[3]道具信息!C707)</f>
        <v/>
      </c>
      <c r="D707" s="37" t="str">
        <f>IF([3]道具信息!D707="","",[3]道具信息!D707)</f>
        <v/>
      </c>
      <c r="E707" s="37" t="str">
        <f>IF([3]道具信息!E707="","",[3]道具信息!E707)</f>
        <v/>
      </c>
      <c r="F707" s="37" t="str">
        <f>IF([3]道具信息!F707="","",[3]道具信息!F707)</f>
        <v/>
      </c>
      <c r="G707" s="37" t="str">
        <f>IF([3]道具信息!G707="","",[3]道具信息!G707)</f>
        <v/>
      </c>
      <c r="H707" s="37" t="str">
        <f>IF([3]道具信息!H707="","",[3]道具信息!H707)</f>
        <v/>
      </c>
      <c r="I707" s="37" t="str">
        <f>IF([3]道具信息!I707="","",[3]道具信息!I707)</f>
        <v/>
      </c>
      <c r="J707" s="37" t="str">
        <f>IF([3]道具信息!J707="","",[3]道具信息!J707)</f>
        <v/>
      </c>
      <c r="K707" s="37" t="str">
        <f>IF([3]道具信息!K707="","",[3]道具信息!K707)</f>
        <v/>
      </c>
      <c r="L707" s="37" t="str">
        <f>IF([3]道具信息!L707="","",[3]道具信息!L707)</f>
        <v/>
      </c>
      <c r="M707" s="37" t="str">
        <f>IF([3]道具信息!M707="","",[3]道具信息!M707)</f>
        <v/>
      </c>
      <c r="N707" s="37"/>
      <c r="O707" s="37" t="str">
        <f>IF([3]道具信息!O707="","",[3]道具信息!O707)</f>
        <v/>
      </c>
      <c r="P707" s="37" t="str">
        <f>IF([3]道具信息!P707="","",[3]道具信息!P707)</f>
        <v/>
      </c>
      <c r="Q707" s="37" t="str">
        <f>IF([3]道具信息!Q707="","",[3]道具信息!Q707)</f>
        <v/>
      </c>
    </row>
    <row r="708" spans="3:17" x14ac:dyDescent="0.15">
      <c r="C708" s="37" t="str">
        <f>IF([3]道具信息!C708="","",[3]道具信息!C708)</f>
        <v/>
      </c>
      <c r="D708" s="37" t="str">
        <f>IF([3]道具信息!D708="","",[3]道具信息!D708)</f>
        <v/>
      </c>
      <c r="E708" s="37" t="str">
        <f>IF([3]道具信息!E708="","",[3]道具信息!E708)</f>
        <v/>
      </c>
      <c r="F708" s="37" t="str">
        <f>IF([3]道具信息!F708="","",[3]道具信息!F708)</f>
        <v/>
      </c>
      <c r="G708" s="37" t="str">
        <f>IF([3]道具信息!G708="","",[3]道具信息!G708)</f>
        <v/>
      </c>
      <c r="H708" s="37" t="str">
        <f>IF([3]道具信息!H708="","",[3]道具信息!H708)</f>
        <v/>
      </c>
      <c r="I708" s="37" t="str">
        <f>IF([3]道具信息!I708="","",[3]道具信息!I708)</f>
        <v/>
      </c>
      <c r="J708" s="37" t="str">
        <f>IF([3]道具信息!J708="","",[3]道具信息!J708)</f>
        <v/>
      </c>
      <c r="K708" s="37" t="str">
        <f>IF([3]道具信息!K708="","",[3]道具信息!K708)</f>
        <v/>
      </c>
      <c r="L708" s="37" t="str">
        <f>IF([3]道具信息!L708="","",[3]道具信息!L708)</f>
        <v/>
      </c>
      <c r="M708" s="37" t="str">
        <f>IF([3]道具信息!M708="","",[3]道具信息!M708)</f>
        <v/>
      </c>
      <c r="N708" s="37"/>
      <c r="O708" s="37" t="str">
        <f>IF([3]道具信息!O708="","",[3]道具信息!O708)</f>
        <v/>
      </c>
      <c r="P708" s="37" t="str">
        <f>IF([3]道具信息!P708="","",[3]道具信息!P708)</f>
        <v/>
      </c>
      <c r="Q708" s="37" t="str">
        <f>IF([3]道具信息!Q708="","",[3]道具信息!Q708)</f>
        <v/>
      </c>
    </row>
    <row r="709" spans="3:17" x14ac:dyDescent="0.15">
      <c r="C709" s="37" t="str">
        <f>IF([3]道具信息!C709="","",[3]道具信息!C709)</f>
        <v/>
      </c>
      <c r="D709" s="37" t="str">
        <f>IF([3]道具信息!D709="","",[3]道具信息!D709)</f>
        <v/>
      </c>
      <c r="E709" s="37" t="str">
        <f>IF([3]道具信息!E709="","",[3]道具信息!E709)</f>
        <v/>
      </c>
      <c r="F709" s="37" t="str">
        <f>IF([3]道具信息!F709="","",[3]道具信息!F709)</f>
        <v/>
      </c>
      <c r="G709" s="37" t="str">
        <f>IF([3]道具信息!G709="","",[3]道具信息!G709)</f>
        <v/>
      </c>
      <c r="H709" s="37" t="str">
        <f>IF([3]道具信息!H709="","",[3]道具信息!H709)</f>
        <v/>
      </c>
      <c r="I709" s="37" t="str">
        <f>IF([3]道具信息!I709="","",[3]道具信息!I709)</f>
        <v/>
      </c>
      <c r="J709" s="37" t="str">
        <f>IF([3]道具信息!J709="","",[3]道具信息!J709)</f>
        <v/>
      </c>
      <c r="K709" s="37" t="str">
        <f>IF([3]道具信息!K709="","",[3]道具信息!K709)</f>
        <v/>
      </c>
      <c r="L709" s="37" t="str">
        <f>IF([3]道具信息!L709="","",[3]道具信息!L709)</f>
        <v/>
      </c>
      <c r="M709" s="37" t="str">
        <f>IF([3]道具信息!M709="","",[3]道具信息!M709)</f>
        <v/>
      </c>
      <c r="N709" s="37"/>
      <c r="O709" s="37" t="str">
        <f>IF([3]道具信息!O709="","",[3]道具信息!O709)</f>
        <v/>
      </c>
      <c r="P709" s="37" t="str">
        <f>IF([3]道具信息!P709="","",[3]道具信息!P709)</f>
        <v/>
      </c>
      <c r="Q709" s="37" t="str">
        <f>IF([3]道具信息!Q709="","",[3]道具信息!Q709)</f>
        <v/>
      </c>
    </row>
    <row r="710" spans="3:17" x14ac:dyDescent="0.15">
      <c r="C710" s="37" t="str">
        <f>IF([3]道具信息!C710="","",[3]道具信息!C710)</f>
        <v/>
      </c>
      <c r="D710" s="37" t="str">
        <f>IF([3]道具信息!D710="","",[3]道具信息!D710)</f>
        <v/>
      </c>
      <c r="E710" s="37" t="str">
        <f>IF([3]道具信息!E710="","",[3]道具信息!E710)</f>
        <v/>
      </c>
      <c r="F710" s="37" t="str">
        <f>IF([3]道具信息!F710="","",[3]道具信息!F710)</f>
        <v/>
      </c>
      <c r="G710" s="37" t="str">
        <f>IF([3]道具信息!G710="","",[3]道具信息!G710)</f>
        <v/>
      </c>
      <c r="H710" s="37" t="str">
        <f>IF([3]道具信息!H710="","",[3]道具信息!H710)</f>
        <v/>
      </c>
      <c r="I710" s="37" t="str">
        <f>IF([3]道具信息!I710="","",[3]道具信息!I710)</f>
        <v/>
      </c>
      <c r="J710" s="37" t="str">
        <f>IF([3]道具信息!J710="","",[3]道具信息!J710)</f>
        <v/>
      </c>
      <c r="K710" s="37" t="str">
        <f>IF([3]道具信息!K710="","",[3]道具信息!K710)</f>
        <v/>
      </c>
      <c r="L710" s="37" t="str">
        <f>IF([3]道具信息!L710="","",[3]道具信息!L710)</f>
        <v/>
      </c>
      <c r="M710" s="37" t="str">
        <f>IF([3]道具信息!M710="","",[3]道具信息!M710)</f>
        <v/>
      </c>
      <c r="N710" s="37"/>
      <c r="O710" s="37" t="str">
        <f>IF([3]道具信息!O710="","",[3]道具信息!O710)</f>
        <v/>
      </c>
      <c r="P710" s="37" t="str">
        <f>IF([3]道具信息!P710="","",[3]道具信息!P710)</f>
        <v/>
      </c>
      <c r="Q710" s="37" t="str">
        <f>IF([3]道具信息!Q710="","",[3]道具信息!Q710)</f>
        <v/>
      </c>
    </row>
    <row r="711" spans="3:17" x14ac:dyDescent="0.15">
      <c r="C711" s="37" t="str">
        <f>IF([3]道具信息!C711="","",[3]道具信息!C711)</f>
        <v/>
      </c>
      <c r="D711" s="37" t="str">
        <f>IF([3]道具信息!D711="","",[3]道具信息!D711)</f>
        <v/>
      </c>
      <c r="E711" s="37" t="str">
        <f>IF([3]道具信息!E711="","",[3]道具信息!E711)</f>
        <v/>
      </c>
      <c r="F711" s="37" t="str">
        <f>IF([3]道具信息!F711="","",[3]道具信息!F711)</f>
        <v/>
      </c>
      <c r="G711" s="37" t="str">
        <f>IF([3]道具信息!G711="","",[3]道具信息!G711)</f>
        <v/>
      </c>
      <c r="H711" s="37" t="str">
        <f>IF([3]道具信息!H711="","",[3]道具信息!H711)</f>
        <v/>
      </c>
      <c r="I711" s="37" t="str">
        <f>IF([3]道具信息!I711="","",[3]道具信息!I711)</f>
        <v/>
      </c>
      <c r="J711" s="37" t="str">
        <f>IF([3]道具信息!J711="","",[3]道具信息!J711)</f>
        <v/>
      </c>
      <c r="K711" s="37" t="str">
        <f>IF([3]道具信息!K711="","",[3]道具信息!K711)</f>
        <v/>
      </c>
      <c r="L711" s="37" t="str">
        <f>IF([3]道具信息!L711="","",[3]道具信息!L711)</f>
        <v/>
      </c>
      <c r="M711" s="37" t="str">
        <f>IF([3]道具信息!M711="","",[3]道具信息!M711)</f>
        <v/>
      </c>
      <c r="N711" s="37"/>
      <c r="O711" s="37" t="str">
        <f>IF([3]道具信息!O711="","",[3]道具信息!O711)</f>
        <v/>
      </c>
      <c r="P711" s="37" t="str">
        <f>IF([3]道具信息!P711="","",[3]道具信息!P711)</f>
        <v/>
      </c>
      <c r="Q711" s="37" t="str">
        <f>IF([3]道具信息!Q711="","",[3]道具信息!Q711)</f>
        <v/>
      </c>
    </row>
    <row r="712" spans="3:17" x14ac:dyDescent="0.15">
      <c r="C712" s="37" t="str">
        <f>IF([3]道具信息!C712="","",[3]道具信息!C712)</f>
        <v/>
      </c>
      <c r="D712" s="37" t="str">
        <f>IF([3]道具信息!D712="","",[3]道具信息!D712)</f>
        <v/>
      </c>
      <c r="E712" s="37" t="str">
        <f>IF([3]道具信息!E712="","",[3]道具信息!E712)</f>
        <v/>
      </c>
      <c r="F712" s="37" t="str">
        <f>IF([3]道具信息!F712="","",[3]道具信息!F712)</f>
        <v/>
      </c>
      <c r="G712" s="37" t="str">
        <f>IF([3]道具信息!G712="","",[3]道具信息!G712)</f>
        <v/>
      </c>
      <c r="H712" s="37" t="str">
        <f>IF([3]道具信息!H712="","",[3]道具信息!H712)</f>
        <v/>
      </c>
      <c r="I712" s="37" t="str">
        <f>IF([3]道具信息!I712="","",[3]道具信息!I712)</f>
        <v/>
      </c>
      <c r="J712" s="37" t="str">
        <f>IF([3]道具信息!J712="","",[3]道具信息!J712)</f>
        <v/>
      </c>
      <c r="K712" s="37" t="str">
        <f>IF([3]道具信息!K712="","",[3]道具信息!K712)</f>
        <v/>
      </c>
      <c r="L712" s="37" t="str">
        <f>IF([3]道具信息!L712="","",[3]道具信息!L712)</f>
        <v/>
      </c>
      <c r="M712" s="37" t="str">
        <f>IF([3]道具信息!M712="","",[3]道具信息!M712)</f>
        <v/>
      </c>
      <c r="N712" s="37"/>
      <c r="O712" s="37" t="str">
        <f>IF([3]道具信息!O712="","",[3]道具信息!O712)</f>
        <v/>
      </c>
      <c r="P712" s="37" t="str">
        <f>IF([3]道具信息!P712="","",[3]道具信息!P712)</f>
        <v/>
      </c>
      <c r="Q712" s="37" t="str">
        <f>IF([3]道具信息!Q712="","",[3]道具信息!Q712)</f>
        <v/>
      </c>
    </row>
    <row r="713" spans="3:17" x14ac:dyDescent="0.15">
      <c r="C713" s="37" t="str">
        <f>IF([3]道具信息!C713="","",[3]道具信息!C713)</f>
        <v/>
      </c>
      <c r="D713" s="37" t="str">
        <f>IF([3]道具信息!D713="","",[3]道具信息!D713)</f>
        <v/>
      </c>
      <c r="E713" s="37" t="str">
        <f>IF([3]道具信息!E713="","",[3]道具信息!E713)</f>
        <v/>
      </c>
      <c r="F713" s="37" t="str">
        <f>IF([3]道具信息!F713="","",[3]道具信息!F713)</f>
        <v/>
      </c>
      <c r="G713" s="37" t="str">
        <f>IF([3]道具信息!G713="","",[3]道具信息!G713)</f>
        <v/>
      </c>
      <c r="H713" s="37" t="str">
        <f>IF([3]道具信息!H713="","",[3]道具信息!H713)</f>
        <v/>
      </c>
      <c r="I713" s="37" t="str">
        <f>IF([3]道具信息!I713="","",[3]道具信息!I713)</f>
        <v/>
      </c>
      <c r="J713" s="37" t="str">
        <f>IF([3]道具信息!J713="","",[3]道具信息!J713)</f>
        <v/>
      </c>
      <c r="K713" s="37" t="str">
        <f>IF([3]道具信息!K713="","",[3]道具信息!K713)</f>
        <v/>
      </c>
      <c r="L713" s="37" t="str">
        <f>IF([3]道具信息!L713="","",[3]道具信息!L713)</f>
        <v/>
      </c>
      <c r="M713" s="37" t="str">
        <f>IF([3]道具信息!M713="","",[3]道具信息!M713)</f>
        <v/>
      </c>
      <c r="N713" s="37"/>
      <c r="O713" s="37" t="str">
        <f>IF([3]道具信息!O713="","",[3]道具信息!O713)</f>
        <v/>
      </c>
      <c r="P713" s="37" t="str">
        <f>IF([3]道具信息!P713="","",[3]道具信息!P713)</f>
        <v/>
      </c>
      <c r="Q713" s="37" t="str">
        <f>IF([3]道具信息!Q713="","",[3]道具信息!Q713)</f>
        <v/>
      </c>
    </row>
    <row r="714" spans="3:17" x14ac:dyDescent="0.15">
      <c r="C714" s="37" t="str">
        <f>IF([3]道具信息!C714="","",[3]道具信息!C714)</f>
        <v/>
      </c>
      <c r="D714" s="37" t="str">
        <f>IF([3]道具信息!D714="","",[3]道具信息!D714)</f>
        <v/>
      </c>
      <c r="E714" s="37" t="str">
        <f>IF([3]道具信息!E714="","",[3]道具信息!E714)</f>
        <v/>
      </c>
      <c r="F714" s="37" t="str">
        <f>IF([3]道具信息!F714="","",[3]道具信息!F714)</f>
        <v/>
      </c>
      <c r="G714" s="37" t="str">
        <f>IF([3]道具信息!G714="","",[3]道具信息!G714)</f>
        <v/>
      </c>
      <c r="H714" s="37" t="str">
        <f>IF([3]道具信息!H714="","",[3]道具信息!H714)</f>
        <v/>
      </c>
      <c r="I714" s="37" t="str">
        <f>IF([3]道具信息!I714="","",[3]道具信息!I714)</f>
        <v/>
      </c>
      <c r="J714" s="37" t="str">
        <f>IF([3]道具信息!J714="","",[3]道具信息!J714)</f>
        <v/>
      </c>
      <c r="K714" s="37" t="str">
        <f>IF([3]道具信息!K714="","",[3]道具信息!K714)</f>
        <v/>
      </c>
      <c r="L714" s="37" t="str">
        <f>IF([3]道具信息!L714="","",[3]道具信息!L714)</f>
        <v/>
      </c>
      <c r="M714" s="37" t="str">
        <f>IF([3]道具信息!M714="","",[3]道具信息!M714)</f>
        <v/>
      </c>
      <c r="N714" s="37"/>
      <c r="O714" s="37" t="str">
        <f>IF([3]道具信息!O714="","",[3]道具信息!O714)</f>
        <v/>
      </c>
      <c r="P714" s="37" t="str">
        <f>IF([3]道具信息!P714="","",[3]道具信息!P714)</f>
        <v/>
      </c>
      <c r="Q714" s="37" t="str">
        <f>IF([3]道具信息!Q714="","",[3]道具信息!Q714)</f>
        <v/>
      </c>
    </row>
    <row r="715" spans="3:17" x14ac:dyDescent="0.15">
      <c r="C715" s="37" t="str">
        <f>IF([3]道具信息!C715="","",[3]道具信息!C715)</f>
        <v/>
      </c>
      <c r="D715" s="37" t="str">
        <f>IF([3]道具信息!D715="","",[3]道具信息!D715)</f>
        <v/>
      </c>
      <c r="E715" s="37" t="str">
        <f>IF([3]道具信息!E715="","",[3]道具信息!E715)</f>
        <v/>
      </c>
      <c r="F715" s="37" t="str">
        <f>IF([3]道具信息!F715="","",[3]道具信息!F715)</f>
        <v/>
      </c>
      <c r="G715" s="37" t="str">
        <f>IF([3]道具信息!G715="","",[3]道具信息!G715)</f>
        <v/>
      </c>
      <c r="H715" s="37" t="str">
        <f>IF([3]道具信息!H715="","",[3]道具信息!H715)</f>
        <v/>
      </c>
      <c r="I715" s="37" t="str">
        <f>IF([3]道具信息!I715="","",[3]道具信息!I715)</f>
        <v/>
      </c>
      <c r="J715" s="37" t="str">
        <f>IF([3]道具信息!J715="","",[3]道具信息!J715)</f>
        <v/>
      </c>
      <c r="K715" s="37" t="str">
        <f>IF([3]道具信息!K715="","",[3]道具信息!K715)</f>
        <v/>
      </c>
      <c r="L715" s="37" t="str">
        <f>IF([3]道具信息!L715="","",[3]道具信息!L715)</f>
        <v/>
      </c>
      <c r="M715" s="37" t="str">
        <f>IF([3]道具信息!M715="","",[3]道具信息!M715)</f>
        <v/>
      </c>
      <c r="N715" s="37"/>
      <c r="O715" s="37" t="str">
        <f>IF([3]道具信息!O715="","",[3]道具信息!O715)</f>
        <v/>
      </c>
      <c r="P715" s="37" t="str">
        <f>IF([3]道具信息!P715="","",[3]道具信息!P715)</f>
        <v/>
      </c>
      <c r="Q715" s="37" t="str">
        <f>IF([3]道具信息!Q715="","",[3]道具信息!Q715)</f>
        <v/>
      </c>
    </row>
    <row r="716" spans="3:17" x14ac:dyDescent="0.15">
      <c r="C716" s="37" t="str">
        <f>IF([3]道具信息!C716="","",[3]道具信息!C716)</f>
        <v/>
      </c>
      <c r="D716" s="37" t="str">
        <f>IF([3]道具信息!D716="","",[3]道具信息!D716)</f>
        <v/>
      </c>
      <c r="E716" s="37" t="str">
        <f>IF([3]道具信息!E716="","",[3]道具信息!E716)</f>
        <v/>
      </c>
      <c r="F716" s="37" t="str">
        <f>IF([3]道具信息!F716="","",[3]道具信息!F716)</f>
        <v/>
      </c>
      <c r="G716" s="37" t="str">
        <f>IF([3]道具信息!G716="","",[3]道具信息!G716)</f>
        <v/>
      </c>
      <c r="H716" s="37" t="str">
        <f>IF([3]道具信息!H716="","",[3]道具信息!H716)</f>
        <v/>
      </c>
      <c r="I716" s="37" t="str">
        <f>IF([3]道具信息!I716="","",[3]道具信息!I716)</f>
        <v/>
      </c>
      <c r="J716" s="37" t="str">
        <f>IF([3]道具信息!J716="","",[3]道具信息!J716)</f>
        <v/>
      </c>
      <c r="K716" s="37" t="str">
        <f>IF([3]道具信息!K716="","",[3]道具信息!K716)</f>
        <v/>
      </c>
      <c r="L716" s="37" t="str">
        <f>IF([3]道具信息!L716="","",[3]道具信息!L716)</f>
        <v/>
      </c>
      <c r="M716" s="37" t="str">
        <f>IF([3]道具信息!M716="","",[3]道具信息!M716)</f>
        <v/>
      </c>
      <c r="N716" s="37"/>
      <c r="O716" s="37" t="str">
        <f>IF([3]道具信息!O716="","",[3]道具信息!O716)</f>
        <v/>
      </c>
      <c r="P716" s="37" t="str">
        <f>IF([3]道具信息!P716="","",[3]道具信息!P716)</f>
        <v/>
      </c>
      <c r="Q716" s="37" t="str">
        <f>IF([3]道具信息!Q716="","",[3]道具信息!Q716)</f>
        <v/>
      </c>
    </row>
    <row r="717" spans="3:17" x14ac:dyDescent="0.15">
      <c r="C717" s="37" t="str">
        <f>IF([3]道具信息!C717="","",[3]道具信息!C717)</f>
        <v/>
      </c>
      <c r="D717" s="37" t="str">
        <f>IF([3]道具信息!D717="","",[3]道具信息!D717)</f>
        <v/>
      </c>
      <c r="E717" s="37" t="str">
        <f>IF([3]道具信息!E717="","",[3]道具信息!E717)</f>
        <v/>
      </c>
      <c r="F717" s="37" t="str">
        <f>IF([3]道具信息!F717="","",[3]道具信息!F717)</f>
        <v/>
      </c>
      <c r="G717" s="37" t="str">
        <f>IF([3]道具信息!G717="","",[3]道具信息!G717)</f>
        <v/>
      </c>
      <c r="H717" s="37" t="str">
        <f>IF([3]道具信息!H717="","",[3]道具信息!H717)</f>
        <v/>
      </c>
      <c r="I717" s="37" t="str">
        <f>IF([3]道具信息!I717="","",[3]道具信息!I717)</f>
        <v/>
      </c>
      <c r="J717" s="37" t="str">
        <f>IF([3]道具信息!J717="","",[3]道具信息!J717)</f>
        <v/>
      </c>
      <c r="K717" s="37" t="str">
        <f>IF([3]道具信息!K717="","",[3]道具信息!K717)</f>
        <v/>
      </c>
      <c r="L717" s="37" t="str">
        <f>IF([3]道具信息!L717="","",[3]道具信息!L717)</f>
        <v/>
      </c>
      <c r="M717" s="37" t="str">
        <f>IF([3]道具信息!M717="","",[3]道具信息!M717)</f>
        <v/>
      </c>
      <c r="N717" s="37"/>
      <c r="O717" s="37" t="str">
        <f>IF([3]道具信息!O717="","",[3]道具信息!O717)</f>
        <v/>
      </c>
      <c r="P717" s="37" t="str">
        <f>IF([3]道具信息!P717="","",[3]道具信息!P717)</f>
        <v/>
      </c>
      <c r="Q717" s="37" t="str">
        <f>IF([3]道具信息!Q717="","",[3]道具信息!Q717)</f>
        <v/>
      </c>
    </row>
    <row r="718" spans="3:17" x14ac:dyDescent="0.15">
      <c r="C718" s="37" t="str">
        <f>IF([3]道具信息!C718="","",[3]道具信息!C718)</f>
        <v/>
      </c>
      <c r="D718" s="37" t="str">
        <f>IF([3]道具信息!D718="","",[3]道具信息!D718)</f>
        <v/>
      </c>
      <c r="E718" s="37" t="str">
        <f>IF([3]道具信息!E718="","",[3]道具信息!E718)</f>
        <v/>
      </c>
      <c r="F718" s="37" t="str">
        <f>IF([3]道具信息!F718="","",[3]道具信息!F718)</f>
        <v/>
      </c>
      <c r="G718" s="37" t="str">
        <f>IF([3]道具信息!G718="","",[3]道具信息!G718)</f>
        <v/>
      </c>
      <c r="H718" s="37" t="str">
        <f>IF([3]道具信息!H718="","",[3]道具信息!H718)</f>
        <v/>
      </c>
      <c r="I718" s="37" t="str">
        <f>IF([3]道具信息!I718="","",[3]道具信息!I718)</f>
        <v/>
      </c>
      <c r="J718" s="37" t="str">
        <f>IF([3]道具信息!J718="","",[3]道具信息!J718)</f>
        <v/>
      </c>
      <c r="K718" s="37" t="str">
        <f>IF([3]道具信息!K718="","",[3]道具信息!K718)</f>
        <v/>
      </c>
      <c r="L718" s="37" t="str">
        <f>IF([3]道具信息!L718="","",[3]道具信息!L718)</f>
        <v/>
      </c>
      <c r="M718" s="37" t="str">
        <f>IF([3]道具信息!M718="","",[3]道具信息!M718)</f>
        <v/>
      </c>
      <c r="N718" s="37"/>
      <c r="O718" s="37" t="str">
        <f>IF([3]道具信息!O718="","",[3]道具信息!O718)</f>
        <v/>
      </c>
      <c r="P718" s="37" t="str">
        <f>IF([3]道具信息!P718="","",[3]道具信息!P718)</f>
        <v/>
      </c>
      <c r="Q718" s="37" t="str">
        <f>IF([3]道具信息!Q718="","",[3]道具信息!Q718)</f>
        <v/>
      </c>
    </row>
    <row r="719" spans="3:17" x14ac:dyDescent="0.15">
      <c r="C719" s="37" t="str">
        <f>IF([3]道具信息!C719="","",[3]道具信息!C719)</f>
        <v/>
      </c>
      <c r="D719" s="37" t="str">
        <f>IF([3]道具信息!D719="","",[3]道具信息!D719)</f>
        <v/>
      </c>
      <c r="E719" s="37" t="str">
        <f>IF([3]道具信息!E719="","",[3]道具信息!E719)</f>
        <v/>
      </c>
      <c r="F719" s="37" t="str">
        <f>IF([3]道具信息!F719="","",[3]道具信息!F719)</f>
        <v/>
      </c>
      <c r="G719" s="37" t="str">
        <f>IF([3]道具信息!G719="","",[3]道具信息!G719)</f>
        <v/>
      </c>
      <c r="H719" s="37" t="str">
        <f>IF([3]道具信息!H719="","",[3]道具信息!H719)</f>
        <v/>
      </c>
      <c r="I719" s="37" t="str">
        <f>IF([3]道具信息!I719="","",[3]道具信息!I719)</f>
        <v/>
      </c>
      <c r="J719" s="37" t="str">
        <f>IF([3]道具信息!J719="","",[3]道具信息!J719)</f>
        <v/>
      </c>
      <c r="K719" s="37" t="str">
        <f>IF([3]道具信息!K719="","",[3]道具信息!K719)</f>
        <v/>
      </c>
      <c r="L719" s="37" t="str">
        <f>IF([3]道具信息!L719="","",[3]道具信息!L719)</f>
        <v/>
      </c>
      <c r="M719" s="37" t="str">
        <f>IF([3]道具信息!M719="","",[3]道具信息!M719)</f>
        <v/>
      </c>
      <c r="N719" s="37"/>
      <c r="O719" s="37" t="str">
        <f>IF([3]道具信息!O719="","",[3]道具信息!O719)</f>
        <v/>
      </c>
      <c r="P719" s="37" t="str">
        <f>IF([3]道具信息!P719="","",[3]道具信息!P719)</f>
        <v/>
      </c>
      <c r="Q719" s="37" t="str">
        <f>IF([3]道具信息!Q719="","",[3]道具信息!Q719)</f>
        <v/>
      </c>
    </row>
    <row r="720" spans="3:17" x14ac:dyDescent="0.15">
      <c r="C720" s="37" t="str">
        <f>IF([3]道具信息!C720="","",[3]道具信息!C720)</f>
        <v/>
      </c>
      <c r="D720" s="37" t="str">
        <f>IF([3]道具信息!D720="","",[3]道具信息!D720)</f>
        <v/>
      </c>
      <c r="E720" s="37" t="str">
        <f>IF([3]道具信息!E720="","",[3]道具信息!E720)</f>
        <v/>
      </c>
      <c r="F720" s="37" t="str">
        <f>IF([3]道具信息!F720="","",[3]道具信息!F720)</f>
        <v/>
      </c>
      <c r="G720" s="37" t="str">
        <f>IF([3]道具信息!G720="","",[3]道具信息!G720)</f>
        <v/>
      </c>
      <c r="H720" s="37" t="str">
        <f>IF([3]道具信息!H720="","",[3]道具信息!H720)</f>
        <v/>
      </c>
      <c r="I720" s="37" t="str">
        <f>IF([3]道具信息!I720="","",[3]道具信息!I720)</f>
        <v/>
      </c>
      <c r="J720" s="37" t="str">
        <f>IF([3]道具信息!J720="","",[3]道具信息!J720)</f>
        <v/>
      </c>
      <c r="K720" s="37" t="str">
        <f>IF([3]道具信息!K720="","",[3]道具信息!K720)</f>
        <v/>
      </c>
      <c r="L720" s="37" t="str">
        <f>IF([3]道具信息!L720="","",[3]道具信息!L720)</f>
        <v/>
      </c>
      <c r="M720" s="37" t="str">
        <f>IF([3]道具信息!M720="","",[3]道具信息!M720)</f>
        <v/>
      </c>
      <c r="N720" s="37"/>
      <c r="O720" s="37" t="str">
        <f>IF([3]道具信息!O720="","",[3]道具信息!O720)</f>
        <v/>
      </c>
      <c r="P720" s="37" t="str">
        <f>IF([3]道具信息!P720="","",[3]道具信息!P720)</f>
        <v/>
      </c>
      <c r="Q720" s="37" t="str">
        <f>IF([3]道具信息!Q720="","",[3]道具信息!Q720)</f>
        <v/>
      </c>
    </row>
    <row r="721" spans="3:17" x14ac:dyDescent="0.15">
      <c r="C721" s="37" t="str">
        <f>IF([3]道具信息!C721="","",[3]道具信息!C721)</f>
        <v/>
      </c>
      <c r="D721" s="37" t="str">
        <f>IF([3]道具信息!D721="","",[3]道具信息!D721)</f>
        <v/>
      </c>
      <c r="E721" s="37" t="str">
        <f>IF([3]道具信息!E721="","",[3]道具信息!E721)</f>
        <v/>
      </c>
      <c r="F721" s="37" t="str">
        <f>IF([3]道具信息!F721="","",[3]道具信息!F721)</f>
        <v/>
      </c>
      <c r="G721" s="37" t="str">
        <f>IF([3]道具信息!G721="","",[3]道具信息!G721)</f>
        <v/>
      </c>
      <c r="H721" s="37" t="str">
        <f>IF([3]道具信息!H721="","",[3]道具信息!H721)</f>
        <v/>
      </c>
      <c r="I721" s="37" t="str">
        <f>IF([3]道具信息!I721="","",[3]道具信息!I721)</f>
        <v/>
      </c>
      <c r="J721" s="37" t="str">
        <f>IF([3]道具信息!J721="","",[3]道具信息!J721)</f>
        <v/>
      </c>
      <c r="K721" s="37" t="str">
        <f>IF([3]道具信息!K721="","",[3]道具信息!K721)</f>
        <v/>
      </c>
      <c r="L721" s="37" t="str">
        <f>IF([3]道具信息!L721="","",[3]道具信息!L721)</f>
        <v/>
      </c>
      <c r="M721" s="37" t="str">
        <f>IF([3]道具信息!M721="","",[3]道具信息!M721)</f>
        <v/>
      </c>
      <c r="N721" s="37"/>
      <c r="O721" s="37" t="str">
        <f>IF([3]道具信息!O721="","",[3]道具信息!O721)</f>
        <v/>
      </c>
      <c r="P721" s="37" t="str">
        <f>IF([3]道具信息!P721="","",[3]道具信息!P721)</f>
        <v/>
      </c>
      <c r="Q721" s="37" t="str">
        <f>IF([3]道具信息!Q721="","",[3]道具信息!Q721)</f>
        <v/>
      </c>
    </row>
    <row r="722" spans="3:17" x14ac:dyDescent="0.15">
      <c r="C722" s="37" t="str">
        <f>IF([3]道具信息!C722="","",[3]道具信息!C722)</f>
        <v/>
      </c>
      <c r="D722" s="37" t="str">
        <f>IF([3]道具信息!D722="","",[3]道具信息!D722)</f>
        <v/>
      </c>
      <c r="E722" s="37" t="str">
        <f>IF([3]道具信息!E722="","",[3]道具信息!E722)</f>
        <v/>
      </c>
      <c r="F722" s="37" t="str">
        <f>IF([3]道具信息!F722="","",[3]道具信息!F722)</f>
        <v/>
      </c>
      <c r="G722" s="37" t="str">
        <f>IF([3]道具信息!G722="","",[3]道具信息!G722)</f>
        <v/>
      </c>
      <c r="H722" s="37" t="str">
        <f>IF([3]道具信息!H722="","",[3]道具信息!H722)</f>
        <v/>
      </c>
      <c r="I722" s="37" t="str">
        <f>IF([3]道具信息!I722="","",[3]道具信息!I722)</f>
        <v/>
      </c>
      <c r="J722" s="37" t="str">
        <f>IF([3]道具信息!J722="","",[3]道具信息!J722)</f>
        <v/>
      </c>
      <c r="K722" s="37" t="str">
        <f>IF([3]道具信息!K722="","",[3]道具信息!K722)</f>
        <v/>
      </c>
      <c r="L722" s="37" t="str">
        <f>IF([3]道具信息!L722="","",[3]道具信息!L722)</f>
        <v/>
      </c>
      <c r="M722" s="37" t="str">
        <f>IF([3]道具信息!M722="","",[3]道具信息!M722)</f>
        <v/>
      </c>
      <c r="N722" s="37"/>
      <c r="O722" s="37" t="str">
        <f>IF([3]道具信息!O722="","",[3]道具信息!O722)</f>
        <v/>
      </c>
      <c r="P722" s="37" t="str">
        <f>IF([3]道具信息!P722="","",[3]道具信息!P722)</f>
        <v/>
      </c>
      <c r="Q722" s="37" t="str">
        <f>IF([3]道具信息!Q722="","",[3]道具信息!Q722)</f>
        <v/>
      </c>
    </row>
    <row r="723" spans="3:17" x14ac:dyDescent="0.15">
      <c r="C723" s="37" t="str">
        <f>IF([3]道具信息!C723="","",[3]道具信息!C723)</f>
        <v/>
      </c>
      <c r="D723" s="37" t="str">
        <f>IF([3]道具信息!D723="","",[3]道具信息!D723)</f>
        <v/>
      </c>
      <c r="E723" s="37" t="str">
        <f>IF([3]道具信息!E723="","",[3]道具信息!E723)</f>
        <v/>
      </c>
      <c r="F723" s="37" t="str">
        <f>IF([3]道具信息!F723="","",[3]道具信息!F723)</f>
        <v/>
      </c>
      <c r="G723" s="37" t="str">
        <f>IF([3]道具信息!G723="","",[3]道具信息!G723)</f>
        <v/>
      </c>
      <c r="H723" s="37" t="str">
        <f>IF([3]道具信息!H723="","",[3]道具信息!H723)</f>
        <v/>
      </c>
      <c r="I723" s="37" t="str">
        <f>IF([3]道具信息!I723="","",[3]道具信息!I723)</f>
        <v/>
      </c>
      <c r="J723" s="37" t="str">
        <f>IF([3]道具信息!J723="","",[3]道具信息!J723)</f>
        <v/>
      </c>
      <c r="K723" s="37" t="str">
        <f>IF([3]道具信息!K723="","",[3]道具信息!K723)</f>
        <v/>
      </c>
      <c r="L723" s="37" t="str">
        <f>IF([3]道具信息!L723="","",[3]道具信息!L723)</f>
        <v/>
      </c>
      <c r="M723" s="37" t="str">
        <f>IF([3]道具信息!M723="","",[3]道具信息!M723)</f>
        <v/>
      </c>
      <c r="N723" s="37"/>
      <c r="O723" s="37" t="str">
        <f>IF([3]道具信息!O723="","",[3]道具信息!O723)</f>
        <v/>
      </c>
      <c r="P723" s="37" t="str">
        <f>IF([3]道具信息!P723="","",[3]道具信息!P723)</f>
        <v/>
      </c>
      <c r="Q723" s="37" t="str">
        <f>IF([3]道具信息!Q723="","",[3]道具信息!Q723)</f>
        <v/>
      </c>
    </row>
    <row r="724" spans="3:17" x14ac:dyDescent="0.15">
      <c r="C724" s="37" t="str">
        <f>IF([3]道具信息!C724="","",[3]道具信息!C724)</f>
        <v/>
      </c>
      <c r="D724" s="37" t="str">
        <f>IF([3]道具信息!D724="","",[3]道具信息!D724)</f>
        <v/>
      </c>
      <c r="E724" s="37" t="str">
        <f>IF([3]道具信息!E724="","",[3]道具信息!E724)</f>
        <v/>
      </c>
      <c r="F724" s="37" t="str">
        <f>IF([3]道具信息!F724="","",[3]道具信息!F724)</f>
        <v/>
      </c>
      <c r="G724" s="37" t="str">
        <f>IF([3]道具信息!G724="","",[3]道具信息!G724)</f>
        <v/>
      </c>
      <c r="H724" s="37" t="str">
        <f>IF([3]道具信息!H724="","",[3]道具信息!H724)</f>
        <v/>
      </c>
      <c r="I724" s="37" t="str">
        <f>IF([3]道具信息!I724="","",[3]道具信息!I724)</f>
        <v/>
      </c>
      <c r="J724" s="37" t="str">
        <f>IF([3]道具信息!J724="","",[3]道具信息!J724)</f>
        <v/>
      </c>
      <c r="K724" s="37" t="str">
        <f>IF([3]道具信息!K724="","",[3]道具信息!K724)</f>
        <v/>
      </c>
      <c r="L724" s="37" t="str">
        <f>IF([3]道具信息!L724="","",[3]道具信息!L724)</f>
        <v/>
      </c>
      <c r="M724" s="37" t="str">
        <f>IF([3]道具信息!M724="","",[3]道具信息!M724)</f>
        <v/>
      </c>
      <c r="N724" s="37"/>
      <c r="O724" s="37" t="str">
        <f>IF([3]道具信息!O724="","",[3]道具信息!O724)</f>
        <v/>
      </c>
      <c r="P724" s="37" t="str">
        <f>IF([3]道具信息!P724="","",[3]道具信息!P724)</f>
        <v/>
      </c>
      <c r="Q724" s="37" t="str">
        <f>IF([3]道具信息!Q724="","",[3]道具信息!Q724)</f>
        <v/>
      </c>
    </row>
    <row r="725" spans="3:17" x14ac:dyDescent="0.15">
      <c r="C725" s="37" t="str">
        <f>IF([3]道具信息!C725="","",[3]道具信息!C725)</f>
        <v/>
      </c>
      <c r="D725" s="37" t="str">
        <f>IF([3]道具信息!D725="","",[3]道具信息!D725)</f>
        <v/>
      </c>
      <c r="E725" s="37" t="str">
        <f>IF([3]道具信息!E725="","",[3]道具信息!E725)</f>
        <v/>
      </c>
      <c r="F725" s="37" t="str">
        <f>IF([3]道具信息!F725="","",[3]道具信息!F725)</f>
        <v/>
      </c>
      <c r="G725" s="37" t="str">
        <f>IF([3]道具信息!G725="","",[3]道具信息!G725)</f>
        <v/>
      </c>
      <c r="H725" s="37" t="str">
        <f>IF([3]道具信息!H725="","",[3]道具信息!H725)</f>
        <v/>
      </c>
      <c r="I725" s="37" t="str">
        <f>IF([3]道具信息!I725="","",[3]道具信息!I725)</f>
        <v/>
      </c>
      <c r="J725" s="37" t="str">
        <f>IF([3]道具信息!J725="","",[3]道具信息!J725)</f>
        <v/>
      </c>
      <c r="K725" s="37" t="str">
        <f>IF([3]道具信息!K725="","",[3]道具信息!K725)</f>
        <v/>
      </c>
      <c r="L725" s="37" t="str">
        <f>IF([3]道具信息!L725="","",[3]道具信息!L725)</f>
        <v/>
      </c>
      <c r="M725" s="37" t="str">
        <f>IF([3]道具信息!M725="","",[3]道具信息!M725)</f>
        <v/>
      </c>
      <c r="N725" s="37"/>
      <c r="O725" s="37" t="str">
        <f>IF([3]道具信息!O725="","",[3]道具信息!O725)</f>
        <v/>
      </c>
      <c r="P725" s="37" t="str">
        <f>IF([3]道具信息!P725="","",[3]道具信息!P725)</f>
        <v/>
      </c>
      <c r="Q725" s="37" t="str">
        <f>IF([3]道具信息!Q725="","",[3]道具信息!Q725)</f>
        <v/>
      </c>
    </row>
    <row r="726" spans="3:17" x14ac:dyDescent="0.15">
      <c r="C726" s="37" t="str">
        <f>IF([3]道具信息!C726="","",[3]道具信息!C726)</f>
        <v/>
      </c>
      <c r="D726" s="37" t="str">
        <f>IF([3]道具信息!D726="","",[3]道具信息!D726)</f>
        <v/>
      </c>
      <c r="E726" s="37" t="str">
        <f>IF([3]道具信息!E726="","",[3]道具信息!E726)</f>
        <v/>
      </c>
      <c r="F726" s="37" t="str">
        <f>IF([3]道具信息!F726="","",[3]道具信息!F726)</f>
        <v/>
      </c>
      <c r="G726" s="37" t="str">
        <f>IF([3]道具信息!G726="","",[3]道具信息!G726)</f>
        <v/>
      </c>
      <c r="H726" s="37" t="str">
        <f>IF([3]道具信息!H726="","",[3]道具信息!H726)</f>
        <v/>
      </c>
      <c r="I726" s="37" t="str">
        <f>IF([3]道具信息!I726="","",[3]道具信息!I726)</f>
        <v/>
      </c>
      <c r="J726" s="37" t="str">
        <f>IF([3]道具信息!J726="","",[3]道具信息!J726)</f>
        <v/>
      </c>
      <c r="K726" s="37" t="str">
        <f>IF([3]道具信息!K726="","",[3]道具信息!K726)</f>
        <v/>
      </c>
      <c r="L726" s="37" t="str">
        <f>IF([3]道具信息!L726="","",[3]道具信息!L726)</f>
        <v/>
      </c>
      <c r="M726" s="37" t="str">
        <f>IF([3]道具信息!M726="","",[3]道具信息!M726)</f>
        <v/>
      </c>
      <c r="N726" s="37"/>
      <c r="O726" s="37" t="str">
        <f>IF([3]道具信息!O726="","",[3]道具信息!O726)</f>
        <v/>
      </c>
      <c r="P726" s="37" t="str">
        <f>IF([3]道具信息!P726="","",[3]道具信息!P726)</f>
        <v/>
      </c>
      <c r="Q726" s="37" t="str">
        <f>IF([3]道具信息!Q726="","",[3]道具信息!Q726)</f>
        <v/>
      </c>
    </row>
    <row r="727" spans="3:17" x14ac:dyDescent="0.15">
      <c r="C727" s="37" t="str">
        <f>IF([3]道具信息!C727="","",[3]道具信息!C727)</f>
        <v/>
      </c>
      <c r="D727" s="37" t="str">
        <f>IF([3]道具信息!D727="","",[3]道具信息!D727)</f>
        <v/>
      </c>
      <c r="E727" s="37" t="str">
        <f>IF([3]道具信息!E727="","",[3]道具信息!E727)</f>
        <v/>
      </c>
      <c r="F727" s="37" t="str">
        <f>IF([3]道具信息!F727="","",[3]道具信息!F727)</f>
        <v/>
      </c>
      <c r="G727" s="37" t="str">
        <f>IF([3]道具信息!G727="","",[3]道具信息!G727)</f>
        <v/>
      </c>
      <c r="H727" s="37" t="str">
        <f>IF([3]道具信息!H727="","",[3]道具信息!H727)</f>
        <v/>
      </c>
      <c r="I727" s="37" t="str">
        <f>IF([3]道具信息!I727="","",[3]道具信息!I727)</f>
        <v/>
      </c>
      <c r="J727" s="37" t="str">
        <f>IF([3]道具信息!J727="","",[3]道具信息!J727)</f>
        <v/>
      </c>
      <c r="K727" s="37" t="str">
        <f>IF([3]道具信息!K727="","",[3]道具信息!K727)</f>
        <v/>
      </c>
      <c r="L727" s="37" t="str">
        <f>IF([3]道具信息!L727="","",[3]道具信息!L727)</f>
        <v/>
      </c>
      <c r="M727" s="37" t="str">
        <f>IF([3]道具信息!M727="","",[3]道具信息!M727)</f>
        <v/>
      </c>
      <c r="N727" s="37"/>
      <c r="O727" s="37" t="str">
        <f>IF([3]道具信息!O727="","",[3]道具信息!O727)</f>
        <v/>
      </c>
      <c r="P727" s="37" t="str">
        <f>IF([3]道具信息!P727="","",[3]道具信息!P727)</f>
        <v/>
      </c>
      <c r="Q727" s="37" t="str">
        <f>IF([3]道具信息!Q727="","",[3]道具信息!Q727)</f>
        <v/>
      </c>
    </row>
    <row r="728" spans="3:17" x14ac:dyDescent="0.15">
      <c r="C728" s="37" t="str">
        <f>IF([3]道具信息!C728="","",[3]道具信息!C728)</f>
        <v/>
      </c>
      <c r="D728" s="37" t="str">
        <f>IF([3]道具信息!D728="","",[3]道具信息!D728)</f>
        <v/>
      </c>
      <c r="E728" s="37" t="str">
        <f>IF([3]道具信息!E728="","",[3]道具信息!E728)</f>
        <v/>
      </c>
      <c r="F728" s="37" t="str">
        <f>IF([3]道具信息!F728="","",[3]道具信息!F728)</f>
        <v/>
      </c>
      <c r="G728" s="37" t="str">
        <f>IF([3]道具信息!G728="","",[3]道具信息!G728)</f>
        <v/>
      </c>
      <c r="H728" s="37" t="str">
        <f>IF([3]道具信息!H728="","",[3]道具信息!H728)</f>
        <v/>
      </c>
      <c r="I728" s="37" t="str">
        <f>IF([3]道具信息!I728="","",[3]道具信息!I728)</f>
        <v/>
      </c>
      <c r="J728" s="37" t="str">
        <f>IF([3]道具信息!J728="","",[3]道具信息!J728)</f>
        <v/>
      </c>
      <c r="K728" s="37" t="str">
        <f>IF([3]道具信息!K728="","",[3]道具信息!K728)</f>
        <v/>
      </c>
      <c r="L728" s="37" t="str">
        <f>IF([3]道具信息!L728="","",[3]道具信息!L728)</f>
        <v/>
      </c>
      <c r="M728" s="37" t="str">
        <f>IF([3]道具信息!M728="","",[3]道具信息!M728)</f>
        <v/>
      </c>
      <c r="N728" s="37"/>
      <c r="O728" s="37" t="str">
        <f>IF([3]道具信息!O728="","",[3]道具信息!O728)</f>
        <v/>
      </c>
      <c r="P728" s="37" t="str">
        <f>IF([3]道具信息!P728="","",[3]道具信息!P728)</f>
        <v/>
      </c>
      <c r="Q728" s="37" t="str">
        <f>IF([3]道具信息!Q728="","",[3]道具信息!Q728)</f>
        <v/>
      </c>
    </row>
    <row r="729" spans="3:17" x14ac:dyDescent="0.15">
      <c r="C729" s="37" t="str">
        <f>IF([3]道具信息!C729="","",[3]道具信息!C729)</f>
        <v/>
      </c>
      <c r="D729" s="37" t="str">
        <f>IF([3]道具信息!D729="","",[3]道具信息!D729)</f>
        <v/>
      </c>
      <c r="E729" s="37" t="str">
        <f>IF([3]道具信息!E729="","",[3]道具信息!E729)</f>
        <v/>
      </c>
      <c r="F729" s="37" t="str">
        <f>IF([3]道具信息!F729="","",[3]道具信息!F729)</f>
        <v/>
      </c>
      <c r="G729" s="37" t="str">
        <f>IF([3]道具信息!G729="","",[3]道具信息!G729)</f>
        <v/>
      </c>
      <c r="H729" s="37" t="str">
        <f>IF([3]道具信息!H729="","",[3]道具信息!H729)</f>
        <v/>
      </c>
      <c r="I729" s="37" t="str">
        <f>IF([3]道具信息!I729="","",[3]道具信息!I729)</f>
        <v/>
      </c>
      <c r="J729" s="37" t="str">
        <f>IF([3]道具信息!J729="","",[3]道具信息!J729)</f>
        <v/>
      </c>
      <c r="K729" s="37" t="str">
        <f>IF([3]道具信息!K729="","",[3]道具信息!K729)</f>
        <v/>
      </c>
      <c r="L729" s="37" t="str">
        <f>IF([3]道具信息!L729="","",[3]道具信息!L729)</f>
        <v/>
      </c>
      <c r="M729" s="37" t="str">
        <f>IF([3]道具信息!M729="","",[3]道具信息!M729)</f>
        <v/>
      </c>
      <c r="N729" s="37"/>
      <c r="O729" s="37" t="str">
        <f>IF([3]道具信息!O729="","",[3]道具信息!O729)</f>
        <v/>
      </c>
      <c r="P729" s="37" t="str">
        <f>IF([3]道具信息!P729="","",[3]道具信息!P729)</f>
        <v/>
      </c>
      <c r="Q729" s="37" t="str">
        <f>IF([3]道具信息!Q729="","",[3]道具信息!Q729)</f>
        <v/>
      </c>
    </row>
    <row r="730" spans="3:17" x14ac:dyDescent="0.15">
      <c r="C730" s="37" t="str">
        <f>IF([3]道具信息!C730="","",[3]道具信息!C730)</f>
        <v/>
      </c>
      <c r="D730" s="37" t="str">
        <f>IF([3]道具信息!D730="","",[3]道具信息!D730)</f>
        <v/>
      </c>
      <c r="E730" s="37" t="str">
        <f>IF([3]道具信息!E730="","",[3]道具信息!E730)</f>
        <v/>
      </c>
      <c r="F730" s="37" t="str">
        <f>IF([3]道具信息!F730="","",[3]道具信息!F730)</f>
        <v/>
      </c>
      <c r="G730" s="37" t="str">
        <f>IF([3]道具信息!G730="","",[3]道具信息!G730)</f>
        <v/>
      </c>
      <c r="H730" s="37" t="str">
        <f>IF([3]道具信息!H730="","",[3]道具信息!H730)</f>
        <v/>
      </c>
      <c r="I730" s="37" t="str">
        <f>IF([3]道具信息!I730="","",[3]道具信息!I730)</f>
        <v/>
      </c>
      <c r="J730" s="37" t="str">
        <f>IF([3]道具信息!J730="","",[3]道具信息!J730)</f>
        <v/>
      </c>
      <c r="K730" s="37" t="str">
        <f>IF([3]道具信息!K730="","",[3]道具信息!K730)</f>
        <v/>
      </c>
      <c r="L730" s="37" t="str">
        <f>IF([3]道具信息!L730="","",[3]道具信息!L730)</f>
        <v/>
      </c>
      <c r="M730" s="37" t="str">
        <f>IF([3]道具信息!M730="","",[3]道具信息!M730)</f>
        <v/>
      </c>
      <c r="N730" s="37"/>
      <c r="O730" s="37" t="str">
        <f>IF([3]道具信息!O730="","",[3]道具信息!O730)</f>
        <v/>
      </c>
      <c r="P730" s="37" t="str">
        <f>IF([3]道具信息!P730="","",[3]道具信息!P730)</f>
        <v/>
      </c>
      <c r="Q730" s="37" t="str">
        <f>IF([3]道具信息!Q730="","",[3]道具信息!Q730)</f>
        <v/>
      </c>
    </row>
    <row r="731" spans="3:17" x14ac:dyDescent="0.15">
      <c r="C731" s="37" t="str">
        <f>IF([3]道具信息!C731="","",[3]道具信息!C731)</f>
        <v/>
      </c>
      <c r="D731" s="37" t="str">
        <f>IF([3]道具信息!D731="","",[3]道具信息!D731)</f>
        <v/>
      </c>
      <c r="E731" s="37" t="str">
        <f>IF([3]道具信息!E731="","",[3]道具信息!E731)</f>
        <v/>
      </c>
      <c r="F731" s="37" t="str">
        <f>IF([3]道具信息!F731="","",[3]道具信息!F731)</f>
        <v/>
      </c>
      <c r="G731" s="37" t="str">
        <f>IF([3]道具信息!G731="","",[3]道具信息!G731)</f>
        <v/>
      </c>
      <c r="H731" s="37" t="str">
        <f>IF([3]道具信息!H731="","",[3]道具信息!H731)</f>
        <v/>
      </c>
      <c r="I731" s="37" t="str">
        <f>IF([3]道具信息!I731="","",[3]道具信息!I731)</f>
        <v/>
      </c>
      <c r="J731" s="37" t="str">
        <f>IF([3]道具信息!J731="","",[3]道具信息!J731)</f>
        <v/>
      </c>
      <c r="K731" s="37" t="str">
        <f>IF([3]道具信息!K731="","",[3]道具信息!K731)</f>
        <v/>
      </c>
      <c r="L731" s="37" t="str">
        <f>IF([3]道具信息!L731="","",[3]道具信息!L731)</f>
        <v/>
      </c>
      <c r="M731" s="37" t="str">
        <f>IF([3]道具信息!M731="","",[3]道具信息!M731)</f>
        <v/>
      </c>
      <c r="N731" s="37"/>
      <c r="O731" s="37" t="str">
        <f>IF([3]道具信息!O731="","",[3]道具信息!O731)</f>
        <v/>
      </c>
      <c r="P731" s="37" t="str">
        <f>IF([3]道具信息!P731="","",[3]道具信息!P731)</f>
        <v/>
      </c>
      <c r="Q731" s="37" t="str">
        <f>IF([3]道具信息!Q731="","",[3]道具信息!Q731)</f>
        <v/>
      </c>
    </row>
    <row r="732" spans="3:17" x14ac:dyDescent="0.15">
      <c r="C732" s="37" t="str">
        <f>IF([3]道具信息!C732="","",[3]道具信息!C732)</f>
        <v/>
      </c>
      <c r="D732" s="37" t="str">
        <f>IF([3]道具信息!D732="","",[3]道具信息!D732)</f>
        <v/>
      </c>
      <c r="E732" s="37" t="str">
        <f>IF([3]道具信息!E732="","",[3]道具信息!E732)</f>
        <v/>
      </c>
      <c r="F732" s="37" t="str">
        <f>IF([3]道具信息!F732="","",[3]道具信息!F732)</f>
        <v/>
      </c>
      <c r="G732" s="37" t="str">
        <f>IF([3]道具信息!G732="","",[3]道具信息!G732)</f>
        <v/>
      </c>
      <c r="H732" s="37" t="str">
        <f>IF([3]道具信息!H732="","",[3]道具信息!H732)</f>
        <v/>
      </c>
      <c r="I732" s="37" t="str">
        <f>IF([3]道具信息!I732="","",[3]道具信息!I732)</f>
        <v/>
      </c>
      <c r="J732" s="37" t="str">
        <f>IF([3]道具信息!J732="","",[3]道具信息!J732)</f>
        <v/>
      </c>
      <c r="K732" s="37" t="str">
        <f>IF([3]道具信息!K732="","",[3]道具信息!K732)</f>
        <v/>
      </c>
      <c r="L732" s="37" t="str">
        <f>IF([3]道具信息!L732="","",[3]道具信息!L732)</f>
        <v/>
      </c>
      <c r="M732" s="37" t="str">
        <f>IF([3]道具信息!M732="","",[3]道具信息!M732)</f>
        <v/>
      </c>
      <c r="N732" s="37"/>
      <c r="O732" s="37" t="str">
        <f>IF([3]道具信息!O732="","",[3]道具信息!O732)</f>
        <v/>
      </c>
      <c r="P732" s="37" t="str">
        <f>IF([3]道具信息!P732="","",[3]道具信息!P732)</f>
        <v/>
      </c>
      <c r="Q732" s="37" t="str">
        <f>IF([3]道具信息!Q732="","",[3]道具信息!Q732)</f>
        <v/>
      </c>
    </row>
    <row r="733" spans="3:17" x14ac:dyDescent="0.15">
      <c r="C733" s="37" t="str">
        <f>IF([3]道具信息!C733="","",[3]道具信息!C733)</f>
        <v/>
      </c>
      <c r="D733" s="37" t="str">
        <f>IF([3]道具信息!D733="","",[3]道具信息!D733)</f>
        <v/>
      </c>
      <c r="E733" s="37" t="str">
        <f>IF([3]道具信息!E733="","",[3]道具信息!E733)</f>
        <v/>
      </c>
      <c r="F733" s="37" t="str">
        <f>IF([3]道具信息!F733="","",[3]道具信息!F733)</f>
        <v/>
      </c>
      <c r="G733" s="37" t="str">
        <f>IF([3]道具信息!G733="","",[3]道具信息!G733)</f>
        <v/>
      </c>
      <c r="H733" s="37" t="str">
        <f>IF([3]道具信息!H733="","",[3]道具信息!H733)</f>
        <v/>
      </c>
      <c r="I733" s="37" t="str">
        <f>IF([3]道具信息!I733="","",[3]道具信息!I733)</f>
        <v/>
      </c>
      <c r="J733" s="37" t="str">
        <f>IF([3]道具信息!J733="","",[3]道具信息!J733)</f>
        <v/>
      </c>
      <c r="K733" s="37" t="str">
        <f>IF([3]道具信息!K733="","",[3]道具信息!K733)</f>
        <v/>
      </c>
      <c r="L733" s="37" t="str">
        <f>IF([3]道具信息!L733="","",[3]道具信息!L733)</f>
        <v/>
      </c>
      <c r="M733" s="37" t="str">
        <f>IF([3]道具信息!M733="","",[3]道具信息!M733)</f>
        <v/>
      </c>
      <c r="N733" s="37"/>
      <c r="O733" s="37" t="str">
        <f>IF([3]道具信息!O733="","",[3]道具信息!O733)</f>
        <v/>
      </c>
      <c r="P733" s="37" t="str">
        <f>IF([3]道具信息!P733="","",[3]道具信息!P733)</f>
        <v/>
      </c>
      <c r="Q733" s="37" t="str">
        <f>IF([3]道具信息!Q733="","",[3]道具信息!Q733)</f>
        <v/>
      </c>
    </row>
    <row r="734" spans="3:17" x14ac:dyDescent="0.15">
      <c r="C734" s="37" t="str">
        <f>IF([3]道具信息!C734="","",[3]道具信息!C734)</f>
        <v/>
      </c>
      <c r="D734" s="37" t="str">
        <f>IF([3]道具信息!D734="","",[3]道具信息!D734)</f>
        <v/>
      </c>
      <c r="E734" s="37" t="str">
        <f>IF([3]道具信息!E734="","",[3]道具信息!E734)</f>
        <v/>
      </c>
      <c r="F734" s="37" t="str">
        <f>IF([3]道具信息!F734="","",[3]道具信息!F734)</f>
        <v/>
      </c>
      <c r="G734" s="37" t="str">
        <f>IF([3]道具信息!G734="","",[3]道具信息!G734)</f>
        <v/>
      </c>
      <c r="H734" s="37" t="str">
        <f>IF([3]道具信息!H734="","",[3]道具信息!H734)</f>
        <v/>
      </c>
      <c r="I734" s="37" t="str">
        <f>IF([3]道具信息!I734="","",[3]道具信息!I734)</f>
        <v/>
      </c>
      <c r="J734" s="37" t="str">
        <f>IF([3]道具信息!J734="","",[3]道具信息!J734)</f>
        <v/>
      </c>
      <c r="K734" s="37" t="str">
        <f>IF([3]道具信息!K734="","",[3]道具信息!K734)</f>
        <v/>
      </c>
      <c r="L734" s="37" t="str">
        <f>IF([3]道具信息!L734="","",[3]道具信息!L734)</f>
        <v/>
      </c>
      <c r="M734" s="37" t="str">
        <f>IF([3]道具信息!M734="","",[3]道具信息!M734)</f>
        <v/>
      </c>
      <c r="N734" s="37"/>
      <c r="O734" s="37" t="str">
        <f>IF([3]道具信息!O734="","",[3]道具信息!O734)</f>
        <v/>
      </c>
      <c r="P734" s="37" t="str">
        <f>IF([3]道具信息!P734="","",[3]道具信息!P734)</f>
        <v/>
      </c>
      <c r="Q734" s="37" t="str">
        <f>IF([3]道具信息!Q734="","",[3]道具信息!Q734)</f>
        <v/>
      </c>
    </row>
    <row r="735" spans="3:17" x14ac:dyDescent="0.15">
      <c r="C735" s="37" t="str">
        <f>IF([3]道具信息!C735="","",[3]道具信息!C735)</f>
        <v/>
      </c>
      <c r="D735" s="37" t="str">
        <f>IF([3]道具信息!D735="","",[3]道具信息!D735)</f>
        <v/>
      </c>
      <c r="E735" s="37" t="str">
        <f>IF([3]道具信息!E735="","",[3]道具信息!E735)</f>
        <v/>
      </c>
      <c r="F735" s="37" t="str">
        <f>IF([3]道具信息!F735="","",[3]道具信息!F735)</f>
        <v/>
      </c>
      <c r="G735" s="37" t="str">
        <f>IF([3]道具信息!G735="","",[3]道具信息!G735)</f>
        <v/>
      </c>
      <c r="H735" s="37" t="str">
        <f>IF([3]道具信息!H735="","",[3]道具信息!H735)</f>
        <v/>
      </c>
      <c r="I735" s="37" t="str">
        <f>IF([3]道具信息!I735="","",[3]道具信息!I735)</f>
        <v/>
      </c>
      <c r="J735" s="37" t="str">
        <f>IF([3]道具信息!J735="","",[3]道具信息!J735)</f>
        <v/>
      </c>
      <c r="K735" s="37" t="str">
        <f>IF([3]道具信息!K735="","",[3]道具信息!K735)</f>
        <v/>
      </c>
      <c r="L735" s="37" t="str">
        <f>IF([3]道具信息!L735="","",[3]道具信息!L735)</f>
        <v/>
      </c>
      <c r="M735" s="37" t="str">
        <f>IF([3]道具信息!M735="","",[3]道具信息!M735)</f>
        <v/>
      </c>
      <c r="N735" s="37"/>
      <c r="O735" s="37" t="str">
        <f>IF([3]道具信息!O735="","",[3]道具信息!O735)</f>
        <v/>
      </c>
      <c r="P735" s="37" t="str">
        <f>IF([3]道具信息!P735="","",[3]道具信息!P735)</f>
        <v/>
      </c>
      <c r="Q735" s="37" t="str">
        <f>IF([3]道具信息!Q735="","",[3]道具信息!Q735)</f>
        <v/>
      </c>
    </row>
    <row r="736" spans="3:17" x14ac:dyDescent="0.15">
      <c r="C736" s="37" t="str">
        <f>IF([3]道具信息!C736="","",[3]道具信息!C736)</f>
        <v/>
      </c>
      <c r="D736" s="37" t="str">
        <f>IF([3]道具信息!D736="","",[3]道具信息!D736)</f>
        <v/>
      </c>
      <c r="E736" s="37" t="str">
        <f>IF([3]道具信息!E736="","",[3]道具信息!E736)</f>
        <v/>
      </c>
      <c r="F736" s="37" t="str">
        <f>IF([3]道具信息!F736="","",[3]道具信息!F736)</f>
        <v/>
      </c>
      <c r="G736" s="37" t="str">
        <f>IF([3]道具信息!G736="","",[3]道具信息!G736)</f>
        <v/>
      </c>
      <c r="H736" s="37" t="str">
        <f>IF([3]道具信息!H736="","",[3]道具信息!H736)</f>
        <v/>
      </c>
      <c r="I736" s="37" t="str">
        <f>IF([3]道具信息!I736="","",[3]道具信息!I736)</f>
        <v/>
      </c>
      <c r="J736" s="37" t="str">
        <f>IF([3]道具信息!J736="","",[3]道具信息!J736)</f>
        <v/>
      </c>
      <c r="K736" s="37" t="str">
        <f>IF([3]道具信息!K736="","",[3]道具信息!K736)</f>
        <v/>
      </c>
      <c r="L736" s="37" t="str">
        <f>IF([3]道具信息!L736="","",[3]道具信息!L736)</f>
        <v/>
      </c>
      <c r="M736" s="37" t="str">
        <f>IF([3]道具信息!M736="","",[3]道具信息!M736)</f>
        <v/>
      </c>
      <c r="N736" s="37"/>
      <c r="O736" s="37" t="str">
        <f>IF([3]道具信息!O736="","",[3]道具信息!O736)</f>
        <v/>
      </c>
      <c r="P736" s="37" t="str">
        <f>IF([3]道具信息!P736="","",[3]道具信息!P736)</f>
        <v/>
      </c>
      <c r="Q736" s="37" t="str">
        <f>IF([3]道具信息!Q736="","",[3]道具信息!Q736)</f>
        <v/>
      </c>
    </row>
    <row r="737" spans="3:17" x14ac:dyDescent="0.15">
      <c r="C737" s="37" t="str">
        <f>IF([3]道具信息!C737="","",[3]道具信息!C737)</f>
        <v/>
      </c>
      <c r="D737" s="37" t="str">
        <f>IF([3]道具信息!D737="","",[3]道具信息!D737)</f>
        <v/>
      </c>
      <c r="E737" s="37" t="str">
        <f>IF([3]道具信息!E737="","",[3]道具信息!E737)</f>
        <v/>
      </c>
      <c r="F737" s="37" t="str">
        <f>IF([3]道具信息!F737="","",[3]道具信息!F737)</f>
        <v/>
      </c>
      <c r="G737" s="37" t="str">
        <f>IF([3]道具信息!G737="","",[3]道具信息!G737)</f>
        <v/>
      </c>
      <c r="H737" s="37" t="str">
        <f>IF([3]道具信息!H737="","",[3]道具信息!H737)</f>
        <v/>
      </c>
      <c r="I737" s="37" t="str">
        <f>IF([3]道具信息!I737="","",[3]道具信息!I737)</f>
        <v/>
      </c>
      <c r="J737" s="37" t="str">
        <f>IF([3]道具信息!J737="","",[3]道具信息!J737)</f>
        <v/>
      </c>
      <c r="K737" s="37" t="str">
        <f>IF([3]道具信息!K737="","",[3]道具信息!K737)</f>
        <v/>
      </c>
      <c r="L737" s="37" t="str">
        <f>IF([3]道具信息!L737="","",[3]道具信息!L737)</f>
        <v/>
      </c>
      <c r="M737" s="37" t="str">
        <f>IF([3]道具信息!M737="","",[3]道具信息!M737)</f>
        <v/>
      </c>
      <c r="N737" s="37"/>
      <c r="O737" s="37" t="str">
        <f>IF([3]道具信息!O737="","",[3]道具信息!O737)</f>
        <v/>
      </c>
      <c r="P737" s="37" t="str">
        <f>IF([3]道具信息!P737="","",[3]道具信息!P737)</f>
        <v/>
      </c>
      <c r="Q737" s="37" t="str">
        <f>IF([3]道具信息!Q737="","",[3]道具信息!Q737)</f>
        <v/>
      </c>
    </row>
    <row r="738" spans="3:17" x14ac:dyDescent="0.15">
      <c r="C738" s="37" t="str">
        <f>IF([3]道具信息!C738="","",[3]道具信息!C738)</f>
        <v/>
      </c>
      <c r="D738" s="37" t="str">
        <f>IF([3]道具信息!D738="","",[3]道具信息!D738)</f>
        <v/>
      </c>
      <c r="E738" s="37" t="str">
        <f>IF([3]道具信息!E738="","",[3]道具信息!E738)</f>
        <v/>
      </c>
      <c r="F738" s="37" t="str">
        <f>IF([3]道具信息!F738="","",[3]道具信息!F738)</f>
        <v/>
      </c>
      <c r="G738" s="37" t="str">
        <f>IF([3]道具信息!G738="","",[3]道具信息!G738)</f>
        <v/>
      </c>
      <c r="H738" s="37" t="str">
        <f>IF([3]道具信息!H738="","",[3]道具信息!H738)</f>
        <v/>
      </c>
      <c r="I738" s="37" t="str">
        <f>IF([3]道具信息!I738="","",[3]道具信息!I738)</f>
        <v/>
      </c>
      <c r="J738" s="37" t="str">
        <f>IF([3]道具信息!J738="","",[3]道具信息!J738)</f>
        <v/>
      </c>
      <c r="K738" s="37" t="str">
        <f>IF([3]道具信息!K738="","",[3]道具信息!K738)</f>
        <v/>
      </c>
      <c r="L738" s="37" t="str">
        <f>IF([3]道具信息!L738="","",[3]道具信息!L738)</f>
        <v/>
      </c>
      <c r="M738" s="37" t="str">
        <f>IF([3]道具信息!M738="","",[3]道具信息!M738)</f>
        <v/>
      </c>
      <c r="N738" s="37"/>
      <c r="O738" s="37" t="str">
        <f>IF([3]道具信息!O738="","",[3]道具信息!O738)</f>
        <v/>
      </c>
      <c r="P738" s="37" t="str">
        <f>IF([3]道具信息!P738="","",[3]道具信息!P738)</f>
        <v/>
      </c>
      <c r="Q738" s="37" t="str">
        <f>IF([3]道具信息!Q738="","",[3]道具信息!Q738)</f>
        <v/>
      </c>
    </row>
    <row r="739" spans="3:17" x14ac:dyDescent="0.15">
      <c r="C739" s="37" t="str">
        <f>IF([3]道具信息!C739="","",[3]道具信息!C739)</f>
        <v/>
      </c>
      <c r="D739" s="37" t="str">
        <f>IF([3]道具信息!D739="","",[3]道具信息!D739)</f>
        <v/>
      </c>
      <c r="E739" s="37" t="str">
        <f>IF([3]道具信息!E739="","",[3]道具信息!E739)</f>
        <v/>
      </c>
      <c r="F739" s="37" t="str">
        <f>IF([3]道具信息!F739="","",[3]道具信息!F739)</f>
        <v/>
      </c>
      <c r="G739" s="37" t="str">
        <f>IF([3]道具信息!G739="","",[3]道具信息!G739)</f>
        <v/>
      </c>
      <c r="H739" s="37" t="str">
        <f>IF([3]道具信息!H739="","",[3]道具信息!H739)</f>
        <v/>
      </c>
      <c r="I739" s="37" t="str">
        <f>IF([3]道具信息!I739="","",[3]道具信息!I739)</f>
        <v/>
      </c>
      <c r="J739" s="37" t="str">
        <f>IF([3]道具信息!J739="","",[3]道具信息!J739)</f>
        <v/>
      </c>
      <c r="K739" s="37" t="str">
        <f>IF([3]道具信息!K739="","",[3]道具信息!K739)</f>
        <v/>
      </c>
      <c r="L739" s="37" t="str">
        <f>IF([3]道具信息!L739="","",[3]道具信息!L739)</f>
        <v/>
      </c>
      <c r="M739" s="37" t="str">
        <f>IF([3]道具信息!M739="","",[3]道具信息!M739)</f>
        <v/>
      </c>
      <c r="N739" s="37"/>
      <c r="O739" s="37" t="str">
        <f>IF([3]道具信息!O739="","",[3]道具信息!O739)</f>
        <v/>
      </c>
      <c r="P739" s="37" t="str">
        <f>IF([3]道具信息!P739="","",[3]道具信息!P739)</f>
        <v/>
      </c>
      <c r="Q739" s="37" t="str">
        <f>IF([3]道具信息!Q739="","",[3]道具信息!Q739)</f>
        <v/>
      </c>
    </row>
    <row r="740" spans="3:17" x14ac:dyDescent="0.15">
      <c r="C740" s="37" t="str">
        <f>IF([3]道具信息!C740="","",[3]道具信息!C740)</f>
        <v/>
      </c>
      <c r="D740" s="37" t="str">
        <f>IF([3]道具信息!D740="","",[3]道具信息!D740)</f>
        <v/>
      </c>
      <c r="E740" s="37" t="str">
        <f>IF([3]道具信息!E740="","",[3]道具信息!E740)</f>
        <v/>
      </c>
      <c r="F740" s="37" t="str">
        <f>IF([3]道具信息!F740="","",[3]道具信息!F740)</f>
        <v/>
      </c>
      <c r="G740" s="37" t="str">
        <f>IF([3]道具信息!G740="","",[3]道具信息!G740)</f>
        <v/>
      </c>
      <c r="H740" s="37" t="str">
        <f>IF([3]道具信息!H740="","",[3]道具信息!H740)</f>
        <v/>
      </c>
      <c r="I740" s="37" t="str">
        <f>IF([3]道具信息!I740="","",[3]道具信息!I740)</f>
        <v/>
      </c>
      <c r="J740" s="37" t="str">
        <f>IF([3]道具信息!J740="","",[3]道具信息!J740)</f>
        <v/>
      </c>
      <c r="K740" s="37" t="str">
        <f>IF([3]道具信息!K740="","",[3]道具信息!K740)</f>
        <v/>
      </c>
      <c r="L740" s="37" t="str">
        <f>IF([3]道具信息!L740="","",[3]道具信息!L740)</f>
        <v/>
      </c>
      <c r="M740" s="37" t="str">
        <f>IF([3]道具信息!M740="","",[3]道具信息!M740)</f>
        <v/>
      </c>
      <c r="N740" s="37"/>
      <c r="O740" s="37" t="str">
        <f>IF([3]道具信息!O740="","",[3]道具信息!O740)</f>
        <v/>
      </c>
      <c r="P740" s="37" t="str">
        <f>IF([3]道具信息!P740="","",[3]道具信息!P740)</f>
        <v/>
      </c>
      <c r="Q740" s="37" t="str">
        <f>IF([3]道具信息!Q740="","",[3]道具信息!Q740)</f>
        <v/>
      </c>
    </row>
    <row r="741" spans="3:17" x14ac:dyDescent="0.15">
      <c r="C741" s="37" t="str">
        <f>IF([3]道具信息!C741="","",[3]道具信息!C741)</f>
        <v/>
      </c>
      <c r="D741" s="37" t="str">
        <f>IF([3]道具信息!D741="","",[3]道具信息!D741)</f>
        <v/>
      </c>
      <c r="E741" s="37" t="str">
        <f>IF([3]道具信息!E741="","",[3]道具信息!E741)</f>
        <v/>
      </c>
      <c r="F741" s="37" t="str">
        <f>IF([3]道具信息!F741="","",[3]道具信息!F741)</f>
        <v/>
      </c>
      <c r="G741" s="37" t="str">
        <f>IF([3]道具信息!G741="","",[3]道具信息!G741)</f>
        <v/>
      </c>
      <c r="H741" s="37" t="str">
        <f>IF([3]道具信息!H741="","",[3]道具信息!H741)</f>
        <v/>
      </c>
      <c r="I741" s="37" t="str">
        <f>IF([3]道具信息!I741="","",[3]道具信息!I741)</f>
        <v/>
      </c>
      <c r="J741" s="37" t="str">
        <f>IF([3]道具信息!J741="","",[3]道具信息!J741)</f>
        <v/>
      </c>
      <c r="K741" s="37" t="str">
        <f>IF([3]道具信息!K741="","",[3]道具信息!K741)</f>
        <v/>
      </c>
      <c r="L741" s="37" t="str">
        <f>IF([3]道具信息!L741="","",[3]道具信息!L741)</f>
        <v/>
      </c>
      <c r="M741" s="37" t="str">
        <f>IF([3]道具信息!M741="","",[3]道具信息!M741)</f>
        <v/>
      </c>
      <c r="N741" s="37"/>
      <c r="O741" s="37" t="str">
        <f>IF([3]道具信息!O741="","",[3]道具信息!O741)</f>
        <v/>
      </c>
      <c r="P741" s="37" t="str">
        <f>IF([3]道具信息!P741="","",[3]道具信息!P741)</f>
        <v/>
      </c>
      <c r="Q741" s="37" t="str">
        <f>IF([3]道具信息!Q741="","",[3]道具信息!Q741)</f>
        <v/>
      </c>
    </row>
    <row r="742" spans="3:17" x14ac:dyDescent="0.15">
      <c r="C742" s="37" t="str">
        <f>IF([3]道具信息!C742="","",[3]道具信息!C742)</f>
        <v/>
      </c>
      <c r="D742" s="37" t="str">
        <f>IF([3]道具信息!D742="","",[3]道具信息!D742)</f>
        <v/>
      </c>
      <c r="E742" s="37" t="str">
        <f>IF([3]道具信息!E742="","",[3]道具信息!E742)</f>
        <v/>
      </c>
      <c r="F742" s="37" t="str">
        <f>IF([3]道具信息!F742="","",[3]道具信息!F742)</f>
        <v/>
      </c>
      <c r="G742" s="37" t="str">
        <f>IF([3]道具信息!G742="","",[3]道具信息!G742)</f>
        <v/>
      </c>
      <c r="H742" s="37" t="str">
        <f>IF([3]道具信息!H742="","",[3]道具信息!H742)</f>
        <v/>
      </c>
      <c r="I742" s="37" t="str">
        <f>IF([3]道具信息!I742="","",[3]道具信息!I742)</f>
        <v/>
      </c>
      <c r="J742" s="37" t="str">
        <f>IF([3]道具信息!J742="","",[3]道具信息!J742)</f>
        <v/>
      </c>
      <c r="K742" s="37" t="str">
        <f>IF([3]道具信息!K742="","",[3]道具信息!K742)</f>
        <v/>
      </c>
      <c r="L742" s="37" t="str">
        <f>IF([3]道具信息!L742="","",[3]道具信息!L742)</f>
        <v/>
      </c>
      <c r="M742" s="37" t="str">
        <f>IF([3]道具信息!M742="","",[3]道具信息!M742)</f>
        <v/>
      </c>
      <c r="N742" s="37"/>
      <c r="O742" s="37" t="str">
        <f>IF([3]道具信息!O742="","",[3]道具信息!O742)</f>
        <v/>
      </c>
      <c r="P742" s="37" t="str">
        <f>IF([3]道具信息!P742="","",[3]道具信息!P742)</f>
        <v/>
      </c>
      <c r="Q742" s="37" t="str">
        <f>IF([3]道具信息!Q742="","",[3]道具信息!Q742)</f>
        <v/>
      </c>
    </row>
    <row r="743" spans="3:17" x14ac:dyDescent="0.15">
      <c r="C743" s="37" t="str">
        <f>IF([3]道具信息!C743="","",[3]道具信息!C743)</f>
        <v/>
      </c>
      <c r="D743" s="37" t="str">
        <f>IF([3]道具信息!D743="","",[3]道具信息!D743)</f>
        <v/>
      </c>
      <c r="E743" s="37" t="str">
        <f>IF([3]道具信息!E743="","",[3]道具信息!E743)</f>
        <v/>
      </c>
      <c r="F743" s="37" t="str">
        <f>IF([3]道具信息!F743="","",[3]道具信息!F743)</f>
        <v/>
      </c>
      <c r="G743" s="37" t="str">
        <f>IF([3]道具信息!G743="","",[3]道具信息!G743)</f>
        <v/>
      </c>
      <c r="H743" s="37" t="str">
        <f>IF([3]道具信息!H743="","",[3]道具信息!H743)</f>
        <v/>
      </c>
      <c r="I743" s="37" t="str">
        <f>IF([3]道具信息!I743="","",[3]道具信息!I743)</f>
        <v/>
      </c>
      <c r="J743" s="37" t="str">
        <f>IF([3]道具信息!J743="","",[3]道具信息!J743)</f>
        <v/>
      </c>
      <c r="K743" s="37" t="str">
        <f>IF([3]道具信息!K743="","",[3]道具信息!K743)</f>
        <v/>
      </c>
      <c r="L743" s="37" t="str">
        <f>IF([3]道具信息!L743="","",[3]道具信息!L743)</f>
        <v/>
      </c>
      <c r="M743" s="37" t="str">
        <f>IF([3]道具信息!M743="","",[3]道具信息!M743)</f>
        <v/>
      </c>
      <c r="N743" s="37"/>
      <c r="O743" s="37" t="str">
        <f>IF([3]道具信息!O743="","",[3]道具信息!O743)</f>
        <v/>
      </c>
      <c r="P743" s="37" t="str">
        <f>IF([3]道具信息!P743="","",[3]道具信息!P743)</f>
        <v/>
      </c>
      <c r="Q743" s="37" t="str">
        <f>IF([3]道具信息!Q743="","",[3]道具信息!Q743)</f>
        <v/>
      </c>
    </row>
    <row r="744" spans="3:17" x14ac:dyDescent="0.15">
      <c r="C744" s="37" t="str">
        <f>IF([3]道具信息!C744="","",[3]道具信息!C744)</f>
        <v/>
      </c>
      <c r="D744" s="37" t="str">
        <f>IF([3]道具信息!D744="","",[3]道具信息!D744)</f>
        <v/>
      </c>
      <c r="E744" s="37" t="str">
        <f>IF([3]道具信息!E744="","",[3]道具信息!E744)</f>
        <v/>
      </c>
      <c r="F744" s="37" t="str">
        <f>IF([3]道具信息!F744="","",[3]道具信息!F744)</f>
        <v/>
      </c>
      <c r="G744" s="37" t="str">
        <f>IF([3]道具信息!G744="","",[3]道具信息!G744)</f>
        <v/>
      </c>
      <c r="H744" s="37" t="str">
        <f>IF([3]道具信息!H744="","",[3]道具信息!H744)</f>
        <v/>
      </c>
      <c r="I744" s="37" t="str">
        <f>IF([3]道具信息!I744="","",[3]道具信息!I744)</f>
        <v/>
      </c>
      <c r="J744" s="37" t="str">
        <f>IF([3]道具信息!J744="","",[3]道具信息!J744)</f>
        <v/>
      </c>
      <c r="K744" s="37" t="str">
        <f>IF([3]道具信息!K744="","",[3]道具信息!K744)</f>
        <v/>
      </c>
      <c r="L744" s="37" t="str">
        <f>IF([3]道具信息!L744="","",[3]道具信息!L744)</f>
        <v/>
      </c>
      <c r="M744" s="37" t="str">
        <f>IF([3]道具信息!M744="","",[3]道具信息!M744)</f>
        <v/>
      </c>
      <c r="N744" s="37"/>
      <c r="O744" s="37" t="str">
        <f>IF([3]道具信息!O744="","",[3]道具信息!O744)</f>
        <v/>
      </c>
      <c r="P744" s="37" t="str">
        <f>IF([3]道具信息!P744="","",[3]道具信息!P744)</f>
        <v/>
      </c>
      <c r="Q744" s="37" t="str">
        <f>IF([3]道具信息!Q744="","",[3]道具信息!Q744)</f>
        <v/>
      </c>
    </row>
    <row r="745" spans="3:17" x14ac:dyDescent="0.15">
      <c r="C745" s="37" t="str">
        <f>IF([3]道具信息!C745="","",[3]道具信息!C745)</f>
        <v/>
      </c>
      <c r="D745" s="37" t="str">
        <f>IF([3]道具信息!D745="","",[3]道具信息!D745)</f>
        <v/>
      </c>
      <c r="E745" s="37" t="str">
        <f>IF([3]道具信息!E745="","",[3]道具信息!E745)</f>
        <v/>
      </c>
      <c r="F745" s="37" t="str">
        <f>IF([3]道具信息!F745="","",[3]道具信息!F745)</f>
        <v/>
      </c>
      <c r="G745" s="37" t="str">
        <f>IF([3]道具信息!G745="","",[3]道具信息!G745)</f>
        <v/>
      </c>
      <c r="H745" s="37" t="str">
        <f>IF([3]道具信息!H745="","",[3]道具信息!H745)</f>
        <v/>
      </c>
      <c r="I745" s="37" t="str">
        <f>IF([3]道具信息!I745="","",[3]道具信息!I745)</f>
        <v/>
      </c>
      <c r="J745" s="37" t="str">
        <f>IF([3]道具信息!J745="","",[3]道具信息!J745)</f>
        <v/>
      </c>
      <c r="K745" s="37" t="str">
        <f>IF([3]道具信息!K745="","",[3]道具信息!K745)</f>
        <v/>
      </c>
      <c r="L745" s="37" t="str">
        <f>IF([3]道具信息!L745="","",[3]道具信息!L745)</f>
        <v/>
      </c>
      <c r="M745" s="37" t="str">
        <f>IF([3]道具信息!M745="","",[3]道具信息!M745)</f>
        <v/>
      </c>
      <c r="N745" s="37"/>
      <c r="O745" s="37" t="str">
        <f>IF([3]道具信息!O745="","",[3]道具信息!O745)</f>
        <v/>
      </c>
      <c r="P745" s="37" t="str">
        <f>IF([3]道具信息!P745="","",[3]道具信息!P745)</f>
        <v/>
      </c>
      <c r="Q745" s="37" t="str">
        <f>IF([3]道具信息!Q745="","",[3]道具信息!Q745)</f>
        <v/>
      </c>
    </row>
    <row r="746" spans="3:17" x14ac:dyDescent="0.15">
      <c r="C746" s="37" t="str">
        <f>IF([3]道具信息!C746="","",[3]道具信息!C746)</f>
        <v/>
      </c>
      <c r="D746" s="37" t="str">
        <f>IF([3]道具信息!D746="","",[3]道具信息!D746)</f>
        <v/>
      </c>
      <c r="E746" s="37" t="str">
        <f>IF([3]道具信息!E746="","",[3]道具信息!E746)</f>
        <v/>
      </c>
      <c r="F746" s="37" t="str">
        <f>IF([3]道具信息!F746="","",[3]道具信息!F746)</f>
        <v/>
      </c>
      <c r="G746" s="37" t="str">
        <f>IF([3]道具信息!G746="","",[3]道具信息!G746)</f>
        <v/>
      </c>
      <c r="H746" s="37" t="str">
        <f>IF([3]道具信息!H746="","",[3]道具信息!H746)</f>
        <v/>
      </c>
      <c r="I746" s="37" t="str">
        <f>IF([3]道具信息!I746="","",[3]道具信息!I746)</f>
        <v/>
      </c>
      <c r="J746" s="37" t="str">
        <f>IF([3]道具信息!J746="","",[3]道具信息!J746)</f>
        <v/>
      </c>
      <c r="K746" s="37" t="str">
        <f>IF([3]道具信息!K746="","",[3]道具信息!K746)</f>
        <v/>
      </c>
      <c r="L746" s="37" t="str">
        <f>IF([3]道具信息!L746="","",[3]道具信息!L746)</f>
        <v/>
      </c>
      <c r="M746" s="37" t="str">
        <f>IF([3]道具信息!M746="","",[3]道具信息!M746)</f>
        <v/>
      </c>
      <c r="N746" s="37"/>
      <c r="O746" s="37" t="str">
        <f>IF([3]道具信息!O746="","",[3]道具信息!O746)</f>
        <v/>
      </c>
      <c r="P746" s="37" t="str">
        <f>IF([3]道具信息!P746="","",[3]道具信息!P746)</f>
        <v/>
      </c>
      <c r="Q746" s="37" t="str">
        <f>IF([3]道具信息!Q746="","",[3]道具信息!Q746)</f>
        <v/>
      </c>
    </row>
    <row r="747" spans="3:17" x14ac:dyDescent="0.15">
      <c r="C747" s="37" t="str">
        <f>IF([3]道具信息!C747="","",[3]道具信息!C747)</f>
        <v/>
      </c>
      <c r="D747" s="37" t="str">
        <f>IF([3]道具信息!D747="","",[3]道具信息!D747)</f>
        <v/>
      </c>
      <c r="E747" s="37" t="str">
        <f>IF([3]道具信息!E747="","",[3]道具信息!E747)</f>
        <v/>
      </c>
      <c r="F747" s="37" t="str">
        <f>IF([3]道具信息!F747="","",[3]道具信息!F747)</f>
        <v/>
      </c>
      <c r="G747" s="37" t="str">
        <f>IF([3]道具信息!G747="","",[3]道具信息!G747)</f>
        <v/>
      </c>
      <c r="H747" s="37" t="str">
        <f>IF([3]道具信息!H747="","",[3]道具信息!H747)</f>
        <v/>
      </c>
      <c r="I747" s="37" t="str">
        <f>IF([3]道具信息!I747="","",[3]道具信息!I747)</f>
        <v/>
      </c>
      <c r="J747" s="37" t="str">
        <f>IF([3]道具信息!J747="","",[3]道具信息!J747)</f>
        <v/>
      </c>
      <c r="K747" s="37" t="str">
        <f>IF([3]道具信息!K747="","",[3]道具信息!K747)</f>
        <v/>
      </c>
      <c r="L747" s="37" t="str">
        <f>IF([3]道具信息!L747="","",[3]道具信息!L747)</f>
        <v/>
      </c>
      <c r="M747" s="37" t="str">
        <f>IF([3]道具信息!M747="","",[3]道具信息!M747)</f>
        <v/>
      </c>
      <c r="N747" s="37"/>
      <c r="O747" s="37" t="str">
        <f>IF([3]道具信息!O747="","",[3]道具信息!O747)</f>
        <v/>
      </c>
      <c r="P747" s="37" t="str">
        <f>IF([3]道具信息!P747="","",[3]道具信息!P747)</f>
        <v/>
      </c>
      <c r="Q747" s="37" t="str">
        <f>IF([3]道具信息!Q747="","",[3]道具信息!Q747)</f>
        <v/>
      </c>
    </row>
    <row r="748" spans="3:17" x14ac:dyDescent="0.15">
      <c r="C748" s="37" t="str">
        <f>IF([3]道具信息!C748="","",[3]道具信息!C748)</f>
        <v/>
      </c>
      <c r="D748" s="37" t="str">
        <f>IF([3]道具信息!D748="","",[3]道具信息!D748)</f>
        <v/>
      </c>
      <c r="E748" s="37" t="str">
        <f>IF([3]道具信息!E748="","",[3]道具信息!E748)</f>
        <v/>
      </c>
      <c r="F748" s="37" t="str">
        <f>IF([3]道具信息!F748="","",[3]道具信息!F748)</f>
        <v/>
      </c>
      <c r="G748" s="37" t="str">
        <f>IF([3]道具信息!G748="","",[3]道具信息!G748)</f>
        <v/>
      </c>
      <c r="H748" s="37" t="str">
        <f>IF([3]道具信息!H748="","",[3]道具信息!H748)</f>
        <v/>
      </c>
      <c r="I748" s="37" t="str">
        <f>IF([3]道具信息!I748="","",[3]道具信息!I748)</f>
        <v/>
      </c>
      <c r="J748" s="37" t="str">
        <f>IF([3]道具信息!J748="","",[3]道具信息!J748)</f>
        <v/>
      </c>
      <c r="K748" s="37" t="str">
        <f>IF([3]道具信息!K748="","",[3]道具信息!K748)</f>
        <v/>
      </c>
      <c r="L748" s="37" t="str">
        <f>IF([3]道具信息!L748="","",[3]道具信息!L748)</f>
        <v/>
      </c>
      <c r="M748" s="37" t="str">
        <f>IF([3]道具信息!M748="","",[3]道具信息!M748)</f>
        <v/>
      </c>
      <c r="N748" s="37"/>
      <c r="O748" s="37" t="str">
        <f>IF([3]道具信息!O748="","",[3]道具信息!O748)</f>
        <v/>
      </c>
      <c r="P748" s="37" t="str">
        <f>IF([3]道具信息!P748="","",[3]道具信息!P748)</f>
        <v/>
      </c>
      <c r="Q748" s="37" t="str">
        <f>IF([3]道具信息!Q748="","",[3]道具信息!Q748)</f>
        <v/>
      </c>
    </row>
    <row r="749" spans="3:17" x14ac:dyDescent="0.15">
      <c r="C749" s="37" t="str">
        <f>IF([3]道具信息!C749="","",[3]道具信息!C749)</f>
        <v/>
      </c>
      <c r="D749" s="37" t="str">
        <f>IF([3]道具信息!D749="","",[3]道具信息!D749)</f>
        <v/>
      </c>
      <c r="E749" s="37" t="str">
        <f>IF([3]道具信息!E749="","",[3]道具信息!E749)</f>
        <v/>
      </c>
      <c r="F749" s="37" t="str">
        <f>IF([3]道具信息!F749="","",[3]道具信息!F749)</f>
        <v/>
      </c>
      <c r="G749" s="37" t="str">
        <f>IF([3]道具信息!G749="","",[3]道具信息!G749)</f>
        <v/>
      </c>
      <c r="H749" s="37" t="str">
        <f>IF([3]道具信息!H749="","",[3]道具信息!H749)</f>
        <v/>
      </c>
      <c r="I749" s="37" t="str">
        <f>IF([3]道具信息!I749="","",[3]道具信息!I749)</f>
        <v/>
      </c>
      <c r="J749" s="37" t="str">
        <f>IF([3]道具信息!J749="","",[3]道具信息!J749)</f>
        <v/>
      </c>
      <c r="K749" s="37" t="str">
        <f>IF([3]道具信息!K749="","",[3]道具信息!K749)</f>
        <v/>
      </c>
      <c r="L749" s="37" t="str">
        <f>IF([3]道具信息!L749="","",[3]道具信息!L749)</f>
        <v/>
      </c>
      <c r="M749" s="37" t="str">
        <f>IF([3]道具信息!M749="","",[3]道具信息!M749)</f>
        <v/>
      </c>
      <c r="N749" s="37"/>
      <c r="O749" s="37" t="str">
        <f>IF([3]道具信息!O749="","",[3]道具信息!O749)</f>
        <v/>
      </c>
      <c r="P749" s="37" t="str">
        <f>IF([3]道具信息!P749="","",[3]道具信息!P749)</f>
        <v/>
      </c>
      <c r="Q749" s="37" t="str">
        <f>IF([3]道具信息!Q749="","",[3]道具信息!Q749)</f>
        <v/>
      </c>
    </row>
    <row r="750" spans="3:17" x14ac:dyDescent="0.15">
      <c r="C750" s="37" t="str">
        <f>IF([3]道具信息!C750="","",[3]道具信息!C750)</f>
        <v/>
      </c>
      <c r="D750" s="37" t="str">
        <f>IF([3]道具信息!D750="","",[3]道具信息!D750)</f>
        <v/>
      </c>
      <c r="E750" s="37" t="str">
        <f>IF([3]道具信息!E750="","",[3]道具信息!E750)</f>
        <v/>
      </c>
      <c r="F750" s="37" t="str">
        <f>IF([3]道具信息!F750="","",[3]道具信息!F750)</f>
        <v/>
      </c>
      <c r="G750" s="37" t="str">
        <f>IF([3]道具信息!G750="","",[3]道具信息!G750)</f>
        <v/>
      </c>
      <c r="H750" s="37" t="str">
        <f>IF([3]道具信息!H750="","",[3]道具信息!H750)</f>
        <v/>
      </c>
      <c r="I750" s="37" t="str">
        <f>IF([3]道具信息!I750="","",[3]道具信息!I750)</f>
        <v/>
      </c>
      <c r="J750" s="37" t="str">
        <f>IF([3]道具信息!J750="","",[3]道具信息!J750)</f>
        <v/>
      </c>
      <c r="K750" s="37" t="str">
        <f>IF([3]道具信息!K750="","",[3]道具信息!K750)</f>
        <v/>
      </c>
      <c r="L750" s="37" t="str">
        <f>IF([3]道具信息!L750="","",[3]道具信息!L750)</f>
        <v/>
      </c>
      <c r="M750" s="37" t="str">
        <f>IF([3]道具信息!M750="","",[3]道具信息!M750)</f>
        <v/>
      </c>
      <c r="N750" s="37"/>
      <c r="O750" s="37" t="str">
        <f>IF([3]道具信息!O750="","",[3]道具信息!O750)</f>
        <v/>
      </c>
      <c r="P750" s="37" t="str">
        <f>IF([3]道具信息!P750="","",[3]道具信息!P750)</f>
        <v/>
      </c>
      <c r="Q750" s="37" t="str">
        <f>IF([3]道具信息!Q750="","",[3]道具信息!Q750)</f>
        <v/>
      </c>
    </row>
    <row r="751" spans="3:17" x14ac:dyDescent="0.15">
      <c r="C751" s="37" t="str">
        <f>IF([3]道具信息!C751="","",[3]道具信息!C751)</f>
        <v/>
      </c>
      <c r="D751" s="37" t="str">
        <f>IF([3]道具信息!D751="","",[3]道具信息!D751)</f>
        <v/>
      </c>
      <c r="E751" s="37" t="str">
        <f>IF([3]道具信息!E751="","",[3]道具信息!E751)</f>
        <v/>
      </c>
      <c r="F751" s="37" t="str">
        <f>IF([3]道具信息!F751="","",[3]道具信息!F751)</f>
        <v/>
      </c>
      <c r="G751" s="37" t="str">
        <f>IF([3]道具信息!G751="","",[3]道具信息!G751)</f>
        <v/>
      </c>
      <c r="H751" s="37" t="str">
        <f>IF([3]道具信息!H751="","",[3]道具信息!H751)</f>
        <v/>
      </c>
      <c r="I751" s="37" t="str">
        <f>IF([3]道具信息!I751="","",[3]道具信息!I751)</f>
        <v/>
      </c>
      <c r="J751" s="37" t="str">
        <f>IF([3]道具信息!J751="","",[3]道具信息!J751)</f>
        <v/>
      </c>
      <c r="K751" s="37" t="str">
        <f>IF([3]道具信息!K751="","",[3]道具信息!K751)</f>
        <v/>
      </c>
      <c r="L751" s="37" t="str">
        <f>IF([3]道具信息!L751="","",[3]道具信息!L751)</f>
        <v/>
      </c>
      <c r="M751" s="37" t="str">
        <f>IF([3]道具信息!M751="","",[3]道具信息!M751)</f>
        <v/>
      </c>
      <c r="N751" s="37"/>
      <c r="O751" s="37" t="str">
        <f>IF([3]道具信息!O751="","",[3]道具信息!O751)</f>
        <v/>
      </c>
      <c r="P751" s="37" t="str">
        <f>IF([3]道具信息!P751="","",[3]道具信息!P751)</f>
        <v/>
      </c>
      <c r="Q751" s="37" t="str">
        <f>IF([3]道具信息!Q751="","",[3]道具信息!Q751)</f>
        <v/>
      </c>
    </row>
    <row r="752" spans="3:17" x14ac:dyDescent="0.15">
      <c r="C752" s="37" t="str">
        <f>IF([3]道具信息!C752="","",[3]道具信息!C752)</f>
        <v/>
      </c>
      <c r="D752" s="37" t="str">
        <f>IF([3]道具信息!D752="","",[3]道具信息!D752)</f>
        <v/>
      </c>
      <c r="E752" s="37" t="str">
        <f>IF([3]道具信息!E752="","",[3]道具信息!E752)</f>
        <v/>
      </c>
      <c r="F752" s="37" t="str">
        <f>IF([3]道具信息!F752="","",[3]道具信息!F752)</f>
        <v/>
      </c>
      <c r="G752" s="37" t="str">
        <f>IF([3]道具信息!G752="","",[3]道具信息!G752)</f>
        <v/>
      </c>
      <c r="H752" s="37" t="str">
        <f>IF([3]道具信息!H752="","",[3]道具信息!H752)</f>
        <v/>
      </c>
      <c r="I752" s="37" t="str">
        <f>IF([3]道具信息!I752="","",[3]道具信息!I752)</f>
        <v/>
      </c>
      <c r="J752" s="37" t="str">
        <f>IF([3]道具信息!J752="","",[3]道具信息!J752)</f>
        <v/>
      </c>
      <c r="K752" s="37" t="str">
        <f>IF([3]道具信息!K752="","",[3]道具信息!K752)</f>
        <v/>
      </c>
      <c r="L752" s="37" t="str">
        <f>IF([3]道具信息!L752="","",[3]道具信息!L752)</f>
        <v/>
      </c>
      <c r="M752" s="37" t="str">
        <f>IF([3]道具信息!M752="","",[3]道具信息!M752)</f>
        <v/>
      </c>
      <c r="N752" s="37"/>
      <c r="O752" s="37" t="str">
        <f>IF([3]道具信息!O752="","",[3]道具信息!O752)</f>
        <v/>
      </c>
      <c r="P752" s="37" t="str">
        <f>IF([3]道具信息!P752="","",[3]道具信息!P752)</f>
        <v/>
      </c>
      <c r="Q752" s="37" t="str">
        <f>IF([3]道具信息!Q752="","",[3]道具信息!Q752)</f>
        <v/>
      </c>
    </row>
    <row r="753" spans="3:17" x14ac:dyDescent="0.15">
      <c r="C753" s="37" t="str">
        <f>IF([3]道具信息!C753="","",[3]道具信息!C753)</f>
        <v/>
      </c>
      <c r="D753" s="37" t="str">
        <f>IF([3]道具信息!D753="","",[3]道具信息!D753)</f>
        <v/>
      </c>
      <c r="E753" s="37" t="str">
        <f>IF([3]道具信息!E753="","",[3]道具信息!E753)</f>
        <v/>
      </c>
      <c r="F753" s="37" t="str">
        <f>IF([3]道具信息!F753="","",[3]道具信息!F753)</f>
        <v/>
      </c>
      <c r="G753" s="37" t="str">
        <f>IF([3]道具信息!G753="","",[3]道具信息!G753)</f>
        <v/>
      </c>
      <c r="H753" s="37" t="str">
        <f>IF([3]道具信息!H753="","",[3]道具信息!H753)</f>
        <v/>
      </c>
      <c r="I753" s="37" t="str">
        <f>IF([3]道具信息!I753="","",[3]道具信息!I753)</f>
        <v/>
      </c>
      <c r="J753" s="37" t="str">
        <f>IF([3]道具信息!J753="","",[3]道具信息!J753)</f>
        <v/>
      </c>
      <c r="K753" s="37" t="str">
        <f>IF([3]道具信息!K753="","",[3]道具信息!K753)</f>
        <v/>
      </c>
      <c r="L753" s="37" t="str">
        <f>IF([3]道具信息!L753="","",[3]道具信息!L753)</f>
        <v/>
      </c>
      <c r="M753" s="37" t="str">
        <f>IF([3]道具信息!M753="","",[3]道具信息!M753)</f>
        <v/>
      </c>
      <c r="N753" s="37"/>
      <c r="O753" s="37" t="str">
        <f>IF([3]道具信息!O753="","",[3]道具信息!O753)</f>
        <v/>
      </c>
      <c r="P753" s="37" t="str">
        <f>IF([3]道具信息!P753="","",[3]道具信息!P753)</f>
        <v/>
      </c>
      <c r="Q753" s="37" t="str">
        <f>IF([3]道具信息!Q753="","",[3]道具信息!Q753)</f>
        <v/>
      </c>
    </row>
    <row r="754" spans="3:17" x14ac:dyDescent="0.15">
      <c r="C754" s="37" t="str">
        <f>IF([3]道具信息!C754="","",[3]道具信息!C754)</f>
        <v/>
      </c>
      <c r="D754" s="37" t="str">
        <f>IF([3]道具信息!D754="","",[3]道具信息!D754)</f>
        <v/>
      </c>
      <c r="E754" s="37" t="str">
        <f>IF([3]道具信息!E754="","",[3]道具信息!E754)</f>
        <v/>
      </c>
      <c r="F754" s="37" t="str">
        <f>IF([3]道具信息!F754="","",[3]道具信息!F754)</f>
        <v/>
      </c>
      <c r="G754" s="37" t="str">
        <f>IF([3]道具信息!G754="","",[3]道具信息!G754)</f>
        <v/>
      </c>
      <c r="H754" s="37" t="str">
        <f>IF([3]道具信息!H754="","",[3]道具信息!H754)</f>
        <v/>
      </c>
      <c r="I754" s="37" t="str">
        <f>IF([3]道具信息!I754="","",[3]道具信息!I754)</f>
        <v/>
      </c>
      <c r="J754" s="37" t="str">
        <f>IF([3]道具信息!J754="","",[3]道具信息!J754)</f>
        <v/>
      </c>
      <c r="K754" s="37" t="str">
        <f>IF([3]道具信息!K754="","",[3]道具信息!K754)</f>
        <v/>
      </c>
      <c r="L754" s="37" t="str">
        <f>IF([3]道具信息!L754="","",[3]道具信息!L754)</f>
        <v/>
      </c>
      <c r="M754" s="37" t="str">
        <f>IF([3]道具信息!M754="","",[3]道具信息!M754)</f>
        <v/>
      </c>
      <c r="N754" s="37"/>
      <c r="O754" s="37" t="str">
        <f>IF([3]道具信息!O754="","",[3]道具信息!O754)</f>
        <v/>
      </c>
      <c r="P754" s="37" t="str">
        <f>IF([3]道具信息!P754="","",[3]道具信息!P754)</f>
        <v/>
      </c>
      <c r="Q754" s="37" t="str">
        <f>IF([3]道具信息!Q754="","",[3]道具信息!Q754)</f>
        <v/>
      </c>
    </row>
    <row r="755" spans="3:17" x14ac:dyDescent="0.15">
      <c r="C755" s="37" t="str">
        <f>IF([3]道具信息!C755="","",[3]道具信息!C755)</f>
        <v/>
      </c>
      <c r="D755" s="37" t="str">
        <f>IF([3]道具信息!D755="","",[3]道具信息!D755)</f>
        <v/>
      </c>
      <c r="E755" s="37" t="str">
        <f>IF([3]道具信息!E755="","",[3]道具信息!E755)</f>
        <v/>
      </c>
      <c r="F755" s="37" t="str">
        <f>IF([3]道具信息!F755="","",[3]道具信息!F755)</f>
        <v/>
      </c>
      <c r="G755" s="37" t="str">
        <f>IF([3]道具信息!G755="","",[3]道具信息!G755)</f>
        <v/>
      </c>
      <c r="H755" s="37" t="str">
        <f>IF([3]道具信息!H755="","",[3]道具信息!H755)</f>
        <v/>
      </c>
      <c r="I755" s="37" t="str">
        <f>IF([3]道具信息!I755="","",[3]道具信息!I755)</f>
        <v/>
      </c>
      <c r="J755" s="37" t="str">
        <f>IF([3]道具信息!J755="","",[3]道具信息!J755)</f>
        <v/>
      </c>
      <c r="K755" s="37" t="str">
        <f>IF([3]道具信息!K755="","",[3]道具信息!K755)</f>
        <v/>
      </c>
      <c r="L755" s="37" t="str">
        <f>IF([3]道具信息!L755="","",[3]道具信息!L755)</f>
        <v/>
      </c>
      <c r="M755" s="37" t="str">
        <f>IF([3]道具信息!M755="","",[3]道具信息!M755)</f>
        <v/>
      </c>
      <c r="N755" s="37"/>
      <c r="O755" s="37" t="str">
        <f>IF([3]道具信息!O755="","",[3]道具信息!O755)</f>
        <v/>
      </c>
      <c r="P755" s="37" t="str">
        <f>IF([3]道具信息!P755="","",[3]道具信息!P755)</f>
        <v/>
      </c>
      <c r="Q755" s="37" t="str">
        <f>IF([3]道具信息!Q755="","",[3]道具信息!Q755)</f>
        <v/>
      </c>
    </row>
    <row r="756" spans="3:17" x14ac:dyDescent="0.15">
      <c r="C756" s="37" t="str">
        <f>IF([3]道具信息!C756="","",[3]道具信息!C756)</f>
        <v/>
      </c>
      <c r="D756" s="37" t="str">
        <f>IF([3]道具信息!D756="","",[3]道具信息!D756)</f>
        <v/>
      </c>
      <c r="E756" s="37" t="str">
        <f>IF([3]道具信息!E756="","",[3]道具信息!E756)</f>
        <v/>
      </c>
      <c r="F756" s="37" t="str">
        <f>IF([3]道具信息!F756="","",[3]道具信息!F756)</f>
        <v/>
      </c>
      <c r="G756" s="37" t="str">
        <f>IF([3]道具信息!G756="","",[3]道具信息!G756)</f>
        <v/>
      </c>
      <c r="H756" s="37" t="str">
        <f>IF([3]道具信息!H756="","",[3]道具信息!H756)</f>
        <v/>
      </c>
      <c r="I756" s="37" t="str">
        <f>IF([3]道具信息!I756="","",[3]道具信息!I756)</f>
        <v/>
      </c>
      <c r="J756" s="37" t="str">
        <f>IF([3]道具信息!J756="","",[3]道具信息!J756)</f>
        <v/>
      </c>
      <c r="K756" s="37" t="str">
        <f>IF([3]道具信息!K756="","",[3]道具信息!K756)</f>
        <v/>
      </c>
      <c r="L756" s="37" t="str">
        <f>IF([3]道具信息!L756="","",[3]道具信息!L756)</f>
        <v/>
      </c>
      <c r="M756" s="37" t="str">
        <f>IF([3]道具信息!M756="","",[3]道具信息!M756)</f>
        <v/>
      </c>
      <c r="N756" s="37"/>
      <c r="O756" s="37" t="str">
        <f>IF([3]道具信息!O756="","",[3]道具信息!O756)</f>
        <v/>
      </c>
      <c r="P756" s="37" t="str">
        <f>IF([3]道具信息!P756="","",[3]道具信息!P756)</f>
        <v/>
      </c>
      <c r="Q756" s="37" t="str">
        <f>IF([3]道具信息!Q756="","",[3]道具信息!Q756)</f>
        <v/>
      </c>
    </row>
    <row r="757" spans="3:17" x14ac:dyDescent="0.15">
      <c r="C757" s="37" t="str">
        <f>IF([3]道具信息!C757="","",[3]道具信息!C757)</f>
        <v/>
      </c>
      <c r="D757" s="37" t="str">
        <f>IF([3]道具信息!D757="","",[3]道具信息!D757)</f>
        <v/>
      </c>
      <c r="E757" s="37" t="str">
        <f>IF([3]道具信息!E757="","",[3]道具信息!E757)</f>
        <v/>
      </c>
      <c r="F757" s="37" t="str">
        <f>IF([3]道具信息!F757="","",[3]道具信息!F757)</f>
        <v/>
      </c>
      <c r="G757" s="37" t="str">
        <f>IF([3]道具信息!G757="","",[3]道具信息!G757)</f>
        <v/>
      </c>
      <c r="H757" s="37" t="str">
        <f>IF([3]道具信息!H757="","",[3]道具信息!H757)</f>
        <v/>
      </c>
      <c r="I757" s="37" t="str">
        <f>IF([3]道具信息!I757="","",[3]道具信息!I757)</f>
        <v/>
      </c>
      <c r="J757" s="37" t="str">
        <f>IF([3]道具信息!J757="","",[3]道具信息!J757)</f>
        <v/>
      </c>
      <c r="K757" s="37" t="str">
        <f>IF([3]道具信息!K757="","",[3]道具信息!K757)</f>
        <v/>
      </c>
      <c r="L757" s="37" t="str">
        <f>IF([3]道具信息!L757="","",[3]道具信息!L757)</f>
        <v/>
      </c>
      <c r="M757" s="37" t="str">
        <f>IF([3]道具信息!M757="","",[3]道具信息!M757)</f>
        <v/>
      </c>
      <c r="N757" s="37"/>
      <c r="O757" s="37" t="str">
        <f>IF([3]道具信息!O757="","",[3]道具信息!O757)</f>
        <v/>
      </c>
      <c r="P757" s="37" t="str">
        <f>IF([3]道具信息!P757="","",[3]道具信息!P757)</f>
        <v/>
      </c>
      <c r="Q757" s="37" t="str">
        <f>IF([3]道具信息!Q757="","",[3]道具信息!Q757)</f>
        <v/>
      </c>
    </row>
    <row r="758" spans="3:17" x14ac:dyDescent="0.15">
      <c r="C758" s="37" t="str">
        <f>IF([3]道具信息!C758="","",[3]道具信息!C758)</f>
        <v/>
      </c>
      <c r="D758" s="37" t="str">
        <f>IF([3]道具信息!D758="","",[3]道具信息!D758)</f>
        <v/>
      </c>
      <c r="E758" s="37" t="str">
        <f>IF([3]道具信息!E758="","",[3]道具信息!E758)</f>
        <v/>
      </c>
      <c r="F758" s="37" t="str">
        <f>IF([3]道具信息!F758="","",[3]道具信息!F758)</f>
        <v/>
      </c>
      <c r="G758" s="37" t="str">
        <f>IF([3]道具信息!G758="","",[3]道具信息!G758)</f>
        <v/>
      </c>
      <c r="H758" s="37" t="str">
        <f>IF([3]道具信息!H758="","",[3]道具信息!H758)</f>
        <v/>
      </c>
      <c r="I758" s="37" t="str">
        <f>IF([3]道具信息!I758="","",[3]道具信息!I758)</f>
        <v/>
      </c>
      <c r="J758" s="37" t="str">
        <f>IF([3]道具信息!J758="","",[3]道具信息!J758)</f>
        <v/>
      </c>
      <c r="K758" s="37" t="str">
        <f>IF([3]道具信息!K758="","",[3]道具信息!K758)</f>
        <v/>
      </c>
      <c r="L758" s="37" t="str">
        <f>IF([3]道具信息!L758="","",[3]道具信息!L758)</f>
        <v/>
      </c>
      <c r="M758" s="37" t="str">
        <f>IF([3]道具信息!M758="","",[3]道具信息!M758)</f>
        <v/>
      </c>
      <c r="N758" s="37"/>
      <c r="O758" s="37" t="str">
        <f>IF([3]道具信息!O758="","",[3]道具信息!O758)</f>
        <v/>
      </c>
      <c r="P758" s="37" t="str">
        <f>IF([3]道具信息!P758="","",[3]道具信息!P758)</f>
        <v/>
      </c>
      <c r="Q758" s="37" t="str">
        <f>IF([3]道具信息!Q758="","",[3]道具信息!Q758)</f>
        <v/>
      </c>
    </row>
    <row r="759" spans="3:17" x14ac:dyDescent="0.15">
      <c r="C759" s="37" t="str">
        <f>IF([3]道具信息!C759="","",[3]道具信息!C759)</f>
        <v/>
      </c>
      <c r="D759" s="37" t="str">
        <f>IF([3]道具信息!D759="","",[3]道具信息!D759)</f>
        <v/>
      </c>
      <c r="E759" s="37" t="str">
        <f>IF([3]道具信息!E759="","",[3]道具信息!E759)</f>
        <v/>
      </c>
      <c r="F759" s="37" t="str">
        <f>IF([3]道具信息!F759="","",[3]道具信息!F759)</f>
        <v/>
      </c>
      <c r="G759" s="37" t="str">
        <f>IF([3]道具信息!G759="","",[3]道具信息!G759)</f>
        <v/>
      </c>
      <c r="H759" s="37" t="str">
        <f>IF([3]道具信息!H759="","",[3]道具信息!H759)</f>
        <v/>
      </c>
      <c r="I759" s="37" t="str">
        <f>IF([3]道具信息!I759="","",[3]道具信息!I759)</f>
        <v/>
      </c>
      <c r="J759" s="37" t="str">
        <f>IF([3]道具信息!J759="","",[3]道具信息!J759)</f>
        <v/>
      </c>
      <c r="K759" s="37" t="str">
        <f>IF([3]道具信息!K759="","",[3]道具信息!K759)</f>
        <v/>
      </c>
      <c r="L759" s="37" t="str">
        <f>IF([3]道具信息!L759="","",[3]道具信息!L759)</f>
        <v/>
      </c>
      <c r="M759" s="37" t="str">
        <f>IF([3]道具信息!M759="","",[3]道具信息!M759)</f>
        <v/>
      </c>
      <c r="N759" s="37"/>
      <c r="O759" s="37" t="str">
        <f>IF([3]道具信息!O759="","",[3]道具信息!O759)</f>
        <v/>
      </c>
      <c r="P759" s="37" t="str">
        <f>IF([3]道具信息!P759="","",[3]道具信息!P759)</f>
        <v/>
      </c>
      <c r="Q759" s="37" t="str">
        <f>IF([3]道具信息!Q759="","",[3]道具信息!Q759)</f>
        <v/>
      </c>
    </row>
    <row r="760" spans="3:17" x14ac:dyDescent="0.15">
      <c r="C760" s="37" t="str">
        <f>IF([3]道具信息!C760="","",[3]道具信息!C760)</f>
        <v/>
      </c>
      <c r="D760" s="37" t="str">
        <f>IF([3]道具信息!D760="","",[3]道具信息!D760)</f>
        <v/>
      </c>
      <c r="E760" s="37" t="str">
        <f>IF([3]道具信息!E760="","",[3]道具信息!E760)</f>
        <v/>
      </c>
      <c r="F760" s="37" t="str">
        <f>IF([3]道具信息!F760="","",[3]道具信息!F760)</f>
        <v/>
      </c>
      <c r="G760" s="37" t="str">
        <f>IF([3]道具信息!G760="","",[3]道具信息!G760)</f>
        <v/>
      </c>
      <c r="H760" s="37" t="str">
        <f>IF([3]道具信息!H760="","",[3]道具信息!H760)</f>
        <v/>
      </c>
      <c r="I760" s="37" t="str">
        <f>IF([3]道具信息!I760="","",[3]道具信息!I760)</f>
        <v/>
      </c>
      <c r="J760" s="37" t="str">
        <f>IF([3]道具信息!J760="","",[3]道具信息!J760)</f>
        <v/>
      </c>
      <c r="K760" s="37" t="str">
        <f>IF([3]道具信息!K760="","",[3]道具信息!K760)</f>
        <v/>
      </c>
      <c r="L760" s="37" t="str">
        <f>IF([3]道具信息!L760="","",[3]道具信息!L760)</f>
        <v/>
      </c>
      <c r="M760" s="37" t="str">
        <f>IF([3]道具信息!M760="","",[3]道具信息!M760)</f>
        <v/>
      </c>
      <c r="N760" s="37"/>
      <c r="O760" s="37" t="str">
        <f>IF([3]道具信息!O760="","",[3]道具信息!O760)</f>
        <v/>
      </c>
      <c r="P760" s="37" t="str">
        <f>IF([3]道具信息!P760="","",[3]道具信息!P760)</f>
        <v/>
      </c>
      <c r="Q760" s="37" t="str">
        <f>IF([3]道具信息!Q760="","",[3]道具信息!Q760)</f>
        <v/>
      </c>
    </row>
    <row r="761" spans="3:17" x14ac:dyDescent="0.15">
      <c r="C761" s="37" t="str">
        <f>IF([3]道具信息!C761="","",[3]道具信息!C761)</f>
        <v/>
      </c>
      <c r="D761" s="37" t="str">
        <f>IF([3]道具信息!D761="","",[3]道具信息!D761)</f>
        <v/>
      </c>
      <c r="E761" s="37" t="str">
        <f>IF([3]道具信息!E761="","",[3]道具信息!E761)</f>
        <v/>
      </c>
      <c r="F761" s="37" t="str">
        <f>IF([3]道具信息!F761="","",[3]道具信息!F761)</f>
        <v/>
      </c>
      <c r="G761" s="37" t="str">
        <f>IF([3]道具信息!G761="","",[3]道具信息!G761)</f>
        <v/>
      </c>
      <c r="H761" s="37" t="str">
        <f>IF([3]道具信息!H761="","",[3]道具信息!H761)</f>
        <v/>
      </c>
      <c r="I761" s="37" t="str">
        <f>IF([3]道具信息!I761="","",[3]道具信息!I761)</f>
        <v/>
      </c>
      <c r="J761" s="37" t="str">
        <f>IF([3]道具信息!J761="","",[3]道具信息!J761)</f>
        <v/>
      </c>
      <c r="K761" s="37" t="str">
        <f>IF([3]道具信息!K761="","",[3]道具信息!K761)</f>
        <v/>
      </c>
      <c r="L761" s="37" t="str">
        <f>IF([3]道具信息!L761="","",[3]道具信息!L761)</f>
        <v/>
      </c>
      <c r="M761" s="37" t="str">
        <f>IF([3]道具信息!M761="","",[3]道具信息!M761)</f>
        <v/>
      </c>
      <c r="N761" s="37"/>
      <c r="O761" s="37" t="str">
        <f>IF([3]道具信息!O761="","",[3]道具信息!O761)</f>
        <v/>
      </c>
      <c r="P761" s="37" t="str">
        <f>IF([3]道具信息!P761="","",[3]道具信息!P761)</f>
        <v/>
      </c>
      <c r="Q761" s="37" t="str">
        <f>IF([3]道具信息!Q761="","",[3]道具信息!Q761)</f>
        <v/>
      </c>
    </row>
    <row r="762" spans="3:17" x14ac:dyDescent="0.15">
      <c r="C762" s="37" t="str">
        <f>IF([3]道具信息!C762="","",[3]道具信息!C762)</f>
        <v/>
      </c>
      <c r="D762" s="37" t="str">
        <f>IF([3]道具信息!D762="","",[3]道具信息!D762)</f>
        <v/>
      </c>
      <c r="E762" s="37" t="str">
        <f>IF([3]道具信息!E762="","",[3]道具信息!E762)</f>
        <v/>
      </c>
      <c r="F762" s="37" t="str">
        <f>IF([3]道具信息!F762="","",[3]道具信息!F762)</f>
        <v/>
      </c>
      <c r="G762" s="37" t="str">
        <f>IF([3]道具信息!G762="","",[3]道具信息!G762)</f>
        <v/>
      </c>
      <c r="H762" s="37" t="str">
        <f>IF([3]道具信息!H762="","",[3]道具信息!H762)</f>
        <v/>
      </c>
      <c r="I762" s="37" t="str">
        <f>IF([3]道具信息!I762="","",[3]道具信息!I762)</f>
        <v/>
      </c>
      <c r="J762" s="37" t="str">
        <f>IF([3]道具信息!J762="","",[3]道具信息!J762)</f>
        <v/>
      </c>
      <c r="K762" s="37" t="str">
        <f>IF([3]道具信息!K762="","",[3]道具信息!K762)</f>
        <v/>
      </c>
      <c r="L762" s="37" t="str">
        <f>IF([3]道具信息!L762="","",[3]道具信息!L762)</f>
        <v/>
      </c>
      <c r="M762" s="37" t="str">
        <f>IF([3]道具信息!M762="","",[3]道具信息!M762)</f>
        <v/>
      </c>
      <c r="N762" s="37"/>
      <c r="O762" s="37" t="str">
        <f>IF([3]道具信息!O762="","",[3]道具信息!O762)</f>
        <v/>
      </c>
      <c r="P762" s="37" t="str">
        <f>IF([3]道具信息!P762="","",[3]道具信息!P762)</f>
        <v/>
      </c>
      <c r="Q762" s="37" t="str">
        <f>IF([3]道具信息!Q762="","",[3]道具信息!Q762)</f>
        <v/>
      </c>
    </row>
    <row r="763" spans="3:17" x14ac:dyDescent="0.15">
      <c r="C763" s="37" t="str">
        <f>IF([3]道具信息!C763="","",[3]道具信息!C763)</f>
        <v/>
      </c>
      <c r="D763" s="37" t="str">
        <f>IF([3]道具信息!D763="","",[3]道具信息!D763)</f>
        <v/>
      </c>
      <c r="E763" s="37" t="str">
        <f>IF([3]道具信息!E763="","",[3]道具信息!E763)</f>
        <v/>
      </c>
      <c r="F763" s="37" t="str">
        <f>IF([3]道具信息!F763="","",[3]道具信息!F763)</f>
        <v/>
      </c>
      <c r="G763" s="37" t="str">
        <f>IF([3]道具信息!G763="","",[3]道具信息!G763)</f>
        <v/>
      </c>
      <c r="H763" s="37" t="str">
        <f>IF([3]道具信息!H763="","",[3]道具信息!H763)</f>
        <v/>
      </c>
      <c r="I763" s="37" t="str">
        <f>IF([3]道具信息!I763="","",[3]道具信息!I763)</f>
        <v/>
      </c>
      <c r="J763" s="37" t="str">
        <f>IF([3]道具信息!J763="","",[3]道具信息!J763)</f>
        <v/>
      </c>
      <c r="K763" s="37" t="str">
        <f>IF([3]道具信息!K763="","",[3]道具信息!K763)</f>
        <v/>
      </c>
      <c r="L763" s="37" t="str">
        <f>IF([3]道具信息!L763="","",[3]道具信息!L763)</f>
        <v/>
      </c>
      <c r="M763" s="37" t="str">
        <f>IF([3]道具信息!M763="","",[3]道具信息!M763)</f>
        <v/>
      </c>
      <c r="N763" s="37"/>
      <c r="O763" s="37" t="str">
        <f>IF([3]道具信息!O763="","",[3]道具信息!O763)</f>
        <v/>
      </c>
      <c r="P763" s="37" t="str">
        <f>IF([3]道具信息!P763="","",[3]道具信息!P763)</f>
        <v/>
      </c>
      <c r="Q763" s="37" t="str">
        <f>IF([3]道具信息!Q763="","",[3]道具信息!Q763)</f>
        <v/>
      </c>
    </row>
    <row r="764" spans="3:17" x14ac:dyDescent="0.15">
      <c r="C764" s="37" t="str">
        <f>IF([3]道具信息!C764="","",[3]道具信息!C764)</f>
        <v/>
      </c>
      <c r="D764" s="37" t="str">
        <f>IF([3]道具信息!D764="","",[3]道具信息!D764)</f>
        <v/>
      </c>
      <c r="E764" s="37" t="str">
        <f>IF([3]道具信息!E764="","",[3]道具信息!E764)</f>
        <v/>
      </c>
      <c r="F764" s="37" t="str">
        <f>IF([3]道具信息!F764="","",[3]道具信息!F764)</f>
        <v/>
      </c>
      <c r="G764" s="37" t="str">
        <f>IF([3]道具信息!G764="","",[3]道具信息!G764)</f>
        <v/>
      </c>
      <c r="H764" s="37" t="str">
        <f>IF([3]道具信息!H764="","",[3]道具信息!H764)</f>
        <v/>
      </c>
      <c r="I764" s="37" t="str">
        <f>IF([3]道具信息!I764="","",[3]道具信息!I764)</f>
        <v/>
      </c>
      <c r="J764" s="37" t="str">
        <f>IF([3]道具信息!J764="","",[3]道具信息!J764)</f>
        <v/>
      </c>
      <c r="K764" s="37" t="str">
        <f>IF([3]道具信息!K764="","",[3]道具信息!K764)</f>
        <v/>
      </c>
      <c r="L764" s="37" t="str">
        <f>IF([3]道具信息!L764="","",[3]道具信息!L764)</f>
        <v/>
      </c>
      <c r="M764" s="37" t="str">
        <f>IF([3]道具信息!M764="","",[3]道具信息!M764)</f>
        <v/>
      </c>
      <c r="N764" s="37"/>
      <c r="O764" s="37" t="str">
        <f>IF([3]道具信息!O764="","",[3]道具信息!O764)</f>
        <v/>
      </c>
      <c r="P764" s="37" t="str">
        <f>IF([3]道具信息!P764="","",[3]道具信息!P764)</f>
        <v/>
      </c>
      <c r="Q764" s="37" t="str">
        <f>IF([3]道具信息!Q764="","",[3]道具信息!Q764)</f>
        <v/>
      </c>
    </row>
    <row r="765" spans="3:17" x14ac:dyDescent="0.15">
      <c r="C765" s="37" t="str">
        <f>IF([3]道具信息!C765="","",[3]道具信息!C765)</f>
        <v/>
      </c>
      <c r="D765" s="37" t="str">
        <f>IF([3]道具信息!D765="","",[3]道具信息!D765)</f>
        <v/>
      </c>
      <c r="E765" s="37" t="str">
        <f>IF([3]道具信息!E765="","",[3]道具信息!E765)</f>
        <v/>
      </c>
      <c r="F765" s="37" t="str">
        <f>IF([3]道具信息!F765="","",[3]道具信息!F765)</f>
        <v/>
      </c>
      <c r="G765" s="37" t="str">
        <f>IF([3]道具信息!G765="","",[3]道具信息!G765)</f>
        <v/>
      </c>
      <c r="H765" s="37" t="str">
        <f>IF([3]道具信息!H765="","",[3]道具信息!H765)</f>
        <v/>
      </c>
      <c r="I765" s="37" t="str">
        <f>IF([3]道具信息!I765="","",[3]道具信息!I765)</f>
        <v/>
      </c>
      <c r="J765" s="37" t="str">
        <f>IF([3]道具信息!J765="","",[3]道具信息!J765)</f>
        <v/>
      </c>
      <c r="K765" s="37" t="str">
        <f>IF([3]道具信息!K765="","",[3]道具信息!K765)</f>
        <v/>
      </c>
      <c r="L765" s="37" t="str">
        <f>IF([3]道具信息!L765="","",[3]道具信息!L765)</f>
        <v/>
      </c>
      <c r="M765" s="37" t="str">
        <f>IF([3]道具信息!M765="","",[3]道具信息!M765)</f>
        <v/>
      </c>
      <c r="N765" s="37"/>
      <c r="O765" s="37" t="str">
        <f>IF([3]道具信息!O765="","",[3]道具信息!O765)</f>
        <v/>
      </c>
      <c r="P765" s="37" t="str">
        <f>IF([3]道具信息!P765="","",[3]道具信息!P765)</f>
        <v/>
      </c>
      <c r="Q765" s="37" t="str">
        <f>IF([3]道具信息!Q765="","",[3]道具信息!Q765)</f>
        <v/>
      </c>
    </row>
    <row r="766" spans="3:17" x14ac:dyDescent="0.15">
      <c r="C766" s="37" t="str">
        <f>IF([3]道具信息!C766="","",[3]道具信息!C766)</f>
        <v/>
      </c>
      <c r="D766" s="37" t="str">
        <f>IF([3]道具信息!D766="","",[3]道具信息!D766)</f>
        <v/>
      </c>
      <c r="E766" s="37" t="str">
        <f>IF([3]道具信息!E766="","",[3]道具信息!E766)</f>
        <v/>
      </c>
      <c r="F766" s="37" t="str">
        <f>IF([3]道具信息!F766="","",[3]道具信息!F766)</f>
        <v/>
      </c>
      <c r="G766" s="37" t="str">
        <f>IF([3]道具信息!G766="","",[3]道具信息!G766)</f>
        <v/>
      </c>
      <c r="H766" s="37" t="str">
        <f>IF([3]道具信息!H766="","",[3]道具信息!H766)</f>
        <v/>
      </c>
      <c r="I766" s="37" t="str">
        <f>IF([3]道具信息!I766="","",[3]道具信息!I766)</f>
        <v/>
      </c>
      <c r="J766" s="37" t="str">
        <f>IF([3]道具信息!J766="","",[3]道具信息!J766)</f>
        <v/>
      </c>
      <c r="K766" s="37" t="str">
        <f>IF([3]道具信息!K766="","",[3]道具信息!K766)</f>
        <v/>
      </c>
      <c r="L766" s="37" t="str">
        <f>IF([3]道具信息!L766="","",[3]道具信息!L766)</f>
        <v/>
      </c>
      <c r="M766" s="37" t="str">
        <f>IF([3]道具信息!M766="","",[3]道具信息!M766)</f>
        <v/>
      </c>
      <c r="N766" s="37"/>
      <c r="O766" s="37" t="str">
        <f>IF([3]道具信息!O766="","",[3]道具信息!O766)</f>
        <v/>
      </c>
      <c r="P766" s="37" t="str">
        <f>IF([3]道具信息!P766="","",[3]道具信息!P766)</f>
        <v/>
      </c>
      <c r="Q766" s="37" t="str">
        <f>IF([3]道具信息!Q766="","",[3]道具信息!Q766)</f>
        <v/>
      </c>
    </row>
    <row r="767" spans="3:17" x14ac:dyDescent="0.15">
      <c r="C767" s="37" t="str">
        <f>IF([3]道具信息!C767="","",[3]道具信息!C767)</f>
        <v/>
      </c>
      <c r="D767" s="37" t="str">
        <f>IF([3]道具信息!D767="","",[3]道具信息!D767)</f>
        <v/>
      </c>
      <c r="E767" s="37" t="str">
        <f>IF([3]道具信息!E767="","",[3]道具信息!E767)</f>
        <v/>
      </c>
      <c r="F767" s="37" t="str">
        <f>IF([3]道具信息!F767="","",[3]道具信息!F767)</f>
        <v/>
      </c>
      <c r="G767" s="37" t="str">
        <f>IF([3]道具信息!G767="","",[3]道具信息!G767)</f>
        <v/>
      </c>
      <c r="H767" s="37" t="str">
        <f>IF([3]道具信息!H767="","",[3]道具信息!H767)</f>
        <v/>
      </c>
      <c r="I767" s="37" t="str">
        <f>IF([3]道具信息!I767="","",[3]道具信息!I767)</f>
        <v/>
      </c>
      <c r="J767" s="37" t="str">
        <f>IF([3]道具信息!J767="","",[3]道具信息!J767)</f>
        <v/>
      </c>
      <c r="K767" s="37" t="str">
        <f>IF([3]道具信息!K767="","",[3]道具信息!K767)</f>
        <v/>
      </c>
      <c r="L767" s="37" t="str">
        <f>IF([3]道具信息!L767="","",[3]道具信息!L767)</f>
        <v/>
      </c>
      <c r="M767" s="37" t="str">
        <f>IF([3]道具信息!M767="","",[3]道具信息!M767)</f>
        <v/>
      </c>
      <c r="N767" s="37"/>
      <c r="O767" s="37" t="str">
        <f>IF([3]道具信息!O767="","",[3]道具信息!O767)</f>
        <v/>
      </c>
      <c r="P767" s="37" t="str">
        <f>IF([3]道具信息!P767="","",[3]道具信息!P767)</f>
        <v/>
      </c>
      <c r="Q767" s="37" t="str">
        <f>IF([3]道具信息!Q767="","",[3]道具信息!Q767)</f>
        <v/>
      </c>
    </row>
    <row r="768" spans="3:17" x14ac:dyDescent="0.15">
      <c r="C768" s="37" t="str">
        <f>IF([3]道具信息!C768="","",[3]道具信息!C768)</f>
        <v/>
      </c>
      <c r="D768" s="37" t="str">
        <f>IF([3]道具信息!D768="","",[3]道具信息!D768)</f>
        <v/>
      </c>
      <c r="E768" s="37" t="str">
        <f>IF([3]道具信息!E768="","",[3]道具信息!E768)</f>
        <v/>
      </c>
      <c r="F768" s="37" t="str">
        <f>IF([3]道具信息!F768="","",[3]道具信息!F768)</f>
        <v/>
      </c>
      <c r="G768" s="37" t="str">
        <f>IF([3]道具信息!G768="","",[3]道具信息!G768)</f>
        <v/>
      </c>
      <c r="H768" s="37" t="str">
        <f>IF([3]道具信息!H768="","",[3]道具信息!H768)</f>
        <v/>
      </c>
      <c r="I768" s="37" t="str">
        <f>IF([3]道具信息!I768="","",[3]道具信息!I768)</f>
        <v/>
      </c>
      <c r="J768" s="37" t="str">
        <f>IF([3]道具信息!J768="","",[3]道具信息!J768)</f>
        <v/>
      </c>
      <c r="K768" s="37" t="str">
        <f>IF([3]道具信息!K768="","",[3]道具信息!K768)</f>
        <v/>
      </c>
      <c r="L768" s="37" t="str">
        <f>IF([3]道具信息!L768="","",[3]道具信息!L768)</f>
        <v/>
      </c>
      <c r="M768" s="37" t="str">
        <f>IF([3]道具信息!M768="","",[3]道具信息!M768)</f>
        <v/>
      </c>
      <c r="N768" s="37"/>
      <c r="O768" s="37" t="str">
        <f>IF([3]道具信息!O768="","",[3]道具信息!O768)</f>
        <v/>
      </c>
      <c r="P768" s="37" t="str">
        <f>IF([3]道具信息!P768="","",[3]道具信息!P768)</f>
        <v/>
      </c>
      <c r="Q768" s="37" t="str">
        <f>IF([3]道具信息!Q768="","",[3]道具信息!Q768)</f>
        <v/>
      </c>
    </row>
    <row r="769" spans="3:17" x14ac:dyDescent="0.15">
      <c r="C769" s="37" t="str">
        <f>IF([3]道具信息!C769="","",[3]道具信息!C769)</f>
        <v/>
      </c>
      <c r="D769" s="37" t="str">
        <f>IF([3]道具信息!D769="","",[3]道具信息!D769)</f>
        <v/>
      </c>
      <c r="E769" s="37" t="str">
        <f>IF([3]道具信息!E769="","",[3]道具信息!E769)</f>
        <v/>
      </c>
      <c r="F769" s="37" t="str">
        <f>IF([3]道具信息!F769="","",[3]道具信息!F769)</f>
        <v/>
      </c>
      <c r="G769" s="37" t="str">
        <f>IF([3]道具信息!G769="","",[3]道具信息!G769)</f>
        <v/>
      </c>
      <c r="H769" s="37" t="str">
        <f>IF([3]道具信息!H769="","",[3]道具信息!H769)</f>
        <v/>
      </c>
      <c r="I769" s="37" t="str">
        <f>IF([3]道具信息!I769="","",[3]道具信息!I769)</f>
        <v/>
      </c>
      <c r="J769" s="37" t="str">
        <f>IF([3]道具信息!J769="","",[3]道具信息!J769)</f>
        <v/>
      </c>
      <c r="K769" s="37" t="str">
        <f>IF([3]道具信息!K769="","",[3]道具信息!K769)</f>
        <v/>
      </c>
      <c r="L769" s="37" t="str">
        <f>IF([3]道具信息!L769="","",[3]道具信息!L769)</f>
        <v/>
      </c>
      <c r="M769" s="37" t="str">
        <f>IF([3]道具信息!M769="","",[3]道具信息!M769)</f>
        <v/>
      </c>
      <c r="N769" s="37"/>
      <c r="O769" s="37" t="str">
        <f>IF([3]道具信息!O769="","",[3]道具信息!O769)</f>
        <v/>
      </c>
      <c r="P769" s="37" t="str">
        <f>IF([3]道具信息!P769="","",[3]道具信息!P769)</f>
        <v/>
      </c>
      <c r="Q769" s="37" t="str">
        <f>IF([3]道具信息!Q769="","",[3]道具信息!Q769)</f>
        <v/>
      </c>
    </row>
    <row r="770" spans="3:17" x14ac:dyDescent="0.15">
      <c r="C770" s="37" t="str">
        <f>IF([3]道具信息!C770="","",[3]道具信息!C770)</f>
        <v/>
      </c>
      <c r="D770" s="37" t="str">
        <f>IF([3]道具信息!D770="","",[3]道具信息!D770)</f>
        <v/>
      </c>
      <c r="E770" s="37" t="str">
        <f>IF([3]道具信息!E770="","",[3]道具信息!E770)</f>
        <v/>
      </c>
      <c r="F770" s="37" t="str">
        <f>IF([3]道具信息!F770="","",[3]道具信息!F770)</f>
        <v/>
      </c>
      <c r="G770" s="37" t="str">
        <f>IF([3]道具信息!G770="","",[3]道具信息!G770)</f>
        <v/>
      </c>
      <c r="H770" s="37" t="str">
        <f>IF([3]道具信息!H770="","",[3]道具信息!H770)</f>
        <v/>
      </c>
      <c r="I770" s="37" t="str">
        <f>IF([3]道具信息!I770="","",[3]道具信息!I770)</f>
        <v/>
      </c>
      <c r="J770" s="37" t="str">
        <f>IF([3]道具信息!J770="","",[3]道具信息!J770)</f>
        <v/>
      </c>
      <c r="K770" s="37" t="str">
        <f>IF([3]道具信息!K770="","",[3]道具信息!K770)</f>
        <v/>
      </c>
      <c r="L770" s="37" t="str">
        <f>IF([3]道具信息!L770="","",[3]道具信息!L770)</f>
        <v/>
      </c>
      <c r="M770" s="37" t="str">
        <f>IF([3]道具信息!M770="","",[3]道具信息!M770)</f>
        <v/>
      </c>
      <c r="N770" s="37"/>
      <c r="O770" s="37" t="str">
        <f>IF([3]道具信息!O770="","",[3]道具信息!O770)</f>
        <v/>
      </c>
      <c r="P770" s="37" t="str">
        <f>IF([3]道具信息!P770="","",[3]道具信息!P770)</f>
        <v/>
      </c>
      <c r="Q770" s="37" t="str">
        <f>IF([3]道具信息!Q770="","",[3]道具信息!Q770)</f>
        <v/>
      </c>
    </row>
    <row r="771" spans="3:17" x14ac:dyDescent="0.15">
      <c r="C771" s="37" t="str">
        <f>IF([3]道具信息!C771="","",[3]道具信息!C771)</f>
        <v/>
      </c>
      <c r="D771" s="37" t="str">
        <f>IF([3]道具信息!D771="","",[3]道具信息!D771)</f>
        <v/>
      </c>
      <c r="E771" s="37" t="str">
        <f>IF([3]道具信息!E771="","",[3]道具信息!E771)</f>
        <v/>
      </c>
      <c r="F771" s="37" t="str">
        <f>IF([3]道具信息!F771="","",[3]道具信息!F771)</f>
        <v/>
      </c>
      <c r="G771" s="37" t="str">
        <f>IF([3]道具信息!G771="","",[3]道具信息!G771)</f>
        <v/>
      </c>
      <c r="H771" s="37" t="str">
        <f>IF([3]道具信息!H771="","",[3]道具信息!H771)</f>
        <v/>
      </c>
      <c r="I771" s="37" t="str">
        <f>IF([3]道具信息!I771="","",[3]道具信息!I771)</f>
        <v/>
      </c>
      <c r="J771" s="37" t="str">
        <f>IF([3]道具信息!J771="","",[3]道具信息!J771)</f>
        <v/>
      </c>
      <c r="K771" s="37" t="str">
        <f>IF([3]道具信息!K771="","",[3]道具信息!K771)</f>
        <v/>
      </c>
      <c r="L771" s="37" t="str">
        <f>IF([3]道具信息!L771="","",[3]道具信息!L771)</f>
        <v/>
      </c>
      <c r="M771" s="37" t="str">
        <f>IF([3]道具信息!M771="","",[3]道具信息!M771)</f>
        <v/>
      </c>
      <c r="N771" s="37"/>
      <c r="O771" s="37" t="str">
        <f>IF([3]道具信息!O771="","",[3]道具信息!O771)</f>
        <v/>
      </c>
      <c r="P771" s="37" t="str">
        <f>IF([3]道具信息!P771="","",[3]道具信息!P771)</f>
        <v/>
      </c>
      <c r="Q771" s="37" t="str">
        <f>IF([3]道具信息!Q771="","",[3]道具信息!Q771)</f>
        <v/>
      </c>
    </row>
    <row r="772" spans="3:17" x14ac:dyDescent="0.15">
      <c r="C772" s="37" t="str">
        <f>IF([3]道具信息!C772="","",[3]道具信息!C772)</f>
        <v/>
      </c>
      <c r="D772" s="37" t="str">
        <f>IF([3]道具信息!D772="","",[3]道具信息!D772)</f>
        <v/>
      </c>
      <c r="E772" s="37" t="str">
        <f>IF([3]道具信息!E772="","",[3]道具信息!E772)</f>
        <v/>
      </c>
      <c r="F772" s="37" t="str">
        <f>IF([3]道具信息!F772="","",[3]道具信息!F772)</f>
        <v/>
      </c>
      <c r="G772" s="37" t="str">
        <f>IF([3]道具信息!G772="","",[3]道具信息!G772)</f>
        <v/>
      </c>
      <c r="H772" s="37" t="str">
        <f>IF([3]道具信息!H772="","",[3]道具信息!H772)</f>
        <v/>
      </c>
      <c r="I772" s="37" t="str">
        <f>IF([3]道具信息!I772="","",[3]道具信息!I772)</f>
        <v/>
      </c>
      <c r="J772" s="37" t="str">
        <f>IF([3]道具信息!J772="","",[3]道具信息!J772)</f>
        <v/>
      </c>
      <c r="K772" s="37" t="str">
        <f>IF([3]道具信息!K772="","",[3]道具信息!K772)</f>
        <v/>
      </c>
      <c r="L772" s="37" t="str">
        <f>IF([3]道具信息!L772="","",[3]道具信息!L772)</f>
        <v/>
      </c>
      <c r="M772" s="37" t="str">
        <f>IF([3]道具信息!M772="","",[3]道具信息!M772)</f>
        <v/>
      </c>
      <c r="N772" s="37"/>
      <c r="O772" s="37" t="str">
        <f>IF([3]道具信息!O772="","",[3]道具信息!O772)</f>
        <v/>
      </c>
      <c r="P772" s="37" t="str">
        <f>IF([3]道具信息!P772="","",[3]道具信息!P772)</f>
        <v/>
      </c>
      <c r="Q772" s="37" t="str">
        <f>IF([3]道具信息!Q772="","",[3]道具信息!Q772)</f>
        <v/>
      </c>
    </row>
    <row r="773" spans="3:17" x14ac:dyDescent="0.15">
      <c r="C773" s="37" t="str">
        <f>IF([3]道具信息!C773="","",[3]道具信息!C773)</f>
        <v/>
      </c>
      <c r="D773" s="37" t="str">
        <f>IF([3]道具信息!D773="","",[3]道具信息!D773)</f>
        <v/>
      </c>
      <c r="E773" s="37" t="str">
        <f>IF([3]道具信息!E773="","",[3]道具信息!E773)</f>
        <v/>
      </c>
      <c r="F773" s="37" t="str">
        <f>IF([3]道具信息!F773="","",[3]道具信息!F773)</f>
        <v/>
      </c>
      <c r="G773" s="37" t="str">
        <f>IF([3]道具信息!G773="","",[3]道具信息!G773)</f>
        <v/>
      </c>
      <c r="H773" s="37" t="str">
        <f>IF([3]道具信息!H773="","",[3]道具信息!H773)</f>
        <v/>
      </c>
      <c r="I773" s="37" t="str">
        <f>IF([3]道具信息!I773="","",[3]道具信息!I773)</f>
        <v/>
      </c>
      <c r="J773" s="37" t="str">
        <f>IF([3]道具信息!J773="","",[3]道具信息!J773)</f>
        <v/>
      </c>
      <c r="K773" s="37" t="str">
        <f>IF([3]道具信息!K773="","",[3]道具信息!K773)</f>
        <v/>
      </c>
      <c r="L773" s="37" t="str">
        <f>IF([3]道具信息!L773="","",[3]道具信息!L773)</f>
        <v/>
      </c>
      <c r="M773" s="37" t="str">
        <f>IF([3]道具信息!M773="","",[3]道具信息!M773)</f>
        <v/>
      </c>
      <c r="N773" s="37"/>
      <c r="O773" s="37" t="str">
        <f>IF([3]道具信息!O773="","",[3]道具信息!O773)</f>
        <v/>
      </c>
      <c r="P773" s="37" t="str">
        <f>IF([3]道具信息!P773="","",[3]道具信息!P773)</f>
        <v/>
      </c>
      <c r="Q773" s="37" t="str">
        <f>IF([3]道具信息!Q773="","",[3]道具信息!Q773)</f>
        <v/>
      </c>
    </row>
    <row r="774" spans="3:17" x14ac:dyDescent="0.15">
      <c r="C774" s="37" t="str">
        <f>IF([3]道具信息!C774="","",[3]道具信息!C774)</f>
        <v/>
      </c>
      <c r="D774" s="37" t="str">
        <f>IF([3]道具信息!D774="","",[3]道具信息!D774)</f>
        <v/>
      </c>
      <c r="E774" s="37" t="str">
        <f>IF([3]道具信息!E774="","",[3]道具信息!E774)</f>
        <v/>
      </c>
      <c r="F774" s="37" t="str">
        <f>IF([3]道具信息!F774="","",[3]道具信息!F774)</f>
        <v/>
      </c>
      <c r="G774" s="37" t="str">
        <f>IF([3]道具信息!G774="","",[3]道具信息!G774)</f>
        <v/>
      </c>
      <c r="H774" s="37" t="str">
        <f>IF([3]道具信息!H774="","",[3]道具信息!H774)</f>
        <v/>
      </c>
      <c r="I774" s="37" t="str">
        <f>IF([3]道具信息!I774="","",[3]道具信息!I774)</f>
        <v/>
      </c>
      <c r="J774" s="37" t="str">
        <f>IF([3]道具信息!J774="","",[3]道具信息!J774)</f>
        <v/>
      </c>
      <c r="K774" s="37" t="str">
        <f>IF([3]道具信息!K774="","",[3]道具信息!K774)</f>
        <v/>
      </c>
      <c r="L774" s="37" t="str">
        <f>IF([3]道具信息!L774="","",[3]道具信息!L774)</f>
        <v/>
      </c>
      <c r="M774" s="37" t="str">
        <f>IF([3]道具信息!M774="","",[3]道具信息!M774)</f>
        <v/>
      </c>
      <c r="N774" s="37"/>
      <c r="O774" s="37" t="str">
        <f>IF([3]道具信息!O774="","",[3]道具信息!O774)</f>
        <v/>
      </c>
      <c r="P774" s="37" t="str">
        <f>IF([3]道具信息!P774="","",[3]道具信息!P774)</f>
        <v/>
      </c>
      <c r="Q774" s="37" t="str">
        <f>IF([3]道具信息!Q774="","",[3]道具信息!Q774)</f>
        <v/>
      </c>
    </row>
    <row r="775" spans="3:17" x14ac:dyDescent="0.15">
      <c r="C775" s="37" t="str">
        <f>IF([3]道具信息!C775="","",[3]道具信息!C775)</f>
        <v/>
      </c>
      <c r="D775" s="37" t="str">
        <f>IF([3]道具信息!D775="","",[3]道具信息!D775)</f>
        <v/>
      </c>
      <c r="E775" s="37" t="str">
        <f>IF([3]道具信息!E775="","",[3]道具信息!E775)</f>
        <v/>
      </c>
      <c r="F775" s="37" t="str">
        <f>IF([3]道具信息!F775="","",[3]道具信息!F775)</f>
        <v/>
      </c>
      <c r="G775" s="37" t="str">
        <f>IF([3]道具信息!G775="","",[3]道具信息!G775)</f>
        <v/>
      </c>
      <c r="H775" s="37" t="str">
        <f>IF([3]道具信息!H775="","",[3]道具信息!H775)</f>
        <v/>
      </c>
      <c r="I775" s="37" t="str">
        <f>IF([3]道具信息!I775="","",[3]道具信息!I775)</f>
        <v/>
      </c>
      <c r="J775" s="37" t="str">
        <f>IF([3]道具信息!J775="","",[3]道具信息!J775)</f>
        <v/>
      </c>
      <c r="K775" s="37" t="str">
        <f>IF([3]道具信息!K775="","",[3]道具信息!K775)</f>
        <v/>
      </c>
      <c r="L775" s="37" t="str">
        <f>IF([3]道具信息!L775="","",[3]道具信息!L775)</f>
        <v/>
      </c>
      <c r="M775" s="37" t="str">
        <f>IF([3]道具信息!M775="","",[3]道具信息!M775)</f>
        <v/>
      </c>
      <c r="N775" s="37"/>
      <c r="O775" s="37" t="str">
        <f>IF([3]道具信息!O775="","",[3]道具信息!O775)</f>
        <v/>
      </c>
      <c r="P775" s="37" t="str">
        <f>IF([3]道具信息!P775="","",[3]道具信息!P775)</f>
        <v/>
      </c>
      <c r="Q775" s="37" t="str">
        <f>IF([3]道具信息!Q775="","",[3]道具信息!Q775)</f>
        <v/>
      </c>
    </row>
    <row r="776" spans="3:17" x14ac:dyDescent="0.15">
      <c r="C776" s="37" t="str">
        <f>IF([3]道具信息!C776="","",[3]道具信息!C776)</f>
        <v/>
      </c>
      <c r="D776" s="37" t="str">
        <f>IF([3]道具信息!D776="","",[3]道具信息!D776)</f>
        <v/>
      </c>
      <c r="E776" s="37" t="str">
        <f>IF([3]道具信息!E776="","",[3]道具信息!E776)</f>
        <v/>
      </c>
      <c r="F776" s="37" t="str">
        <f>IF([3]道具信息!F776="","",[3]道具信息!F776)</f>
        <v/>
      </c>
      <c r="G776" s="37" t="str">
        <f>IF([3]道具信息!G776="","",[3]道具信息!G776)</f>
        <v/>
      </c>
      <c r="H776" s="37" t="str">
        <f>IF([3]道具信息!H776="","",[3]道具信息!H776)</f>
        <v/>
      </c>
      <c r="I776" s="37" t="str">
        <f>IF([3]道具信息!I776="","",[3]道具信息!I776)</f>
        <v/>
      </c>
      <c r="J776" s="37" t="str">
        <f>IF([3]道具信息!J776="","",[3]道具信息!J776)</f>
        <v/>
      </c>
      <c r="K776" s="37" t="str">
        <f>IF([3]道具信息!K776="","",[3]道具信息!K776)</f>
        <v/>
      </c>
      <c r="L776" s="37" t="str">
        <f>IF([3]道具信息!L776="","",[3]道具信息!L776)</f>
        <v/>
      </c>
      <c r="M776" s="37" t="str">
        <f>IF([3]道具信息!M776="","",[3]道具信息!M776)</f>
        <v/>
      </c>
      <c r="N776" s="37"/>
      <c r="O776" s="37" t="str">
        <f>IF([3]道具信息!O776="","",[3]道具信息!O776)</f>
        <v/>
      </c>
      <c r="P776" s="37" t="str">
        <f>IF([3]道具信息!P776="","",[3]道具信息!P776)</f>
        <v/>
      </c>
      <c r="Q776" s="37" t="str">
        <f>IF([3]道具信息!Q776="","",[3]道具信息!Q776)</f>
        <v/>
      </c>
    </row>
    <row r="777" spans="3:17" x14ac:dyDescent="0.15">
      <c r="C777" s="37" t="str">
        <f>IF([3]道具信息!C777="","",[3]道具信息!C777)</f>
        <v/>
      </c>
      <c r="D777" s="37" t="str">
        <f>IF([3]道具信息!D777="","",[3]道具信息!D777)</f>
        <v/>
      </c>
      <c r="E777" s="37" t="str">
        <f>IF([3]道具信息!E777="","",[3]道具信息!E777)</f>
        <v/>
      </c>
      <c r="F777" s="37" t="str">
        <f>IF([3]道具信息!F777="","",[3]道具信息!F777)</f>
        <v/>
      </c>
      <c r="G777" s="37" t="str">
        <f>IF([3]道具信息!G777="","",[3]道具信息!G777)</f>
        <v/>
      </c>
      <c r="H777" s="37" t="str">
        <f>IF([3]道具信息!H777="","",[3]道具信息!H777)</f>
        <v/>
      </c>
      <c r="I777" s="37" t="str">
        <f>IF([3]道具信息!I777="","",[3]道具信息!I777)</f>
        <v/>
      </c>
      <c r="J777" s="37" t="str">
        <f>IF([3]道具信息!J777="","",[3]道具信息!J777)</f>
        <v/>
      </c>
      <c r="K777" s="37" t="str">
        <f>IF([3]道具信息!K777="","",[3]道具信息!K777)</f>
        <v/>
      </c>
      <c r="L777" s="37" t="str">
        <f>IF([3]道具信息!L777="","",[3]道具信息!L777)</f>
        <v/>
      </c>
      <c r="M777" s="37" t="str">
        <f>IF([3]道具信息!M777="","",[3]道具信息!M777)</f>
        <v/>
      </c>
      <c r="N777" s="37"/>
      <c r="O777" s="37" t="str">
        <f>IF([3]道具信息!O777="","",[3]道具信息!O777)</f>
        <v/>
      </c>
      <c r="P777" s="37" t="str">
        <f>IF([3]道具信息!P777="","",[3]道具信息!P777)</f>
        <v/>
      </c>
      <c r="Q777" s="37" t="str">
        <f>IF([3]道具信息!Q777="","",[3]道具信息!Q777)</f>
        <v/>
      </c>
    </row>
    <row r="778" spans="3:17" x14ac:dyDescent="0.15">
      <c r="C778" s="37" t="str">
        <f>IF([3]道具信息!C778="","",[3]道具信息!C778)</f>
        <v/>
      </c>
      <c r="D778" s="37" t="str">
        <f>IF([3]道具信息!D778="","",[3]道具信息!D778)</f>
        <v/>
      </c>
      <c r="E778" s="37" t="str">
        <f>IF([3]道具信息!E778="","",[3]道具信息!E778)</f>
        <v/>
      </c>
      <c r="F778" s="37" t="str">
        <f>IF([3]道具信息!F778="","",[3]道具信息!F778)</f>
        <v/>
      </c>
      <c r="G778" s="37" t="str">
        <f>IF([3]道具信息!G778="","",[3]道具信息!G778)</f>
        <v/>
      </c>
      <c r="H778" s="37" t="str">
        <f>IF([3]道具信息!H778="","",[3]道具信息!H778)</f>
        <v/>
      </c>
      <c r="I778" s="37" t="str">
        <f>IF([3]道具信息!I778="","",[3]道具信息!I778)</f>
        <v/>
      </c>
      <c r="J778" s="37" t="str">
        <f>IF([3]道具信息!J778="","",[3]道具信息!J778)</f>
        <v/>
      </c>
      <c r="K778" s="37" t="str">
        <f>IF([3]道具信息!K778="","",[3]道具信息!K778)</f>
        <v/>
      </c>
      <c r="L778" s="37" t="str">
        <f>IF([3]道具信息!L778="","",[3]道具信息!L778)</f>
        <v/>
      </c>
      <c r="M778" s="37" t="str">
        <f>IF([3]道具信息!M778="","",[3]道具信息!M778)</f>
        <v/>
      </c>
      <c r="N778" s="37"/>
      <c r="O778" s="37" t="str">
        <f>IF([3]道具信息!O778="","",[3]道具信息!O778)</f>
        <v/>
      </c>
      <c r="P778" s="37" t="str">
        <f>IF([3]道具信息!P778="","",[3]道具信息!P778)</f>
        <v/>
      </c>
      <c r="Q778" s="37" t="str">
        <f>IF([3]道具信息!Q778="","",[3]道具信息!Q778)</f>
        <v/>
      </c>
    </row>
    <row r="779" spans="3:17" x14ac:dyDescent="0.15">
      <c r="C779" s="37" t="str">
        <f>IF([3]道具信息!C779="","",[3]道具信息!C779)</f>
        <v/>
      </c>
      <c r="D779" s="37" t="str">
        <f>IF([3]道具信息!D779="","",[3]道具信息!D779)</f>
        <v/>
      </c>
      <c r="E779" s="37" t="str">
        <f>IF([3]道具信息!E779="","",[3]道具信息!E779)</f>
        <v/>
      </c>
      <c r="F779" s="37" t="str">
        <f>IF([3]道具信息!F779="","",[3]道具信息!F779)</f>
        <v/>
      </c>
      <c r="G779" s="37" t="str">
        <f>IF([3]道具信息!G779="","",[3]道具信息!G779)</f>
        <v/>
      </c>
      <c r="H779" s="37" t="str">
        <f>IF([3]道具信息!H779="","",[3]道具信息!H779)</f>
        <v/>
      </c>
      <c r="I779" s="37" t="str">
        <f>IF([3]道具信息!I779="","",[3]道具信息!I779)</f>
        <v/>
      </c>
      <c r="J779" s="37" t="str">
        <f>IF([3]道具信息!J779="","",[3]道具信息!J779)</f>
        <v/>
      </c>
      <c r="K779" s="37" t="str">
        <f>IF([3]道具信息!K779="","",[3]道具信息!K779)</f>
        <v/>
      </c>
      <c r="L779" s="37" t="str">
        <f>IF([3]道具信息!L779="","",[3]道具信息!L779)</f>
        <v/>
      </c>
      <c r="M779" s="37" t="str">
        <f>IF([3]道具信息!M779="","",[3]道具信息!M779)</f>
        <v/>
      </c>
      <c r="N779" s="37"/>
      <c r="O779" s="37" t="str">
        <f>IF([3]道具信息!O779="","",[3]道具信息!O779)</f>
        <v/>
      </c>
      <c r="P779" s="37" t="str">
        <f>IF([3]道具信息!P779="","",[3]道具信息!P779)</f>
        <v/>
      </c>
      <c r="Q779" s="37" t="str">
        <f>IF([3]道具信息!Q779="","",[3]道具信息!Q779)</f>
        <v/>
      </c>
    </row>
    <row r="780" spans="3:17" x14ac:dyDescent="0.15">
      <c r="C780" s="37" t="str">
        <f>IF([3]道具信息!C780="","",[3]道具信息!C780)</f>
        <v/>
      </c>
      <c r="D780" s="37" t="str">
        <f>IF([3]道具信息!D780="","",[3]道具信息!D780)</f>
        <v/>
      </c>
      <c r="E780" s="37" t="str">
        <f>IF([3]道具信息!E780="","",[3]道具信息!E780)</f>
        <v/>
      </c>
      <c r="F780" s="37" t="str">
        <f>IF([3]道具信息!F780="","",[3]道具信息!F780)</f>
        <v/>
      </c>
      <c r="G780" s="37" t="str">
        <f>IF([3]道具信息!G780="","",[3]道具信息!G780)</f>
        <v/>
      </c>
      <c r="H780" s="37" t="str">
        <f>IF([3]道具信息!H780="","",[3]道具信息!H780)</f>
        <v/>
      </c>
      <c r="I780" s="37" t="str">
        <f>IF([3]道具信息!I780="","",[3]道具信息!I780)</f>
        <v/>
      </c>
      <c r="J780" s="37" t="str">
        <f>IF([3]道具信息!J780="","",[3]道具信息!J780)</f>
        <v/>
      </c>
      <c r="K780" s="37" t="str">
        <f>IF([3]道具信息!K780="","",[3]道具信息!K780)</f>
        <v/>
      </c>
      <c r="L780" s="37" t="str">
        <f>IF([3]道具信息!L780="","",[3]道具信息!L780)</f>
        <v/>
      </c>
      <c r="M780" s="37" t="str">
        <f>IF([3]道具信息!M780="","",[3]道具信息!M780)</f>
        <v/>
      </c>
      <c r="N780" s="37"/>
      <c r="O780" s="37" t="str">
        <f>IF([3]道具信息!O780="","",[3]道具信息!O780)</f>
        <v/>
      </c>
      <c r="P780" s="37" t="str">
        <f>IF([3]道具信息!P780="","",[3]道具信息!P780)</f>
        <v/>
      </c>
      <c r="Q780" s="37" t="str">
        <f>IF([3]道具信息!Q780="","",[3]道具信息!Q780)</f>
        <v/>
      </c>
    </row>
    <row r="781" spans="3:17" x14ac:dyDescent="0.15">
      <c r="C781" s="37" t="str">
        <f>IF([3]道具信息!C781="","",[3]道具信息!C781)</f>
        <v/>
      </c>
      <c r="D781" s="37" t="str">
        <f>IF([3]道具信息!D781="","",[3]道具信息!D781)</f>
        <v/>
      </c>
      <c r="E781" s="37" t="str">
        <f>IF([3]道具信息!E781="","",[3]道具信息!E781)</f>
        <v/>
      </c>
      <c r="F781" s="37" t="str">
        <f>IF([3]道具信息!F781="","",[3]道具信息!F781)</f>
        <v/>
      </c>
      <c r="G781" s="37" t="str">
        <f>IF([3]道具信息!G781="","",[3]道具信息!G781)</f>
        <v/>
      </c>
      <c r="H781" s="37" t="str">
        <f>IF([3]道具信息!H781="","",[3]道具信息!H781)</f>
        <v/>
      </c>
      <c r="I781" s="37" t="str">
        <f>IF([3]道具信息!I781="","",[3]道具信息!I781)</f>
        <v/>
      </c>
      <c r="J781" s="37" t="str">
        <f>IF([3]道具信息!J781="","",[3]道具信息!J781)</f>
        <v/>
      </c>
      <c r="K781" s="37" t="str">
        <f>IF([3]道具信息!K781="","",[3]道具信息!K781)</f>
        <v/>
      </c>
      <c r="L781" s="37" t="str">
        <f>IF([3]道具信息!L781="","",[3]道具信息!L781)</f>
        <v/>
      </c>
      <c r="M781" s="37" t="str">
        <f>IF([3]道具信息!M781="","",[3]道具信息!M781)</f>
        <v/>
      </c>
      <c r="N781" s="37"/>
      <c r="O781" s="37" t="str">
        <f>IF([3]道具信息!O781="","",[3]道具信息!O781)</f>
        <v/>
      </c>
      <c r="P781" s="37" t="str">
        <f>IF([3]道具信息!P781="","",[3]道具信息!P781)</f>
        <v/>
      </c>
      <c r="Q781" s="37" t="str">
        <f>IF([3]道具信息!Q781="","",[3]道具信息!Q781)</f>
        <v/>
      </c>
    </row>
    <row r="782" spans="3:17" x14ac:dyDescent="0.15">
      <c r="C782" s="37" t="str">
        <f>IF([3]道具信息!C782="","",[3]道具信息!C782)</f>
        <v/>
      </c>
      <c r="D782" s="37" t="str">
        <f>IF([3]道具信息!D782="","",[3]道具信息!D782)</f>
        <v/>
      </c>
      <c r="E782" s="37" t="str">
        <f>IF([3]道具信息!E782="","",[3]道具信息!E782)</f>
        <v/>
      </c>
      <c r="F782" s="37" t="str">
        <f>IF([3]道具信息!F782="","",[3]道具信息!F782)</f>
        <v/>
      </c>
      <c r="G782" s="37" t="str">
        <f>IF([3]道具信息!G782="","",[3]道具信息!G782)</f>
        <v/>
      </c>
      <c r="H782" s="37" t="str">
        <f>IF([3]道具信息!H782="","",[3]道具信息!H782)</f>
        <v/>
      </c>
      <c r="I782" s="37" t="str">
        <f>IF([3]道具信息!I782="","",[3]道具信息!I782)</f>
        <v/>
      </c>
      <c r="J782" s="37" t="str">
        <f>IF([3]道具信息!J782="","",[3]道具信息!J782)</f>
        <v/>
      </c>
      <c r="K782" s="37" t="str">
        <f>IF([3]道具信息!K782="","",[3]道具信息!K782)</f>
        <v/>
      </c>
      <c r="L782" s="37" t="str">
        <f>IF([3]道具信息!L782="","",[3]道具信息!L782)</f>
        <v/>
      </c>
      <c r="M782" s="37" t="str">
        <f>IF([3]道具信息!M782="","",[3]道具信息!M782)</f>
        <v/>
      </c>
      <c r="N782" s="37"/>
      <c r="O782" s="37" t="str">
        <f>IF([3]道具信息!O782="","",[3]道具信息!O782)</f>
        <v/>
      </c>
      <c r="P782" s="37" t="str">
        <f>IF([3]道具信息!P782="","",[3]道具信息!P782)</f>
        <v/>
      </c>
      <c r="Q782" s="37" t="str">
        <f>IF([3]道具信息!Q782="","",[3]道具信息!Q782)</f>
        <v/>
      </c>
    </row>
    <row r="783" spans="3:17" x14ac:dyDescent="0.15">
      <c r="C783" s="37" t="str">
        <f>IF([3]道具信息!C783="","",[3]道具信息!C783)</f>
        <v/>
      </c>
      <c r="D783" s="37" t="str">
        <f>IF([3]道具信息!D783="","",[3]道具信息!D783)</f>
        <v/>
      </c>
      <c r="E783" s="37" t="str">
        <f>IF([3]道具信息!E783="","",[3]道具信息!E783)</f>
        <v/>
      </c>
      <c r="F783" s="37" t="str">
        <f>IF([3]道具信息!F783="","",[3]道具信息!F783)</f>
        <v/>
      </c>
      <c r="G783" s="37" t="str">
        <f>IF([3]道具信息!G783="","",[3]道具信息!G783)</f>
        <v/>
      </c>
      <c r="H783" s="37" t="str">
        <f>IF([3]道具信息!H783="","",[3]道具信息!H783)</f>
        <v/>
      </c>
      <c r="I783" s="37" t="str">
        <f>IF([3]道具信息!I783="","",[3]道具信息!I783)</f>
        <v/>
      </c>
      <c r="J783" s="37" t="str">
        <f>IF([3]道具信息!J783="","",[3]道具信息!J783)</f>
        <v/>
      </c>
      <c r="K783" s="37" t="str">
        <f>IF([3]道具信息!K783="","",[3]道具信息!K783)</f>
        <v/>
      </c>
      <c r="L783" s="37" t="str">
        <f>IF([3]道具信息!L783="","",[3]道具信息!L783)</f>
        <v/>
      </c>
      <c r="M783" s="37" t="str">
        <f>IF([3]道具信息!M783="","",[3]道具信息!M783)</f>
        <v/>
      </c>
      <c r="N783" s="37"/>
      <c r="O783" s="37" t="str">
        <f>IF([3]道具信息!O783="","",[3]道具信息!O783)</f>
        <v/>
      </c>
      <c r="P783" s="37" t="str">
        <f>IF([3]道具信息!P783="","",[3]道具信息!P783)</f>
        <v/>
      </c>
      <c r="Q783" s="37" t="str">
        <f>IF([3]道具信息!Q783="","",[3]道具信息!Q783)</f>
        <v/>
      </c>
    </row>
    <row r="784" spans="3:17" x14ac:dyDescent="0.15">
      <c r="C784" s="37" t="str">
        <f>IF([3]道具信息!C784="","",[3]道具信息!C784)</f>
        <v/>
      </c>
      <c r="D784" s="37" t="str">
        <f>IF([3]道具信息!D784="","",[3]道具信息!D784)</f>
        <v/>
      </c>
      <c r="E784" s="37" t="str">
        <f>IF([3]道具信息!E784="","",[3]道具信息!E784)</f>
        <v/>
      </c>
      <c r="F784" s="37" t="str">
        <f>IF([3]道具信息!F784="","",[3]道具信息!F784)</f>
        <v/>
      </c>
      <c r="G784" s="37" t="str">
        <f>IF([3]道具信息!G784="","",[3]道具信息!G784)</f>
        <v/>
      </c>
      <c r="H784" s="37" t="str">
        <f>IF([3]道具信息!H784="","",[3]道具信息!H784)</f>
        <v/>
      </c>
      <c r="I784" s="37" t="str">
        <f>IF([3]道具信息!I784="","",[3]道具信息!I784)</f>
        <v/>
      </c>
      <c r="J784" s="37" t="str">
        <f>IF([3]道具信息!J784="","",[3]道具信息!J784)</f>
        <v/>
      </c>
      <c r="K784" s="37" t="str">
        <f>IF([3]道具信息!K784="","",[3]道具信息!K784)</f>
        <v/>
      </c>
      <c r="L784" s="37" t="str">
        <f>IF([3]道具信息!L784="","",[3]道具信息!L784)</f>
        <v/>
      </c>
      <c r="M784" s="37" t="str">
        <f>IF([3]道具信息!M784="","",[3]道具信息!M784)</f>
        <v/>
      </c>
      <c r="N784" s="37"/>
      <c r="O784" s="37" t="str">
        <f>IF([3]道具信息!O784="","",[3]道具信息!O784)</f>
        <v/>
      </c>
      <c r="P784" s="37" t="str">
        <f>IF([3]道具信息!P784="","",[3]道具信息!P784)</f>
        <v/>
      </c>
      <c r="Q784" s="37" t="str">
        <f>IF([3]道具信息!Q784="","",[3]道具信息!Q784)</f>
        <v/>
      </c>
    </row>
    <row r="785" spans="3:17" x14ac:dyDescent="0.15">
      <c r="C785" s="37" t="str">
        <f>IF([3]道具信息!C785="","",[3]道具信息!C785)</f>
        <v/>
      </c>
      <c r="D785" s="37" t="str">
        <f>IF([3]道具信息!D785="","",[3]道具信息!D785)</f>
        <v/>
      </c>
      <c r="E785" s="37" t="str">
        <f>IF([3]道具信息!E785="","",[3]道具信息!E785)</f>
        <v/>
      </c>
      <c r="F785" s="37" t="str">
        <f>IF([3]道具信息!F785="","",[3]道具信息!F785)</f>
        <v/>
      </c>
      <c r="G785" s="37" t="str">
        <f>IF([3]道具信息!G785="","",[3]道具信息!G785)</f>
        <v/>
      </c>
      <c r="H785" s="37" t="str">
        <f>IF([3]道具信息!H785="","",[3]道具信息!H785)</f>
        <v/>
      </c>
      <c r="I785" s="37" t="str">
        <f>IF([3]道具信息!I785="","",[3]道具信息!I785)</f>
        <v/>
      </c>
      <c r="J785" s="37" t="str">
        <f>IF([3]道具信息!J785="","",[3]道具信息!J785)</f>
        <v/>
      </c>
      <c r="K785" s="37" t="str">
        <f>IF([3]道具信息!K785="","",[3]道具信息!K785)</f>
        <v/>
      </c>
      <c r="L785" s="37" t="str">
        <f>IF([3]道具信息!L785="","",[3]道具信息!L785)</f>
        <v/>
      </c>
      <c r="M785" s="37" t="str">
        <f>IF([3]道具信息!M785="","",[3]道具信息!M785)</f>
        <v/>
      </c>
      <c r="N785" s="37"/>
      <c r="O785" s="37" t="str">
        <f>IF([3]道具信息!O785="","",[3]道具信息!O785)</f>
        <v/>
      </c>
      <c r="P785" s="37" t="str">
        <f>IF([3]道具信息!P785="","",[3]道具信息!P785)</f>
        <v/>
      </c>
      <c r="Q785" s="37" t="str">
        <f>IF([3]道具信息!Q785="","",[3]道具信息!Q785)</f>
        <v/>
      </c>
    </row>
    <row r="786" spans="3:17" x14ac:dyDescent="0.15">
      <c r="C786" s="37" t="str">
        <f>IF([3]道具信息!C786="","",[3]道具信息!C786)</f>
        <v/>
      </c>
      <c r="D786" s="37" t="str">
        <f>IF([3]道具信息!D786="","",[3]道具信息!D786)</f>
        <v/>
      </c>
      <c r="E786" s="37" t="str">
        <f>IF([3]道具信息!E786="","",[3]道具信息!E786)</f>
        <v/>
      </c>
      <c r="F786" s="37" t="str">
        <f>IF([3]道具信息!F786="","",[3]道具信息!F786)</f>
        <v/>
      </c>
      <c r="G786" s="37" t="str">
        <f>IF([3]道具信息!G786="","",[3]道具信息!G786)</f>
        <v/>
      </c>
      <c r="H786" s="37" t="str">
        <f>IF([3]道具信息!H786="","",[3]道具信息!H786)</f>
        <v/>
      </c>
      <c r="I786" s="37" t="str">
        <f>IF([3]道具信息!I786="","",[3]道具信息!I786)</f>
        <v/>
      </c>
      <c r="J786" s="37" t="str">
        <f>IF([3]道具信息!J786="","",[3]道具信息!J786)</f>
        <v/>
      </c>
      <c r="K786" s="37" t="str">
        <f>IF([3]道具信息!K786="","",[3]道具信息!K786)</f>
        <v/>
      </c>
      <c r="L786" s="37" t="str">
        <f>IF([3]道具信息!L786="","",[3]道具信息!L786)</f>
        <v/>
      </c>
      <c r="M786" s="37" t="str">
        <f>IF([3]道具信息!M786="","",[3]道具信息!M786)</f>
        <v/>
      </c>
      <c r="N786" s="37"/>
      <c r="O786" s="37" t="str">
        <f>IF([3]道具信息!O786="","",[3]道具信息!O786)</f>
        <v/>
      </c>
      <c r="P786" s="37" t="str">
        <f>IF([3]道具信息!P786="","",[3]道具信息!P786)</f>
        <v/>
      </c>
      <c r="Q786" s="37" t="str">
        <f>IF([3]道具信息!Q786="","",[3]道具信息!Q786)</f>
        <v/>
      </c>
    </row>
    <row r="787" spans="3:17" x14ac:dyDescent="0.15">
      <c r="C787" s="37" t="str">
        <f>IF([3]道具信息!C787="","",[3]道具信息!C787)</f>
        <v/>
      </c>
      <c r="D787" s="37" t="str">
        <f>IF([3]道具信息!D787="","",[3]道具信息!D787)</f>
        <v/>
      </c>
      <c r="E787" s="37" t="str">
        <f>IF([3]道具信息!E787="","",[3]道具信息!E787)</f>
        <v/>
      </c>
      <c r="F787" s="37" t="str">
        <f>IF([3]道具信息!F787="","",[3]道具信息!F787)</f>
        <v/>
      </c>
      <c r="G787" s="37" t="str">
        <f>IF([3]道具信息!G787="","",[3]道具信息!G787)</f>
        <v/>
      </c>
      <c r="H787" s="37" t="str">
        <f>IF([3]道具信息!H787="","",[3]道具信息!H787)</f>
        <v/>
      </c>
      <c r="I787" s="37" t="str">
        <f>IF([3]道具信息!I787="","",[3]道具信息!I787)</f>
        <v/>
      </c>
      <c r="J787" s="37" t="str">
        <f>IF([3]道具信息!J787="","",[3]道具信息!J787)</f>
        <v/>
      </c>
      <c r="K787" s="37" t="str">
        <f>IF([3]道具信息!K787="","",[3]道具信息!K787)</f>
        <v/>
      </c>
      <c r="L787" s="37" t="str">
        <f>IF([3]道具信息!L787="","",[3]道具信息!L787)</f>
        <v/>
      </c>
      <c r="M787" s="37" t="str">
        <f>IF([3]道具信息!M787="","",[3]道具信息!M787)</f>
        <v/>
      </c>
      <c r="N787" s="37"/>
      <c r="O787" s="37" t="str">
        <f>IF([3]道具信息!O787="","",[3]道具信息!O787)</f>
        <v/>
      </c>
      <c r="P787" s="37" t="str">
        <f>IF([3]道具信息!P787="","",[3]道具信息!P787)</f>
        <v/>
      </c>
      <c r="Q787" s="37" t="str">
        <f>IF([3]道具信息!Q787="","",[3]道具信息!Q787)</f>
        <v/>
      </c>
    </row>
    <row r="788" spans="3:17" x14ac:dyDescent="0.15">
      <c r="C788" s="37" t="str">
        <f>IF([3]道具信息!C788="","",[3]道具信息!C788)</f>
        <v/>
      </c>
      <c r="D788" s="37" t="str">
        <f>IF([3]道具信息!D788="","",[3]道具信息!D788)</f>
        <v/>
      </c>
      <c r="E788" s="37" t="str">
        <f>IF([3]道具信息!E788="","",[3]道具信息!E788)</f>
        <v/>
      </c>
      <c r="F788" s="37" t="str">
        <f>IF([3]道具信息!F788="","",[3]道具信息!F788)</f>
        <v/>
      </c>
      <c r="G788" s="37" t="str">
        <f>IF([3]道具信息!G788="","",[3]道具信息!G788)</f>
        <v/>
      </c>
      <c r="H788" s="37" t="str">
        <f>IF([3]道具信息!H788="","",[3]道具信息!H788)</f>
        <v/>
      </c>
      <c r="I788" s="37" t="str">
        <f>IF([3]道具信息!I788="","",[3]道具信息!I788)</f>
        <v/>
      </c>
      <c r="J788" s="37" t="str">
        <f>IF([3]道具信息!J788="","",[3]道具信息!J788)</f>
        <v/>
      </c>
      <c r="K788" s="37" t="str">
        <f>IF([3]道具信息!K788="","",[3]道具信息!K788)</f>
        <v/>
      </c>
      <c r="L788" s="37" t="str">
        <f>IF([3]道具信息!L788="","",[3]道具信息!L788)</f>
        <v/>
      </c>
      <c r="M788" s="37" t="str">
        <f>IF([3]道具信息!M788="","",[3]道具信息!M788)</f>
        <v/>
      </c>
      <c r="N788" s="37"/>
      <c r="O788" s="37" t="str">
        <f>IF([3]道具信息!O788="","",[3]道具信息!O788)</f>
        <v/>
      </c>
      <c r="P788" s="37" t="str">
        <f>IF([3]道具信息!P788="","",[3]道具信息!P788)</f>
        <v/>
      </c>
      <c r="Q788" s="37" t="str">
        <f>IF([3]道具信息!Q788="","",[3]道具信息!Q788)</f>
        <v/>
      </c>
    </row>
    <row r="789" spans="3:17" x14ac:dyDescent="0.15">
      <c r="C789" s="37" t="str">
        <f>IF([3]道具信息!C789="","",[3]道具信息!C789)</f>
        <v/>
      </c>
      <c r="D789" s="37" t="str">
        <f>IF([3]道具信息!D789="","",[3]道具信息!D789)</f>
        <v/>
      </c>
      <c r="E789" s="37" t="str">
        <f>IF([3]道具信息!E789="","",[3]道具信息!E789)</f>
        <v/>
      </c>
      <c r="F789" s="37" t="str">
        <f>IF([3]道具信息!F789="","",[3]道具信息!F789)</f>
        <v/>
      </c>
      <c r="G789" s="37" t="str">
        <f>IF([3]道具信息!G789="","",[3]道具信息!G789)</f>
        <v/>
      </c>
      <c r="H789" s="37" t="str">
        <f>IF([3]道具信息!H789="","",[3]道具信息!H789)</f>
        <v/>
      </c>
      <c r="I789" s="37" t="str">
        <f>IF([3]道具信息!I789="","",[3]道具信息!I789)</f>
        <v/>
      </c>
      <c r="J789" s="37" t="str">
        <f>IF([3]道具信息!J789="","",[3]道具信息!J789)</f>
        <v/>
      </c>
      <c r="K789" s="37" t="str">
        <f>IF([3]道具信息!K789="","",[3]道具信息!K789)</f>
        <v/>
      </c>
      <c r="L789" s="37" t="str">
        <f>IF([3]道具信息!L789="","",[3]道具信息!L789)</f>
        <v/>
      </c>
      <c r="M789" s="37" t="str">
        <f>IF([3]道具信息!M789="","",[3]道具信息!M789)</f>
        <v/>
      </c>
      <c r="N789" s="37"/>
      <c r="O789" s="37" t="str">
        <f>IF([3]道具信息!O789="","",[3]道具信息!O789)</f>
        <v/>
      </c>
      <c r="P789" s="37" t="str">
        <f>IF([3]道具信息!P789="","",[3]道具信息!P789)</f>
        <v/>
      </c>
      <c r="Q789" s="37" t="str">
        <f>IF([3]道具信息!Q789="","",[3]道具信息!Q789)</f>
        <v/>
      </c>
    </row>
    <row r="790" spans="3:17" x14ac:dyDescent="0.15">
      <c r="C790" s="37" t="str">
        <f>IF([3]道具信息!C790="","",[3]道具信息!C790)</f>
        <v/>
      </c>
      <c r="D790" s="37" t="str">
        <f>IF([3]道具信息!D790="","",[3]道具信息!D790)</f>
        <v/>
      </c>
      <c r="E790" s="37" t="str">
        <f>IF([3]道具信息!E790="","",[3]道具信息!E790)</f>
        <v/>
      </c>
      <c r="F790" s="37" t="str">
        <f>IF([3]道具信息!F790="","",[3]道具信息!F790)</f>
        <v/>
      </c>
      <c r="G790" s="37" t="str">
        <f>IF([3]道具信息!G790="","",[3]道具信息!G790)</f>
        <v/>
      </c>
      <c r="H790" s="37" t="str">
        <f>IF([3]道具信息!H790="","",[3]道具信息!H790)</f>
        <v/>
      </c>
      <c r="I790" s="37" t="str">
        <f>IF([3]道具信息!I790="","",[3]道具信息!I790)</f>
        <v/>
      </c>
      <c r="J790" s="37" t="str">
        <f>IF([3]道具信息!J790="","",[3]道具信息!J790)</f>
        <v/>
      </c>
      <c r="K790" s="37" t="str">
        <f>IF([3]道具信息!K790="","",[3]道具信息!K790)</f>
        <v/>
      </c>
      <c r="L790" s="37" t="str">
        <f>IF([3]道具信息!L790="","",[3]道具信息!L790)</f>
        <v/>
      </c>
      <c r="M790" s="37" t="str">
        <f>IF([3]道具信息!M790="","",[3]道具信息!M790)</f>
        <v/>
      </c>
      <c r="N790" s="37"/>
      <c r="O790" s="37" t="str">
        <f>IF([3]道具信息!O790="","",[3]道具信息!O790)</f>
        <v/>
      </c>
      <c r="P790" s="37" t="str">
        <f>IF([3]道具信息!P790="","",[3]道具信息!P790)</f>
        <v/>
      </c>
      <c r="Q790" s="37" t="str">
        <f>IF([3]道具信息!Q790="","",[3]道具信息!Q790)</f>
        <v/>
      </c>
    </row>
    <row r="791" spans="3:17" x14ac:dyDescent="0.15">
      <c r="C791" s="37" t="str">
        <f>IF([3]道具信息!C791="","",[3]道具信息!C791)</f>
        <v/>
      </c>
      <c r="D791" s="37" t="str">
        <f>IF([3]道具信息!D791="","",[3]道具信息!D791)</f>
        <v/>
      </c>
      <c r="E791" s="37" t="str">
        <f>IF([3]道具信息!E791="","",[3]道具信息!E791)</f>
        <v/>
      </c>
      <c r="F791" s="37" t="str">
        <f>IF([3]道具信息!F791="","",[3]道具信息!F791)</f>
        <v/>
      </c>
      <c r="G791" s="37" t="str">
        <f>IF([3]道具信息!G791="","",[3]道具信息!G791)</f>
        <v/>
      </c>
      <c r="H791" s="37" t="str">
        <f>IF([3]道具信息!H791="","",[3]道具信息!H791)</f>
        <v/>
      </c>
      <c r="I791" s="37" t="str">
        <f>IF([3]道具信息!I791="","",[3]道具信息!I791)</f>
        <v/>
      </c>
      <c r="J791" s="37" t="str">
        <f>IF([3]道具信息!J791="","",[3]道具信息!J791)</f>
        <v/>
      </c>
      <c r="K791" s="37" t="str">
        <f>IF([3]道具信息!K791="","",[3]道具信息!K791)</f>
        <v/>
      </c>
      <c r="L791" s="37" t="str">
        <f>IF([3]道具信息!L791="","",[3]道具信息!L791)</f>
        <v/>
      </c>
      <c r="M791" s="37" t="str">
        <f>IF([3]道具信息!M791="","",[3]道具信息!M791)</f>
        <v/>
      </c>
      <c r="N791" s="37"/>
      <c r="O791" s="37" t="str">
        <f>IF([3]道具信息!O791="","",[3]道具信息!O791)</f>
        <v/>
      </c>
      <c r="P791" s="37" t="str">
        <f>IF([3]道具信息!P791="","",[3]道具信息!P791)</f>
        <v/>
      </c>
      <c r="Q791" s="37" t="str">
        <f>IF([3]道具信息!Q791="","",[3]道具信息!Q791)</f>
        <v/>
      </c>
    </row>
    <row r="792" spans="3:17" x14ac:dyDescent="0.15">
      <c r="C792" s="37" t="str">
        <f>IF([3]道具信息!C792="","",[3]道具信息!C792)</f>
        <v/>
      </c>
      <c r="D792" s="37" t="str">
        <f>IF([3]道具信息!D792="","",[3]道具信息!D792)</f>
        <v/>
      </c>
      <c r="E792" s="37" t="str">
        <f>IF([3]道具信息!E792="","",[3]道具信息!E792)</f>
        <v/>
      </c>
      <c r="F792" s="37" t="str">
        <f>IF([3]道具信息!F792="","",[3]道具信息!F792)</f>
        <v/>
      </c>
      <c r="G792" s="37" t="str">
        <f>IF([3]道具信息!G792="","",[3]道具信息!G792)</f>
        <v/>
      </c>
      <c r="H792" s="37" t="str">
        <f>IF([3]道具信息!H792="","",[3]道具信息!H792)</f>
        <v/>
      </c>
      <c r="I792" s="37" t="str">
        <f>IF([3]道具信息!I792="","",[3]道具信息!I792)</f>
        <v/>
      </c>
      <c r="J792" s="37" t="str">
        <f>IF([3]道具信息!J792="","",[3]道具信息!J792)</f>
        <v/>
      </c>
      <c r="K792" s="37" t="str">
        <f>IF([3]道具信息!K792="","",[3]道具信息!K792)</f>
        <v/>
      </c>
      <c r="L792" s="37" t="str">
        <f>IF([3]道具信息!L792="","",[3]道具信息!L792)</f>
        <v/>
      </c>
      <c r="M792" s="37" t="str">
        <f>IF([3]道具信息!M792="","",[3]道具信息!M792)</f>
        <v/>
      </c>
      <c r="N792" s="37"/>
      <c r="O792" s="37" t="str">
        <f>IF([3]道具信息!O792="","",[3]道具信息!O792)</f>
        <v/>
      </c>
      <c r="P792" s="37" t="str">
        <f>IF([3]道具信息!P792="","",[3]道具信息!P792)</f>
        <v/>
      </c>
      <c r="Q792" s="37" t="str">
        <f>IF([3]道具信息!Q792="","",[3]道具信息!Q792)</f>
        <v/>
      </c>
    </row>
    <row r="793" spans="3:17" x14ac:dyDescent="0.15">
      <c r="C793" s="37" t="str">
        <f>IF([3]道具信息!C793="","",[3]道具信息!C793)</f>
        <v/>
      </c>
      <c r="D793" s="37" t="str">
        <f>IF([3]道具信息!D793="","",[3]道具信息!D793)</f>
        <v/>
      </c>
      <c r="E793" s="37" t="str">
        <f>IF([3]道具信息!E793="","",[3]道具信息!E793)</f>
        <v/>
      </c>
      <c r="F793" s="37" t="str">
        <f>IF([3]道具信息!F793="","",[3]道具信息!F793)</f>
        <v/>
      </c>
      <c r="G793" s="37" t="str">
        <f>IF([3]道具信息!G793="","",[3]道具信息!G793)</f>
        <v/>
      </c>
      <c r="H793" s="37" t="str">
        <f>IF([3]道具信息!H793="","",[3]道具信息!H793)</f>
        <v/>
      </c>
      <c r="I793" s="37" t="str">
        <f>IF([3]道具信息!I793="","",[3]道具信息!I793)</f>
        <v/>
      </c>
      <c r="J793" s="37" t="str">
        <f>IF([3]道具信息!J793="","",[3]道具信息!J793)</f>
        <v/>
      </c>
      <c r="K793" s="37" t="str">
        <f>IF([3]道具信息!K793="","",[3]道具信息!K793)</f>
        <v/>
      </c>
      <c r="L793" s="37" t="str">
        <f>IF([3]道具信息!L793="","",[3]道具信息!L793)</f>
        <v/>
      </c>
      <c r="M793" s="37" t="str">
        <f>IF([3]道具信息!M793="","",[3]道具信息!M793)</f>
        <v/>
      </c>
      <c r="N793" s="37"/>
      <c r="O793" s="37" t="str">
        <f>IF([3]道具信息!O793="","",[3]道具信息!O793)</f>
        <v/>
      </c>
      <c r="P793" s="37" t="str">
        <f>IF([3]道具信息!P793="","",[3]道具信息!P793)</f>
        <v/>
      </c>
      <c r="Q793" s="37" t="str">
        <f>IF([3]道具信息!Q793="","",[3]道具信息!Q793)</f>
        <v/>
      </c>
    </row>
    <row r="794" spans="3:17" x14ac:dyDescent="0.15">
      <c r="C794" s="37" t="str">
        <f>IF([3]道具信息!C794="","",[3]道具信息!C794)</f>
        <v/>
      </c>
      <c r="D794" s="37" t="str">
        <f>IF([3]道具信息!D794="","",[3]道具信息!D794)</f>
        <v/>
      </c>
      <c r="E794" s="37" t="str">
        <f>IF([3]道具信息!E794="","",[3]道具信息!E794)</f>
        <v/>
      </c>
      <c r="F794" s="37" t="str">
        <f>IF([3]道具信息!F794="","",[3]道具信息!F794)</f>
        <v/>
      </c>
      <c r="G794" s="37" t="str">
        <f>IF([3]道具信息!G794="","",[3]道具信息!G794)</f>
        <v/>
      </c>
      <c r="H794" s="37" t="str">
        <f>IF([3]道具信息!H794="","",[3]道具信息!H794)</f>
        <v/>
      </c>
      <c r="I794" s="37" t="str">
        <f>IF([3]道具信息!I794="","",[3]道具信息!I794)</f>
        <v/>
      </c>
      <c r="J794" s="37" t="str">
        <f>IF([3]道具信息!J794="","",[3]道具信息!J794)</f>
        <v/>
      </c>
      <c r="K794" s="37" t="str">
        <f>IF([3]道具信息!K794="","",[3]道具信息!K794)</f>
        <v/>
      </c>
      <c r="L794" s="37" t="str">
        <f>IF([3]道具信息!L794="","",[3]道具信息!L794)</f>
        <v/>
      </c>
      <c r="M794" s="37" t="str">
        <f>IF([3]道具信息!M794="","",[3]道具信息!M794)</f>
        <v/>
      </c>
      <c r="N794" s="37"/>
      <c r="O794" s="37" t="str">
        <f>IF([3]道具信息!O794="","",[3]道具信息!O794)</f>
        <v/>
      </c>
      <c r="P794" s="37" t="str">
        <f>IF([3]道具信息!P794="","",[3]道具信息!P794)</f>
        <v/>
      </c>
      <c r="Q794" s="37" t="str">
        <f>IF([3]道具信息!Q794="","",[3]道具信息!Q794)</f>
        <v/>
      </c>
    </row>
    <row r="795" spans="3:17" x14ac:dyDescent="0.15">
      <c r="C795" s="37" t="str">
        <f>IF([3]道具信息!C795="","",[3]道具信息!C795)</f>
        <v/>
      </c>
      <c r="D795" s="37" t="str">
        <f>IF([3]道具信息!D795="","",[3]道具信息!D795)</f>
        <v/>
      </c>
      <c r="E795" s="37" t="str">
        <f>IF([3]道具信息!E795="","",[3]道具信息!E795)</f>
        <v/>
      </c>
      <c r="F795" s="37" t="str">
        <f>IF([3]道具信息!F795="","",[3]道具信息!F795)</f>
        <v/>
      </c>
      <c r="G795" s="37" t="str">
        <f>IF([3]道具信息!G795="","",[3]道具信息!G795)</f>
        <v/>
      </c>
      <c r="H795" s="37" t="str">
        <f>IF([3]道具信息!H795="","",[3]道具信息!H795)</f>
        <v/>
      </c>
      <c r="I795" s="37" t="str">
        <f>IF([3]道具信息!I795="","",[3]道具信息!I795)</f>
        <v/>
      </c>
      <c r="J795" s="37" t="str">
        <f>IF([3]道具信息!J795="","",[3]道具信息!J795)</f>
        <v/>
      </c>
      <c r="K795" s="37" t="str">
        <f>IF([3]道具信息!K795="","",[3]道具信息!K795)</f>
        <v/>
      </c>
      <c r="L795" s="37" t="str">
        <f>IF([3]道具信息!L795="","",[3]道具信息!L795)</f>
        <v/>
      </c>
      <c r="M795" s="37" t="str">
        <f>IF([3]道具信息!M795="","",[3]道具信息!M795)</f>
        <v/>
      </c>
      <c r="N795" s="37"/>
      <c r="O795" s="37" t="str">
        <f>IF([3]道具信息!O795="","",[3]道具信息!O795)</f>
        <v/>
      </c>
      <c r="P795" s="37" t="str">
        <f>IF([3]道具信息!P795="","",[3]道具信息!P795)</f>
        <v/>
      </c>
      <c r="Q795" s="37" t="str">
        <f>IF([3]道具信息!Q795="","",[3]道具信息!Q795)</f>
        <v/>
      </c>
    </row>
    <row r="796" spans="3:17" x14ac:dyDescent="0.15">
      <c r="C796" s="37" t="str">
        <f>IF([3]道具信息!C796="","",[3]道具信息!C796)</f>
        <v/>
      </c>
      <c r="D796" s="37" t="str">
        <f>IF([3]道具信息!D796="","",[3]道具信息!D796)</f>
        <v/>
      </c>
      <c r="E796" s="37" t="str">
        <f>IF([3]道具信息!E796="","",[3]道具信息!E796)</f>
        <v/>
      </c>
      <c r="F796" s="37" t="str">
        <f>IF([3]道具信息!F796="","",[3]道具信息!F796)</f>
        <v/>
      </c>
      <c r="G796" s="37" t="str">
        <f>IF([3]道具信息!G796="","",[3]道具信息!G796)</f>
        <v/>
      </c>
      <c r="H796" s="37" t="str">
        <f>IF([3]道具信息!H796="","",[3]道具信息!H796)</f>
        <v/>
      </c>
      <c r="I796" s="37" t="str">
        <f>IF([3]道具信息!I796="","",[3]道具信息!I796)</f>
        <v/>
      </c>
      <c r="J796" s="37" t="str">
        <f>IF([3]道具信息!J796="","",[3]道具信息!J796)</f>
        <v/>
      </c>
      <c r="K796" s="37" t="str">
        <f>IF([3]道具信息!K796="","",[3]道具信息!K796)</f>
        <v/>
      </c>
      <c r="L796" s="37" t="str">
        <f>IF([3]道具信息!L796="","",[3]道具信息!L796)</f>
        <v/>
      </c>
      <c r="M796" s="37" t="str">
        <f>IF([3]道具信息!M796="","",[3]道具信息!M796)</f>
        <v/>
      </c>
      <c r="N796" s="37"/>
      <c r="O796" s="37" t="str">
        <f>IF([3]道具信息!O796="","",[3]道具信息!O796)</f>
        <v/>
      </c>
      <c r="P796" s="37" t="str">
        <f>IF([3]道具信息!P796="","",[3]道具信息!P796)</f>
        <v/>
      </c>
      <c r="Q796" s="37" t="str">
        <f>IF([3]道具信息!Q796="","",[3]道具信息!Q796)</f>
        <v/>
      </c>
    </row>
    <row r="797" spans="3:17" x14ac:dyDescent="0.15">
      <c r="C797" s="37" t="str">
        <f>IF([3]道具信息!C797="","",[3]道具信息!C797)</f>
        <v/>
      </c>
      <c r="D797" s="37" t="str">
        <f>IF([3]道具信息!D797="","",[3]道具信息!D797)</f>
        <v/>
      </c>
      <c r="E797" s="37" t="str">
        <f>IF([3]道具信息!E797="","",[3]道具信息!E797)</f>
        <v/>
      </c>
      <c r="F797" s="37" t="str">
        <f>IF([3]道具信息!F797="","",[3]道具信息!F797)</f>
        <v/>
      </c>
      <c r="G797" s="37" t="str">
        <f>IF([3]道具信息!G797="","",[3]道具信息!G797)</f>
        <v/>
      </c>
      <c r="H797" s="37" t="str">
        <f>IF([3]道具信息!H797="","",[3]道具信息!H797)</f>
        <v/>
      </c>
      <c r="I797" s="37" t="str">
        <f>IF([3]道具信息!I797="","",[3]道具信息!I797)</f>
        <v/>
      </c>
      <c r="J797" s="37" t="str">
        <f>IF([3]道具信息!J797="","",[3]道具信息!J797)</f>
        <v/>
      </c>
      <c r="K797" s="37" t="str">
        <f>IF([3]道具信息!K797="","",[3]道具信息!K797)</f>
        <v/>
      </c>
      <c r="L797" s="37" t="str">
        <f>IF([3]道具信息!L797="","",[3]道具信息!L797)</f>
        <v/>
      </c>
      <c r="M797" s="37" t="str">
        <f>IF([3]道具信息!M797="","",[3]道具信息!M797)</f>
        <v/>
      </c>
      <c r="N797" s="37"/>
      <c r="O797" s="37" t="str">
        <f>IF([3]道具信息!O797="","",[3]道具信息!O797)</f>
        <v/>
      </c>
      <c r="P797" s="37" t="str">
        <f>IF([3]道具信息!P797="","",[3]道具信息!P797)</f>
        <v/>
      </c>
      <c r="Q797" s="37" t="str">
        <f>IF([3]道具信息!Q797="","",[3]道具信息!Q797)</f>
        <v/>
      </c>
    </row>
    <row r="798" spans="3:17" x14ac:dyDescent="0.15">
      <c r="C798" s="37" t="str">
        <f>IF([3]道具信息!C798="","",[3]道具信息!C798)</f>
        <v/>
      </c>
      <c r="D798" s="37" t="str">
        <f>IF([3]道具信息!D798="","",[3]道具信息!D798)</f>
        <v/>
      </c>
      <c r="E798" s="37" t="str">
        <f>IF([3]道具信息!E798="","",[3]道具信息!E798)</f>
        <v/>
      </c>
      <c r="F798" s="37" t="str">
        <f>IF([3]道具信息!F798="","",[3]道具信息!F798)</f>
        <v/>
      </c>
      <c r="G798" s="37" t="str">
        <f>IF([3]道具信息!G798="","",[3]道具信息!G798)</f>
        <v/>
      </c>
      <c r="H798" s="37" t="str">
        <f>IF([3]道具信息!H798="","",[3]道具信息!H798)</f>
        <v/>
      </c>
      <c r="I798" s="37" t="str">
        <f>IF([3]道具信息!I798="","",[3]道具信息!I798)</f>
        <v/>
      </c>
      <c r="J798" s="37" t="str">
        <f>IF([3]道具信息!J798="","",[3]道具信息!J798)</f>
        <v/>
      </c>
      <c r="K798" s="37" t="str">
        <f>IF([3]道具信息!K798="","",[3]道具信息!K798)</f>
        <v/>
      </c>
      <c r="L798" s="37" t="str">
        <f>IF([3]道具信息!L798="","",[3]道具信息!L798)</f>
        <v/>
      </c>
      <c r="M798" s="37" t="str">
        <f>IF([3]道具信息!M798="","",[3]道具信息!M798)</f>
        <v/>
      </c>
      <c r="N798" s="37"/>
      <c r="O798" s="37" t="str">
        <f>IF([3]道具信息!O798="","",[3]道具信息!O798)</f>
        <v/>
      </c>
      <c r="P798" s="37" t="str">
        <f>IF([3]道具信息!P798="","",[3]道具信息!P798)</f>
        <v/>
      </c>
      <c r="Q798" s="37" t="str">
        <f>IF([3]道具信息!Q798="","",[3]道具信息!Q798)</f>
        <v/>
      </c>
    </row>
    <row r="799" spans="3:17" x14ac:dyDescent="0.15">
      <c r="C799" s="37" t="str">
        <f>IF([3]道具信息!C799="","",[3]道具信息!C799)</f>
        <v/>
      </c>
      <c r="D799" s="37" t="str">
        <f>IF([3]道具信息!D799="","",[3]道具信息!D799)</f>
        <v/>
      </c>
      <c r="E799" s="37" t="str">
        <f>IF([3]道具信息!E799="","",[3]道具信息!E799)</f>
        <v/>
      </c>
      <c r="F799" s="37" t="str">
        <f>IF([3]道具信息!F799="","",[3]道具信息!F799)</f>
        <v/>
      </c>
      <c r="G799" s="37" t="str">
        <f>IF([3]道具信息!G799="","",[3]道具信息!G799)</f>
        <v/>
      </c>
      <c r="H799" s="37" t="str">
        <f>IF([3]道具信息!H799="","",[3]道具信息!H799)</f>
        <v/>
      </c>
      <c r="I799" s="37" t="str">
        <f>IF([3]道具信息!I799="","",[3]道具信息!I799)</f>
        <v/>
      </c>
      <c r="J799" s="37" t="str">
        <f>IF([3]道具信息!J799="","",[3]道具信息!J799)</f>
        <v/>
      </c>
      <c r="K799" s="37" t="str">
        <f>IF([3]道具信息!K799="","",[3]道具信息!K799)</f>
        <v/>
      </c>
      <c r="L799" s="37" t="str">
        <f>IF([3]道具信息!L799="","",[3]道具信息!L799)</f>
        <v/>
      </c>
      <c r="M799" s="37" t="str">
        <f>IF([3]道具信息!M799="","",[3]道具信息!M799)</f>
        <v/>
      </c>
      <c r="N799" s="37"/>
      <c r="O799" s="37" t="str">
        <f>IF([3]道具信息!O799="","",[3]道具信息!O799)</f>
        <v/>
      </c>
      <c r="P799" s="37" t="str">
        <f>IF([3]道具信息!P799="","",[3]道具信息!P799)</f>
        <v/>
      </c>
      <c r="Q799" s="37" t="str">
        <f>IF([3]道具信息!Q799="","",[3]道具信息!Q799)</f>
        <v/>
      </c>
    </row>
    <row r="800" spans="3:17" x14ac:dyDescent="0.15">
      <c r="C800" s="37" t="str">
        <f>IF([3]道具信息!C800="","",[3]道具信息!C800)</f>
        <v/>
      </c>
      <c r="D800" s="37" t="str">
        <f>IF([3]道具信息!D800="","",[3]道具信息!D800)</f>
        <v/>
      </c>
      <c r="E800" s="37" t="str">
        <f>IF([3]道具信息!E800="","",[3]道具信息!E800)</f>
        <v/>
      </c>
      <c r="F800" s="37" t="str">
        <f>IF([3]道具信息!F800="","",[3]道具信息!F800)</f>
        <v/>
      </c>
      <c r="G800" s="37" t="str">
        <f>IF([3]道具信息!G800="","",[3]道具信息!G800)</f>
        <v/>
      </c>
      <c r="H800" s="37" t="str">
        <f>IF([3]道具信息!H800="","",[3]道具信息!H800)</f>
        <v/>
      </c>
      <c r="I800" s="37" t="str">
        <f>IF([3]道具信息!I800="","",[3]道具信息!I800)</f>
        <v/>
      </c>
      <c r="J800" s="37" t="str">
        <f>IF([3]道具信息!J800="","",[3]道具信息!J800)</f>
        <v/>
      </c>
      <c r="K800" s="37" t="str">
        <f>IF([3]道具信息!K800="","",[3]道具信息!K800)</f>
        <v/>
      </c>
      <c r="L800" s="37" t="str">
        <f>IF([3]道具信息!L800="","",[3]道具信息!L800)</f>
        <v/>
      </c>
      <c r="M800" s="37" t="str">
        <f>IF([3]道具信息!M800="","",[3]道具信息!M800)</f>
        <v/>
      </c>
      <c r="N800" s="37"/>
      <c r="O800" s="37" t="str">
        <f>IF([3]道具信息!O800="","",[3]道具信息!O800)</f>
        <v/>
      </c>
      <c r="P800" s="37" t="str">
        <f>IF([3]道具信息!P800="","",[3]道具信息!P800)</f>
        <v/>
      </c>
      <c r="Q800" s="37" t="str">
        <f>IF([3]道具信息!Q800="","",[3]道具信息!Q800)</f>
        <v/>
      </c>
    </row>
    <row r="801" spans="3:17" x14ac:dyDescent="0.15">
      <c r="C801" s="37" t="str">
        <f>IF([3]道具信息!C801="","",[3]道具信息!C801)</f>
        <v/>
      </c>
      <c r="D801" s="37" t="str">
        <f>IF([3]道具信息!D801="","",[3]道具信息!D801)</f>
        <v/>
      </c>
      <c r="E801" s="37" t="str">
        <f>IF([3]道具信息!E801="","",[3]道具信息!E801)</f>
        <v/>
      </c>
      <c r="F801" s="37" t="str">
        <f>IF([3]道具信息!F801="","",[3]道具信息!F801)</f>
        <v/>
      </c>
      <c r="G801" s="37" t="str">
        <f>IF([3]道具信息!G801="","",[3]道具信息!G801)</f>
        <v/>
      </c>
      <c r="H801" s="37" t="str">
        <f>IF([3]道具信息!H801="","",[3]道具信息!H801)</f>
        <v/>
      </c>
      <c r="I801" s="37" t="str">
        <f>IF([3]道具信息!I801="","",[3]道具信息!I801)</f>
        <v/>
      </c>
      <c r="J801" s="37" t="str">
        <f>IF([3]道具信息!J801="","",[3]道具信息!J801)</f>
        <v/>
      </c>
      <c r="K801" s="37" t="str">
        <f>IF([3]道具信息!K801="","",[3]道具信息!K801)</f>
        <v/>
      </c>
      <c r="L801" s="37" t="str">
        <f>IF([3]道具信息!L801="","",[3]道具信息!L801)</f>
        <v/>
      </c>
      <c r="M801" s="37" t="str">
        <f>IF([3]道具信息!M801="","",[3]道具信息!M801)</f>
        <v/>
      </c>
      <c r="N801" s="37"/>
      <c r="O801" s="37" t="str">
        <f>IF([3]道具信息!O801="","",[3]道具信息!O801)</f>
        <v/>
      </c>
      <c r="P801" s="37" t="str">
        <f>IF([3]道具信息!P801="","",[3]道具信息!P801)</f>
        <v/>
      </c>
      <c r="Q801" s="37" t="str">
        <f>IF([3]道具信息!Q801="","",[3]道具信息!Q801)</f>
        <v/>
      </c>
    </row>
    <row r="802" spans="3:17" x14ac:dyDescent="0.15">
      <c r="C802" s="37" t="str">
        <f>IF([3]道具信息!C802="","",[3]道具信息!C802)</f>
        <v/>
      </c>
      <c r="D802" s="37" t="str">
        <f>IF([3]道具信息!D802="","",[3]道具信息!D802)</f>
        <v/>
      </c>
      <c r="E802" s="37" t="str">
        <f>IF([3]道具信息!E802="","",[3]道具信息!E802)</f>
        <v/>
      </c>
      <c r="F802" s="37" t="str">
        <f>IF([3]道具信息!F802="","",[3]道具信息!F802)</f>
        <v/>
      </c>
      <c r="G802" s="37" t="str">
        <f>IF([3]道具信息!G802="","",[3]道具信息!G802)</f>
        <v/>
      </c>
      <c r="H802" s="37" t="str">
        <f>IF([3]道具信息!H802="","",[3]道具信息!H802)</f>
        <v/>
      </c>
      <c r="I802" s="37" t="str">
        <f>IF([3]道具信息!I802="","",[3]道具信息!I802)</f>
        <v/>
      </c>
      <c r="J802" s="37" t="str">
        <f>IF([3]道具信息!J802="","",[3]道具信息!J802)</f>
        <v/>
      </c>
      <c r="K802" s="37" t="str">
        <f>IF([3]道具信息!K802="","",[3]道具信息!K802)</f>
        <v/>
      </c>
      <c r="L802" s="37" t="str">
        <f>IF([3]道具信息!L802="","",[3]道具信息!L802)</f>
        <v/>
      </c>
      <c r="M802" s="37" t="str">
        <f>IF([3]道具信息!M802="","",[3]道具信息!M802)</f>
        <v/>
      </c>
      <c r="N802" s="37"/>
      <c r="O802" s="37" t="str">
        <f>IF([3]道具信息!O802="","",[3]道具信息!O802)</f>
        <v/>
      </c>
      <c r="P802" s="37" t="str">
        <f>IF([3]道具信息!P802="","",[3]道具信息!P802)</f>
        <v/>
      </c>
      <c r="Q802" s="37" t="str">
        <f>IF([3]道具信息!Q802="","",[3]道具信息!Q802)</f>
        <v/>
      </c>
    </row>
    <row r="803" spans="3:17" x14ac:dyDescent="0.15">
      <c r="C803" s="37" t="str">
        <f>IF([3]道具信息!C803="","",[3]道具信息!C803)</f>
        <v/>
      </c>
      <c r="D803" s="37" t="str">
        <f>IF([3]道具信息!D803="","",[3]道具信息!D803)</f>
        <v/>
      </c>
      <c r="E803" s="37" t="str">
        <f>IF([3]道具信息!E803="","",[3]道具信息!E803)</f>
        <v/>
      </c>
      <c r="F803" s="37" t="str">
        <f>IF([3]道具信息!F803="","",[3]道具信息!F803)</f>
        <v/>
      </c>
      <c r="G803" s="37" t="str">
        <f>IF([3]道具信息!G803="","",[3]道具信息!G803)</f>
        <v/>
      </c>
      <c r="H803" s="37" t="str">
        <f>IF([3]道具信息!H803="","",[3]道具信息!H803)</f>
        <v/>
      </c>
      <c r="I803" s="37" t="str">
        <f>IF([3]道具信息!I803="","",[3]道具信息!I803)</f>
        <v/>
      </c>
      <c r="J803" s="37" t="str">
        <f>IF([3]道具信息!J803="","",[3]道具信息!J803)</f>
        <v/>
      </c>
      <c r="K803" s="37" t="str">
        <f>IF([3]道具信息!K803="","",[3]道具信息!K803)</f>
        <v/>
      </c>
      <c r="L803" s="37" t="str">
        <f>IF([3]道具信息!L803="","",[3]道具信息!L803)</f>
        <v/>
      </c>
      <c r="M803" s="37" t="str">
        <f>IF([3]道具信息!M803="","",[3]道具信息!M803)</f>
        <v/>
      </c>
      <c r="N803" s="37"/>
      <c r="O803" s="37" t="str">
        <f>IF([3]道具信息!O803="","",[3]道具信息!O803)</f>
        <v/>
      </c>
      <c r="P803" s="37" t="str">
        <f>IF([3]道具信息!P803="","",[3]道具信息!P803)</f>
        <v/>
      </c>
      <c r="Q803" s="37" t="str">
        <f>IF([3]道具信息!Q803="","",[3]道具信息!Q803)</f>
        <v/>
      </c>
    </row>
    <row r="804" spans="3:17" x14ac:dyDescent="0.15">
      <c r="C804" s="37" t="str">
        <f>IF([3]道具信息!C804="","",[3]道具信息!C804)</f>
        <v/>
      </c>
      <c r="D804" s="37" t="str">
        <f>IF([3]道具信息!D804="","",[3]道具信息!D804)</f>
        <v/>
      </c>
      <c r="E804" s="37" t="str">
        <f>IF([3]道具信息!E804="","",[3]道具信息!E804)</f>
        <v/>
      </c>
      <c r="F804" s="37" t="str">
        <f>IF([3]道具信息!F804="","",[3]道具信息!F804)</f>
        <v/>
      </c>
      <c r="G804" s="37" t="str">
        <f>IF([3]道具信息!G804="","",[3]道具信息!G804)</f>
        <v/>
      </c>
      <c r="H804" s="37" t="str">
        <f>IF([3]道具信息!H804="","",[3]道具信息!H804)</f>
        <v/>
      </c>
      <c r="I804" s="37" t="str">
        <f>IF([3]道具信息!I804="","",[3]道具信息!I804)</f>
        <v/>
      </c>
      <c r="J804" s="37" t="str">
        <f>IF([3]道具信息!J804="","",[3]道具信息!J804)</f>
        <v/>
      </c>
      <c r="K804" s="37" t="str">
        <f>IF([3]道具信息!K804="","",[3]道具信息!K804)</f>
        <v/>
      </c>
      <c r="L804" s="37" t="str">
        <f>IF([3]道具信息!L804="","",[3]道具信息!L804)</f>
        <v/>
      </c>
      <c r="M804" s="37" t="str">
        <f>IF([3]道具信息!M804="","",[3]道具信息!M804)</f>
        <v/>
      </c>
      <c r="N804" s="37"/>
      <c r="O804" s="37" t="str">
        <f>IF([3]道具信息!O804="","",[3]道具信息!O804)</f>
        <v/>
      </c>
      <c r="P804" s="37" t="str">
        <f>IF([3]道具信息!P804="","",[3]道具信息!P804)</f>
        <v/>
      </c>
      <c r="Q804" s="37" t="str">
        <f>IF([3]道具信息!Q804="","",[3]道具信息!Q804)</f>
        <v/>
      </c>
    </row>
    <row r="805" spans="3:17" x14ac:dyDescent="0.15">
      <c r="C805" s="37" t="str">
        <f>IF([3]道具信息!C805="","",[3]道具信息!C805)</f>
        <v/>
      </c>
      <c r="D805" s="37" t="str">
        <f>IF([3]道具信息!D805="","",[3]道具信息!D805)</f>
        <v/>
      </c>
      <c r="E805" s="37" t="str">
        <f>IF([3]道具信息!E805="","",[3]道具信息!E805)</f>
        <v/>
      </c>
      <c r="F805" s="37" t="str">
        <f>IF([3]道具信息!F805="","",[3]道具信息!F805)</f>
        <v/>
      </c>
      <c r="G805" s="37" t="str">
        <f>IF([3]道具信息!G805="","",[3]道具信息!G805)</f>
        <v/>
      </c>
      <c r="H805" s="37" t="str">
        <f>IF([3]道具信息!H805="","",[3]道具信息!H805)</f>
        <v/>
      </c>
      <c r="I805" s="37" t="str">
        <f>IF([3]道具信息!I805="","",[3]道具信息!I805)</f>
        <v/>
      </c>
      <c r="J805" s="37" t="str">
        <f>IF([3]道具信息!J805="","",[3]道具信息!J805)</f>
        <v/>
      </c>
      <c r="K805" s="37" t="str">
        <f>IF([3]道具信息!K805="","",[3]道具信息!K805)</f>
        <v/>
      </c>
      <c r="L805" s="37" t="str">
        <f>IF([3]道具信息!L805="","",[3]道具信息!L805)</f>
        <v/>
      </c>
      <c r="M805" s="37" t="str">
        <f>IF([3]道具信息!M805="","",[3]道具信息!M805)</f>
        <v/>
      </c>
      <c r="N805" s="37"/>
      <c r="O805" s="37" t="str">
        <f>IF([3]道具信息!O805="","",[3]道具信息!O805)</f>
        <v/>
      </c>
      <c r="P805" s="37" t="str">
        <f>IF([3]道具信息!P805="","",[3]道具信息!P805)</f>
        <v/>
      </c>
      <c r="Q805" s="37" t="str">
        <f>IF([3]道具信息!Q805="","",[3]道具信息!Q805)</f>
        <v/>
      </c>
    </row>
    <row r="806" spans="3:17" x14ac:dyDescent="0.15">
      <c r="C806" s="37" t="str">
        <f>IF([3]道具信息!C806="","",[3]道具信息!C806)</f>
        <v/>
      </c>
      <c r="D806" s="37" t="str">
        <f>IF([3]道具信息!D806="","",[3]道具信息!D806)</f>
        <v/>
      </c>
      <c r="E806" s="37" t="str">
        <f>IF([3]道具信息!E806="","",[3]道具信息!E806)</f>
        <v/>
      </c>
      <c r="F806" s="37" t="str">
        <f>IF([3]道具信息!F806="","",[3]道具信息!F806)</f>
        <v/>
      </c>
      <c r="G806" s="37" t="str">
        <f>IF([3]道具信息!G806="","",[3]道具信息!G806)</f>
        <v/>
      </c>
      <c r="H806" s="37" t="str">
        <f>IF([3]道具信息!H806="","",[3]道具信息!H806)</f>
        <v/>
      </c>
      <c r="I806" s="37" t="str">
        <f>IF([3]道具信息!I806="","",[3]道具信息!I806)</f>
        <v/>
      </c>
      <c r="J806" s="37" t="str">
        <f>IF([3]道具信息!J806="","",[3]道具信息!J806)</f>
        <v/>
      </c>
      <c r="K806" s="37" t="str">
        <f>IF([3]道具信息!K806="","",[3]道具信息!K806)</f>
        <v/>
      </c>
      <c r="L806" s="37" t="str">
        <f>IF([3]道具信息!L806="","",[3]道具信息!L806)</f>
        <v/>
      </c>
      <c r="M806" s="37" t="str">
        <f>IF([3]道具信息!M806="","",[3]道具信息!M806)</f>
        <v/>
      </c>
      <c r="N806" s="37"/>
      <c r="O806" s="37" t="str">
        <f>IF([3]道具信息!O806="","",[3]道具信息!O806)</f>
        <v/>
      </c>
      <c r="P806" s="37" t="str">
        <f>IF([3]道具信息!P806="","",[3]道具信息!P806)</f>
        <v/>
      </c>
      <c r="Q806" s="37" t="str">
        <f>IF([3]道具信息!Q806="","",[3]道具信息!Q806)</f>
        <v/>
      </c>
    </row>
    <row r="807" spans="3:17" x14ac:dyDescent="0.15">
      <c r="C807" s="37" t="str">
        <f>IF([3]道具信息!C807="","",[3]道具信息!C807)</f>
        <v/>
      </c>
      <c r="D807" s="37" t="str">
        <f>IF([3]道具信息!D807="","",[3]道具信息!D807)</f>
        <v/>
      </c>
      <c r="E807" s="37" t="str">
        <f>IF([3]道具信息!E807="","",[3]道具信息!E807)</f>
        <v/>
      </c>
      <c r="F807" s="37" t="str">
        <f>IF([3]道具信息!F807="","",[3]道具信息!F807)</f>
        <v/>
      </c>
      <c r="G807" s="37" t="str">
        <f>IF([3]道具信息!G807="","",[3]道具信息!G807)</f>
        <v/>
      </c>
      <c r="H807" s="37" t="str">
        <f>IF([3]道具信息!H807="","",[3]道具信息!H807)</f>
        <v/>
      </c>
      <c r="I807" s="37" t="str">
        <f>IF([3]道具信息!I807="","",[3]道具信息!I807)</f>
        <v/>
      </c>
      <c r="J807" s="37" t="str">
        <f>IF([3]道具信息!J807="","",[3]道具信息!J807)</f>
        <v/>
      </c>
      <c r="K807" s="37" t="str">
        <f>IF([3]道具信息!K807="","",[3]道具信息!K807)</f>
        <v/>
      </c>
      <c r="L807" s="37" t="str">
        <f>IF([3]道具信息!L807="","",[3]道具信息!L807)</f>
        <v/>
      </c>
      <c r="M807" s="37" t="str">
        <f>IF([3]道具信息!M807="","",[3]道具信息!M807)</f>
        <v/>
      </c>
      <c r="N807" s="37"/>
      <c r="O807" s="37" t="str">
        <f>IF([3]道具信息!O807="","",[3]道具信息!O807)</f>
        <v/>
      </c>
      <c r="P807" s="37" t="str">
        <f>IF([3]道具信息!P807="","",[3]道具信息!P807)</f>
        <v/>
      </c>
      <c r="Q807" s="37" t="str">
        <f>IF([3]道具信息!Q807="","",[3]道具信息!Q807)</f>
        <v/>
      </c>
    </row>
    <row r="808" spans="3:17" x14ac:dyDescent="0.15">
      <c r="C808" s="37" t="str">
        <f>IF([3]道具信息!C808="","",[3]道具信息!C808)</f>
        <v/>
      </c>
      <c r="D808" s="37" t="str">
        <f>IF([3]道具信息!D808="","",[3]道具信息!D808)</f>
        <v/>
      </c>
      <c r="E808" s="37" t="str">
        <f>IF([3]道具信息!E808="","",[3]道具信息!E808)</f>
        <v/>
      </c>
      <c r="F808" s="37" t="str">
        <f>IF([3]道具信息!F808="","",[3]道具信息!F808)</f>
        <v/>
      </c>
      <c r="G808" s="37" t="str">
        <f>IF([3]道具信息!G808="","",[3]道具信息!G808)</f>
        <v/>
      </c>
      <c r="H808" s="37" t="str">
        <f>IF([3]道具信息!H808="","",[3]道具信息!H808)</f>
        <v/>
      </c>
      <c r="I808" s="37" t="str">
        <f>IF([3]道具信息!I808="","",[3]道具信息!I808)</f>
        <v/>
      </c>
      <c r="J808" s="37" t="str">
        <f>IF([3]道具信息!J808="","",[3]道具信息!J808)</f>
        <v/>
      </c>
      <c r="K808" s="37" t="str">
        <f>IF([3]道具信息!K808="","",[3]道具信息!K808)</f>
        <v/>
      </c>
      <c r="L808" s="37" t="str">
        <f>IF([3]道具信息!L808="","",[3]道具信息!L808)</f>
        <v/>
      </c>
      <c r="M808" s="37" t="str">
        <f>IF([3]道具信息!M808="","",[3]道具信息!M808)</f>
        <v/>
      </c>
      <c r="N808" s="37"/>
      <c r="O808" s="37" t="str">
        <f>IF([3]道具信息!O808="","",[3]道具信息!O808)</f>
        <v/>
      </c>
      <c r="P808" s="37" t="str">
        <f>IF([3]道具信息!P808="","",[3]道具信息!P808)</f>
        <v/>
      </c>
      <c r="Q808" s="37" t="str">
        <f>IF([3]道具信息!Q808="","",[3]道具信息!Q808)</f>
        <v/>
      </c>
    </row>
    <row r="809" spans="3:17" x14ac:dyDescent="0.15">
      <c r="C809" s="37" t="str">
        <f>IF([3]道具信息!C809="","",[3]道具信息!C809)</f>
        <v/>
      </c>
      <c r="D809" s="37" t="str">
        <f>IF([3]道具信息!D809="","",[3]道具信息!D809)</f>
        <v/>
      </c>
      <c r="E809" s="37" t="str">
        <f>IF([3]道具信息!E809="","",[3]道具信息!E809)</f>
        <v/>
      </c>
      <c r="F809" s="37" t="str">
        <f>IF([3]道具信息!F809="","",[3]道具信息!F809)</f>
        <v/>
      </c>
      <c r="G809" s="37" t="str">
        <f>IF([3]道具信息!G809="","",[3]道具信息!G809)</f>
        <v/>
      </c>
      <c r="H809" s="37" t="str">
        <f>IF([3]道具信息!H809="","",[3]道具信息!H809)</f>
        <v/>
      </c>
      <c r="I809" s="37" t="str">
        <f>IF([3]道具信息!I809="","",[3]道具信息!I809)</f>
        <v/>
      </c>
      <c r="J809" s="37" t="str">
        <f>IF([3]道具信息!J809="","",[3]道具信息!J809)</f>
        <v/>
      </c>
      <c r="K809" s="37" t="str">
        <f>IF([3]道具信息!K809="","",[3]道具信息!K809)</f>
        <v/>
      </c>
      <c r="L809" s="37" t="str">
        <f>IF([3]道具信息!L809="","",[3]道具信息!L809)</f>
        <v/>
      </c>
      <c r="M809" s="37" t="str">
        <f>IF([3]道具信息!M809="","",[3]道具信息!M809)</f>
        <v/>
      </c>
      <c r="N809" s="37"/>
      <c r="O809" s="37" t="str">
        <f>IF([3]道具信息!O809="","",[3]道具信息!O809)</f>
        <v/>
      </c>
      <c r="P809" s="37" t="str">
        <f>IF([3]道具信息!P809="","",[3]道具信息!P809)</f>
        <v/>
      </c>
      <c r="Q809" s="37" t="str">
        <f>IF([3]道具信息!Q809="","",[3]道具信息!Q809)</f>
        <v/>
      </c>
    </row>
    <row r="810" spans="3:17" x14ac:dyDescent="0.15">
      <c r="C810" s="37" t="str">
        <f>IF([3]道具信息!C810="","",[3]道具信息!C810)</f>
        <v/>
      </c>
      <c r="D810" s="37" t="str">
        <f>IF([3]道具信息!D810="","",[3]道具信息!D810)</f>
        <v/>
      </c>
      <c r="E810" s="37" t="str">
        <f>IF([3]道具信息!E810="","",[3]道具信息!E810)</f>
        <v/>
      </c>
      <c r="F810" s="37" t="str">
        <f>IF([3]道具信息!F810="","",[3]道具信息!F810)</f>
        <v/>
      </c>
      <c r="G810" s="37" t="str">
        <f>IF([3]道具信息!G810="","",[3]道具信息!G810)</f>
        <v/>
      </c>
      <c r="H810" s="37" t="str">
        <f>IF([3]道具信息!H810="","",[3]道具信息!H810)</f>
        <v/>
      </c>
      <c r="I810" s="37" t="str">
        <f>IF([3]道具信息!I810="","",[3]道具信息!I810)</f>
        <v/>
      </c>
      <c r="J810" s="37" t="str">
        <f>IF([3]道具信息!J810="","",[3]道具信息!J810)</f>
        <v/>
      </c>
      <c r="K810" s="37" t="str">
        <f>IF([3]道具信息!K810="","",[3]道具信息!K810)</f>
        <v/>
      </c>
      <c r="L810" s="37" t="str">
        <f>IF([3]道具信息!L810="","",[3]道具信息!L810)</f>
        <v/>
      </c>
      <c r="M810" s="37" t="str">
        <f>IF([3]道具信息!M810="","",[3]道具信息!M810)</f>
        <v/>
      </c>
      <c r="N810" s="37"/>
      <c r="O810" s="37" t="str">
        <f>IF([3]道具信息!O810="","",[3]道具信息!O810)</f>
        <v/>
      </c>
      <c r="P810" s="37" t="str">
        <f>IF([3]道具信息!P810="","",[3]道具信息!P810)</f>
        <v/>
      </c>
      <c r="Q810" s="37" t="str">
        <f>IF([3]道具信息!Q810="","",[3]道具信息!Q810)</f>
        <v/>
      </c>
    </row>
    <row r="811" spans="3:17" x14ac:dyDescent="0.15">
      <c r="C811" s="37" t="str">
        <f>IF([3]道具信息!C811="","",[3]道具信息!C811)</f>
        <v/>
      </c>
      <c r="D811" s="37" t="str">
        <f>IF([3]道具信息!D811="","",[3]道具信息!D811)</f>
        <v/>
      </c>
      <c r="E811" s="37" t="str">
        <f>IF([3]道具信息!E811="","",[3]道具信息!E811)</f>
        <v/>
      </c>
      <c r="F811" s="37" t="str">
        <f>IF([3]道具信息!F811="","",[3]道具信息!F811)</f>
        <v/>
      </c>
      <c r="G811" s="37" t="str">
        <f>IF([3]道具信息!G811="","",[3]道具信息!G811)</f>
        <v/>
      </c>
      <c r="H811" s="37" t="str">
        <f>IF([3]道具信息!H811="","",[3]道具信息!H811)</f>
        <v/>
      </c>
      <c r="I811" s="37" t="str">
        <f>IF([3]道具信息!I811="","",[3]道具信息!I811)</f>
        <v/>
      </c>
      <c r="J811" s="37" t="str">
        <f>IF([3]道具信息!J811="","",[3]道具信息!J811)</f>
        <v/>
      </c>
      <c r="K811" s="37" t="str">
        <f>IF([3]道具信息!K811="","",[3]道具信息!K811)</f>
        <v/>
      </c>
      <c r="L811" s="37" t="str">
        <f>IF([3]道具信息!L811="","",[3]道具信息!L811)</f>
        <v/>
      </c>
      <c r="M811" s="37" t="str">
        <f>IF([3]道具信息!M811="","",[3]道具信息!M811)</f>
        <v/>
      </c>
      <c r="N811" s="37"/>
      <c r="O811" s="37" t="str">
        <f>IF([3]道具信息!O811="","",[3]道具信息!O811)</f>
        <v/>
      </c>
      <c r="P811" s="37" t="str">
        <f>IF([3]道具信息!P811="","",[3]道具信息!P811)</f>
        <v/>
      </c>
      <c r="Q811" s="37" t="str">
        <f>IF([3]道具信息!Q811="","",[3]道具信息!Q811)</f>
        <v/>
      </c>
    </row>
    <row r="812" spans="3:17" x14ac:dyDescent="0.15">
      <c r="C812" s="37" t="str">
        <f>IF([3]道具信息!C812="","",[3]道具信息!C812)</f>
        <v/>
      </c>
      <c r="D812" s="37" t="str">
        <f>IF([3]道具信息!D812="","",[3]道具信息!D812)</f>
        <v/>
      </c>
      <c r="E812" s="37" t="str">
        <f>IF([3]道具信息!E812="","",[3]道具信息!E812)</f>
        <v/>
      </c>
      <c r="F812" s="37" t="str">
        <f>IF([3]道具信息!F812="","",[3]道具信息!F812)</f>
        <v/>
      </c>
      <c r="G812" s="37" t="str">
        <f>IF([3]道具信息!G812="","",[3]道具信息!G812)</f>
        <v/>
      </c>
      <c r="H812" s="37" t="str">
        <f>IF([3]道具信息!H812="","",[3]道具信息!H812)</f>
        <v/>
      </c>
      <c r="I812" s="37" t="str">
        <f>IF([3]道具信息!I812="","",[3]道具信息!I812)</f>
        <v/>
      </c>
      <c r="J812" s="37" t="str">
        <f>IF([3]道具信息!J812="","",[3]道具信息!J812)</f>
        <v/>
      </c>
      <c r="K812" s="37" t="str">
        <f>IF([3]道具信息!K812="","",[3]道具信息!K812)</f>
        <v/>
      </c>
      <c r="L812" s="37" t="str">
        <f>IF([3]道具信息!L812="","",[3]道具信息!L812)</f>
        <v/>
      </c>
      <c r="M812" s="37" t="str">
        <f>IF([3]道具信息!M812="","",[3]道具信息!M812)</f>
        <v/>
      </c>
      <c r="N812" s="37"/>
      <c r="O812" s="37" t="str">
        <f>IF([3]道具信息!O812="","",[3]道具信息!O812)</f>
        <v/>
      </c>
      <c r="P812" s="37" t="str">
        <f>IF([3]道具信息!P812="","",[3]道具信息!P812)</f>
        <v/>
      </c>
      <c r="Q812" s="37" t="str">
        <f>IF([3]道具信息!Q812="","",[3]道具信息!Q812)</f>
        <v/>
      </c>
    </row>
    <row r="813" spans="3:17" x14ac:dyDescent="0.15">
      <c r="C813" s="37" t="str">
        <f>IF([3]道具信息!C813="","",[3]道具信息!C813)</f>
        <v/>
      </c>
      <c r="D813" s="37" t="str">
        <f>IF([3]道具信息!D813="","",[3]道具信息!D813)</f>
        <v/>
      </c>
      <c r="E813" s="37" t="str">
        <f>IF([3]道具信息!E813="","",[3]道具信息!E813)</f>
        <v/>
      </c>
      <c r="F813" s="37" t="str">
        <f>IF([3]道具信息!F813="","",[3]道具信息!F813)</f>
        <v/>
      </c>
      <c r="G813" s="37" t="str">
        <f>IF([3]道具信息!G813="","",[3]道具信息!G813)</f>
        <v/>
      </c>
      <c r="H813" s="37" t="str">
        <f>IF([3]道具信息!H813="","",[3]道具信息!H813)</f>
        <v/>
      </c>
      <c r="I813" s="37" t="str">
        <f>IF([3]道具信息!I813="","",[3]道具信息!I813)</f>
        <v/>
      </c>
      <c r="J813" s="37" t="str">
        <f>IF([3]道具信息!J813="","",[3]道具信息!J813)</f>
        <v/>
      </c>
      <c r="K813" s="37" t="str">
        <f>IF([3]道具信息!K813="","",[3]道具信息!K813)</f>
        <v/>
      </c>
      <c r="L813" s="37" t="str">
        <f>IF([3]道具信息!L813="","",[3]道具信息!L813)</f>
        <v/>
      </c>
      <c r="M813" s="37" t="str">
        <f>IF([3]道具信息!M813="","",[3]道具信息!M813)</f>
        <v/>
      </c>
      <c r="N813" s="37"/>
      <c r="O813" s="37" t="str">
        <f>IF([3]道具信息!O813="","",[3]道具信息!O813)</f>
        <v/>
      </c>
      <c r="P813" s="37" t="str">
        <f>IF([3]道具信息!P813="","",[3]道具信息!P813)</f>
        <v/>
      </c>
      <c r="Q813" s="37" t="str">
        <f>IF([3]道具信息!Q813="","",[3]道具信息!Q813)</f>
        <v/>
      </c>
    </row>
    <row r="814" spans="3:17" x14ac:dyDescent="0.15">
      <c r="C814" s="37" t="str">
        <f>IF([3]道具信息!C814="","",[3]道具信息!C814)</f>
        <v/>
      </c>
      <c r="D814" s="37" t="str">
        <f>IF([3]道具信息!D814="","",[3]道具信息!D814)</f>
        <v/>
      </c>
      <c r="E814" s="37" t="str">
        <f>IF([3]道具信息!E814="","",[3]道具信息!E814)</f>
        <v/>
      </c>
      <c r="F814" s="37" t="str">
        <f>IF([3]道具信息!F814="","",[3]道具信息!F814)</f>
        <v/>
      </c>
      <c r="G814" s="37" t="str">
        <f>IF([3]道具信息!G814="","",[3]道具信息!G814)</f>
        <v/>
      </c>
      <c r="H814" s="37" t="str">
        <f>IF([3]道具信息!H814="","",[3]道具信息!H814)</f>
        <v/>
      </c>
      <c r="I814" s="37" t="str">
        <f>IF([3]道具信息!I814="","",[3]道具信息!I814)</f>
        <v/>
      </c>
      <c r="J814" s="37" t="str">
        <f>IF([3]道具信息!J814="","",[3]道具信息!J814)</f>
        <v/>
      </c>
      <c r="K814" s="37" t="str">
        <f>IF([3]道具信息!K814="","",[3]道具信息!K814)</f>
        <v/>
      </c>
      <c r="L814" s="37" t="str">
        <f>IF([3]道具信息!L814="","",[3]道具信息!L814)</f>
        <v/>
      </c>
      <c r="M814" s="37" t="str">
        <f>IF([3]道具信息!M814="","",[3]道具信息!M814)</f>
        <v/>
      </c>
      <c r="N814" s="37"/>
      <c r="O814" s="37" t="str">
        <f>IF([3]道具信息!O814="","",[3]道具信息!O814)</f>
        <v/>
      </c>
      <c r="P814" s="37" t="str">
        <f>IF([3]道具信息!P814="","",[3]道具信息!P814)</f>
        <v/>
      </c>
      <c r="Q814" s="37" t="str">
        <f>IF([3]道具信息!Q814="","",[3]道具信息!Q814)</f>
        <v/>
      </c>
    </row>
    <row r="815" spans="3:17" x14ac:dyDescent="0.15">
      <c r="C815" s="37" t="str">
        <f>IF([3]道具信息!C815="","",[3]道具信息!C815)</f>
        <v/>
      </c>
      <c r="D815" s="37" t="str">
        <f>IF([3]道具信息!D815="","",[3]道具信息!D815)</f>
        <v/>
      </c>
      <c r="E815" s="37" t="str">
        <f>IF([3]道具信息!E815="","",[3]道具信息!E815)</f>
        <v/>
      </c>
      <c r="F815" s="37" t="str">
        <f>IF([3]道具信息!F815="","",[3]道具信息!F815)</f>
        <v/>
      </c>
      <c r="G815" s="37" t="str">
        <f>IF([3]道具信息!G815="","",[3]道具信息!G815)</f>
        <v/>
      </c>
      <c r="H815" s="37" t="str">
        <f>IF([3]道具信息!H815="","",[3]道具信息!H815)</f>
        <v/>
      </c>
      <c r="I815" s="37" t="str">
        <f>IF([3]道具信息!I815="","",[3]道具信息!I815)</f>
        <v/>
      </c>
      <c r="J815" s="37" t="str">
        <f>IF([3]道具信息!J815="","",[3]道具信息!J815)</f>
        <v/>
      </c>
      <c r="K815" s="37" t="str">
        <f>IF([3]道具信息!K815="","",[3]道具信息!K815)</f>
        <v/>
      </c>
      <c r="L815" s="37" t="str">
        <f>IF([3]道具信息!L815="","",[3]道具信息!L815)</f>
        <v/>
      </c>
      <c r="M815" s="37" t="str">
        <f>IF([3]道具信息!M815="","",[3]道具信息!M815)</f>
        <v/>
      </c>
      <c r="N815" s="37"/>
      <c r="O815" s="37" t="str">
        <f>IF([3]道具信息!O815="","",[3]道具信息!O815)</f>
        <v/>
      </c>
      <c r="P815" s="37" t="str">
        <f>IF([3]道具信息!P815="","",[3]道具信息!P815)</f>
        <v/>
      </c>
      <c r="Q815" s="37" t="str">
        <f>IF([3]道具信息!Q815="","",[3]道具信息!Q815)</f>
        <v/>
      </c>
    </row>
    <row r="816" spans="3:17" x14ac:dyDescent="0.15">
      <c r="C816" s="37" t="str">
        <f>IF([3]道具信息!C816="","",[3]道具信息!C816)</f>
        <v/>
      </c>
      <c r="D816" s="37" t="str">
        <f>IF([3]道具信息!D816="","",[3]道具信息!D816)</f>
        <v/>
      </c>
      <c r="E816" s="37" t="str">
        <f>IF([3]道具信息!E816="","",[3]道具信息!E816)</f>
        <v/>
      </c>
      <c r="F816" s="37" t="str">
        <f>IF([3]道具信息!F816="","",[3]道具信息!F816)</f>
        <v/>
      </c>
      <c r="G816" s="37" t="str">
        <f>IF([3]道具信息!G816="","",[3]道具信息!G816)</f>
        <v/>
      </c>
      <c r="H816" s="37" t="str">
        <f>IF([3]道具信息!H816="","",[3]道具信息!H816)</f>
        <v/>
      </c>
      <c r="I816" s="37" t="str">
        <f>IF([3]道具信息!I816="","",[3]道具信息!I816)</f>
        <v/>
      </c>
      <c r="J816" s="37" t="str">
        <f>IF([3]道具信息!J816="","",[3]道具信息!J816)</f>
        <v/>
      </c>
      <c r="K816" s="37" t="str">
        <f>IF([3]道具信息!K816="","",[3]道具信息!K816)</f>
        <v/>
      </c>
      <c r="L816" s="37" t="str">
        <f>IF([3]道具信息!L816="","",[3]道具信息!L816)</f>
        <v/>
      </c>
      <c r="M816" s="37" t="str">
        <f>IF([3]道具信息!M816="","",[3]道具信息!M816)</f>
        <v/>
      </c>
      <c r="N816" s="37"/>
      <c r="O816" s="37" t="str">
        <f>IF([3]道具信息!O816="","",[3]道具信息!O816)</f>
        <v/>
      </c>
      <c r="P816" s="37" t="str">
        <f>IF([3]道具信息!P816="","",[3]道具信息!P816)</f>
        <v/>
      </c>
      <c r="Q816" s="37" t="str">
        <f>IF([3]道具信息!Q816="","",[3]道具信息!Q816)</f>
        <v/>
      </c>
    </row>
    <row r="817" spans="3:17" x14ac:dyDescent="0.15">
      <c r="C817" s="37" t="str">
        <f>IF([3]道具信息!C817="","",[3]道具信息!C817)</f>
        <v/>
      </c>
      <c r="D817" s="37" t="str">
        <f>IF([3]道具信息!D817="","",[3]道具信息!D817)</f>
        <v/>
      </c>
      <c r="E817" s="37" t="str">
        <f>IF([3]道具信息!E817="","",[3]道具信息!E817)</f>
        <v/>
      </c>
      <c r="F817" s="37" t="str">
        <f>IF([3]道具信息!F817="","",[3]道具信息!F817)</f>
        <v/>
      </c>
      <c r="G817" s="37" t="str">
        <f>IF([3]道具信息!G817="","",[3]道具信息!G817)</f>
        <v/>
      </c>
      <c r="H817" s="37" t="str">
        <f>IF([3]道具信息!H817="","",[3]道具信息!H817)</f>
        <v/>
      </c>
      <c r="I817" s="37" t="str">
        <f>IF([3]道具信息!I817="","",[3]道具信息!I817)</f>
        <v/>
      </c>
      <c r="J817" s="37" t="str">
        <f>IF([3]道具信息!J817="","",[3]道具信息!J817)</f>
        <v/>
      </c>
      <c r="K817" s="37" t="str">
        <f>IF([3]道具信息!K817="","",[3]道具信息!K817)</f>
        <v/>
      </c>
      <c r="L817" s="37" t="str">
        <f>IF([3]道具信息!L817="","",[3]道具信息!L817)</f>
        <v/>
      </c>
      <c r="M817" s="37" t="str">
        <f>IF([3]道具信息!M817="","",[3]道具信息!M817)</f>
        <v/>
      </c>
      <c r="N817" s="37"/>
      <c r="O817" s="37" t="str">
        <f>IF([3]道具信息!O817="","",[3]道具信息!O817)</f>
        <v/>
      </c>
      <c r="P817" s="37" t="str">
        <f>IF([3]道具信息!P817="","",[3]道具信息!P817)</f>
        <v/>
      </c>
      <c r="Q817" s="37" t="str">
        <f>IF([3]道具信息!Q817="","",[3]道具信息!Q817)</f>
        <v/>
      </c>
    </row>
    <row r="818" spans="3:17" x14ac:dyDescent="0.15">
      <c r="C818" s="37" t="str">
        <f>IF([3]道具信息!C818="","",[3]道具信息!C818)</f>
        <v/>
      </c>
      <c r="D818" s="37" t="str">
        <f>IF([3]道具信息!D818="","",[3]道具信息!D818)</f>
        <v/>
      </c>
      <c r="E818" s="37" t="str">
        <f>IF([3]道具信息!E818="","",[3]道具信息!E818)</f>
        <v/>
      </c>
      <c r="F818" s="37" t="str">
        <f>IF([3]道具信息!F818="","",[3]道具信息!F818)</f>
        <v/>
      </c>
      <c r="G818" s="37" t="str">
        <f>IF([3]道具信息!G818="","",[3]道具信息!G818)</f>
        <v/>
      </c>
      <c r="H818" s="37" t="str">
        <f>IF([3]道具信息!H818="","",[3]道具信息!H818)</f>
        <v/>
      </c>
      <c r="I818" s="37" t="str">
        <f>IF([3]道具信息!I818="","",[3]道具信息!I818)</f>
        <v/>
      </c>
      <c r="J818" s="37" t="str">
        <f>IF([3]道具信息!J818="","",[3]道具信息!J818)</f>
        <v/>
      </c>
      <c r="K818" s="37" t="str">
        <f>IF([3]道具信息!K818="","",[3]道具信息!K818)</f>
        <v/>
      </c>
      <c r="L818" s="37" t="str">
        <f>IF([3]道具信息!L818="","",[3]道具信息!L818)</f>
        <v/>
      </c>
      <c r="M818" s="37" t="str">
        <f>IF([3]道具信息!M818="","",[3]道具信息!M818)</f>
        <v/>
      </c>
      <c r="N818" s="37"/>
      <c r="O818" s="37" t="str">
        <f>IF([3]道具信息!O818="","",[3]道具信息!O818)</f>
        <v/>
      </c>
      <c r="P818" s="37" t="str">
        <f>IF([3]道具信息!P818="","",[3]道具信息!P818)</f>
        <v/>
      </c>
      <c r="Q818" s="37" t="str">
        <f>IF([3]道具信息!Q818="","",[3]道具信息!Q818)</f>
        <v/>
      </c>
    </row>
    <row r="819" spans="3:17" x14ac:dyDescent="0.15">
      <c r="C819" s="37" t="str">
        <f>IF([3]道具信息!C819="","",[3]道具信息!C819)</f>
        <v/>
      </c>
      <c r="D819" s="37" t="str">
        <f>IF([3]道具信息!D819="","",[3]道具信息!D819)</f>
        <v/>
      </c>
      <c r="E819" s="37" t="str">
        <f>IF([3]道具信息!E819="","",[3]道具信息!E819)</f>
        <v/>
      </c>
      <c r="F819" s="37" t="str">
        <f>IF([3]道具信息!F819="","",[3]道具信息!F819)</f>
        <v/>
      </c>
      <c r="G819" s="37" t="str">
        <f>IF([3]道具信息!G819="","",[3]道具信息!G819)</f>
        <v/>
      </c>
      <c r="H819" s="37" t="str">
        <f>IF([3]道具信息!H819="","",[3]道具信息!H819)</f>
        <v/>
      </c>
      <c r="I819" s="37" t="str">
        <f>IF([3]道具信息!I819="","",[3]道具信息!I819)</f>
        <v/>
      </c>
      <c r="J819" s="37" t="str">
        <f>IF([3]道具信息!J819="","",[3]道具信息!J819)</f>
        <v/>
      </c>
      <c r="K819" s="37" t="str">
        <f>IF([3]道具信息!K819="","",[3]道具信息!K819)</f>
        <v/>
      </c>
      <c r="L819" s="37" t="str">
        <f>IF([3]道具信息!L819="","",[3]道具信息!L819)</f>
        <v/>
      </c>
      <c r="M819" s="37" t="str">
        <f>IF([3]道具信息!M819="","",[3]道具信息!M819)</f>
        <v/>
      </c>
      <c r="N819" s="37"/>
      <c r="O819" s="37" t="str">
        <f>IF([3]道具信息!O819="","",[3]道具信息!O819)</f>
        <v/>
      </c>
      <c r="P819" s="37" t="str">
        <f>IF([3]道具信息!P819="","",[3]道具信息!P819)</f>
        <v/>
      </c>
      <c r="Q819" s="37" t="str">
        <f>IF([3]道具信息!Q819="","",[3]道具信息!Q819)</f>
        <v/>
      </c>
    </row>
    <row r="820" spans="3:17" x14ac:dyDescent="0.15">
      <c r="C820" s="37" t="str">
        <f>IF([3]道具信息!C820="","",[3]道具信息!C820)</f>
        <v/>
      </c>
      <c r="D820" s="37" t="str">
        <f>IF([3]道具信息!D820="","",[3]道具信息!D820)</f>
        <v/>
      </c>
      <c r="E820" s="37" t="str">
        <f>IF([3]道具信息!E820="","",[3]道具信息!E820)</f>
        <v/>
      </c>
      <c r="F820" s="37" t="str">
        <f>IF([3]道具信息!F820="","",[3]道具信息!F820)</f>
        <v/>
      </c>
      <c r="G820" s="37" t="str">
        <f>IF([3]道具信息!G820="","",[3]道具信息!G820)</f>
        <v/>
      </c>
      <c r="H820" s="37" t="str">
        <f>IF([3]道具信息!H820="","",[3]道具信息!H820)</f>
        <v/>
      </c>
      <c r="I820" s="37" t="str">
        <f>IF([3]道具信息!I820="","",[3]道具信息!I820)</f>
        <v/>
      </c>
      <c r="J820" s="37" t="str">
        <f>IF([3]道具信息!J820="","",[3]道具信息!J820)</f>
        <v/>
      </c>
      <c r="K820" s="37" t="str">
        <f>IF([3]道具信息!K820="","",[3]道具信息!K820)</f>
        <v/>
      </c>
      <c r="L820" s="37" t="str">
        <f>IF([3]道具信息!L820="","",[3]道具信息!L820)</f>
        <v/>
      </c>
      <c r="M820" s="37" t="str">
        <f>IF([3]道具信息!M820="","",[3]道具信息!M820)</f>
        <v/>
      </c>
      <c r="N820" s="37"/>
      <c r="O820" s="37" t="str">
        <f>IF([3]道具信息!O820="","",[3]道具信息!O820)</f>
        <v/>
      </c>
      <c r="P820" s="37" t="str">
        <f>IF([3]道具信息!P820="","",[3]道具信息!P820)</f>
        <v/>
      </c>
      <c r="Q820" s="37" t="str">
        <f>IF([3]道具信息!Q820="","",[3]道具信息!Q820)</f>
        <v/>
      </c>
    </row>
    <row r="821" spans="3:17" x14ac:dyDescent="0.15">
      <c r="C821" s="37" t="str">
        <f>IF([3]道具信息!C821="","",[3]道具信息!C821)</f>
        <v/>
      </c>
      <c r="D821" s="37" t="str">
        <f>IF([3]道具信息!D821="","",[3]道具信息!D821)</f>
        <v/>
      </c>
      <c r="E821" s="37" t="str">
        <f>IF([3]道具信息!E821="","",[3]道具信息!E821)</f>
        <v/>
      </c>
      <c r="F821" s="37" t="str">
        <f>IF([3]道具信息!F821="","",[3]道具信息!F821)</f>
        <v/>
      </c>
      <c r="G821" s="37" t="str">
        <f>IF([3]道具信息!G821="","",[3]道具信息!G821)</f>
        <v/>
      </c>
      <c r="H821" s="37" t="str">
        <f>IF([3]道具信息!H821="","",[3]道具信息!H821)</f>
        <v/>
      </c>
      <c r="I821" s="37" t="str">
        <f>IF([3]道具信息!I821="","",[3]道具信息!I821)</f>
        <v/>
      </c>
      <c r="J821" s="37" t="str">
        <f>IF([3]道具信息!J821="","",[3]道具信息!J821)</f>
        <v/>
      </c>
      <c r="K821" s="37" t="str">
        <f>IF([3]道具信息!K821="","",[3]道具信息!K821)</f>
        <v/>
      </c>
      <c r="L821" s="37" t="str">
        <f>IF([3]道具信息!L821="","",[3]道具信息!L821)</f>
        <v/>
      </c>
      <c r="M821" s="37" t="str">
        <f>IF([3]道具信息!M821="","",[3]道具信息!M821)</f>
        <v/>
      </c>
      <c r="N821" s="37"/>
      <c r="O821" s="37" t="str">
        <f>IF([3]道具信息!O821="","",[3]道具信息!O821)</f>
        <v/>
      </c>
      <c r="P821" s="37" t="str">
        <f>IF([3]道具信息!P821="","",[3]道具信息!P821)</f>
        <v/>
      </c>
      <c r="Q821" s="37" t="str">
        <f>IF([3]道具信息!Q821="","",[3]道具信息!Q821)</f>
        <v/>
      </c>
    </row>
    <row r="822" spans="3:17" x14ac:dyDescent="0.15">
      <c r="C822" s="37" t="str">
        <f>IF([3]道具信息!C822="","",[3]道具信息!C822)</f>
        <v/>
      </c>
      <c r="D822" s="37" t="str">
        <f>IF([3]道具信息!D822="","",[3]道具信息!D822)</f>
        <v/>
      </c>
      <c r="E822" s="37" t="str">
        <f>IF([3]道具信息!E822="","",[3]道具信息!E822)</f>
        <v/>
      </c>
      <c r="F822" s="37" t="str">
        <f>IF([3]道具信息!F822="","",[3]道具信息!F822)</f>
        <v/>
      </c>
      <c r="G822" s="37" t="str">
        <f>IF([3]道具信息!G822="","",[3]道具信息!G822)</f>
        <v/>
      </c>
      <c r="H822" s="37" t="str">
        <f>IF([3]道具信息!H822="","",[3]道具信息!H822)</f>
        <v/>
      </c>
      <c r="I822" s="37" t="str">
        <f>IF([3]道具信息!I822="","",[3]道具信息!I822)</f>
        <v/>
      </c>
      <c r="J822" s="37" t="str">
        <f>IF([3]道具信息!J822="","",[3]道具信息!J822)</f>
        <v/>
      </c>
      <c r="K822" s="37" t="str">
        <f>IF([3]道具信息!K822="","",[3]道具信息!K822)</f>
        <v/>
      </c>
      <c r="L822" s="37" t="str">
        <f>IF([3]道具信息!L822="","",[3]道具信息!L822)</f>
        <v/>
      </c>
      <c r="M822" s="37" t="str">
        <f>IF([3]道具信息!M822="","",[3]道具信息!M822)</f>
        <v/>
      </c>
      <c r="N822" s="37"/>
      <c r="O822" s="37" t="str">
        <f>IF([3]道具信息!O822="","",[3]道具信息!O822)</f>
        <v/>
      </c>
      <c r="P822" s="37" t="str">
        <f>IF([3]道具信息!P822="","",[3]道具信息!P822)</f>
        <v/>
      </c>
      <c r="Q822" s="37" t="str">
        <f>IF([3]道具信息!Q822="","",[3]道具信息!Q822)</f>
        <v/>
      </c>
    </row>
    <row r="823" spans="3:17" x14ac:dyDescent="0.15">
      <c r="C823" s="37" t="str">
        <f>IF([3]道具信息!C823="","",[3]道具信息!C823)</f>
        <v/>
      </c>
      <c r="D823" s="37" t="str">
        <f>IF([3]道具信息!D823="","",[3]道具信息!D823)</f>
        <v/>
      </c>
      <c r="E823" s="37" t="str">
        <f>IF([3]道具信息!E823="","",[3]道具信息!E823)</f>
        <v/>
      </c>
      <c r="F823" s="37" t="str">
        <f>IF([3]道具信息!F823="","",[3]道具信息!F823)</f>
        <v/>
      </c>
      <c r="G823" s="37" t="str">
        <f>IF([3]道具信息!G823="","",[3]道具信息!G823)</f>
        <v/>
      </c>
      <c r="H823" s="37" t="str">
        <f>IF([3]道具信息!H823="","",[3]道具信息!H823)</f>
        <v/>
      </c>
      <c r="I823" s="37" t="str">
        <f>IF([3]道具信息!I823="","",[3]道具信息!I823)</f>
        <v/>
      </c>
      <c r="J823" s="37" t="str">
        <f>IF([3]道具信息!J823="","",[3]道具信息!J823)</f>
        <v/>
      </c>
      <c r="K823" s="37" t="str">
        <f>IF([3]道具信息!K823="","",[3]道具信息!K823)</f>
        <v/>
      </c>
      <c r="L823" s="37" t="str">
        <f>IF([3]道具信息!L823="","",[3]道具信息!L823)</f>
        <v/>
      </c>
      <c r="M823" s="37" t="str">
        <f>IF([3]道具信息!M823="","",[3]道具信息!M823)</f>
        <v/>
      </c>
      <c r="N823" s="37"/>
      <c r="O823" s="37" t="str">
        <f>IF([3]道具信息!O823="","",[3]道具信息!O823)</f>
        <v/>
      </c>
      <c r="P823" s="37" t="str">
        <f>IF([3]道具信息!P823="","",[3]道具信息!P823)</f>
        <v/>
      </c>
      <c r="Q823" s="37" t="str">
        <f>IF([3]道具信息!Q823="","",[3]道具信息!Q823)</f>
        <v/>
      </c>
    </row>
    <row r="824" spans="3:17" x14ac:dyDescent="0.15">
      <c r="C824" s="37" t="str">
        <f>IF([3]道具信息!C824="","",[3]道具信息!C824)</f>
        <v/>
      </c>
      <c r="D824" s="37" t="str">
        <f>IF([3]道具信息!D824="","",[3]道具信息!D824)</f>
        <v/>
      </c>
      <c r="E824" s="37" t="str">
        <f>IF([3]道具信息!E824="","",[3]道具信息!E824)</f>
        <v/>
      </c>
      <c r="F824" s="37" t="str">
        <f>IF([3]道具信息!F824="","",[3]道具信息!F824)</f>
        <v/>
      </c>
      <c r="G824" s="37" t="str">
        <f>IF([3]道具信息!G824="","",[3]道具信息!G824)</f>
        <v/>
      </c>
      <c r="H824" s="37" t="str">
        <f>IF([3]道具信息!H824="","",[3]道具信息!H824)</f>
        <v/>
      </c>
      <c r="I824" s="37" t="str">
        <f>IF([3]道具信息!I824="","",[3]道具信息!I824)</f>
        <v/>
      </c>
      <c r="J824" s="37" t="str">
        <f>IF([3]道具信息!J824="","",[3]道具信息!J824)</f>
        <v/>
      </c>
      <c r="K824" s="37" t="str">
        <f>IF([3]道具信息!K824="","",[3]道具信息!K824)</f>
        <v/>
      </c>
      <c r="L824" s="37" t="str">
        <f>IF([3]道具信息!L824="","",[3]道具信息!L824)</f>
        <v/>
      </c>
      <c r="M824" s="37" t="str">
        <f>IF([3]道具信息!M824="","",[3]道具信息!M824)</f>
        <v/>
      </c>
      <c r="N824" s="37"/>
      <c r="O824" s="37" t="str">
        <f>IF([3]道具信息!O824="","",[3]道具信息!O824)</f>
        <v/>
      </c>
      <c r="P824" s="37" t="str">
        <f>IF([3]道具信息!P824="","",[3]道具信息!P824)</f>
        <v/>
      </c>
      <c r="Q824" s="37" t="str">
        <f>IF([3]道具信息!Q824="","",[3]道具信息!Q824)</f>
        <v/>
      </c>
    </row>
    <row r="825" spans="3:17" x14ac:dyDescent="0.15">
      <c r="C825" s="37" t="str">
        <f>IF([3]道具信息!C825="","",[3]道具信息!C825)</f>
        <v/>
      </c>
      <c r="D825" s="37" t="str">
        <f>IF([3]道具信息!D825="","",[3]道具信息!D825)</f>
        <v/>
      </c>
      <c r="E825" s="37" t="str">
        <f>IF([3]道具信息!E825="","",[3]道具信息!E825)</f>
        <v/>
      </c>
      <c r="F825" s="37" t="str">
        <f>IF([3]道具信息!F825="","",[3]道具信息!F825)</f>
        <v/>
      </c>
      <c r="G825" s="37" t="str">
        <f>IF([3]道具信息!G825="","",[3]道具信息!G825)</f>
        <v/>
      </c>
      <c r="H825" s="37" t="str">
        <f>IF([3]道具信息!H825="","",[3]道具信息!H825)</f>
        <v/>
      </c>
      <c r="I825" s="37" t="str">
        <f>IF([3]道具信息!I825="","",[3]道具信息!I825)</f>
        <v/>
      </c>
      <c r="J825" s="37" t="str">
        <f>IF([3]道具信息!J825="","",[3]道具信息!J825)</f>
        <v/>
      </c>
      <c r="K825" s="37" t="str">
        <f>IF([3]道具信息!K825="","",[3]道具信息!K825)</f>
        <v/>
      </c>
      <c r="L825" s="37" t="str">
        <f>IF([3]道具信息!L825="","",[3]道具信息!L825)</f>
        <v/>
      </c>
      <c r="M825" s="37" t="str">
        <f>IF([3]道具信息!M825="","",[3]道具信息!M825)</f>
        <v/>
      </c>
      <c r="N825" s="37"/>
      <c r="O825" s="37" t="str">
        <f>IF([3]道具信息!O825="","",[3]道具信息!O825)</f>
        <v/>
      </c>
      <c r="P825" s="37" t="str">
        <f>IF([3]道具信息!P825="","",[3]道具信息!P825)</f>
        <v/>
      </c>
      <c r="Q825" s="37" t="str">
        <f>IF([3]道具信息!Q825="","",[3]道具信息!Q825)</f>
        <v/>
      </c>
    </row>
    <row r="826" spans="3:17" x14ac:dyDescent="0.15">
      <c r="C826" s="37" t="str">
        <f>IF([3]道具信息!C826="","",[3]道具信息!C826)</f>
        <v/>
      </c>
      <c r="D826" s="37" t="str">
        <f>IF([3]道具信息!D826="","",[3]道具信息!D826)</f>
        <v/>
      </c>
      <c r="E826" s="37" t="str">
        <f>IF([3]道具信息!E826="","",[3]道具信息!E826)</f>
        <v/>
      </c>
      <c r="F826" s="37" t="str">
        <f>IF([3]道具信息!F826="","",[3]道具信息!F826)</f>
        <v/>
      </c>
      <c r="G826" s="37" t="str">
        <f>IF([3]道具信息!G826="","",[3]道具信息!G826)</f>
        <v/>
      </c>
      <c r="H826" s="37" t="str">
        <f>IF([3]道具信息!H826="","",[3]道具信息!H826)</f>
        <v/>
      </c>
      <c r="I826" s="37" t="str">
        <f>IF([3]道具信息!I826="","",[3]道具信息!I826)</f>
        <v/>
      </c>
      <c r="J826" s="37" t="str">
        <f>IF([3]道具信息!J826="","",[3]道具信息!J826)</f>
        <v/>
      </c>
      <c r="K826" s="37" t="str">
        <f>IF([3]道具信息!K826="","",[3]道具信息!K826)</f>
        <v/>
      </c>
      <c r="L826" s="37" t="str">
        <f>IF([3]道具信息!L826="","",[3]道具信息!L826)</f>
        <v/>
      </c>
      <c r="M826" s="37" t="str">
        <f>IF([3]道具信息!M826="","",[3]道具信息!M826)</f>
        <v/>
      </c>
      <c r="N826" s="37"/>
      <c r="O826" s="37" t="str">
        <f>IF([3]道具信息!O826="","",[3]道具信息!O826)</f>
        <v/>
      </c>
      <c r="P826" s="37" t="str">
        <f>IF([3]道具信息!P826="","",[3]道具信息!P826)</f>
        <v/>
      </c>
      <c r="Q826" s="37" t="str">
        <f>IF([3]道具信息!Q826="","",[3]道具信息!Q826)</f>
        <v/>
      </c>
    </row>
    <row r="827" spans="3:17" x14ac:dyDescent="0.15">
      <c r="C827" s="37" t="str">
        <f>IF([3]道具信息!C827="","",[3]道具信息!C827)</f>
        <v/>
      </c>
      <c r="D827" s="37" t="str">
        <f>IF([3]道具信息!D827="","",[3]道具信息!D827)</f>
        <v/>
      </c>
      <c r="E827" s="37" t="str">
        <f>IF([3]道具信息!E827="","",[3]道具信息!E827)</f>
        <v/>
      </c>
      <c r="F827" s="37" t="str">
        <f>IF([3]道具信息!F827="","",[3]道具信息!F827)</f>
        <v/>
      </c>
      <c r="G827" s="37" t="str">
        <f>IF([3]道具信息!G827="","",[3]道具信息!G827)</f>
        <v/>
      </c>
      <c r="H827" s="37" t="str">
        <f>IF([3]道具信息!H827="","",[3]道具信息!H827)</f>
        <v/>
      </c>
      <c r="I827" s="37" t="str">
        <f>IF([3]道具信息!I827="","",[3]道具信息!I827)</f>
        <v/>
      </c>
      <c r="J827" s="37" t="str">
        <f>IF([3]道具信息!J827="","",[3]道具信息!J827)</f>
        <v/>
      </c>
      <c r="K827" s="37" t="str">
        <f>IF([3]道具信息!K827="","",[3]道具信息!K827)</f>
        <v/>
      </c>
      <c r="L827" s="37" t="str">
        <f>IF([3]道具信息!L827="","",[3]道具信息!L827)</f>
        <v/>
      </c>
      <c r="M827" s="37" t="str">
        <f>IF([3]道具信息!M827="","",[3]道具信息!M827)</f>
        <v/>
      </c>
      <c r="N827" s="37"/>
      <c r="O827" s="37" t="str">
        <f>IF([3]道具信息!O827="","",[3]道具信息!O827)</f>
        <v/>
      </c>
      <c r="P827" s="37" t="str">
        <f>IF([3]道具信息!P827="","",[3]道具信息!P827)</f>
        <v/>
      </c>
      <c r="Q827" s="37" t="str">
        <f>IF([3]道具信息!Q827="","",[3]道具信息!Q827)</f>
        <v/>
      </c>
    </row>
    <row r="828" spans="3:17" x14ac:dyDescent="0.15">
      <c r="C828" s="37" t="str">
        <f>IF([3]道具信息!C828="","",[3]道具信息!C828)</f>
        <v/>
      </c>
      <c r="D828" s="37" t="str">
        <f>IF([3]道具信息!D828="","",[3]道具信息!D828)</f>
        <v/>
      </c>
      <c r="E828" s="37" t="str">
        <f>IF([3]道具信息!E828="","",[3]道具信息!E828)</f>
        <v/>
      </c>
      <c r="F828" s="37" t="str">
        <f>IF([3]道具信息!F828="","",[3]道具信息!F828)</f>
        <v/>
      </c>
      <c r="G828" s="37" t="str">
        <f>IF([3]道具信息!G828="","",[3]道具信息!G828)</f>
        <v/>
      </c>
      <c r="H828" s="37" t="str">
        <f>IF([3]道具信息!H828="","",[3]道具信息!H828)</f>
        <v/>
      </c>
      <c r="I828" s="37" t="str">
        <f>IF([3]道具信息!I828="","",[3]道具信息!I828)</f>
        <v/>
      </c>
      <c r="J828" s="37" t="str">
        <f>IF([3]道具信息!J828="","",[3]道具信息!J828)</f>
        <v/>
      </c>
      <c r="K828" s="37" t="str">
        <f>IF([3]道具信息!K828="","",[3]道具信息!K828)</f>
        <v/>
      </c>
      <c r="L828" s="37" t="str">
        <f>IF([3]道具信息!L828="","",[3]道具信息!L828)</f>
        <v/>
      </c>
      <c r="M828" s="37" t="str">
        <f>IF([3]道具信息!M828="","",[3]道具信息!M828)</f>
        <v/>
      </c>
      <c r="N828" s="37"/>
      <c r="O828" s="37" t="str">
        <f>IF([3]道具信息!O828="","",[3]道具信息!O828)</f>
        <v/>
      </c>
      <c r="P828" s="37" t="str">
        <f>IF([3]道具信息!P828="","",[3]道具信息!P828)</f>
        <v/>
      </c>
      <c r="Q828" s="37" t="str">
        <f>IF([3]道具信息!Q828="","",[3]道具信息!Q828)</f>
        <v/>
      </c>
    </row>
    <row r="829" spans="3:17" x14ac:dyDescent="0.15">
      <c r="C829" s="37" t="str">
        <f>IF([3]道具信息!C829="","",[3]道具信息!C829)</f>
        <v/>
      </c>
      <c r="D829" s="37" t="str">
        <f>IF([3]道具信息!D829="","",[3]道具信息!D829)</f>
        <v/>
      </c>
      <c r="E829" s="37" t="str">
        <f>IF([3]道具信息!E829="","",[3]道具信息!E829)</f>
        <v/>
      </c>
      <c r="F829" s="37" t="str">
        <f>IF([3]道具信息!F829="","",[3]道具信息!F829)</f>
        <v/>
      </c>
      <c r="G829" s="37" t="str">
        <f>IF([3]道具信息!G829="","",[3]道具信息!G829)</f>
        <v/>
      </c>
      <c r="H829" s="37" t="str">
        <f>IF([3]道具信息!H829="","",[3]道具信息!H829)</f>
        <v/>
      </c>
      <c r="I829" s="37" t="str">
        <f>IF([3]道具信息!I829="","",[3]道具信息!I829)</f>
        <v/>
      </c>
      <c r="J829" s="37" t="str">
        <f>IF([3]道具信息!J829="","",[3]道具信息!J829)</f>
        <v/>
      </c>
      <c r="K829" s="37" t="str">
        <f>IF([3]道具信息!K829="","",[3]道具信息!K829)</f>
        <v/>
      </c>
      <c r="L829" s="37" t="str">
        <f>IF([3]道具信息!L829="","",[3]道具信息!L829)</f>
        <v/>
      </c>
      <c r="M829" s="37" t="str">
        <f>IF([3]道具信息!M829="","",[3]道具信息!M829)</f>
        <v/>
      </c>
      <c r="N829" s="37"/>
      <c r="O829" s="37" t="str">
        <f>IF([3]道具信息!O829="","",[3]道具信息!O829)</f>
        <v/>
      </c>
      <c r="P829" s="37" t="str">
        <f>IF([3]道具信息!P829="","",[3]道具信息!P829)</f>
        <v/>
      </c>
      <c r="Q829" s="37" t="str">
        <f>IF([3]道具信息!Q829="","",[3]道具信息!Q829)</f>
        <v/>
      </c>
    </row>
    <row r="830" spans="3:17" x14ac:dyDescent="0.15">
      <c r="C830" s="37" t="str">
        <f>IF([3]道具信息!C830="","",[3]道具信息!C830)</f>
        <v/>
      </c>
      <c r="D830" s="37" t="str">
        <f>IF([3]道具信息!D830="","",[3]道具信息!D830)</f>
        <v/>
      </c>
      <c r="E830" s="37" t="str">
        <f>IF([3]道具信息!E830="","",[3]道具信息!E830)</f>
        <v/>
      </c>
      <c r="F830" s="37" t="str">
        <f>IF([3]道具信息!F830="","",[3]道具信息!F830)</f>
        <v/>
      </c>
      <c r="G830" s="37" t="str">
        <f>IF([3]道具信息!G830="","",[3]道具信息!G830)</f>
        <v/>
      </c>
      <c r="H830" s="37" t="str">
        <f>IF([3]道具信息!H830="","",[3]道具信息!H830)</f>
        <v/>
      </c>
      <c r="I830" s="37" t="str">
        <f>IF([3]道具信息!I830="","",[3]道具信息!I830)</f>
        <v/>
      </c>
      <c r="J830" s="37" t="str">
        <f>IF([3]道具信息!J830="","",[3]道具信息!J830)</f>
        <v/>
      </c>
      <c r="K830" s="37" t="str">
        <f>IF([3]道具信息!K830="","",[3]道具信息!K830)</f>
        <v/>
      </c>
      <c r="L830" s="37" t="str">
        <f>IF([3]道具信息!L830="","",[3]道具信息!L830)</f>
        <v/>
      </c>
      <c r="M830" s="37" t="str">
        <f>IF([3]道具信息!M830="","",[3]道具信息!M830)</f>
        <v/>
      </c>
      <c r="N830" s="37"/>
      <c r="O830" s="37" t="str">
        <f>IF([3]道具信息!O830="","",[3]道具信息!O830)</f>
        <v/>
      </c>
      <c r="P830" s="37" t="str">
        <f>IF([3]道具信息!P830="","",[3]道具信息!P830)</f>
        <v/>
      </c>
      <c r="Q830" s="37" t="str">
        <f>IF([3]道具信息!Q830="","",[3]道具信息!Q830)</f>
        <v/>
      </c>
    </row>
    <row r="831" spans="3:17" x14ac:dyDescent="0.15">
      <c r="C831" s="37" t="str">
        <f>IF([3]道具信息!C831="","",[3]道具信息!C831)</f>
        <v/>
      </c>
      <c r="D831" s="37" t="str">
        <f>IF([3]道具信息!D831="","",[3]道具信息!D831)</f>
        <v/>
      </c>
      <c r="E831" s="37" t="str">
        <f>IF([3]道具信息!E831="","",[3]道具信息!E831)</f>
        <v/>
      </c>
      <c r="F831" s="37" t="str">
        <f>IF([3]道具信息!F831="","",[3]道具信息!F831)</f>
        <v/>
      </c>
      <c r="G831" s="37" t="str">
        <f>IF([3]道具信息!G831="","",[3]道具信息!G831)</f>
        <v/>
      </c>
      <c r="H831" s="37" t="str">
        <f>IF([3]道具信息!H831="","",[3]道具信息!H831)</f>
        <v/>
      </c>
      <c r="I831" s="37" t="str">
        <f>IF([3]道具信息!I831="","",[3]道具信息!I831)</f>
        <v/>
      </c>
      <c r="J831" s="37" t="str">
        <f>IF([3]道具信息!J831="","",[3]道具信息!J831)</f>
        <v/>
      </c>
      <c r="K831" s="37" t="str">
        <f>IF([3]道具信息!K831="","",[3]道具信息!K831)</f>
        <v/>
      </c>
      <c r="L831" s="37" t="str">
        <f>IF([3]道具信息!L831="","",[3]道具信息!L831)</f>
        <v/>
      </c>
      <c r="M831" s="37" t="str">
        <f>IF([3]道具信息!M831="","",[3]道具信息!M831)</f>
        <v/>
      </c>
      <c r="N831" s="37"/>
      <c r="O831" s="37" t="str">
        <f>IF([3]道具信息!O831="","",[3]道具信息!O831)</f>
        <v/>
      </c>
      <c r="P831" s="37" t="str">
        <f>IF([3]道具信息!P831="","",[3]道具信息!P831)</f>
        <v/>
      </c>
      <c r="Q831" s="37" t="str">
        <f>IF([3]道具信息!Q831="","",[3]道具信息!Q831)</f>
        <v/>
      </c>
    </row>
    <row r="832" spans="3:17" x14ac:dyDescent="0.15">
      <c r="C832" s="37" t="str">
        <f>IF([3]道具信息!C832="","",[3]道具信息!C832)</f>
        <v/>
      </c>
      <c r="D832" s="37" t="str">
        <f>IF([3]道具信息!D832="","",[3]道具信息!D832)</f>
        <v/>
      </c>
      <c r="E832" s="37" t="str">
        <f>IF([3]道具信息!E832="","",[3]道具信息!E832)</f>
        <v/>
      </c>
      <c r="F832" s="37" t="str">
        <f>IF([3]道具信息!F832="","",[3]道具信息!F832)</f>
        <v/>
      </c>
      <c r="G832" s="37" t="str">
        <f>IF([3]道具信息!G832="","",[3]道具信息!G832)</f>
        <v/>
      </c>
      <c r="H832" s="37" t="str">
        <f>IF([3]道具信息!H832="","",[3]道具信息!H832)</f>
        <v/>
      </c>
      <c r="I832" s="37" t="str">
        <f>IF([3]道具信息!I832="","",[3]道具信息!I832)</f>
        <v/>
      </c>
      <c r="J832" s="37" t="str">
        <f>IF([3]道具信息!J832="","",[3]道具信息!J832)</f>
        <v/>
      </c>
      <c r="K832" s="37" t="str">
        <f>IF([3]道具信息!K832="","",[3]道具信息!K832)</f>
        <v/>
      </c>
      <c r="L832" s="37" t="str">
        <f>IF([3]道具信息!L832="","",[3]道具信息!L832)</f>
        <v/>
      </c>
      <c r="M832" s="37" t="str">
        <f>IF([3]道具信息!M832="","",[3]道具信息!M832)</f>
        <v/>
      </c>
      <c r="N832" s="37"/>
      <c r="O832" s="37" t="str">
        <f>IF([3]道具信息!O832="","",[3]道具信息!O832)</f>
        <v/>
      </c>
      <c r="P832" s="37" t="str">
        <f>IF([3]道具信息!P832="","",[3]道具信息!P832)</f>
        <v/>
      </c>
      <c r="Q832" s="37" t="str">
        <f>IF([3]道具信息!Q832="","",[3]道具信息!Q832)</f>
        <v/>
      </c>
    </row>
    <row r="833" spans="3:17" x14ac:dyDescent="0.15">
      <c r="C833" s="37" t="str">
        <f>IF([3]道具信息!C833="","",[3]道具信息!C833)</f>
        <v/>
      </c>
      <c r="D833" s="37" t="str">
        <f>IF([3]道具信息!D833="","",[3]道具信息!D833)</f>
        <v/>
      </c>
      <c r="E833" s="37" t="str">
        <f>IF([3]道具信息!E833="","",[3]道具信息!E833)</f>
        <v/>
      </c>
      <c r="F833" s="37" t="str">
        <f>IF([3]道具信息!F833="","",[3]道具信息!F833)</f>
        <v/>
      </c>
      <c r="G833" s="37" t="str">
        <f>IF([3]道具信息!G833="","",[3]道具信息!G833)</f>
        <v/>
      </c>
      <c r="H833" s="37" t="str">
        <f>IF([3]道具信息!H833="","",[3]道具信息!H833)</f>
        <v/>
      </c>
      <c r="I833" s="37" t="str">
        <f>IF([3]道具信息!I833="","",[3]道具信息!I833)</f>
        <v/>
      </c>
      <c r="J833" s="37" t="str">
        <f>IF([3]道具信息!J833="","",[3]道具信息!J833)</f>
        <v/>
      </c>
      <c r="K833" s="37" t="str">
        <f>IF([3]道具信息!K833="","",[3]道具信息!K833)</f>
        <v/>
      </c>
      <c r="L833" s="37" t="str">
        <f>IF([3]道具信息!L833="","",[3]道具信息!L833)</f>
        <v/>
      </c>
      <c r="M833" s="37" t="str">
        <f>IF([3]道具信息!M833="","",[3]道具信息!M833)</f>
        <v/>
      </c>
      <c r="N833" s="37"/>
      <c r="O833" s="37" t="str">
        <f>IF([3]道具信息!O833="","",[3]道具信息!O833)</f>
        <v/>
      </c>
      <c r="P833" s="37" t="str">
        <f>IF([3]道具信息!P833="","",[3]道具信息!P833)</f>
        <v/>
      </c>
      <c r="Q833" s="37" t="str">
        <f>IF([3]道具信息!Q833="","",[3]道具信息!Q833)</f>
        <v/>
      </c>
    </row>
    <row r="834" spans="3:17" x14ac:dyDescent="0.15">
      <c r="C834" s="37" t="str">
        <f>IF([3]道具信息!C834="","",[3]道具信息!C834)</f>
        <v/>
      </c>
      <c r="D834" s="37" t="str">
        <f>IF([3]道具信息!D834="","",[3]道具信息!D834)</f>
        <v/>
      </c>
      <c r="E834" s="37" t="str">
        <f>IF([3]道具信息!E834="","",[3]道具信息!E834)</f>
        <v/>
      </c>
      <c r="F834" s="37" t="str">
        <f>IF([3]道具信息!F834="","",[3]道具信息!F834)</f>
        <v/>
      </c>
      <c r="G834" s="37" t="str">
        <f>IF([3]道具信息!G834="","",[3]道具信息!G834)</f>
        <v/>
      </c>
      <c r="H834" s="37" t="str">
        <f>IF([3]道具信息!H834="","",[3]道具信息!H834)</f>
        <v/>
      </c>
      <c r="I834" s="37" t="str">
        <f>IF([3]道具信息!I834="","",[3]道具信息!I834)</f>
        <v/>
      </c>
      <c r="J834" s="37" t="str">
        <f>IF([3]道具信息!J834="","",[3]道具信息!J834)</f>
        <v/>
      </c>
      <c r="K834" s="37" t="str">
        <f>IF([3]道具信息!K834="","",[3]道具信息!K834)</f>
        <v/>
      </c>
      <c r="L834" s="37" t="str">
        <f>IF([3]道具信息!L834="","",[3]道具信息!L834)</f>
        <v/>
      </c>
      <c r="M834" s="37" t="str">
        <f>IF([3]道具信息!M834="","",[3]道具信息!M834)</f>
        <v/>
      </c>
      <c r="N834" s="37"/>
      <c r="O834" s="37" t="str">
        <f>IF([3]道具信息!O834="","",[3]道具信息!O834)</f>
        <v/>
      </c>
      <c r="P834" s="37" t="str">
        <f>IF([3]道具信息!P834="","",[3]道具信息!P834)</f>
        <v/>
      </c>
      <c r="Q834" s="37" t="str">
        <f>IF([3]道具信息!Q834="","",[3]道具信息!Q834)</f>
        <v/>
      </c>
    </row>
    <row r="835" spans="3:17" x14ac:dyDescent="0.15">
      <c r="C835" s="37" t="str">
        <f>IF([3]道具信息!C835="","",[3]道具信息!C835)</f>
        <v/>
      </c>
      <c r="D835" s="37" t="str">
        <f>IF([3]道具信息!D835="","",[3]道具信息!D835)</f>
        <v/>
      </c>
      <c r="E835" s="37" t="str">
        <f>IF([3]道具信息!E835="","",[3]道具信息!E835)</f>
        <v/>
      </c>
      <c r="F835" s="37" t="str">
        <f>IF([3]道具信息!F835="","",[3]道具信息!F835)</f>
        <v/>
      </c>
      <c r="G835" s="37" t="str">
        <f>IF([3]道具信息!G835="","",[3]道具信息!G835)</f>
        <v/>
      </c>
      <c r="H835" s="37" t="str">
        <f>IF([3]道具信息!H835="","",[3]道具信息!H835)</f>
        <v/>
      </c>
      <c r="I835" s="37" t="str">
        <f>IF([3]道具信息!I835="","",[3]道具信息!I835)</f>
        <v/>
      </c>
      <c r="J835" s="37" t="str">
        <f>IF([3]道具信息!J835="","",[3]道具信息!J835)</f>
        <v/>
      </c>
      <c r="K835" s="37" t="str">
        <f>IF([3]道具信息!K835="","",[3]道具信息!K835)</f>
        <v/>
      </c>
      <c r="L835" s="37" t="str">
        <f>IF([3]道具信息!L835="","",[3]道具信息!L835)</f>
        <v/>
      </c>
      <c r="M835" s="37" t="str">
        <f>IF([3]道具信息!M835="","",[3]道具信息!M835)</f>
        <v/>
      </c>
      <c r="N835" s="37"/>
      <c r="O835" s="37" t="str">
        <f>IF([3]道具信息!O835="","",[3]道具信息!O835)</f>
        <v/>
      </c>
      <c r="P835" s="37" t="str">
        <f>IF([3]道具信息!P835="","",[3]道具信息!P835)</f>
        <v/>
      </c>
      <c r="Q835" s="37" t="str">
        <f>IF([3]道具信息!Q835="","",[3]道具信息!Q835)</f>
        <v/>
      </c>
    </row>
    <row r="836" spans="3:17" x14ac:dyDescent="0.15">
      <c r="C836" s="37" t="str">
        <f>IF([3]道具信息!C836="","",[3]道具信息!C836)</f>
        <v/>
      </c>
      <c r="D836" s="37" t="str">
        <f>IF([3]道具信息!D836="","",[3]道具信息!D836)</f>
        <v/>
      </c>
      <c r="E836" s="37" t="str">
        <f>IF([3]道具信息!E836="","",[3]道具信息!E836)</f>
        <v/>
      </c>
      <c r="F836" s="37" t="str">
        <f>IF([3]道具信息!F836="","",[3]道具信息!F836)</f>
        <v/>
      </c>
      <c r="G836" s="37" t="str">
        <f>IF([3]道具信息!G836="","",[3]道具信息!G836)</f>
        <v/>
      </c>
      <c r="H836" s="37" t="str">
        <f>IF([3]道具信息!H836="","",[3]道具信息!H836)</f>
        <v/>
      </c>
      <c r="I836" s="37" t="str">
        <f>IF([3]道具信息!I836="","",[3]道具信息!I836)</f>
        <v/>
      </c>
      <c r="J836" s="37" t="str">
        <f>IF([3]道具信息!J836="","",[3]道具信息!J836)</f>
        <v/>
      </c>
      <c r="K836" s="37" t="str">
        <f>IF([3]道具信息!K836="","",[3]道具信息!K836)</f>
        <v/>
      </c>
      <c r="L836" s="37" t="str">
        <f>IF([3]道具信息!L836="","",[3]道具信息!L836)</f>
        <v/>
      </c>
      <c r="M836" s="37" t="str">
        <f>IF([3]道具信息!M836="","",[3]道具信息!M836)</f>
        <v/>
      </c>
      <c r="N836" s="37"/>
      <c r="O836" s="37" t="str">
        <f>IF([3]道具信息!O836="","",[3]道具信息!O836)</f>
        <v/>
      </c>
      <c r="P836" s="37" t="str">
        <f>IF([3]道具信息!P836="","",[3]道具信息!P836)</f>
        <v/>
      </c>
      <c r="Q836" s="37" t="str">
        <f>IF([3]道具信息!Q836="","",[3]道具信息!Q836)</f>
        <v/>
      </c>
    </row>
    <row r="837" spans="3:17" x14ac:dyDescent="0.15">
      <c r="C837" s="37" t="str">
        <f>IF([3]道具信息!C837="","",[3]道具信息!C837)</f>
        <v/>
      </c>
      <c r="D837" s="37" t="str">
        <f>IF([3]道具信息!D837="","",[3]道具信息!D837)</f>
        <v/>
      </c>
      <c r="E837" s="37" t="str">
        <f>IF([3]道具信息!E837="","",[3]道具信息!E837)</f>
        <v/>
      </c>
      <c r="F837" s="37" t="str">
        <f>IF([3]道具信息!F837="","",[3]道具信息!F837)</f>
        <v/>
      </c>
      <c r="G837" s="37" t="str">
        <f>IF([3]道具信息!G837="","",[3]道具信息!G837)</f>
        <v/>
      </c>
      <c r="H837" s="37" t="str">
        <f>IF([3]道具信息!H837="","",[3]道具信息!H837)</f>
        <v/>
      </c>
      <c r="I837" s="37" t="str">
        <f>IF([3]道具信息!I837="","",[3]道具信息!I837)</f>
        <v/>
      </c>
      <c r="J837" s="37" t="str">
        <f>IF([3]道具信息!J837="","",[3]道具信息!J837)</f>
        <v/>
      </c>
      <c r="K837" s="37" t="str">
        <f>IF([3]道具信息!K837="","",[3]道具信息!K837)</f>
        <v/>
      </c>
      <c r="L837" s="37" t="str">
        <f>IF([3]道具信息!L837="","",[3]道具信息!L837)</f>
        <v/>
      </c>
      <c r="M837" s="37" t="str">
        <f>IF([3]道具信息!M837="","",[3]道具信息!M837)</f>
        <v/>
      </c>
      <c r="N837" s="37"/>
      <c r="O837" s="37" t="str">
        <f>IF([3]道具信息!O837="","",[3]道具信息!O837)</f>
        <v/>
      </c>
      <c r="P837" s="37" t="str">
        <f>IF([3]道具信息!P837="","",[3]道具信息!P837)</f>
        <v/>
      </c>
      <c r="Q837" s="37" t="str">
        <f>IF([3]道具信息!Q837="","",[3]道具信息!Q837)</f>
        <v/>
      </c>
    </row>
    <row r="838" spans="3:17" x14ac:dyDescent="0.15">
      <c r="C838" s="37" t="str">
        <f>IF([3]道具信息!C838="","",[3]道具信息!C838)</f>
        <v/>
      </c>
      <c r="D838" s="37" t="str">
        <f>IF([3]道具信息!D838="","",[3]道具信息!D838)</f>
        <v/>
      </c>
      <c r="E838" s="37" t="str">
        <f>IF([3]道具信息!E838="","",[3]道具信息!E838)</f>
        <v/>
      </c>
      <c r="F838" s="37" t="str">
        <f>IF([3]道具信息!F838="","",[3]道具信息!F838)</f>
        <v/>
      </c>
      <c r="G838" s="37" t="str">
        <f>IF([3]道具信息!G838="","",[3]道具信息!G838)</f>
        <v/>
      </c>
      <c r="H838" s="37" t="str">
        <f>IF([3]道具信息!H838="","",[3]道具信息!H838)</f>
        <v/>
      </c>
      <c r="I838" s="37" t="str">
        <f>IF([3]道具信息!I838="","",[3]道具信息!I838)</f>
        <v/>
      </c>
      <c r="J838" s="37" t="str">
        <f>IF([3]道具信息!J838="","",[3]道具信息!J838)</f>
        <v/>
      </c>
      <c r="K838" s="37" t="str">
        <f>IF([3]道具信息!K838="","",[3]道具信息!K838)</f>
        <v/>
      </c>
      <c r="L838" s="37" t="str">
        <f>IF([3]道具信息!L838="","",[3]道具信息!L838)</f>
        <v/>
      </c>
      <c r="M838" s="37" t="str">
        <f>IF([3]道具信息!M838="","",[3]道具信息!M838)</f>
        <v/>
      </c>
      <c r="N838" s="37"/>
      <c r="O838" s="37" t="str">
        <f>IF([3]道具信息!O838="","",[3]道具信息!O838)</f>
        <v/>
      </c>
      <c r="P838" s="37" t="str">
        <f>IF([3]道具信息!P838="","",[3]道具信息!P838)</f>
        <v/>
      </c>
      <c r="Q838" s="37" t="str">
        <f>IF([3]道具信息!Q838="","",[3]道具信息!Q838)</f>
        <v/>
      </c>
    </row>
    <row r="839" spans="3:17" x14ac:dyDescent="0.15">
      <c r="C839" s="37" t="str">
        <f>IF([3]道具信息!C839="","",[3]道具信息!C839)</f>
        <v/>
      </c>
      <c r="D839" s="37" t="str">
        <f>IF([3]道具信息!D839="","",[3]道具信息!D839)</f>
        <v/>
      </c>
      <c r="E839" s="37" t="str">
        <f>IF([3]道具信息!E839="","",[3]道具信息!E839)</f>
        <v/>
      </c>
      <c r="F839" s="37" t="str">
        <f>IF([3]道具信息!F839="","",[3]道具信息!F839)</f>
        <v/>
      </c>
      <c r="G839" s="37" t="str">
        <f>IF([3]道具信息!G839="","",[3]道具信息!G839)</f>
        <v/>
      </c>
      <c r="H839" s="37" t="str">
        <f>IF([3]道具信息!H839="","",[3]道具信息!H839)</f>
        <v/>
      </c>
      <c r="I839" s="37" t="str">
        <f>IF([3]道具信息!I839="","",[3]道具信息!I839)</f>
        <v/>
      </c>
      <c r="J839" s="37" t="str">
        <f>IF([3]道具信息!J839="","",[3]道具信息!J839)</f>
        <v/>
      </c>
      <c r="K839" s="37" t="str">
        <f>IF([3]道具信息!K839="","",[3]道具信息!K839)</f>
        <v/>
      </c>
      <c r="L839" s="37" t="str">
        <f>IF([3]道具信息!L839="","",[3]道具信息!L839)</f>
        <v/>
      </c>
      <c r="M839" s="37" t="str">
        <f>IF([3]道具信息!M839="","",[3]道具信息!M839)</f>
        <v/>
      </c>
      <c r="N839" s="37"/>
      <c r="O839" s="37" t="str">
        <f>IF([3]道具信息!O839="","",[3]道具信息!O839)</f>
        <v/>
      </c>
      <c r="P839" s="37" t="str">
        <f>IF([3]道具信息!P839="","",[3]道具信息!P839)</f>
        <v/>
      </c>
      <c r="Q839" s="37" t="str">
        <f>IF([3]道具信息!Q839="","",[3]道具信息!Q839)</f>
        <v/>
      </c>
    </row>
    <row r="840" spans="3:17" x14ac:dyDescent="0.15">
      <c r="C840" s="37" t="str">
        <f>IF([3]道具信息!C840="","",[3]道具信息!C840)</f>
        <v/>
      </c>
      <c r="D840" s="37" t="str">
        <f>IF([3]道具信息!D840="","",[3]道具信息!D840)</f>
        <v/>
      </c>
      <c r="E840" s="37" t="str">
        <f>IF([3]道具信息!E840="","",[3]道具信息!E840)</f>
        <v/>
      </c>
      <c r="F840" s="37" t="str">
        <f>IF([3]道具信息!F840="","",[3]道具信息!F840)</f>
        <v/>
      </c>
      <c r="G840" s="37" t="str">
        <f>IF([3]道具信息!G840="","",[3]道具信息!G840)</f>
        <v/>
      </c>
      <c r="H840" s="37" t="str">
        <f>IF([3]道具信息!H840="","",[3]道具信息!H840)</f>
        <v/>
      </c>
      <c r="I840" s="37" t="str">
        <f>IF([3]道具信息!I840="","",[3]道具信息!I840)</f>
        <v/>
      </c>
      <c r="J840" s="37" t="str">
        <f>IF([3]道具信息!J840="","",[3]道具信息!J840)</f>
        <v/>
      </c>
      <c r="K840" s="37" t="str">
        <f>IF([3]道具信息!K840="","",[3]道具信息!K840)</f>
        <v/>
      </c>
      <c r="L840" s="37" t="str">
        <f>IF([3]道具信息!L840="","",[3]道具信息!L840)</f>
        <v/>
      </c>
      <c r="M840" s="37" t="str">
        <f>IF([3]道具信息!M840="","",[3]道具信息!M840)</f>
        <v/>
      </c>
      <c r="N840" s="37"/>
      <c r="O840" s="37" t="str">
        <f>IF([3]道具信息!O840="","",[3]道具信息!O840)</f>
        <v/>
      </c>
      <c r="P840" s="37" t="str">
        <f>IF([3]道具信息!P840="","",[3]道具信息!P840)</f>
        <v/>
      </c>
      <c r="Q840" s="37" t="str">
        <f>IF([3]道具信息!Q840="","",[3]道具信息!Q840)</f>
        <v/>
      </c>
    </row>
    <row r="841" spans="3:17" x14ac:dyDescent="0.15">
      <c r="C841" s="37" t="str">
        <f>IF([3]道具信息!C841="","",[3]道具信息!C841)</f>
        <v/>
      </c>
      <c r="D841" s="37" t="str">
        <f>IF([3]道具信息!D841="","",[3]道具信息!D841)</f>
        <v/>
      </c>
      <c r="E841" s="37" t="str">
        <f>IF([3]道具信息!E841="","",[3]道具信息!E841)</f>
        <v/>
      </c>
      <c r="F841" s="37" t="str">
        <f>IF([3]道具信息!F841="","",[3]道具信息!F841)</f>
        <v/>
      </c>
      <c r="G841" s="37" t="str">
        <f>IF([3]道具信息!G841="","",[3]道具信息!G841)</f>
        <v/>
      </c>
      <c r="H841" s="37" t="str">
        <f>IF([3]道具信息!H841="","",[3]道具信息!H841)</f>
        <v/>
      </c>
      <c r="I841" s="37" t="str">
        <f>IF([3]道具信息!I841="","",[3]道具信息!I841)</f>
        <v/>
      </c>
      <c r="J841" s="37" t="str">
        <f>IF([3]道具信息!J841="","",[3]道具信息!J841)</f>
        <v/>
      </c>
      <c r="K841" s="37" t="str">
        <f>IF([3]道具信息!K841="","",[3]道具信息!K841)</f>
        <v/>
      </c>
      <c r="L841" s="37" t="str">
        <f>IF([3]道具信息!L841="","",[3]道具信息!L841)</f>
        <v/>
      </c>
      <c r="M841" s="37" t="str">
        <f>IF([3]道具信息!M841="","",[3]道具信息!M841)</f>
        <v/>
      </c>
      <c r="N841" s="37"/>
      <c r="O841" s="37" t="str">
        <f>IF([3]道具信息!O841="","",[3]道具信息!O841)</f>
        <v/>
      </c>
      <c r="P841" s="37" t="str">
        <f>IF([3]道具信息!P841="","",[3]道具信息!P841)</f>
        <v/>
      </c>
      <c r="Q841" s="37" t="str">
        <f>IF([3]道具信息!Q841="","",[3]道具信息!Q841)</f>
        <v/>
      </c>
    </row>
    <row r="842" spans="3:17" x14ac:dyDescent="0.15">
      <c r="C842" s="37" t="str">
        <f>IF([3]道具信息!C842="","",[3]道具信息!C842)</f>
        <v/>
      </c>
      <c r="D842" s="37" t="str">
        <f>IF([3]道具信息!D842="","",[3]道具信息!D842)</f>
        <v/>
      </c>
      <c r="E842" s="37" t="str">
        <f>IF([3]道具信息!E842="","",[3]道具信息!E842)</f>
        <v/>
      </c>
      <c r="F842" s="37" t="str">
        <f>IF([3]道具信息!F842="","",[3]道具信息!F842)</f>
        <v/>
      </c>
      <c r="G842" s="37" t="str">
        <f>IF([3]道具信息!G842="","",[3]道具信息!G842)</f>
        <v/>
      </c>
      <c r="H842" s="37" t="str">
        <f>IF([3]道具信息!H842="","",[3]道具信息!H842)</f>
        <v/>
      </c>
      <c r="I842" s="37" t="str">
        <f>IF([3]道具信息!I842="","",[3]道具信息!I842)</f>
        <v/>
      </c>
      <c r="J842" s="37" t="str">
        <f>IF([3]道具信息!J842="","",[3]道具信息!J842)</f>
        <v/>
      </c>
      <c r="K842" s="37" t="str">
        <f>IF([3]道具信息!K842="","",[3]道具信息!K842)</f>
        <v/>
      </c>
      <c r="L842" s="37" t="str">
        <f>IF([3]道具信息!L842="","",[3]道具信息!L842)</f>
        <v/>
      </c>
      <c r="M842" s="37" t="str">
        <f>IF([3]道具信息!M842="","",[3]道具信息!M842)</f>
        <v/>
      </c>
      <c r="N842" s="37"/>
      <c r="O842" s="37" t="str">
        <f>IF([3]道具信息!O842="","",[3]道具信息!O842)</f>
        <v/>
      </c>
      <c r="P842" s="37" t="str">
        <f>IF([3]道具信息!P842="","",[3]道具信息!P842)</f>
        <v/>
      </c>
      <c r="Q842" s="37" t="str">
        <f>IF([3]道具信息!Q842="","",[3]道具信息!Q842)</f>
        <v/>
      </c>
    </row>
    <row r="843" spans="3:17" x14ac:dyDescent="0.15">
      <c r="C843" s="37" t="str">
        <f>IF([3]道具信息!C843="","",[3]道具信息!C843)</f>
        <v/>
      </c>
      <c r="D843" s="37" t="str">
        <f>IF([3]道具信息!D843="","",[3]道具信息!D843)</f>
        <v/>
      </c>
      <c r="E843" s="37" t="str">
        <f>IF([3]道具信息!E843="","",[3]道具信息!E843)</f>
        <v/>
      </c>
      <c r="F843" s="37" t="str">
        <f>IF([3]道具信息!F843="","",[3]道具信息!F843)</f>
        <v/>
      </c>
      <c r="G843" s="37" t="str">
        <f>IF([3]道具信息!G843="","",[3]道具信息!G843)</f>
        <v/>
      </c>
      <c r="H843" s="37" t="str">
        <f>IF([3]道具信息!H843="","",[3]道具信息!H843)</f>
        <v/>
      </c>
      <c r="I843" s="37" t="str">
        <f>IF([3]道具信息!I843="","",[3]道具信息!I843)</f>
        <v/>
      </c>
      <c r="J843" s="37" t="str">
        <f>IF([3]道具信息!J843="","",[3]道具信息!J843)</f>
        <v/>
      </c>
      <c r="K843" s="37" t="str">
        <f>IF([3]道具信息!K843="","",[3]道具信息!K843)</f>
        <v/>
      </c>
      <c r="L843" s="37" t="str">
        <f>IF([3]道具信息!L843="","",[3]道具信息!L843)</f>
        <v/>
      </c>
      <c r="M843" s="37" t="str">
        <f>IF([3]道具信息!M843="","",[3]道具信息!M843)</f>
        <v/>
      </c>
      <c r="N843" s="37"/>
      <c r="O843" s="37" t="str">
        <f>IF([3]道具信息!O843="","",[3]道具信息!O843)</f>
        <v/>
      </c>
      <c r="P843" s="37" t="str">
        <f>IF([3]道具信息!P843="","",[3]道具信息!P843)</f>
        <v/>
      </c>
      <c r="Q843" s="37" t="str">
        <f>IF([3]道具信息!Q843="","",[3]道具信息!Q843)</f>
        <v/>
      </c>
    </row>
    <row r="844" spans="3:17" x14ac:dyDescent="0.15">
      <c r="C844" s="37" t="str">
        <f>IF([3]道具信息!C844="","",[3]道具信息!C844)</f>
        <v/>
      </c>
      <c r="D844" s="37" t="str">
        <f>IF([3]道具信息!D844="","",[3]道具信息!D844)</f>
        <v/>
      </c>
      <c r="E844" s="37" t="str">
        <f>IF([3]道具信息!E844="","",[3]道具信息!E844)</f>
        <v/>
      </c>
      <c r="F844" s="37" t="str">
        <f>IF([3]道具信息!F844="","",[3]道具信息!F844)</f>
        <v/>
      </c>
      <c r="G844" s="37" t="str">
        <f>IF([3]道具信息!G844="","",[3]道具信息!G844)</f>
        <v/>
      </c>
      <c r="H844" s="37" t="str">
        <f>IF([3]道具信息!H844="","",[3]道具信息!H844)</f>
        <v/>
      </c>
      <c r="I844" s="37" t="str">
        <f>IF([3]道具信息!I844="","",[3]道具信息!I844)</f>
        <v/>
      </c>
      <c r="J844" s="37" t="str">
        <f>IF([3]道具信息!J844="","",[3]道具信息!J844)</f>
        <v/>
      </c>
      <c r="K844" s="37" t="str">
        <f>IF([3]道具信息!K844="","",[3]道具信息!K844)</f>
        <v/>
      </c>
      <c r="L844" s="37" t="str">
        <f>IF([3]道具信息!L844="","",[3]道具信息!L844)</f>
        <v/>
      </c>
      <c r="M844" s="37" t="str">
        <f>IF([3]道具信息!M844="","",[3]道具信息!M844)</f>
        <v/>
      </c>
      <c r="N844" s="37"/>
      <c r="O844" s="37" t="str">
        <f>IF([3]道具信息!O844="","",[3]道具信息!O844)</f>
        <v/>
      </c>
      <c r="P844" s="37" t="str">
        <f>IF([3]道具信息!P844="","",[3]道具信息!P844)</f>
        <v/>
      </c>
      <c r="Q844" s="37" t="str">
        <f>IF([3]道具信息!Q844="","",[3]道具信息!Q844)</f>
        <v/>
      </c>
    </row>
    <row r="845" spans="3:17" x14ac:dyDescent="0.15">
      <c r="C845" s="37" t="str">
        <f>IF([3]道具信息!C845="","",[3]道具信息!C845)</f>
        <v/>
      </c>
      <c r="D845" s="37" t="str">
        <f>IF([3]道具信息!D845="","",[3]道具信息!D845)</f>
        <v/>
      </c>
      <c r="E845" s="37" t="str">
        <f>IF([3]道具信息!E845="","",[3]道具信息!E845)</f>
        <v/>
      </c>
      <c r="F845" s="37" t="str">
        <f>IF([3]道具信息!F845="","",[3]道具信息!F845)</f>
        <v/>
      </c>
      <c r="G845" s="37" t="str">
        <f>IF([3]道具信息!G845="","",[3]道具信息!G845)</f>
        <v/>
      </c>
      <c r="H845" s="37" t="str">
        <f>IF([3]道具信息!H845="","",[3]道具信息!H845)</f>
        <v/>
      </c>
      <c r="I845" s="37" t="str">
        <f>IF([3]道具信息!I845="","",[3]道具信息!I845)</f>
        <v/>
      </c>
      <c r="J845" s="37" t="str">
        <f>IF([3]道具信息!J845="","",[3]道具信息!J845)</f>
        <v/>
      </c>
      <c r="K845" s="37" t="str">
        <f>IF([3]道具信息!K845="","",[3]道具信息!K845)</f>
        <v/>
      </c>
      <c r="L845" s="37" t="str">
        <f>IF([3]道具信息!L845="","",[3]道具信息!L845)</f>
        <v/>
      </c>
      <c r="M845" s="37" t="str">
        <f>IF([3]道具信息!M845="","",[3]道具信息!M845)</f>
        <v/>
      </c>
      <c r="N845" s="37"/>
      <c r="O845" s="37" t="str">
        <f>IF([3]道具信息!O845="","",[3]道具信息!O845)</f>
        <v/>
      </c>
      <c r="P845" s="37" t="str">
        <f>IF([3]道具信息!P845="","",[3]道具信息!P845)</f>
        <v/>
      </c>
      <c r="Q845" s="37" t="str">
        <f>IF([3]道具信息!Q845="","",[3]道具信息!Q845)</f>
        <v/>
      </c>
    </row>
    <row r="846" spans="3:17" x14ac:dyDescent="0.15">
      <c r="C846" s="37" t="str">
        <f>IF([3]道具信息!C846="","",[3]道具信息!C846)</f>
        <v/>
      </c>
      <c r="D846" s="37" t="str">
        <f>IF([3]道具信息!D846="","",[3]道具信息!D846)</f>
        <v/>
      </c>
      <c r="E846" s="37" t="str">
        <f>IF([3]道具信息!E846="","",[3]道具信息!E846)</f>
        <v/>
      </c>
      <c r="F846" s="37" t="str">
        <f>IF([3]道具信息!F846="","",[3]道具信息!F846)</f>
        <v/>
      </c>
      <c r="G846" s="37" t="str">
        <f>IF([3]道具信息!G846="","",[3]道具信息!G846)</f>
        <v/>
      </c>
      <c r="H846" s="37" t="str">
        <f>IF([3]道具信息!H846="","",[3]道具信息!H846)</f>
        <v/>
      </c>
      <c r="I846" s="37" t="str">
        <f>IF([3]道具信息!I846="","",[3]道具信息!I846)</f>
        <v/>
      </c>
      <c r="J846" s="37" t="str">
        <f>IF([3]道具信息!J846="","",[3]道具信息!J846)</f>
        <v/>
      </c>
      <c r="K846" s="37" t="str">
        <f>IF([3]道具信息!K846="","",[3]道具信息!K846)</f>
        <v/>
      </c>
      <c r="L846" s="37" t="str">
        <f>IF([3]道具信息!L846="","",[3]道具信息!L846)</f>
        <v/>
      </c>
      <c r="M846" s="37" t="str">
        <f>IF([3]道具信息!M846="","",[3]道具信息!M846)</f>
        <v/>
      </c>
      <c r="N846" s="37"/>
      <c r="O846" s="37" t="str">
        <f>IF([3]道具信息!O846="","",[3]道具信息!O846)</f>
        <v/>
      </c>
      <c r="P846" s="37" t="str">
        <f>IF([3]道具信息!P846="","",[3]道具信息!P846)</f>
        <v/>
      </c>
      <c r="Q846" s="37" t="str">
        <f>IF([3]道具信息!Q846="","",[3]道具信息!Q846)</f>
        <v/>
      </c>
    </row>
    <row r="847" spans="3:17" x14ac:dyDescent="0.15">
      <c r="C847" s="37" t="str">
        <f>IF([3]道具信息!C847="","",[3]道具信息!C847)</f>
        <v/>
      </c>
      <c r="D847" s="37" t="str">
        <f>IF([3]道具信息!D847="","",[3]道具信息!D847)</f>
        <v/>
      </c>
      <c r="E847" s="37" t="str">
        <f>IF([3]道具信息!E847="","",[3]道具信息!E847)</f>
        <v/>
      </c>
      <c r="F847" s="37" t="str">
        <f>IF([3]道具信息!F847="","",[3]道具信息!F847)</f>
        <v/>
      </c>
      <c r="G847" s="37" t="str">
        <f>IF([3]道具信息!G847="","",[3]道具信息!G847)</f>
        <v/>
      </c>
      <c r="H847" s="37" t="str">
        <f>IF([3]道具信息!H847="","",[3]道具信息!H847)</f>
        <v/>
      </c>
      <c r="I847" s="37" t="str">
        <f>IF([3]道具信息!I847="","",[3]道具信息!I847)</f>
        <v/>
      </c>
      <c r="J847" s="37" t="str">
        <f>IF([3]道具信息!J847="","",[3]道具信息!J847)</f>
        <v/>
      </c>
      <c r="K847" s="37" t="str">
        <f>IF([3]道具信息!K847="","",[3]道具信息!K847)</f>
        <v/>
      </c>
      <c r="L847" s="37" t="str">
        <f>IF([3]道具信息!L847="","",[3]道具信息!L847)</f>
        <v/>
      </c>
      <c r="M847" s="37" t="str">
        <f>IF([3]道具信息!M847="","",[3]道具信息!M847)</f>
        <v/>
      </c>
      <c r="N847" s="37"/>
      <c r="O847" s="37" t="str">
        <f>IF([3]道具信息!O847="","",[3]道具信息!O847)</f>
        <v/>
      </c>
      <c r="P847" s="37" t="str">
        <f>IF([3]道具信息!P847="","",[3]道具信息!P847)</f>
        <v/>
      </c>
      <c r="Q847" s="37" t="str">
        <f>IF([3]道具信息!Q847="","",[3]道具信息!Q847)</f>
        <v/>
      </c>
    </row>
    <row r="848" spans="3:17" x14ac:dyDescent="0.15">
      <c r="C848" s="37" t="str">
        <f>IF([3]道具信息!C848="","",[3]道具信息!C848)</f>
        <v/>
      </c>
      <c r="D848" s="37" t="str">
        <f>IF([3]道具信息!D848="","",[3]道具信息!D848)</f>
        <v/>
      </c>
      <c r="E848" s="37" t="str">
        <f>IF([3]道具信息!E848="","",[3]道具信息!E848)</f>
        <v/>
      </c>
      <c r="F848" s="37" t="str">
        <f>IF([3]道具信息!F848="","",[3]道具信息!F848)</f>
        <v/>
      </c>
      <c r="G848" s="37" t="str">
        <f>IF([3]道具信息!G848="","",[3]道具信息!G848)</f>
        <v/>
      </c>
      <c r="H848" s="37" t="str">
        <f>IF([3]道具信息!H848="","",[3]道具信息!H848)</f>
        <v/>
      </c>
      <c r="I848" s="37" t="str">
        <f>IF([3]道具信息!I848="","",[3]道具信息!I848)</f>
        <v/>
      </c>
      <c r="J848" s="37" t="str">
        <f>IF([3]道具信息!J848="","",[3]道具信息!J848)</f>
        <v/>
      </c>
      <c r="K848" s="37" t="str">
        <f>IF([3]道具信息!K848="","",[3]道具信息!K848)</f>
        <v/>
      </c>
      <c r="L848" s="37" t="str">
        <f>IF([3]道具信息!L848="","",[3]道具信息!L848)</f>
        <v/>
      </c>
      <c r="M848" s="37" t="str">
        <f>IF([3]道具信息!M848="","",[3]道具信息!M848)</f>
        <v/>
      </c>
      <c r="N848" s="37"/>
      <c r="O848" s="37" t="str">
        <f>IF([3]道具信息!O848="","",[3]道具信息!O848)</f>
        <v/>
      </c>
      <c r="P848" s="37" t="str">
        <f>IF([3]道具信息!P848="","",[3]道具信息!P848)</f>
        <v/>
      </c>
      <c r="Q848" s="37" t="str">
        <f>IF([3]道具信息!Q848="","",[3]道具信息!Q848)</f>
        <v/>
      </c>
    </row>
    <row r="849" spans="3:17" x14ac:dyDescent="0.15">
      <c r="C849" s="37" t="str">
        <f>IF([3]道具信息!C849="","",[3]道具信息!C849)</f>
        <v/>
      </c>
      <c r="D849" s="37" t="str">
        <f>IF([3]道具信息!D849="","",[3]道具信息!D849)</f>
        <v/>
      </c>
      <c r="E849" s="37" t="str">
        <f>IF([3]道具信息!E849="","",[3]道具信息!E849)</f>
        <v/>
      </c>
      <c r="F849" s="37" t="str">
        <f>IF([3]道具信息!F849="","",[3]道具信息!F849)</f>
        <v/>
      </c>
      <c r="G849" s="37" t="str">
        <f>IF([3]道具信息!G849="","",[3]道具信息!G849)</f>
        <v/>
      </c>
      <c r="H849" s="37" t="str">
        <f>IF([3]道具信息!H849="","",[3]道具信息!H849)</f>
        <v/>
      </c>
      <c r="I849" s="37" t="str">
        <f>IF([3]道具信息!I849="","",[3]道具信息!I849)</f>
        <v/>
      </c>
      <c r="J849" s="37" t="str">
        <f>IF([3]道具信息!J849="","",[3]道具信息!J849)</f>
        <v/>
      </c>
      <c r="K849" s="37" t="str">
        <f>IF([3]道具信息!K849="","",[3]道具信息!K849)</f>
        <v/>
      </c>
      <c r="L849" s="37" t="str">
        <f>IF([3]道具信息!L849="","",[3]道具信息!L849)</f>
        <v/>
      </c>
      <c r="M849" s="37" t="str">
        <f>IF([3]道具信息!M849="","",[3]道具信息!M849)</f>
        <v/>
      </c>
      <c r="N849" s="37"/>
      <c r="O849" s="37" t="str">
        <f>IF([3]道具信息!O849="","",[3]道具信息!O849)</f>
        <v/>
      </c>
      <c r="P849" s="37" t="str">
        <f>IF([3]道具信息!P849="","",[3]道具信息!P849)</f>
        <v/>
      </c>
      <c r="Q849" s="37" t="str">
        <f>IF([3]道具信息!Q849="","",[3]道具信息!Q849)</f>
        <v/>
      </c>
    </row>
    <row r="850" spans="3:17" x14ac:dyDescent="0.15">
      <c r="C850" s="37" t="str">
        <f>IF([3]道具信息!C850="","",[3]道具信息!C850)</f>
        <v/>
      </c>
      <c r="D850" s="37" t="str">
        <f>IF([3]道具信息!D850="","",[3]道具信息!D850)</f>
        <v/>
      </c>
      <c r="E850" s="37" t="str">
        <f>IF([3]道具信息!E850="","",[3]道具信息!E850)</f>
        <v/>
      </c>
      <c r="F850" s="37" t="str">
        <f>IF([3]道具信息!F850="","",[3]道具信息!F850)</f>
        <v/>
      </c>
      <c r="G850" s="37" t="str">
        <f>IF([3]道具信息!G850="","",[3]道具信息!G850)</f>
        <v/>
      </c>
      <c r="H850" s="37" t="str">
        <f>IF([3]道具信息!H850="","",[3]道具信息!H850)</f>
        <v/>
      </c>
      <c r="I850" s="37" t="str">
        <f>IF([3]道具信息!I850="","",[3]道具信息!I850)</f>
        <v/>
      </c>
      <c r="J850" s="37" t="str">
        <f>IF([3]道具信息!J850="","",[3]道具信息!J850)</f>
        <v/>
      </c>
      <c r="K850" s="37" t="str">
        <f>IF([3]道具信息!K850="","",[3]道具信息!K850)</f>
        <v/>
      </c>
      <c r="L850" s="37" t="str">
        <f>IF([3]道具信息!L850="","",[3]道具信息!L850)</f>
        <v/>
      </c>
      <c r="M850" s="37" t="str">
        <f>IF([3]道具信息!M850="","",[3]道具信息!M850)</f>
        <v/>
      </c>
      <c r="N850" s="37"/>
      <c r="O850" s="37" t="str">
        <f>IF([3]道具信息!O850="","",[3]道具信息!O850)</f>
        <v/>
      </c>
      <c r="P850" s="37" t="str">
        <f>IF([3]道具信息!P850="","",[3]道具信息!P850)</f>
        <v/>
      </c>
      <c r="Q850" s="37" t="str">
        <f>IF([3]道具信息!Q850="","",[3]道具信息!Q850)</f>
        <v/>
      </c>
    </row>
    <row r="851" spans="3:17" x14ac:dyDescent="0.15">
      <c r="C851" s="37" t="str">
        <f>IF([3]道具信息!C851="","",[3]道具信息!C851)</f>
        <v/>
      </c>
      <c r="D851" s="37" t="str">
        <f>IF([3]道具信息!D851="","",[3]道具信息!D851)</f>
        <v/>
      </c>
      <c r="E851" s="37" t="str">
        <f>IF([3]道具信息!E851="","",[3]道具信息!E851)</f>
        <v/>
      </c>
      <c r="F851" s="37" t="str">
        <f>IF([3]道具信息!F851="","",[3]道具信息!F851)</f>
        <v/>
      </c>
      <c r="G851" s="37" t="str">
        <f>IF([3]道具信息!G851="","",[3]道具信息!G851)</f>
        <v/>
      </c>
      <c r="H851" s="37" t="str">
        <f>IF([3]道具信息!H851="","",[3]道具信息!H851)</f>
        <v/>
      </c>
      <c r="I851" s="37" t="str">
        <f>IF([3]道具信息!I851="","",[3]道具信息!I851)</f>
        <v/>
      </c>
      <c r="J851" s="37" t="str">
        <f>IF([3]道具信息!J851="","",[3]道具信息!J851)</f>
        <v/>
      </c>
      <c r="K851" s="37" t="str">
        <f>IF([3]道具信息!K851="","",[3]道具信息!K851)</f>
        <v/>
      </c>
      <c r="L851" s="37" t="str">
        <f>IF([3]道具信息!L851="","",[3]道具信息!L851)</f>
        <v/>
      </c>
      <c r="M851" s="37" t="str">
        <f>IF([3]道具信息!M851="","",[3]道具信息!M851)</f>
        <v/>
      </c>
      <c r="N851" s="37"/>
      <c r="O851" s="37" t="str">
        <f>IF([3]道具信息!O851="","",[3]道具信息!O851)</f>
        <v/>
      </c>
      <c r="P851" s="37" t="str">
        <f>IF([3]道具信息!P851="","",[3]道具信息!P851)</f>
        <v/>
      </c>
      <c r="Q851" s="37" t="str">
        <f>IF([3]道具信息!Q851="","",[3]道具信息!Q851)</f>
        <v/>
      </c>
    </row>
    <row r="852" spans="3:17" x14ac:dyDescent="0.15">
      <c r="C852" s="37" t="str">
        <f>IF([3]道具信息!C852="","",[3]道具信息!C852)</f>
        <v/>
      </c>
      <c r="D852" s="37" t="str">
        <f>IF([3]道具信息!D852="","",[3]道具信息!D852)</f>
        <v/>
      </c>
      <c r="E852" s="37" t="str">
        <f>IF([3]道具信息!E852="","",[3]道具信息!E852)</f>
        <v/>
      </c>
      <c r="F852" s="37" t="str">
        <f>IF([3]道具信息!F852="","",[3]道具信息!F852)</f>
        <v/>
      </c>
      <c r="G852" s="37" t="str">
        <f>IF([3]道具信息!G852="","",[3]道具信息!G852)</f>
        <v/>
      </c>
      <c r="H852" s="37" t="str">
        <f>IF([3]道具信息!H852="","",[3]道具信息!H852)</f>
        <v/>
      </c>
      <c r="I852" s="37" t="str">
        <f>IF([3]道具信息!I852="","",[3]道具信息!I852)</f>
        <v/>
      </c>
      <c r="J852" s="37" t="str">
        <f>IF([3]道具信息!J852="","",[3]道具信息!J852)</f>
        <v/>
      </c>
      <c r="K852" s="37" t="str">
        <f>IF([3]道具信息!K852="","",[3]道具信息!K852)</f>
        <v/>
      </c>
      <c r="L852" s="37" t="str">
        <f>IF([3]道具信息!L852="","",[3]道具信息!L852)</f>
        <v/>
      </c>
      <c r="M852" s="37" t="str">
        <f>IF([3]道具信息!M852="","",[3]道具信息!M852)</f>
        <v/>
      </c>
      <c r="N852" s="37"/>
      <c r="O852" s="37" t="str">
        <f>IF([3]道具信息!O852="","",[3]道具信息!O852)</f>
        <v/>
      </c>
      <c r="P852" s="37" t="str">
        <f>IF([3]道具信息!P852="","",[3]道具信息!P852)</f>
        <v/>
      </c>
      <c r="Q852" s="37" t="str">
        <f>IF([3]道具信息!Q852="","",[3]道具信息!Q852)</f>
        <v/>
      </c>
    </row>
    <row r="853" spans="3:17" x14ac:dyDescent="0.15">
      <c r="C853" s="37" t="str">
        <f>IF([3]道具信息!C853="","",[3]道具信息!C853)</f>
        <v/>
      </c>
      <c r="D853" s="37" t="str">
        <f>IF([3]道具信息!D853="","",[3]道具信息!D853)</f>
        <v/>
      </c>
      <c r="E853" s="37" t="str">
        <f>IF([3]道具信息!E853="","",[3]道具信息!E853)</f>
        <v/>
      </c>
      <c r="F853" s="37" t="str">
        <f>IF([3]道具信息!F853="","",[3]道具信息!F853)</f>
        <v/>
      </c>
      <c r="G853" s="37" t="str">
        <f>IF([3]道具信息!G853="","",[3]道具信息!G853)</f>
        <v/>
      </c>
      <c r="H853" s="37" t="str">
        <f>IF([3]道具信息!H853="","",[3]道具信息!H853)</f>
        <v/>
      </c>
      <c r="I853" s="37" t="str">
        <f>IF([3]道具信息!I853="","",[3]道具信息!I853)</f>
        <v/>
      </c>
      <c r="J853" s="37" t="str">
        <f>IF([3]道具信息!J853="","",[3]道具信息!J853)</f>
        <v/>
      </c>
      <c r="K853" s="37" t="str">
        <f>IF([3]道具信息!K853="","",[3]道具信息!K853)</f>
        <v/>
      </c>
      <c r="L853" s="37" t="str">
        <f>IF([3]道具信息!L853="","",[3]道具信息!L853)</f>
        <v/>
      </c>
      <c r="M853" s="37" t="str">
        <f>IF([3]道具信息!M853="","",[3]道具信息!M853)</f>
        <v/>
      </c>
      <c r="N853" s="37"/>
      <c r="O853" s="37" t="str">
        <f>IF([3]道具信息!O853="","",[3]道具信息!O853)</f>
        <v/>
      </c>
      <c r="P853" s="37" t="str">
        <f>IF([3]道具信息!P853="","",[3]道具信息!P853)</f>
        <v/>
      </c>
      <c r="Q853" s="37" t="str">
        <f>IF([3]道具信息!Q853="","",[3]道具信息!Q853)</f>
        <v/>
      </c>
    </row>
    <row r="854" spans="3:17" x14ac:dyDescent="0.15">
      <c r="C854" s="37" t="str">
        <f>IF([3]道具信息!C854="","",[3]道具信息!C854)</f>
        <v/>
      </c>
      <c r="D854" s="37" t="str">
        <f>IF([3]道具信息!D854="","",[3]道具信息!D854)</f>
        <v/>
      </c>
      <c r="E854" s="37" t="str">
        <f>IF([3]道具信息!E854="","",[3]道具信息!E854)</f>
        <v/>
      </c>
      <c r="F854" s="37" t="str">
        <f>IF([3]道具信息!F854="","",[3]道具信息!F854)</f>
        <v/>
      </c>
      <c r="G854" s="37" t="str">
        <f>IF([3]道具信息!G854="","",[3]道具信息!G854)</f>
        <v/>
      </c>
      <c r="H854" s="37" t="str">
        <f>IF([3]道具信息!H854="","",[3]道具信息!H854)</f>
        <v/>
      </c>
      <c r="I854" s="37" t="str">
        <f>IF([3]道具信息!I854="","",[3]道具信息!I854)</f>
        <v/>
      </c>
      <c r="J854" s="37" t="str">
        <f>IF([3]道具信息!J854="","",[3]道具信息!J854)</f>
        <v/>
      </c>
      <c r="K854" s="37" t="str">
        <f>IF([3]道具信息!K854="","",[3]道具信息!K854)</f>
        <v/>
      </c>
      <c r="L854" s="37" t="str">
        <f>IF([3]道具信息!L854="","",[3]道具信息!L854)</f>
        <v/>
      </c>
      <c r="M854" s="37" t="str">
        <f>IF([3]道具信息!M854="","",[3]道具信息!M854)</f>
        <v/>
      </c>
      <c r="N854" s="37"/>
      <c r="O854" s="37" t="str">
        <f>IF([3]道具信息!O854="","",[3]道具信息!O854)</f>
        <v/>
      </c>
      <c r="P854" s="37" t="str">
        <f>IF([3]道具信息!P854="","",[3]道具信息!P854)</f>
        <v/>
      </c>
      <c r="Q854" s="37" t="str">
        <f>IF([3]道具信息!Q854="","",[3]道具信息!Q854)</f>
        <v/>
      </c>
    </row>
    <row r="855" spans="3:17" x14ac:dyDescent="0.15">
      <c r="C855" s="37" t="str">
        <f>IF([3]道具信息!C855="","",[3]道具信息!C855)</f>
        <v/>
      </c>
      <c r="D855" s="37" t="str">
        <f>IF([3]道具信息!D855="","",[3]道具信息!D855)</f>
        <v/>
      </c>
      <c r="E855" s="37" t="str">
        <f>IF([3]道具信息!E855="","",[3]道具信息!E855)</f>
        <v/>
      </c>
      <c r="F855" s="37" t="str">
        <f>IF([3]道具信息!F855="","",[3]道具信息!F855)</f>
        <v/>
      </c>
      <c r="G855" s="37" t="str">
        <f>IF([3]道具信息!G855="","",[3]道具信息!G855)</f>
        <v/>
      </c>
      <c r="H855" s="37" t="str">
        <f>IF([3]道具信息!H855="","",[3]道具信息!H855)</f>
        <v/>
      </c>
      <c r="I855" s="37" t="str">
        <f>IF([3]道具信息!I855="","",[3]道具信息!I855)</f>
        <v/>
      </c>
      <c r="J855" s="37" t="str">
        <f>IF([3]道具信息!J855="","",[3]道具信息!J855)</f>
        <v/>
      </c>
      <c r="K855" s="37" t="str">
        <f>IF([3]道具信息!K855="","",[3]道具信息!K855)</f>
        <v/>
      </c>
      <c r="L855" s="37" t="str">
        <f>IF([3]道具信息!L855="","",[3]道具信息!L855)</f>
        <v/>
      </c>
      <c r="M855" s="37" t="str">
        <f>IF([3]道具信息!M855="","",[3]道具信息!M855)</f>
        <v/>
      </c>
      <c r="N855" s="37"/>
      <c r="O855" s="37" t="str">
        <f>IF([3]道具信息!O855="","",[3]道具信息!O855)</f>
        <v/>
      </c>
      <c r="P855" s="37" t="str">
        <f>IF([3]道具信息!P855="","",[3]道具信息!P855)</f>
        <v/>
      </c>
      <c r="Q855" s="37" t="str">
        <f>IF([3]道具信息!Q855="","",[3]道具信息!Q855)</f>
        <v/>
      </c>
    </row>
    <row r="856" spans="3:17" x14ac:dyDescent="0.15">
      <c r="C856" s="37" t="str">
        <f>IF([3]道具信息!C856="","",[3]道具信息!C856)</f>
        <v/>
      </c>
      <c r="D856" s="37" t="str">
        <f>IF([3]道具信息!D856="","",[3]道具信息!D856)</f>
        <v/>
      </c>
      <c r="E856" s="37" t="str">
        <f>IF([3]道具信息!E856="","",[3]道具信息!E856)</f>
        <v/>
      </c>
      <c r="F856" s="37" t="str">
        <f>IF([3]道具信息!F856="","",[3]道具信息!F856)</f>
        <v/>
      </c>
      <c r="G856" s="37" t="str">
        <f>IF([3]道具信息!G856="","",[3]道具信息!G856)</f>
        <v/>
      </c>
      <c r="H856" s="37" t="str">
        <f>IF([3]道具信息!H856="","",[3]道具信息!H856)</f>
        <v/>
      </c>
      <c r="I856" s="37" t="str">
        <f>IF([3]道具信息!I856="","",[3]道具信息!I856)</f>
        <v/>
      </c>
      <c r="J856" s="37" t="str">
        <f>IF([3]道具信息!J856="","",[3]道具信息!J856)</f>
        <v/>
      </c>
      <c r="K856" s="37" t="str">
        <f>IF([3]道具信息!K856="","",[3]道具信息!K856)</f>
        <v/>
      </c>
      <c r="L856" s="37" t="str">
        <f>IF([3]道具信息!L856="","",[3]道具信息!L856)</f>
        <v/>
      </c>
      <c r="M856" s="37" t="str">
        <f>IF([3]道具信息!M856="","",[3]道具信息!M856)</f>
        <v/>
      </c>
      <c r="N856" s="37"/>
      <c r="O856" s="37" t="str">
        <f>IF([3]道具信息!O856="","",[3]道具信息!O856)</f>
        <v/>
      </c>
      <c r="P856" s="37" t="str">
        <f>IF([3]道具信息!P856="","",[3]道具信息!P856)</f>
        <v/>
      </c>
      <c r="Q856" s="37" t="str">
        <f>IF([3]道具信息!Q856="","",[3]道具信息!Q856)</f>
        <v/>
      </c>
    </row>
    <row r="857" spans="3:17" x14ac:dyDescent="0.15">
      <c r="C857" s="37" t="str">
        <f>IF([3]道具信息!C857="","",[3]道具信息!C857)</f>
        <v/>
      </c>
      <c r="D857" s="37" t="str">
        <f>IF([3]道具信息!D857="","",[3]道具信息!D857)</f>
        <v/>
      </c>
      <c r="E857" s="37" t="str">
        <f>IF([3]道具信息!E857="","",[3]道具信息!E857)</f>
        <v/>
      </c>
      <c r="F857" s="37" t="str">
        <f>IF([3]道具信息!F857="","",[3]道具信息!F857)</f>
        <v/>
      </c>
      <c r="G857" s="37" t="str">
        <f>IF([3]道具信息!G857="","",[3]道具信息!G857)</f>
        <v/>
      </c>
      <c r="H857" s="37" t="str">
        <f>IF([3]道具信息!H857="","",[3]道具信息!H857)</f>
        <v/>
      </c>
      <c r="I857" s="37" t="str">
        <f>IF([3]道具信息!I857="","",[3]道具信息!I857)</f>
        <v/>
      </c>
      <c r="J857" s="37" t="str">
        <f>IF([3]道具信息!J857="","",[3]道具信息!J857)</f>
        <v/>
      </c>
      <c r="K857" s="37" t="str">
        <f>IF([3]道具信息!K857="","",[3]道具信息!K857)</f>
        <v/>
      </c>
      <c r="L857" s="37" t="str">
        <f>IF([3]道具信息!L857="","",[3]道具信息!L857)</f>
        <v/>
      </c>
      <c r="M857" s="37" t="str">
        <f>IF([3]道具信息!M857="","",[3]道具信息!M857)</f>
        <v/>
      </c>
      <c r="N857" s="37"/>
      <c r="O857" s="37" t="str">
        <f>IF([3]道具信息!O857="","",[3]道具信息!O857)</f>
        <v/>
      </c>
      <c r="P857" s="37" t="str">
        <f>IF([3]道具信息!P857="","",[3]道具信息!P857)</f>
        <v/>
      </c>
      <c r="Q857" s="37" t="str">
        <f>IF([3]道具信息!Q857="","",[3]道具信息!Q857)</f>
        <v/>
      </c>
    </row>
    <row r="858" spans="3:17" x14ac:dyDescent="0.15">
      <c r="C858" s="37" t="str">
        <f>IF([3]道具信息!C858="","",[3]道具信息!C858)</f>
        <v/>
      </c>
      <c r="D858" s="37" t="str">
        <f>IF([3]道具信息!D858="","",[3]道具信息!D858)</f>
        <v/>
      </c>
      <c r="E858" s="37" t="str">
        <f>IF([3]道具信息!E858="","",[3]道具信息!E858)</f>
        <v/>
      </c>
      <c r="F858" s="37" t="str">
        <f>IF([3]道具信息!F858="","",[3]道具信息!F858)</f>
        <v/>
      </c>
      <c r="G858" s="37" t="str">
        <f>IF([3]道具信息!G858="","",[3]道具信息!G858)</f>
        <v/>
      </c>
      <c r="H858" s="37" t="str">
        <f>IF([3]道具信息!H858="","",[3]道具信息!H858)</f>
        <v/>
      </c>
      <c r="I858" s="37" t="str">
        <f>IF([3]道具信息!I858="","",[3]道具信息!I858)</f>
        <v/>
      </c>
      <c r="J858" s="37" t="str">
        <f>IF([3]道具信息!J858="","",[3]道具信息!J858)</f>
        <v/>
      </c>
      <c r="K858" s="37" t="str">
        <f>IF([3]道具信息!K858="","",[3]道具信息!K858)</f>
        <v/>
      </c>
      <c r="L858" s="37" t="str">
        <f>IF([3]道具信息!L858="","",[3]道具信息!L858)</f>
        <v/>
      </c>
      <c r="M858" s="37" t="str">
        <f>IF([3]道具信息!M858="","",[3]道具信息!M858)</f>
        <v/>
      </c>
      <c r="N858" s="37"/>
      <c r="O858" s="37" t="str">
        <f>IF([3]道具信息!O858="","",[3]道具信息!O858)</f>
        <v/>
      </c>
      <c r="P858" s="37" t="str">
        <f>IF([3]道具信息!P858="","",[3]道具信息!P858)</f>
        <v/>
      </c>
      <c r="Q858" s="37" t="str">
        <f>IF([3]道具信息!Q858="","",[3]道具信息!Q858)</f>
        <v/>
      </c>
    </row>
    <row r="859" spans="3:17" x14ac:dyDescent="0.15">
      <c r="C859" s="37" t="str">
        <f>IF([3]道具信息!C859="","",[3]道具信息!C859)</f>
        <v/>
      </c>
      <c r="D859" s="37" t="str">
        <f>IF([3]道具信息!D859="","",[3]道具信息!D859)</f>
        <v/>
      </c>
      <c r="E859" s="37" t="str">
        <f>IF([3]道具信息!E859="","",[3]道具信息!E859)</f>
        <v/>
      </c>
      <c r="F859" s="37" t="str">
        <f>IF([3]道具信息!F859="","",[3]道具信息!F859)</f>
        <v/>
      </c>
      <c r="G859" s="37" t="str">
        <f>IF([3]道具信息!G859="","",[3]道具信息!G859)</f>
        <v/>
      </c>
      <c r="H859" s="37" t="str">
        <f>IF([3]道具信息!H859="","",[3]道具信息!H859)</f>
        <v/>
      </c>
      <c r="I859" s="37" t="str">
        <f>IF([3]道具信息!I859="","",[3]道具信息!I859)</f>
        <v/>
      </c>
      <c r="J859" s="37" t="str">
        <f>IF([3]道具信息!J859="","",[3]道具信息!J859)</f>
        <v/>
      </c>
      <c r="K859" s="37" t="str">
        <f>IF([3]道具信息!K859="","",[3]道具信息!K859)</f>
        <v/>
      </c>
      <c r="L859" s="37" t="str">
        <f>IF([3]道具信息!L859="","",[3]道具信息!L859)</f>
        <v/>
      </c>
      <c r="M859" s="37" t="str">
        <f>IF([3]道具信息!M859="","",[3]道具信息!M859)</f>
        <v/>
      </c>
      <c r="N859" s="37"/>
      <c r="O859" s="37" t="str">
        <f>IF([3]道具信息!O859="","",[3]道具信息!O859)</f>
        <v/>
      </c>
      <c r="P859" s="37" t="str">
        <f>IF([3]道具信息!P859="","",[3]道具信息!P859)</f>
        <v/>
      </c>
      <c r="Q859" s="37" t="str">
        <f>IF([3]道具信息!Q859="","",[3]道具信息!Q859)</f>
        <v/>
      </c>
    </row>
    <row r="860" spans="3:17" x14ac:dyDescent="0.15">
      <c r="C860" s="37" t="str">
        <f>IF([3]道具信息!C860="","",[3]道具信息!C860)</f>
        <v/>
      </c>
      <c r="D860" s="37" t="str">
        <f>IF([3]道具信息!D860="","",[3]道具信息!D860)</f>
        <v/>
      </c>
      <c r="E860" s="37" t="str">
        <f>IF([3]道具信息!E860="","",[3]道具信息!E860)</f>
        <v/>
      </c>
      <c r="F860" s="37" t="str">
        <f>IF([3]道具信息!F860="","",[3]道具信息!F860)</f>
        <v/>
      </c>
      <c r="G860" s="37" t="str">
        <f>IF([3]道具信息!G860="","",[3]道具信息!G860)</f>
        <v/>
      </c>
      <c r="H860" s="37" t="str">
        <f>IF([3]道具信息!H860="","",[3]道具信息!H860)</f>
        <v/>
      </c>
      <c r="I860" s="37" t="str">
        <f>IF([3]道具信息!I860="","",[3]道具信息!I860)</f>
        <v/>
      </c>
      <c r="J860" s="37" t="str">
        <f>IF([3]道具信息!J860="","",[3]道具信息!J860)</f>
        <v/>
      </c>
      <c r="K860" s="37" t="str">
        <f>IF([3]道具信息!K860="","",[3]道具信息!K860)</f>
        <v/>
      </c>
      <c r="L860" s="37" t="str">
        <f>IF([3]道具信息!L860="","",[3]道具信息!L860)</f>
        <v/>
      </c>
      <c r="M860" s="37" t="str">
        <f>IF([3]道具信息!M860="","",[3]道具信息!M860)</f>
        <v/>
      </c>
      <c r="N860" s="37"/>
      <c r="O860" s="37" t="str">
        <f>IF([3]道具信息!O860="","",[3]道具信息!O860)</f>
        <v/>
      </c>
      <c r="P860" s="37" t="str">
        <f>IF([3]道具信息!P860="","",[3]道具信息!P860)</f>
        <v/>
      </c>
      <c r="Q860" s="37" t="str">
        <f>IF([3]道具信息!Q860="","",[3]道具信息!Q860)</f>
        <v/>
      </c>
    </row>
    <row r="861" spans="3:17" x14ac:dyDescent="0.15">
      <c r="C861" s="37" t="str">
        <f>IF([3]道具信息!C861="","",[3]道具信息!C861)</f>
        <v/>
      </c>
      <c r="D861" s="37" t="str">
        <f>IF([3]道具信息!D861="","",[3]道具信息!D861)</f>
        <v/>
      </c>
      <c r="E861" s="37" t="str">
        <f>IF([3]道具信息!E861="","",[3]道具信息!E861)</f>
        <v/>
      </c>
      <c r="F861" s="37" t="str">
        <f>IF([3]道具信息!F861="","",[3]道具信息!F861)</f>
        <v/>
      </c>
      <c r="G861" s="37" t="str">
        <f>IF([3]道具信息!G861="","",[3]道具信息!G861)</f>
        <v/>
      </c>
      <c r="H861" s="37" t="str">
        <f>IF([3]道具信息!H861="","",[3]道具信息!H861)</f>
        <v/>
      </c>
      <c r="I861" s="37" t="str">
        <f>IF([3]道具信息!I861="","",[3]道具信息!I861)</f>
        <v/>
      </c>
      <c r="J861" s="37" t="str">
        <f>IF([3]道具信息!J861="","",[3]道具信息!J861)</f>
        <v/>
      </c>
      <c r="K861" s="37" t="str">
        <f>IF([3]道具信息!K861="","",[3]道具信息!K861)</f>
        <v/>
      </c>
      <c r="L861" s="37" t="str">
        <f>IF([3]道具信息!L861="","",[3]道具信息!L861)</f>
        <v/>
      </c>
      <c r="M861" s="37" t="str">
        <f>IF([3]道具信息!M861="","",[3]道具信息!M861)</f>
        <v/>
      </c>
      <c r="N861" s="37"/>
      <c r="O861" s="37" t="str">
        <f>IF([3]道具信息!O861="","",[3]道具信息!O861)</f>
        <v/>
      </c>
      <c r="P861" s="37" t="str">
        <f>IF([3]道具信息!P861="","",[3]道具信息!P861)</f>
        <v/>
      </c>
      <c r="Q861" s="37" t="str">
        <f>IF([3]道具信息!Q861="","",[3]道具信息!Q861)</f>
        <v/>
      </c>
    </row>
    <row r="862" spans="3:17" x14ac:dyDescent="0.15">
      <c r="C862" s="37" t="str">
        <f>IF([3]道具信息!C862="","",[3]道具信息!C862)</f>
        <v/>
      </c>
      <c r="D862" s="37" t="str">
        <f>IF([3]道具信息!D862="","",[3]道具信息!D862)</f>
        <v/>
      </c>
      <c r="E862" s="37" t="str">
        <f>IF([3]道具信息!E862="","",[3]道具信息!E862)</f>
        <v/>
      </c>
      <c r="F862" s="37" t="str">
        <f>IF([3]道具信息!F862="","",[3]道具信息!F862)</f>
        <v/>
      </c>
      <c r="G862" s="37" t="str">
        <f>IF([3]道具信息!G862="","",[3]道具信息!G862)</f>
        <v/>
      </c>
      <c r="H862" s="37" t="str">
        <f>IF([3]道具信息!H862="","",[3]道具信息!H862)</f>
        <v/>
      </c>
      <c r="I862" s="37" t="str">
        <f>IF([3]道具信息!I862="","",[3]道具信息!I862)</f>
        <v/>
      </c>
      <c r="J862" s="37" t="str">
        <f>IF([3]道具信息!J862="","",[3]道具信息!J862)</f>
        <v/>
      </c>
      <c r="K862" s="37" t="str">
        <f>IF([3]道具信息!K862="","",[3]道具信息!K862)</f>
        <v/>
      </c>
      <c r="L862" s="37" t="str">
        <f>IF([3]道具信息!L862="","",[3]道具信息!L862)</f>
        <v/>
      </c>
      <c r="M862" s="37" t="str">
        <f>IF([3]道具信息!M862="","",[3]道具信息!M862)</f>
        <v/>
      </c>
      <c r="N862" s="37"/>
      <c r="O862" s="37" t="str">
        <f>IF([3]道具信息!O862="","",[3]道具信息!O862)</f>
        <v/>
      </c>
      <c r="P862" s="37" t="str">
        <f>IF([3]道具信息!P862="","",[3]道具信息!P862)</f>
        <v/>
      </c>
      <c r="Q862" s="37" t="str">
        <f>IF([3]道具信息!Q862="","",[3]道具信息!Q862)</f>
        <v/>
      </c>
    </row>
    <row r="863" spans="3:17" x14ac:dyDescent="0.15">
      <c r="C863" s="37" t="str">
        <f>IF([3]道具信息!C863="","",[3]道具信息!C863)</f>
        <v/>
      </c>
      <c r="D863" s="37" t="str">
        <f>IF([3]道具信息!D863="","",[3]道具信息!D863)</f>
        <v/>
      </c>
      <c r="E863" s="37" t="str">
        <f>IF([3]道具信息!E863="","",[3]道具信息!E863)</f>
        <v/>
      </c>
      <c r="F863" s="37" t="str">
        <f>IF([3]道具信息!F863="","",[3]道具信息!F863)</f>
        <v/>
      </c>
      <c r="G863" s="37" t="str">
        <f>IF([3]道具信息!G863="","",[3]道具信息!G863)</f>
        <v/>
      </c>
      <c r="H863" s="37" t="str">
        <f>IF([3]道具信息!H863="","",[3]道具信息!H863)</f>
        <v/>
      </c>
      <c r="I863" s="37" t="str">
        <f>IF([3]道具信息!I863="","",[3]道具信息!I863)</f>
        <v/>
      </c>
      <c r="J863" s="37" t="str">
        <f>IF([3]道具信息!J863="","",[3]道具信息!J863)</f>
        <v/>
      </c>
      <c r="K863" s="37" t="str">
        <f>IF([3]道具信息!K863="","",[3]道具信息!K863)</f>
        <v/>
      </c>
      <c r="L863" s="37" t="str">
        <f>IF([3]道具信息!L863="","",[3]道具信息!L863)</f>
        <v/>
      </c>
      <c r="M863" s="37" t="str">
        <f>IF([3]道具信息!M863="","",[3]道具信息!M863)</f>
        <v/>
      </c>
      <c r="N863" s="37"/>
      <c r="O863" s="37" t="str">
        <f>IF([3]道具信息!O863="","",[3]道具信息!O863)</f>
        <v/>
      </c>
      <c r="P863" s="37" t="str">
        <f>IF([3]道具信息!P863="","",[3]道具信息!P863)</f>
        <v/>
      </c>
      <c r="Q863" s="37" t="str">
        <f>IF([3]道具信息!Q863="","",[3]道具信息!Q863)</f>
        <v/>
      </c>
    </row>
    <row r="864" spans="3:17" x14ac:dyDescent="0.15">
      <c r="C864" s="37" t="str">
        <f>IF([3]道具信息!C864="","",[3]道具信息!C864)</f>
        <v/>
      </c>
      <c r="D864" s="37" t="str">
        <f>IF([3]道具信息!D864="","",[3]道具信息!D864)</f>
        <v/>
      </c>
      <c r="E864" s="37" t="str">
        <f>IF([3]道具信息!E864="","",[3]道具信息!E864)</f>
        <v/>
      </c>
      <c r="F864" s="37" t="str">
        <f>IF([3]道具信息!F864="","",[3]道具信息!F864)</f>
        <v/>
      </c>
      <c r="G864" s="37" t="str">
        <f>IF([3]道具信息!G864="","",[3]道具信息!G864)</f>
        <v/>
      </c>
      <c r="H864" s="37" t="str">
        <f>IF([3]道具信息!H864="","",[3]道具信息!H864)</f>
        <v/>
      </c>
      <c r="I864" s="37" t="str">
        <f>IF([3]道具信息!I864="","",[3]道具信息!I864)</f>
        <v/>
      </c>
      <c r="J864" s="37" t="str">
        <f>IF([3]道具信息!J864="","",[3]道具信息!J864)</f>
        <v/>
      </c>
      <c r="K864" s="37" t="str">
        <f>IF([3]道具信息!K864="","",[3]道具信息!K864)</f>
        <v/>
      </c>
      <c r="L864" s="37" t="str">
        <f>IF([3]道具信息!L864="","",[3]道具信息!L864)</f>
        <v/>
      </c>
      <c r="M864" s="37" t="str">
        <f>IF([3]道具信息!M864="","",[3]道具信息!M864)</f>
        <v/>
      </c>
      <c r="N864" s="37"/>
      <c r="O864" s="37" t="str">
        <f>IF([3]道具信息!O864="","",[3]道具信息!O864)</f>
        <v/>
      </c>
      <c r="P864" s="37" t="str">
        <f>IF([3]道具信息!P864="","",[3]道具信息!P864)</f>
        <v/>
      </c>
      <c r="Q864" s="37" t="str">
        <f>IF([3]道具信息!Q864="","",[3]道具信息!Q864)</f>
        <v/>
      </c>
    </row>
    <row r="865" spans="3:17" x14ac:dyDescent="0.15">
      <c r="C865" s="37" t="str">
        <f>IF([3]道具信息!C865="","",[3]道具信息!C865)</f>
        <v/>
      </c>
      <c r="D865" s="37" t="str">
        <f>IF([3]道具信息!D865="","",[3]道具信息!D865)</f>
        <v/>
      </c>
      <c r="E865" s="37" t="str">
        <f>IF([3]道具信息!E865="","",[3]道具信息!E865)</f>
        <v/>
      </c>
      <c r="F865" s="37" t="str">
        <f>IF([3]道具信息!F865="","",[3]道具信息!F865)</f>
        <v/>
      </c>
      <c r="G865" s="37" t="str">
        <f>IF([3]道具信息!G865="","",[3]道具信息!G865)</f>
        <v/>
      </c>
      <c r="H865" s="37" t="str">
        <f>IF([3]道具信息!H865="","",[3]道具信息!H865)</f>
        <v/>
      </c>
      <c r="I865" s="37" t="str">
        <f>IF([3]道具信息!I865="","",[3]道具信息!I865)</f>
        <v/>
      </c>
      <c r="J865" s="37" t="str">
        <f>IF([3]道具信息!J865="","",[3]道具信息!J865)</f>
        <v/>
      </c>
      <c r="K865" s="37" t="str">
        <f>IF([3]道具信息!K865="","",[3]道具信息!K865)</f>
        <v/>
      </c>
      <c r="L865" s="37" t="str">
        <f>IF([3]道具信息!L865="","",[3]道具信息!L865)</f>
        <v/>
      </c>
      <c r="M865" s="37" t="str">
        <f>IF([3]道具信息!M865="","",[3]道具信息!M865)</f>
        <v/>
      </c>
      <c r="N865" s="37"/>
      <c r="O865" s="37" t="str">
        <f>IF([3]道具信息!O865="","",[3]道具信息!O865)</f>
        <v/>
      </c>
      <c r="P865" s="37" t="str">
        <f>IF([3]道具信息!P865="","",[3]道具信息!P865)</f>
        <v/>
      </c>
      <c r="Q865" s="37" t="str">
        <f>IF([3]道具信息!Q865="","",[3]道具信息!Q865)</f>
        <v/>
      </c>
    </row>
    <row r="866" spans="3:17" x14ac:dyDescent="0.15">
      <c r="C866" s="37" t="str">
        <f>IF([3]道具信息!C866="","",[3]道具信息!C866)</f>
        <v/>
      </c>
      <c r="D866" s="37" t="str">
        <f>IF([3]道具信息!D866="","",[3]道具信息!D866)</f>
        <v/>
      </c>
      <c r="E866" s="37" t="str">
        <f>IF([3]道具信息!E866="","",[3]道具信息!E866)</f>
        <v/>
      </c>
      <c r="F866" s="37" t="str">
        <f>IF([3]道具信息!F866="","",[3]道具信息!F866)</f>
        <v/>
      </c>
      <c r="G866" s="37" t="str">
        <f>IF([3]道具信息!G866="","",[3]道具信息!G866)</f>
        <v/>
      </c>
      <c r="H866" s="37" t="str">
        <f>IF([3]道具信息!H866="","",[3]道具信息!H866)</f>
        <v/>
      </c>
      <c r="I866" s="37" t="str">
        <f>IF([3]道具信息!I866="","",[3]道具信息!I866)</f>
        <v/>
      </c>
      <c r="J866" s="37" t="str">
        <f>IF([3]道具信息!J866="","",[3]道具信息!J866)</f>
        <v/>
      </c>
      <c r="K866" s="37" t="str">
        <f>IF([3]道具信息!K866="","",[3]道具信息!K866)</f>
        <v/>
      </c>
      <c r="L866" s="37" t="str">
        <f>IF([3]道具信息!L866="","",[3]道具信息!L866)</f>
        <v/>
      </c>
      <c r="M866" s="37" t="str">
        <f>IF([3]道具信息!M866="","",[3]道具信息!M866)</f>
        <v/>
      </c>
      <c r="N866" s="37"/>
      <c r="O866" s="37" t="str">
        <f>IF([3]道具信息!O866="","",[3]道具信息!O866)</f>
        <v/>
      </c>
      <c r="P866" s="37" t="str">
        <f>IF([3]道具信息!P866="","",[3]道具信息!P866)</f>
        <v/>
      </c>
      <c r="Q866" s="37" t="str">
        <f>IF([3]道具信息!Q866="","",[3]道具信息!Q866)</f>
        <v/>
      </c>
    </row>
    <row r="867" spans="3:17" x14ac:dyDescent="0.15">
      <c r="C867" s="37" t="str">
        <f>IF([3]道具信息!C867="","",[3]道具信息!C867)</f>
        <v/>
      </c>
      <c r="D867" s="37" t="str">
        <f>IF([3]道具信息!D867="","",[3]道具信息!D867)</f>
        <v/>
      </c>
      <c r="E867" s="37" t="str">
        <f>IF([3]道具信息!E867="","",[3]道具信息!E867)</f>
        <v/>
      </c>
      <c r="F867" s="37" t="str">
        <f>IF([3]道具信息!F867="","",[3]道具信息!F867)</f>
        <v/>
      </c>
      <c r="G867" s="37" t="str">
        <f>IF([3]道具信息!G867="","",[3]道具信息!G867)</f>
        <v/>
      </c>
      <c r="H867" s="37" t="str">
        <f>IF([3]道具信息!H867="","",[3]道具信息!H867)</f>
        <v/>
      </c>
      <c r="I867" s="37" t="str">
        <f>IF([3]道具信息!I867="","",[3]道具信息!I867)</f>
        <v/>
      </c>
      <c r="J867" s="37" t="str">
        <f>IF([3]道具信息!J867="","",[3]道具信息!J867)</f>
        <v/>
      </c>
      <c r="K867" s="37" t="str">
        <f>IF([3]道具信息!K867="","",[3]道具信息!K867)</f>
        <v/>
      </c>
      <c r="L867" s="37" t="str">
        <f>IF([3]道具信息!L867="","",[3]道具信息!L867)</f>
        <v/>
      </c>
      <c r="M867" s="37" t="str">
        <f>IF([3]道具信息!M867="","",[3]道具信息!M867)</f>
        <v/>
      </c>
      <c r="N867" s="37"/>
      <c r="O867" s="37" t="str">
        <f>IF([3]道具信息!O867="","",[3]道具信息!O867)</f>
        <v/>
      </c>
      <c r="P867" s="37" t="str">
        <f>IF([3]道具信息!P867="","",[3]道具信息!P867)</f>
        <v/>
      </c>
      <c r="Q867" s="37" t="str">
        <f>IF([3]道具信息!Q867="","",[3]道具信息!Q867)</f>
        <v/>
      </c>
    </row>
    <row r="868" spans="3:17" x14ac:dyDescent="0.15">
      <c r="C868" s="37" t="str">
        <f>IF([3]道具信息!C868="","",[3]道具信息!C868)</f>
        <v/>
      </c>
      <c r="D868" s="37" t="str">
        <f>IF([3]道具信息!D868="","",[3]道具信息!D868)</f>
        <v/>
      </c>
      <c r="E868" s="37" t="str">
        <f>IF([3]道具信息!E868="","",[3]道具信息!E868)</f>
        <v/>
      </c>
      <c r="F868" s="37" t="str">
        <f>IF([3]道具信息!F868="","",[3]道具信息!F868)</f>
        <v/>
      </c>
      <c r="G868" s="37" t="str">
        <f>IF([3]道具信息!G868="","",[3]道具信息!G868)</f>
        <v/>
      </c>
      <c r="H868" s="37" t="str">
        <f>IF([3]道具信息!H868="","",[3]道具信息!H868)</f>
        <v/>
      </c>
      <c r="I868" s="37" t="str">
        <f>IF([3]道具信息!I868="","",[3]道具信息!I868)</f>
        <v/>
      </c>
      <c r="J868" s="37" t="str">
        <f>IF([3]道具信息!J868="","",[3]道具信息!J868)</f>
        <v/>
      </c>
      <c r="K868" s="37" t="str">
        <f>IF([3]道具信息!K868="","",[3]道具信息!K868)</f>
        <v/>
      </c>
      <c r="L868" s="37" t="str">
        <f>IF([3]道具信息!L868="","",[3]道具信息!L868)</f>
        <v/>
      </c>
      <c r="M868" s="37" t="str">
        <f>IF([3]道具信息!M868="","",[3]道具信息!M868)</f>
        <v/>
      </c>
      <c r="N868" s="37"/>
      <c r="O868" s="37" t="str">
        <f>IF([3]道具信息!O868="","",[3]道具信息!O868)</f>
        <v/>
      </c>
      <c r="P868" s="37" t="str">
        <f>IF([3]道具信息!P868="","",[3]道具信息!P868)</f>
        <v/>
      </c>
      <c r="Q868" s="37" t="str">
        <f>IF([3]道具信息!Q868="","",[3]道具信息!Q868)</f>
        <v/>
      </c>
    </row>
    <row r="869" spans="3:17" x14ac:dyDescent="0.15">
      <c r="C869" s="37" t="str">
        <f>IF([3]道具信息!C869="","",[3]道具信息!C869)</f>
        <v/>
      </c>
      <c r="D869" s="37" t="str">
        <f>IF([3]道具信息!D869="","",[3]道具信息!D869)</f>
        <v/>
      </c>
      <c r="E869" s="37" t="str">
        <f>IF([3]道具信息!E869="","",[3]道具信息!E869)</f>
        <v/>
      </c>
      <c r="F869" s="37" t="str">
        <f>IF([3]道具信息!F869="","",[3]道具信息!F869)</f>
        <v/>
      </c>
      <c r="G869" s="37" t="str">
        <f>IF([3]道具信息!G869="","",[3]道具信息!G869)</f>
        <v/>
      </c>
      <c r="H869" s="37" t="str">
        <f>IF([3]道具信息!H869="","",[3]道具信息!H869)</f>
        <v/>
      </c>
      <c r="I869" s="37" t="str">
        <f>IF([3]道具信息!I869="","",[3]道具信息!I869)</f>
        <v/>
      </c>
      <c r="J869" s="37" t="str">
        <f>IF([3]道具信息!J869="","",[3]道具信息!J869)</f>
        <v/>
      </c>
      <c r="K869" s="37" t="str">
        <f>IF([3]道具信息!K869="","",[3]道具信息!K869)</f>
        <v/>
      </c>
      <c r="L869" s="37" t="str">
        <f>IF([3]道具信息!L869="","",[3]道具信息!L869)</f>
        <v/>
      </c>
      <c r="M869" s="37" t="str">
        <f>IF([3]道具信息!M869="","",[3]道具信息!M869)</f>
        <v/>
      </c>
      <c r="N869" s="37"/>
      <c r="O869" s="37" t="str">
        <f>IF([3]道具信息!O869="","",[3]道具信息!O869)</f>
        <v/>
      </c>
      <c r="P869" s="37" t="str">
        <f>IF([3]道具信息!P869="","",[3]道具信息!P869)</f>
        <v/>
      </c>
      <c r="Q869" s="37" t="str">
        <f>IF([3]道具信息!Q869="","",[3]道具信息!Q869)</f>
        <v/>
      </c>
    </row>
    <row r="870" spans="3:17" x14ac:dyDescent="0.15">
      <c r="C870" s="37" t="str">
        <f>IF([3]道具信息!C870="","",[3]道具信息!C870)</f>
        <v/>
      </c>
      <c r="D870" s="37" t="str">
        <f>IF([3]道具信息!D870="","",[3]道具信息!D870)</f>
        <v/>
      </c>
      <c r="E870" s="37" t="str">
        <f>IF([3]道具信息!E870="","",[3]道具信息!E870)</f>
        <v/>
      </c>
      <c r="F870" s="37" t="str">
        <f>IF([3]道具信息!F870="","",[3]道具信息!F870)</f>
        <v/>
      </c>
      <c r="G870" s="37" t="str">
        <f>IF([3]道具信息!G870="","",[3]道具信息!G870)</f>
        <v/>
      </c>
      <c r="H870" s="37" t="str">
        <f>IF([3]道具信息!H870="","",[3]道具信息!H870)</f>
        <v/>
      </c>
      <c r="I870" s="37" t="str">
        <f>IF([3]道具信息!I870="","",[3]道具信息!I870)</f>
        <v/>
      </c>
      <c r="J870" s="37" t="str">
        <f>IF([3]道具信息!J870="","",[3]道具信息!J870)</f>
        <v/>
      </c>
      <c r="K870" s="37" t="str">
        <f>IF([3]道具信息!K870="","",[3]道具信息!K870)</f>
        <v/>
      </c>
      <c r="L870" s="37" t="str">
        <f>IF([3]道具信息!L870="","",[3]道具信息!L870)</f>
        <v/>
      </c>
      <c r="M870" s="37" t="str">
        <f>IF([3]道具信息!M870="","",[3]道具信息!M870)</f>
        <v/>
      </c>
      <c r="N870" s="37"/>
      <c r="O870" s="37" t="str">
        <f>IF([3]道具信息!O870="","",[3]道具信息!O870)</f>
        <v/>
      </c>
      <c r="P870" s="37" t="str">
        <f>IF([3]道具信息!P870="","",[3]道具信息!P870)</f>
        <v/>
      </c>
      <c r="Q870" s="37" t="str">
        <f>IF([3]道具信息!Q870="","",[3]道具信息!Q870)</f>
        <v/>
      </c>
    </row>
    <row r="871" spans="3:17" x14ac:dyDescent="0.15">
      <c r="C871" s="37" t="str">
        <f>IF([3]道具信息!C871="","",[3]道具信息!C871)</f>
        <v/>
      </c>
      <c r="D871" s="37" t="str">
        <f>IF([3]道具信息!D871="","",[3]道具信息!D871)</f>
        <v/>
      </c>
      <c r="E871" s="37" t="str">
        <f>IF([3]道具信息!E871="","",[3]道具信息!E871)</f>
        <v/>
      </c>
      <c r="F871" s="37" t="str">
        <f>IF([3]道具信息!F871="","",[3]道具信息!F871)</f>
        <v/>
      </c>
      <c r="G871" s="37" t="str">
        <f>IF([3]道具信息!G871="","",[3]道具信息!G871)</f>
        <v/>
      </c>
      <c r="H871" s="37" t="str">
        <f>IF([3]道具信息!H871="","",[3]道具信息!H871)</f>
        <v/>
      </c>
      <c r="I871" s="37" t="str">
        <f>IF([3]道具信息!I871="","",[3]道具信息!I871)</f>
        <v/>
      </c>
      <c r="J871" s="37" t="str">
        <f>IF([3]道具信息!J871="","",[3]道具信息!J871)</f>
        <v/>
      </c>
      <c r="K871" s="37" t="str">
        <f>IF([3]道具信息!K871="","",[3]道具信息!K871)</f>
        <v/>
      </c>
      <c r="L871" s="37" t="str">
        <f>IF([3]道具信息!L871="","",[3]道具信息!L871)</f>
        <v/>
      </c>
      <c r="M871" s="37" t="str">
        <f>IF([3]道具信息!M871="","",[3]道具信息!M871)</f>
        <v/>
      </c>
      <c r="N871" s="37"/>
      <c r="O871" s="37" t="str">
        <f>IF([3]道具信息!O871="","",[3]道具信息!O871)</f>
        <v/>
      </c>
      <c r="P871" s="37" t="str">
        <f>IF([3]道具信息!P871="","",[3]道具信息!P871)</f>
        <v/>
      </c>
      <c r="Q871" s="37" t="str">
        <f>IF([3]道具信息!Q871="","",[3]道具信息!Q871)</f>
        <v/>
      </c>
    </row>
    <row r="872" spans="3:17" x14ac:dyDescent="0.15">
      <c r="C872" s="37" t="str">
        <f>IF([3]道具信息!C872="","",[3]道具信息!C872)</f>
        <v/>
      </c>
      <c r="D872" s="37" t="str">
        <f>IF([3]道具信息!D872="","",[3]道具信息!D872)</f>
        <v/>
      </c>
      <c r="E872" s="37" t="str">
        <f>IF([3]道具信息!E872="","",[3]道具信息!E872)</f>
        <v/>
      </c>
      <c r="F872" s="37" t="str">
        <f>IF([3]道具信息!F872="","",[3]道具信息!F872)</f>
        <v/>
      </c>
      <c r="G872" s="37" t="str">
        <f>IF([3]道具信息!G872="","",[3]道具信息!G872)</f>
        <v/>
      </c>
      <c r="H872" s="37" t="str">
        <f>IF([3]道具信息!H872="","",[3]道具信息!H872)</f>
        <v/>
      </c>
      <c r="I872" s="37" t="str">
        <f>IF([3]道具信息!I872="","",[3]道具信息!I872)</f>
        <v/>
      </c>
      <c r="J872" s="37" t="str">
        <f>IF([3]道具信息!J872="","",[3]道具信息!J872)</f>
        <v/>
      </c>
      <c r="K872" s="37" t="str">
        <f>IF([3]道具信息!K872="","",[3]道具信息!K872)</f>
        <v/>
      </c>
      <c r="L872" s="37" t="str">
        <f>IF([3]道具信息!L872="","",[3]道具信息!L872)</f>
        <v/>
      </c>
      <c r="M872" s="37" t="str">
        <f>IF([3]道具信息!M872="","",[3]道具信息!M872)</f>
        <v/>
      </c>
      <c r="N872" s="37"/>
      <c r="O872" s="37" t="str">
        <f>IF([3]道具信息!O872="","",[3]道具信息!O872)</f>
        <v/>
      </c>
      <c r="P872" s="37" t="str">
        <f>IF([3]道具信息!P872="","",[3]道具信息!P872)</f>
        <v/>
      </c>
      <c r="Q872" s="37" t="str">
        <f>IF([3]道具信息!Q872="","",[3]道具信息!Q872)</f>
        <v/>
      </c>
    </row>
    <row r="873" spans="3:17" x14ac:dyDescent="0.15">
      <c r="C873" s="37" t="str">
        <f>IF([3]道具信息!C873="","",[3]道具信息!C873)</f>
        <v/>
      </c>
      <c r="D873" s="37" t="str">
        <f>IF([3]道具信息!D873="","",[3]道具信息!D873)</f>
        <v/>
      </c>
      <c r="E873" s="37" t="str">
        <f>IF([3]道具信息!E873="","",[3]道具信息!E873)</f>
        <v/>
      </c>
      <c r="F873" s="37" t="str">
        <f>IF([3]道具信息!F873="","",[3]道具信息!F873)</f>
        <v/>
      </c>
      <c r="G873" s="37" t="str">
        <f>IF([3]道具信息!G873="","",[3]道具信息!G873)</f>
        <v/>
      </c>
      <c r="H873" s="37" t="str">
        <f>IF([3]道具信息!H873="","",[3]道具信息!H873)</f>
        <v/>
      </c>
      <c r="I873" s="37" t="str">
        <f>IF([3]道具信息!I873="","",[3]道具信息!I873)</f>
        <v/>
      </c>
      <c r="J873" s="37" t="str">
        <f>IF([3]道具信息!J873="","",[3]道具信息!J873)</f>
        <v/>
      </c>
      <c r="K873" s="37" t="str">
        <f>IF([3]道具信息!K873="","",[3]道具信息!K873)</f>
        <v/>
      </c>
      <c r="L873" s="37" t="str">
        <f>IF([3]道具信息!L873="","",[3]道具信息!L873)</f>
        <v/>
      </c>
      <c r="M873" s="37" t="str">
        <f>IF([3]道具信息!M873="","",[3]道具信息!M873)</f>
        <v/>
      </c>
      <c r="N873" s="37"/>
      <c r="O873" s="37" t="str">
        <f>IF([3]道具信息!O873="","",[3]道具信息!O873)</f>
        <v/>
      </c>
      <c r="P873" s="37" t="str">
        <f>IF([3]道具信息!P873="","",[3]道具信息!P873)</f>
        <v/>
      </c>
      <c r="Q873" s="37" t="str">
        <f>IF([3]道具信息!Q873="","",[3]道具信息!Q873)</f>
        <v/>
      </c>
    </row>
    <row r="874" spans="3:17" x14ac:dyDescent="0.15">
      <c r="C874" s="37" t="str">
        <f>IF([3]道具信息!C874="","",[3]道具信息!C874)</f>
        <v/>
      </c>
      <c r="D874" s="37" t="str">
        <f>IF([3]道具信息!D874="","",[3]道具信息!D874)</f>
        <v/>
      </c>
      <c r="E874" s="37" t="str">
        <f>IF([3]道具信息!E874="","",[3]道具信息!E874)</f>
        <v/>
      </c>
      <c r="F874" s="37" t="str">
        <f>IF([3]道具信息!F874="","",[3]道具信息!F874)</f>
        <v/>
      </c>
      <c r="G874" s="37" t="str">
        <f>IF([3]道具信息!G874="","",[3]道具信息!G874)</f>
        <v/>
      </c>
      <c r="H874" s="37" t="str">
        <f>IF([3]道具信息!H874="","",[3]道具信息!H874)</f>
        <v/>
      </c>
      <c r="I874" s="37" t="str">
        <f>IF([3]道具信息!I874="","",[3]道具信息!I874)</f>
        <v/>
      </c>
      <c r="J874" s="37" t="str">
        <f>IF([3]道具信息!J874="","",[3]道具信息!J874)</f>
        <v/>
      </c>
      <c r="K874" s="37" t="str">
        <f>IF([3]道具信息!K874="","",[3]道具信息!K874)</f>
        <v/>
      </c>
      <c r="L874" s="37" t="str">
        <f>IF([3]道具信息!L874="","",[3]道具信息!L874)</f>
        <v/>
      </c>
      <c r="M874" s="37" t="str">
        <f>IF([3]道具信息!M874="","",[3]道具信息!M874)</f>
        <v/>
      </c>
      <c r="N874" s="37"/>
      <c r="O874" s="37" t="str">
        <f>IF([3]道具信息!O874="","",[3]道具信息!O874)</f>
        <v/>
      </c>
      <c r="P874" s="37" t="str">
        <f>IF([3]道具信息!P874="","",[3]道具信息!P874)</f>
        <v/>
      </c>
      <c r="Q874" s="37" t="str">
        <f>IF([3]道具信息!Q874="","",[3]道具信息!Q874)</f>
        <v/>
      </c>
    </row>
    <row r="875" spans="3:17" x14ac:dyDescent="0.15">
      <c r="C875" s="37" t="str">
        <f>IF([3]道具信息!C875="","",[3]道具信息!C875)</f>
        <v/>
      </c>
      <c r="D875" s="37" t="str">
        <f>IF([3]道具信息!D875="","",[3]道具信息!D875)</f>
        <v/>
      </c>
      <c r="E875" s="37" t="str">
        <f>IF([3]道具信息!E875="","",[3]道具信息!E875)</f>
        <v/>
      </c>
      <c r="F875" s="37" t="str">
        <f>IF([3]道具信息!F875="","",[3]道具信息!F875)</f>
        <v/>
      </c>
      <c r="G875" s="37" t="str">
        <f>IF([3]道具信息!G875="","",[3]道具信息!G875)</f>
        <v/>
      </c>
      <c r="H875" s="37" t="str">
        <f>IF([3]道具信息!H875="","",[3]道具信息!H875)</f>
        <v/>
      </c>
      <c r="I875" s="37" t="str">
        <f>IF([3]道具信息!I875="","",[3]道具信息!I875)</f>
        <v/>
      </c>
      <c r="J875" s="37" t="str">
        <f>IF([3]道具信息!J875="","",[3]道具信息!J875)</f>
        <v/>
      </c>
      <c r="K875" s="37" t="str">
        <f>IF([3]道具信息!K875="","",[3]道具信息!K875)</f>
        <v/>
      </c>
      <c r="L875" s="37" t="str">
        <f>IF([3]道具信息!L875="","",[3]道具信息!L875)</f>
        <v/>
      </c>
      <c r="M875" s="37" t="str">
        <f>IF([3]道具信息!M875="","",[3]道具信息!M875)</f>
        <v/>
      </c>
      <c r="N875" s="37"/>
      <c r="O875" s="37" t="str">
        <f>IF([3]道具信息!O875="","",[3]道具信息!O875)</f>
        <v/>
      </c>
      <c r="P875" s="37" t="str">
        <f>IF([3]道具信息!P875="","",[3]道具信息!P875)</f>
        <v/>
      </c>
      <c r="Q875" s="37" t="str">
        <f>IF([3]道具信息!Q875="","",[3]道具信息!Q875)</f>
        <v/>
      </c>
    </row>
    <row r="876" spans="3:17" x14ac:dyDescent="0.15">
      <c r="C876" s="37" t="str">
        <f>IF([3]道具信息!C876="","",[3]道具信息!C876)</f>
        <v/>
      </c>
      <c r="D876" s="37" t="str">
        <f>IF([3]道具信息!D876="","",[3]道具信息!D876)</f>
        <v/>
      </c>
      <c r="E876" s="37" t="str">
        <f>IF([3]道具信息!E876="","",[3]道具信息!E876)</f>
        <v/>
      </c>
      <c r="F876" s="37" t="str">
        <f>IF([3]道具信息!F876="","",[3]道具信息!F876)</f>
        <v/>
      </c>
      <c r="G876" s="37" t="str">
        <f>IF([3]道具信息!G876="","",[3]道具信息!G876)</f>
        <v/>
      </c>
      <c r="H876" s="37" t="str">
        <f>IF([3]道具信息!H876="","",[3]道具信息!H876)</f>
        <v/>
      </c>
      <c r="I876" s="37" t="str">
        <f>IF([3]道具信息!I876="","",[3]道具信息!I876)</f>
        <v/>
      </c>
      <c r="J876" s="37" t="str">
        <f>IF([3]道具信息!J876="","",[3]道具信息!J876)</f>
        <v/>
      </c>
      <c r="K876" s="37" t="str">
        <f>IF([3]道具信息!K876="","",[3]道具信息!K876)</f>
        <v/>
      </c>
      <c r="L876" s="37" t="str">
        <f>IF([3]道具信息!L876="","",[3]道具信息!L876)</f>
        <v/>
      </c>
      <c r="M876" s="37" t="str">
        <f>IF([3]道具信息!M876="","",[3]道具信息!M876)</f>
        <v/>
      </c>
      <c r="N876" s="37"/>
      <c r="O876" s="37" t="str">
        <f>IF([3]道具信息!O876="","",[3]道具信息!O876)</f>
        <v/>
      </c>
      <c r="P876" s="37" t="str">
        <f>IF([3]道具信息!P876="","",[3]道具信息!P876)</f>
        <v/>
      </c>
      <c r="Q876" s="37" t="str">
        <f>IF([3]道具信息!Q876="","",[3]道具信息!Q876)</f>
        <v/>
      </c>
    </row>
    <row r="877" spans="3:17" x14ac:dyDescent="0.15">
      <c r="C877" s="37" t="str">
        <f>IF([3]道具信息!C877="","",[3]道具信息!C877)</f>
        <v/>
      </c>
      <c r="D877" s="37" t="str">
        <f>IF([3]道具信息!D877="","",[3]道具信息!D877)</f>
        <v/>
      </c>
      <c r="E877" s="37" t="str">
        <f>IF([3]道具信息!E877="","",[3]道具信息!E877)</f>
        <v/>
      </c>
      <c r="F877" s="37" t="str">
        <f>IF([3]道具信息!F877="","",[3]道具信息!F877)</f>
        <v/>
      </c>
      <c r="G877" s="37" t="str">
        <f>IF([3]道具信息!G877="","",[3]道具信息!G877)</f>
        <v/>
      </c>
      <c r="H877" s="37" t="str">
        <f>IF([3]道具信息!H877="","",[3]道具信息!H877)</f>
        <v/>
      </c>
      <c r="I877" s="37" t="str">
        <f>IF([3]道具信息!I877="","",[3]道具信息!I877)</f>
        <v/>
      </c>
      <c r="J877" s="37" t="str">
        <f>IF([3]道具信息!J877="","",[3]道具信息!J877)</f>
        <v/>
      </c>
      <c r="K877" s="37" t="str">
        <f>IF([3]道具信息!K877="","",[3]道具信息!K877)</f>
        <v/>
      </c>
      <c r="L877" s="37" t="str">
        <f>IF([3]道具信息!L877="","",[3]道具信息!L877)</f>
        <v/>
      </c>
      <c r="M877" s="37" t="str">
        <f>IF([3]道具信息!M877="","",[3]道具信息!M877)</f>
        <v/>
      </c>
      <c r="N877" s="37"/>
      <c r="O877" s="37" t="str">
        <f>IF([3]道具信息!O877="","",[3]道具信息!O877)</f>
        <v/>
      </c>
      <c r="P877" s="37" t="str">
        <f>IF([3]道具信息!P877="","",[3]道具信息!P877)</f>
        <v/>
      </c>
      <c r="Q877" s="37" t="str">
        <f>IF([3]道具信息!Q877="","",[3]道具信息!Q877)</f>
        <v/>
      </c>
    </row>
    <row r="878" spans="3:17" x14ac:dyDescent="0.15">
      <c r="C878" s="37" t="str">
        <f>IF([3]道具信息!C878="","",[3]道具信息!C878)</f>
        <v/>
      </c>
      <c r="D878" s="37" t="str">
        <f>IF([3]道具信息!D878="","",[3]道具信息!D878)</f>
        <v/>
      </c>
      <c r="E878" s="37" t="str">
        <f>IF([3]道具信息!E878="","",[3]道具信息!E878)</f>
        <v/>
      </c>
      <c r="F878" s="37" t="str">
        <f>IF([3]道具信息!F878="","",[3]道具信息!F878)</f>
        <v/>
      </c>
      <c r="G878" s="37" t="str">
        <f>IF([3]道具信息!G878="","",[3]道具信息!G878)</f>
        <v/>
      </c>
      <c r="H878" s="37" t="str">
        <f>IF([3]道具信息!H878="","",[3]道具信息!H878)</f>
        <v/>
      </c>
      <c r="I878" s="37" t="str">
        <f>IF([3]道具信息!I878="","",[3]道具信息!I878)</f>
        <v/>
      </c>
      <c r="J878" s="37" t="str">
        <f>IF([3]道具信息!J878="","",[3]道具信息!J878)</f>
        <v/>
      </c>
      <c r="K878" s="37" t="str">
        <f>IF([3]道具信息!K878="","",[3]道具信息!K878)</f>
        <v/>
      </c>
      <c r="L878" s="37" t="str">
        <f>IF([3]道具信息!L878="","",[3]道具信息!L878)</f>
        <v/>
      </c>
      <c r="M878" s="37" t="str">
        <f>IF([3]道具信息!M878="","",[3]道具信息!M878)</f>
        <v/>
      </c>
      <c r="N878" s="37"/>
      <c r="O878" s="37" t="str">
        <f>IF([3]道具信息!O878="","",[3]道具信息!O878)</f>
        <v/>
      </c>
      <c r="P878" s="37" t="str">
        <f>IF([3]道具信息!P878="","",[3]道具信息!P878)</f>
        <v/>
      </c>
      <c r="Q878" s="37" t="str">
        <f>IF([3]道具信息!Q878="","",[3]道具信息!Q878)</f>
        <v/>
      </c>
    </row>
    <row r="879" spans="3:17" x14ac:dyDescent="0.15">
      <c r="C879" s="37" t="str">
        <f>IF([3]道具信息!C879="","",[3]道具信息!C879)</f>
        <v/>
      </c>
      <c r="D879" s="37" t="str">
        <f>IF([3]道具信息!D879="","",[3]道具信息!D879)</f>
        <v/>
      </c>
      <c r="E879" s="37" t="str">
        <f>IF([3]道具信息!E879="","",[3]道具信息!E879)</f>
        <v/>
      </c>
      <c r="F879" s="37" t="str">
        <f>IF([3]道具信息!F879="","",[3]道具信息!F879)</f>
        <v/>
      </c>
      <c r="G879" s="37" t="str">
        <f>IF([3]道具信息!G879="","",[3]道具信息!G879)</f>
        <v/>
      </c>
      <c r="H879" s="37" t="str">
        <f>IF([3]道具信息!H879="","",[3]道具信息!H879)</f>
        <v/>
      </c>
      <c r="I879" s="37" t="str">
        <f>IF([3]道具信息!I879="","",[3]道具信息!I879)</f>
        <v/>
      </c>
      <c r="J879" s="37" t="str">
        <f>IF([3]道具信息!J879="","",[3]道具信息!J879)</f>
        <v/>
      </c>
      <c r="K879" s="37" t="str">
        <f>IF([3]道具信息!K879="","",[3]道具信息!K879)</f>
        <v/>
      </c>
      <c r="L879" s="37" t="str">
        <f>IF([3]道具信息!L879="","",[3]道具信息!L879)</f>
        <v/>
      </c>
      <c r="M879" s="37" t="str">
        <f>IF([3]道具信息!M879="","",[3]道具信息!M879)</f>
        <v/>
      </c>
      <c r="N879" s="37"/>
      <c r="O879" s="37" t="str">
        <f>IF([3]道具信息!O879="","",[3]道具信息!O879)</f>
        <v/>
      </c>
      <c r="P879" s="37" t="str">
        <f>IF([3]道具信息!P879="","",[3]道具信息!P879)</f>
        <v/>
      </c>
      <c r="Q879" s="37" t="str">
        <f>IF([3]道具信息!Q879="","",[3]道具信息!Q879)</f>
        <v/>
      </c>
    </row>
    <row r="880" spans="3:17" x14ac:dyDescent="0.15">
      <c r="C880" s="37" t="str">
        <f>IF([3]道具信息!C880="","",[3]道具信息!C880)</f>
        <v/>
      </c>
      <c r="D880" s="37" t="str">
        <f>IF([3]道具信息!D880="","",[3]道具信息!D880)</f>
        <v/>
      </c>
      <c r="E880" s="37" t="str">
        <f>IF([3]道具信息!E880="","",[3]道具信息!E880)</f>
        <v/>
      </c>
      <c r="F880" s="37" t="str">
        <f>IF([3]道具信息!F880="","",[3]道具信息!F880)</f>
        <v/>
      </c>
      <c r="G880" s="37" t="str">
        <f>IF([3]道具信息!G880="","",[3]道具信息!G880)</f>
        <v/>
      </c>
      <c r="H880" s="37" t="str">
        <f>IF([3]道具信息!H880="","",[3]道具信息!H880)</f>
        <v/>
      </c>
      <c r="I880" s="37" t="str">
        <f>IF([3]道具信息!I880="","",[3]道具信息!I880)</f>
        <v/>
      </c>
      <c r="J880" s="37" t="str">
        <f>IF([3]道具信息!J880="","",[3]道具信息!J880)</f>
        <v/>
      </c>
      <c r="K880" s="37" t="str">
        <f>IF([3]道具信息!K880="","",[3]道具信息!K880)</f>
        <v/>
      </c>
      <c r="L880" s="37" t="str">
        <f>IF([3]道具信息!L880="","",[3]道具信息!L880)</f>
        <v/>
      </c>
      <c r="M880" s="37" t="str">
        <f>IF([3]道具信息!M880="","",[3]道具信息!M880)</f>
        <v/>
      </c>
      <c r="N880" s="37"/>
      <c r="O880" s="37" t="str">
        <f>IF([3]道具信息!O880="","",[3]道具信息!O880)</f>
        <v/>
      </c>
      <c r="P880" s="37" t="str">
        <f>IF([3]道具信息!P880="","",[3]道具信息!P880)</f>
        <v/>
      </c>
      <c r="Q880" s="37" t="str">
        <f>IF([3]道具信息!Q880="","",[3]道具信息!Q880)</f>
        <v/>
      </c>
    </row>
    <row r="881" spans="3:17" x14ac:dyDescent="0.15">
      <c r="C881" s="37" t="str">
        <f>IF([3]道具信息!C881="","",[3]道具信息!C881)</f>
        <v/>
      </c>
      <c r="D881" s="37" t="str">
        <f>IF([3]道具信息!D881="","",[3]道具信息!D881)</f>
        <v/>
      </c>
      <c r="E881" s="37" t="str">
        <f>IF([3]道具信息!E881="","",[3]道具信息!E881)</f>
        <v/>
      </c>
      <c r="F881" s="37" t="str">
        <f>IF([3]道具信息!F881="","",[3]道具信息!F881)</f>
        <v/>
      </c>
      <c r="G881" s="37" t="str">
        <f>IF([3]道具信息!G881="","",[3]道具信息!G881)</f>
        <v/>
      </c>
      <c r="H881" s="37" t="str">
        <f>IF([3]道具信息!H881="","",[3]道具信息!H881)</f>
        <v/>
      </c>
      <c r="I881" s="37" t="str">
        <f>IF([3]道具信息!I881="","",[3]道具信息!I881)</f>
        <v/>
      </c>
      <c r="J881" s="37" t="str">
        <f>IF([3]道具信息!J881="","",[3]道具信息!J881)</f>
        <v/>
      </c>
      <c r="K881" s="37" t="str">
        <f>IF([3]道具信息!K881="","",[3]道具信息!K881)</f>
        <v/>
      </c>
      <c r="L881" s="37" t="str">
        <f>IF([3]道具信息!L881="","",[3]道具信息!L881)</f>
        <v/>
      </c>
      <c r="M881" s="37" t="str">
        <f>IF([3]道具信息!M881="","",[3]道具信息!M881)</f>
        <v/>
      </c>
      <c r="N881" s="37"/>
      <c r="O881" s="37" t="str">
        <f>IF([3]道具信息!O881="","",[3]道具信息!O881)</f>
        <v/>
      </c>
      <c r="P881" s="37" t="str">
        <f>IF([3]道具信息!P881="","",[3]道具信息!P881)</f>
        <v/>
      </c>
      <c r="Q881" s="37" t="str">
        <f>IF([3]道具信息!Q881="","",[3]道具信息!Q881)</f>
        <v/>
      </c>
    </row>
    <row r="882" spans="3:17" x14ac:dyDescent="0.15">
      <c r="C882" s="37" t="str">
        <f>IF([3]道具信息!C882="","",[3]道具信息!C882)</f>
        <v/>
      </c>
      <c r="D882" s="37" t="str">
        <f>IF([3]道具信息!D882="","",[3]道具信息!D882)</f>
        <v/>
      </c>
      <c r="E882" s="37" t="str">
        <f>IF([3]道具信息!E882="","",[3]道具信息!E882)</f>
        <v/>
      </c>
      <c r="F882" s="37" t="str">
        <f>IF([3]道具信息!F882="","",[3]道具信息!F882)</f>
        <v/>
      </c>
      <c r="G882" s="37" t="str">
        <f>IF([3]道具信息!G882="","",[3]道具信息!G882)</f>
        <v/>
      </c>
      <c r="H882" s="37" t="str">
        <f>IF([3]道具信息!H882="","",[3]道具信息!H882)</f>
        <v/>
      </c>
      <c r="I882" s="37" t="str">
        <f>IF([3]道具信息!I882="","",[3]道具信息!I882)</f>
        <v/>
      </c>
      <c r="J882" s="37" t="str">
        <f>IF([3]道具信息!J882="","",[3]道具信息!J882)</f>
        <v/>
      </c>
      <c r="K882" s="37" t="str">
        <f>IF([3]道具信息!K882="","",[3]道具信息!K882)</f>
        <v/>
      </c>
      <c r="L882" s="37" t="str">
        <f>IF([3]道具信息!L882="","",[3]道具信息!L882)</f>
        <v/>
      </c>
      <c r="M882" s="37" t="str">
        <f>IF([3]道具信息!M882="","",[3]道具信息!M882)</f>
        <v/>
      </c>
      <c r="N882" s="37"/>
      <c r="O882" s="37" t="str">
        <f>IF([3]道具信息!O882="","",[3]道具信息!O882)</f>
        <v/>
      </c>
      <c r="P882" s="37" t="str">
        <f>IF([3]道具信息!P882="","",[3]道具信息!P882)</f>
        <v/>
      </c>
      <c r="Q882" s="37" t="str">
        <f>IF([3]道具信息!Q882="","",[3]道具信息!Q882)</f>
        <v/>
      </c>
    </row>
    <row r="883" spans="3:17" x14ac:dyDescent="0.15">
      <c r="C883" s="37" t="str">
        <f>IF([3]道具信息!C883="","",[3]道具信息!C883)</f>
        <v/>
      </c>
      <c r="D883" s="37" t="str">
        <f>IF([3]道具信息!D883="","",[3]道具信息!D883)</f>
        <v/>
      </c>
      <c r="E883" s="37" t="str">
        <f>IF([3]道具信息!E883="","",[3]道具信息!E883)</f>
        <v/>
      </c>
      <c r="F883" s="37" t="str">
        <f>IF([3]道具信息!F883="","",[3]道具信息!F883)</f>
        <v/>
      </c>
      <c r="G883" s="37" t="str">
        <f>IF([3]道具信息!G883="","",[3]道具信息!G883)</f>
        <v/>
      </c>
      <c r="H883" s="37" t="str">
        <f>IF([3]道具信息!H883="","",[3]道具信息!H883)</f>
        <v/>
      </c>
      <c r="I883" s="37" t="str">
        <f>IF([3]道具信息!I883="","",[3]道具信息!I883)</f>
        <v/>
      </c>
      <c r="J883" s="37" t="str">
        <f>IF([3]道具信息!J883="","",[3]道具信息!J883)</f>
        <v/>
      </c>
      <c r="K883" s="37" t="str">
        <f>IF([3]道具信息!K883="","",[3]道具信息!K883)</f>
        <v/>
      </c>
      <c r="L883" s="37" t="str">
        <f>IF([3]道具信息!L883="","",[3]道具信息!L883)</f>
        <v/>
      </c>
      <c r="M883" s="37" t="str">
        <f>IF([3]道具信息!M883="","",[3]道具信息!M883)</f>
        <v/>
      </c>
      <c r="N883" s="37"/>
      <c r="O883" s="37" t="str">
        <f>IF([3]道具信息!O883="","",[3]道具信息!O883)</f>
        <v/>
      </c>
      <c r="P883" s="37" t="str">
        <f>IF([3]道具信息!P883="","",[3]道具信息!P883)</f>
        <v/>
      </c>
      <c r="Q883" s="37" t="str">
        <f>IF([3]道具信息!Q883="","",[3]道具信息!Q883)</f>
        <v/>
      </c>
    </row>
    <row r="884" spans="3:17" x14ac:dyDescent="0.15">
      <c r="C884" s="37" t="str">
        <f>IF([3]道具信息!C884="","",[3]道具信息!C884)</f>
        <v/>
      </c>
      <c r="D884" s="37" t="str">
        <f>IF([3]道具信息!D884="","",[3]道具信息!D884)</f>
        <v/>
      </c>
      <c r="E884" s="37" t="str">
        <f>IF([3]道具信息!E884="","",[3]道具信息!E884)</f>
        <v/>
      </c>
      <c r="F884" s="37" t="str">
        <f>IF([3]道具信息!F884="","",[3]道具信息!F884)</f>
        <v/>
      </c>
      <c r="G884" s="37" t="str">
        <f>IF([3]道具信息!G884="","",[3]道具信息!G884)</f>
        <v/>
      </c>
      <c r="H884" s="37" t="str">
        <f>IF([3]道具信息!H884="","",[3]道具信息!H884)</f>
        <v/>
      </c>
      <c r="I884" s="37" t="str">
        <f>IF([3]道具信息!I884="","",[3]道具信息!I884)</f>
        <v/>
      </c>
      <c r="J884" s="37" t="str">
        <f>IF([3]道具信息!J884="","",[3]道具信息!J884)</f>
        <v/>
      </c>
      <c r="K884" s="37" t="str">
        <f>IF([3]道具信息!K884="","",[3]道具信息!K884)</f>
        <v/>
      </c>
      <c r="L884" s="37" t="str">
        <f>IF([3]道具信息!L884="","",[3]道具信息!L884)</f>
        <v/>
      </c>
      <c r="M884" s="37" t="str">
        <f>IF([3]道具信息!M884="","",[3]道具信息!M884)</f>
        <v/>
      </c>
      <c r="N884" s="37"/>
      <c r="O884" s="37" t="str">
        <f>IF([3]道具信息!O884="","",[3]道具信息!O884)</f>
        <v/>
      </c>
      <c r="P884" s="37" t="str">
        <f>IF([3]道具信息!P884="","",[3]道具信息!P884)</f>
        <v/>
      </c>
      <c r="Q884" s="37" t="str">
        <f>IF([3]道具信息!Q884="","",[3]道具信息!Q884)</f>
        <v/>
      </c>
    </row>
    <row r="885" spans="3:17" x14ac:dyDescent="0.15">
      <c r="C885" s="37" t="str">
        <f>IF([3]道具信息!C885="","",[3]道具信息!C885)</f>
        <v/>
      </c>
      <c r="D885" s="37" t="str">
        <f>IF([3]道具信息!D885="","",[3]道具信息!D885)</f>
        <v/>
      </c>
      <c r="E885" s="37" t="str">
        <f>IF([3]道具信息!E885="","",[3]道具信息!E885)</f>
        <v/>
      </c>
      <c r="F885" s="37" t="str">
        <f>IF([3]道具信息!F885="","",[3]道具信息!F885)</f>
        <v/>
      </c>
      <c r="G885" s="37" t="str">
        <f>IF([3]道具信息!G885="","",[3]道具信息!G885)</f>
        <v/>
      </c>
      <c r="H885" s="37" t="str">
        <f>IF([3]道具信息!H885="","",[3]道具信息!H885)</f>
        <v/>
      </c>
      <c r="I885" s="37" t="str">
        <f>IF([3]道具信息!I885="","",[3]道具信息!I885)</f>
        <v/>
      </c>
      <c r="J885" s="37" t="str">
        <f>IF([3]道具信息!J885="","",[3]道具信息!J885)</f>
        <v/>
      </c>
      <c r="K885" s="37" t="str">
        <f>IF([3]道具信息!K885="","",[3]道具信息!K885)</f>
        <v/>
      </c>
      <c r="L885" s="37" t="str">
        <f>IF([3]道具信息!L885="","",[3]道具信息!L885)</f>
        <v/>
      </c>
      <c r="M885" s="37" t="str">
        <f>IF([3]道具信息!M885="","",[3]道具信息!M885)</f>
        <v/>
      </c>
      <c r="N885" s="37"/>
      <c r="O885" s="37" t="str">
        <f>IF([3]道具信息!O885="","",[3]道具信息!O885)</f>
        <v/>
      </c>
      <c r="P885" s="37" t="str">
        <f>IF([3]道具信息!P885="","",[3]道具信息!P885)</f>
        <v/>
      </c>
      <c r="Q885" s="37" t="str">
        <f>IF([3]道具信息!Q885="","",[3]道具信息!Q885)</f>
        <v/>
      </c>
    </row>
    <row r="886" spans="3:17" x14ac:dyDescent="0.15">
      <c r="C886" s="37" t="str">
        <f>IF([3]道具信息!C886="","",[3]道具信息!C886)</f>
        <v/>
      </c>
      <c r="D886" s="37" t="str">
        <f>IF([3]道具信息!D886="","",[3]道具信息!D886)</f>
        <v/>
      </c>
      <c r="E886" s="37" t="str">
        <f>IF([3]道具信息!E886="","",[3]道具信息!E886)</f>
        <v/>
      </c>
      <c r="F886" s="37" t="str">
        <f>IF([3]道具信息!F886="","",[3]道具信息!F886)</f>
        <v/>
      </c>
      <c r="G886" s="37" t="str">
        <f>IF([3]道具信息!G886="","",[3]道具信息!G886)</f>
        <v/>
      </c>
      <c r="H886" s="37" t="str">
        <f>IF([3]道具信息!H886="","",[3]道具信息!H886)</f>
        <v/>
      </c>
      <c r="I886" s="37" t="str">
        <f>IF([3]道具信息!I886="","",[3]道具信息!I886)</f>
        <v/>
      </c>
      <c r="J886" s="37" t="str">
        <f>IF([3]道具信息!J886="","",[3]道具信息!J886)</f>
        <v/>
      </c>
      <c r="K886" s="37" t="str">
        <f>IF([3]道具信息!K886="","",[3]道具信息!K886)</f>
        <v/>
      </c>
      <c r="L886" s="37" t="str">
        <f>IF([3]道具信息!L886="","",[3]道具信息!L886)</f>
        <v/>
      </c>
      <c r="M886" s="37" t="str">
        <f>IF([3]道具信息!M886="","",[3]道具信息!M886)</f>
        <v/>
      </c>
      <c r="N886" s="37"/>
      <c r="O886" s="37" t="str">
        <f>IF([3]道具信息!O886="","",[3]道具信息!O886)</f>
        <v/>
      </c>
      <c r="P886" s="37" t="str">
        <f>IF([3]道具信息!P886="","",[3]道具信息!P886)</f>
        <v/>
      </c>
      <c r="Q886" s="37" t="str">
        <f>IF([3]道具信息!Q886="","",[3]道具信息!Q886)</f>
        <v/>
      </c>
    </row>
    <row r="887" spans="3:17" x14ac:dyDescent="0.15">
      <c r="C887" s="37" t="str">
        <f>IF([3]道具信息!C887="","",[3]道具信息!C887)</f>
        <v/>
      </c>
      <c r="D887" s="37" t="str">
        <f>IF([3]道具信息!D887="","",[3]道具信息!D887)</f>
        <v/>
      </c>
      <c r="E887" s="37" t="str">
        <f>IF([3]道具信息!E887="","",[3]道具信息!E887)</f>
        <v/>
      </c>
      <c r="F887" s="37" t="str">
        <f>IF([3]道具信息!F887="","",[3]道具信息!F887)</f>
        <v/>
      </c>
      <c r="G887" s="37" t="str">
        <f>IF([3]道具信息!G887="","",[3]道具信息!G887)</f>
        <v/>
      </c>
      <c r="H887" s="37" t="str">
        <f>IF([3]道具信息!H887="","",[3]道具信息!H887)</f>
        <v/>
      </c>
      <c r="I887" s="37" t="str">
        <f>IF([3]道具信息!I887="","",[3]道具信息!I887)</f>
        <v/>
      </c>
      <c r="J887" s="37" t="str">
        <f>IF([3]道具信息!J887="","",[3]道具信息!J887)</f>
        <v/>
      </c>
      <c r="K887" s="37" t="str">
        <f>IF([3]道具信息!K887="","",[3]道具信息!K887)</f>
        <v/>
      </c>
      <c r="L887" s="37" t="str">
        <f>IF([3]道具信息!L887="","",[3]道具信息!L887)</f>
        <v/>
      </c>
      <c r="M887" s="37" t="str">
        <f>IF([3]道具信息!M887="","",[3]道具信息!M887)</f>
        <v/>
      </c>
      <c r="N887" s="37"/>
      <c r="O887" s="37" t="str">
        <f>IF([3]道具信息!O887="","",[3]道具信息!O887)</f>
        <v/>
      </c>
      <c r="P887" s="37" t="str">
        <f>IF([3]道具信息!P887="","",[3]道具信息!P887)</f>
        <v/>
      </c>
      <c r="Q887" s="37" t="str">
        <f>IF([3]道具信息!Q887="","",[3]道具信息!Q887)</f>
        <v/>
      </c>
    </row>
    <row r="888" spans="3:17" x14ac:dyDescent="0.15">
      <c r="C888" s="37" t="str">
        <f>IF([3]道具信息!C888="","",[3]道具信息!C888)</f>
        <v/>
      </c>
      <c r="D888" s="37" t="str">
        <f>IF([3]道具信息!D888="","",[3]道具信息!D888)</f>
        <v/>
      </c>
      <c r="E888" s="37" t="str">
        <f>IF([3]道具信息!E888="","",[3]道具信息!E888)</f>
        <v/>
      </c>
      <c r="F888" s="37" t="str">
        <f>IF([3]道具信息!F888="","",[3]道具信息!F888)</f>
        <v/>
      </c>
      <c r="G888" s="37" t="str">
        <f>IF([3]道具信息!G888="","",[3]道具信息!G888)</f>
        <v/>
      </c>
      <c r="H888" s="37" t="str">
        <f>IF([3]道具信息!H888="","",[3]道具信息!H888)</f>
        <v/>
      </c>
      <c r="I888" s="37" t="str">
        <f>IF([3]道具信息!I888="","",[3]道具信息!I888)</f>
        <v/>
      </c>
      <c r="J888" s="37" t="str">
        <f>IF([3]道具信息!J888="","",[3]道具信息!J888)</f>
        <v/>
      </c>
      <c r="K888" s="37" t="str">
        <f>IF([3]道具信息!K888="","",[3]道具信息!K888)</f>
        <v/>
      </c>
      <c r="L888" s="37" t="str">
        <f>IF([3]道具信息!L888="","",[3]道具信息!L888)</f>
        <v/>
      </c>
      <c r="M888" s="37" t="str">
        <f>IF([3]道具信息!M888="","",[3]道具信息!M888)</f>
        <v/>
      </c>
      <c r="N888" s="37"/>
      <c r="O888" s="37" t="str">
        <f>IF([3]道具信息!O888="","",[3]道具信息!O888)</f>
        <v/>
      </c>
      <c r="P888" s="37" t="str">
        <f>IF([3]道具信息!P888="","",[3]道具信息!P888)</f>
        <v/>
      </c>
      <c r="Q888" s="37" t="str">
        <f>IF([3]道具信息!Q888="","",[3]道具信息!Q888)</f>
        <v/>
      </c>
    </row>
    <row r="889" spans="3:17" x14ac:dyDescent="0.15">
      <c r="C889" s="37" t="str">
        <f>IF([3]道具信息!C889="","",[3]道具信息!C889)</f>
        <v/>
      </c>
      <c r="D889" s="37" t="str">
        <f>IF([3]道具信息!D889="","",[3]道具信息!D889)</f>
        <v/>
      </c>
      <c r="E889" s="37" t="str">
        <f>IF([3]道具信息!E889="","",[3]道具信息!E889)</f>
        <v/>
      </c>
      <c r="F889" s="37" t="str">
        <f>IF([3]道具信息!F889="","",[3]道具信息!F889)</f>
        <v/>
      </c>
      <c r="G889" s="37" t="str">
        <f>IF([3]道具信息!G889="","",[3]道具信息!G889)</f>
        <v/>
      </c>
      <c r="H889" s="37" t="str">
        <f>IF([3]道具信息!H889="","",[3]道具信息!H889)</f>
        <v/>
      </c>
      <c r="I889" s="37" t="str">
        <f>IF([3]道具信息!I889="","",[3]道具信息!I889)</f>
        <v/>
      </c>
      <c r="J889" s="37" t="str">
        <f>IF([3]道具信息!J889="","",[3]道具信息!J889)</f>
        <v/>
      </c>
      <c r="K889" s="37" t="str">
        <f>IF([3]道具信息!K889="","",[3]道具信息!K889)</f>
        <v/>
      </c>
      <c r="L889" s="37" t="str">
        <f>IF([3]道具信息!L889="","",[3]道具信息!L889)</f>
        <v/>
      </c>
      <c r="M889" s="37" t="str">
        <f>IF([3]道具信息!M889="","",[3]道具信息!M889)</f>
        <v/>
      </c>
      <c r="N889" s="37"/>
      <c r="O889" s="37" t="str">
        <f>IF([3]道具信息!O889="","",[3]道具信息!O889)</f>
        <v/>
      </c>
      <c r="P889" s="37" t="str">
        <f>IF([3]道具信息!P889="","",[3]道具信息!P889)</f>
        <v/>
      </c>
      <c r="Q889" s="37" t="str">
        <f>IF([3]道具信息!Q889="","",[3]道具信息!Q889)</f>
        <v/>
      </c>
    </row>
    <row r="890" spans="3:17" x14ac:dyDescent="0.15">
      <c r="C890" s="37" t="str">
        <f>IF([3]道具信息!C890="","",[3]道具信息!C890)</f>
        <v/>
      </c>
      <c r="D890" s="37" t="str">
        <f>IF([3]道具信息!D890="","",[3]道具信息!D890)</f>
        <v/>
      </c>
      <c r="E890" s="37" t="str">
        <f>IF([3]道具信息!E890="","",[3]道具信息!E890)</f>
        <v/>
      </c>
      <c r="F890" s="37" t="str">
        <f>IF([3]道具信息!F890="","",[3]道具信息!F890)</f>
        <v/>
      </c>
      <c r="G890" s="37" t="str">
        <f>IF([3]道具信息!G890="","",[3]道具信息!G890)</f>
        <v/>
      </c>
      <c r="H890" s="37" t="str">
        <f>IF([3]道具信息!H890="","",[3]道具信息!H890)</f>
        <v/>
      </c>
      <c r="I890" s="37" t="str">
        <f>IF([3]道具信息!I890="","",[3]道具信息!I890)</f>
        <v/>
      </c>
      <c r="J890" s="37" t="str">
        <f>IF([3]道具信息!J890="","",[3]道具信息!J890)</f>
        <v/>
      </c>
      <c r="K890" s="37" t="str">
        <f>IF([3]道具信息!K890="","",[3]道具信息!K890)</f>
        <v/>
      </c>
      <c r="L890" s="37" t="str">
        <f>IF([3]道具信息!L890="","",[3]道具信息!L890)</f>
        <v/>
      </c>
      <c r="M890" s="37" t="str">
        <f>IF([3]道具信息!M890="","",[3]道具信息!M890)</f>
        <v/>
      </c>
      <c r="N890" s="37"/>
      <c r="O890" s="37" t="str">
        <f>IF([3]道具信息!O890="","",[3]道具信息!O890)</f>
        <v/>
      </c>
      <c r="P890" s="37" t="str">
        <f>IF([3]道具信息!P890="","",[3]道具信息!P890)</f>
        <v/>
      </c>
      <c r="Q890" s="37" t="str">
        <f>IF([3]道具信息!Q890="","",[3]道具信息!Q890)</f>
        <v/>
      </c>
    </row>
    <row r="891" spans="3:17" x14ac:dyDescent="0.15">
      <c r="C891" s="37" t="str">
        <f>IF([3]道具信息!C891="","",[3]道具信息!C891)</f>
        <v/>
      </c>
      <c r="D891" s="37" t="str">
        <f>IF([3]道具信息!D891="","",[3]道具信息!D891)</f>
        <v/>
      </c>
      <c r="E891" s="37" t="str">
        <f>IF([3]道具信息!E891="","",[3]道具信息!E891)</f>
        <v/>
      </c>
      <c r="F891" s="37" t="str">
        <f>IF([3]道具信息!F891="","",[3]道具信息!F891)</f>
        <v/>
      </c>
      <c r="G891" s="37" t="str">
        <f>IF([3]道具信息!G891="","",[3]道具信息!G891)</f>
        <v/>
      </c>
      <c r="H891" s="37" t="str">
        <f>IF([3]道具信息!H891="","",[3]道具信息!H891)</f>
        <v/>
      </c>
      <c r="I891" s="37" t="str">
        <f>IF([3]道具信息!I891="","",[3]道具信息!I891)</f>
        <v/>
      </c>
      <c r="J891" s="37" t="str">
        <f>IF([3]道具信息!J891="","",[3]道具信息!J891)</f>
        <v/>
      </c>
      <c r="K891" s="37" t="str">
        <f>IF([3]道具信息!K891="","",[3]道具信息!K891)</f>
        <v/>
      </c>
      <c r="L891" s="37" t="str">
        <f>IF([3]道具信息!L891="","",[3]道具信息!L891)</f>
        <v/>
      </c>
      <c r="M891" s="37" t="str">
        <f>IF([3]道具信息!M891="","",[3]道具信息!M891)</f>
        <v/>
      </c>
      <c r="N891" s="37"/>
      <c r="O891" s="37" t="str">
        <f>IF([3]道具信息!O891="","",[3]道具信息!O891)</f>
        <v/>
      </c>
      <c r="P891" s="37" t="str">
        <f>IF([3]道具信息!P891="","",[3]道具信息!P891)</f>
        <v/>
      </c>
      <c r="Q891" s="37" t="str">
        <f>IF([3]道具信息!Q891="","",[3]道具信息!Q891)</f>
        <v/>
      </c>
    </row>
    <row r="892" spans="3:17" x14ac:dyDescent="0.15">
      <c r="C892" s="37" t="str">
        <f>IF([3]道具信息!C892="","",[3]道具信息!C892)</f>
        <v/>
      </c>
      <c r="D892" s="37" t="str">
        <f>IF([3]道具信息!D892="","",[3]道具信息!D892)</f>
        <v/>
      </c>
      <c r="E892" s="37" t="str">
        <f>IF([3]道具信息!E892="","",[3]道具信息!E892)</f>
        <v/>
      </c>
      <c r="F892" s="37" t="str">
        <f>IF([3]道具信息!F892="","",[3]道具信息!F892)</f>
        <v/>
      </c>
      <c r="G892" s="37" t="str">
        <f>IF([3]道具信息!G892="","",[3]道具信息!G892)</f>
        <v/>
      </c>
      <c r="H892" s="37" t="str">
        <f>IF([3]道具信息!H892="","",[3]道具信息!H892)</f>
        <v/>
      </c>
      <c r="I892" s="37" t="str">
        <f>IF([3]道具信息!I892="","",[3]道具信息!I892)</f>
        <v/>
      </c>
      <c r="J892" s="37" t="str">
        <f>IF([3]道具信息!J892="","",[3]道具信息!J892)</f>
        <v/>
      </c>
      <c r="K892" s="37" t="str">
        <f>IF([3]道具信息!K892="","",[3]道具信息!K892)</f>
        <v/>
      </c>
      <c r="L892" s="37" t="str">
        <f>IF([3]道具信息!L892="","",[3]道具信息!L892)</f>
        <v/>
      </c>
      <c r="M892" s="37" t="str">
        <f>IF([3]道具信息!M892="","",[3]道具信息!M892)</f>
        <v/>
      </c>
      <c r="N892" s="37"/>
      <c r="O892" s="37" t="str">
        <f>IF([3]道具信息!O892="","",[3]道具信息!O892)</f>
        <v/>
      </c>
      <c r="P892" s="37" t="str">
        <f>IF([3]道具信息!P892="","",[3]道具信息!P892)</f>
        <v/>
      </c>
      <c r="Q892" s="37" t="str">
        <f>IF([3]道具信息!Q892="","",[3]道具信息!Q892)</f>
        <v/>
      </c>
    </row>
    <row r="893" spans="3:17" x14ac:dyDescent="0.15">
      <c r="C893" s="37" t="str">
        <f>IF([3]道具信息!C893="","",[3]道具信息!C893)</f>
        <v/>
      </c>
      <c r="D893" s="37" t="str">
        <f>IF([3]道具信息!D893="","",[3]道具信息!D893)</f>
        <v/>
      </c>
      <c r="E893" s="37" t="str">
        <f>IF([3]道具信息!E893="","",[3]道具信息!E893)</f>
        <v/>
      </c>
      <c r="F893" s="37" t="str">
        <f>IF([3]道具信息!F893="","",[3]道具信息!F893)</f>
        <v/>
      </c>
      <c r="G893" s="37" t="str">
        <f>IF([3]道具信息!G893="","",[3]道具信息!G893)</f>
        <v/>
      </c>
      <c r="H893" s="37" t="str">
        <f>IF([3]道具信息!H893="","",[3]道具信息!H893)</f>
        <v/>
      </c>
      <c r="I893" s="37" t="str">
        <f>IF([3]道具信息!I893="","",[3]道具信息!I893)</f>
        <v/>
      </c>
      <c r="J893" s="37" t="str">
        <f>IF([3]道具信息!J893="","",[3]道具信息!J893)</f>
        <v/>
      </c>
      <c r="K893" s="37" t="str">
        <f>IF([3]道具信息!K893="","",[3]道具信息!K893)</f>
        <v/>
      </c>
      <c r="L893" s="37" t="str">
        <f>IF([3]道具信息!L893="","",[3]道具信息!L893)</f>
        <v/>
      </c>
      <c r="M893" s="37" t="str">
        <f>IF([3]道具信息!M893="","",[3]道具信息!M893)</f>
        <v/>
      </c>
      <c r="N893" s="37"/>
      <c r="O893" s="37" t="str">
        <f>IF([3]道具信息!O893="","",[3]道具信息!O893)</f>
        <v/>
      </c>
      <c r="P893" s="37" t="str">
        <f>IF([3]道具信息!P893="","",[3]道具信息!P893)</f>
        <v/>
      </c>
      <c r="Q893" s="37" t="str">
        <f>IF([3]道具信息!Q893="","",[3]道具信息!Q893)</f>
        <v/>
      </c>
    </row>
    <row r="894" spans="3:17" x14ac:dyDescent="0.15">
      <c r="C894" s="37" t="str">
        <f>IF([3]道具信息!C894="","",[3]道具信息!C894)</f>
        <v/>
      </c>
      <c r="D894" s="37" t="str">
        <f>IF([3]道具信息!D894="","",[3]道具信息!D894)</f>
        <v/>
      </c>
      <c r="E894" s="37" t="str">
        <f>IF([3]道具信息!E894="","",[3]道具信息!E894)</f>
        <v/>
      </c>
      <c r="F894" s="37" t="str">
        <f>IF([3]道具信息!F894="","",[3]道具信息!F894)</f>
        <v/>
      </c>
      <c r="G894" s="37" t="str">
        <f>IF([3]道具信息!G894="","",[3]道具信息!G894)</f>
        <v/>
      </c>
      <c r="H894" s="37" t="str">
        <f>IF([3]道具信息!H894="","",[3]道具信息!H894)</f>
        <v/>
      </c>
      <c r="I894" s="37" t="str">
        <f>IF([3]道具信息!I894="","",[3]道具信息!I894)</f>
        <v/>
      </c>
      <c r="J894" s="37" t="str">
        <f>IF([3]道具信息!J894="","",[3]道具信息!J894)</f>
        <v/>
      </c>
      <c r="K894" s="37" t="str">
        <f>IF([3]道具信息!K894="","",[3]道具信息!K894)</f>
        <v/>
      </c>
      <c r="L894" s="37" t="str">
        <f>IF([3]道具信息!L894="","",[3]道具信息!L894)</f>
        <v/>
      </c>
      <c r="M894" s="37" t="str">
        <f>IF([3]道具信息!M894="","",[3]道具信息!M894)</f>
        <v/>
      </c>
      <c r="N894" s="37"/>
      <c r="O894" s="37" t="str">
        <f>IF([3]道具信息!O894="","",[3]道具信息!O894)</f>
        <v/>
      </c>
      <c r="P894" s="37" t="str">
        <f>IF([3]道具信息!P894="","",[3]道具信息!P894)</f>
        <v/>
      </c>
      <c r="Q894" s="37" t="str">
        <f>IF([3]道具信息!Q894="","",[3]道具信息!Q894)</f>
        <v/>
      </c>
    </row>
    <row r="895" spans="3:17" x14ac:dyDescent="0.15">
      <c r="C895" s="37" t="str">
        <f>IF([3]道具信息!C895="","",[3]道具信息!C895)</f>
        <v/>
      </c>
      <c r="D895" s="37" t="str">
        <f>IF([3]道具信息!D895="","",[3]道具信息!D895)</f>
        <v/>
      </c>
      <c r="E895" s="37" t="str">
        <f>IF([3]道具信息!E895="","",[3]道具信息!E895)</f>
        <v/>
      </c>
      <c r="F895" s="37" t="str">
        <f>IF([3]道具信息!F895="","",[3]道具信息!F895)</f>
        <v/>
      </c>
      <c r="G895" s="37" t="str">
        <f>IF([3]道具信息!G895="","",[3]道具信息!G895)</f>
        <v/>
      </c>
      <c r="H895" s="37" t="str">
        <f>IF([3]道具信息!H895="","",[3]道具信息!H895)</f>
        <v/>
      </c>
      <c r="I895" s="37" t="str">
        <f>IF([3]道具信息!I895="","",[3]道具信息!I895)</f>
        <v/>
      </c>
      <c r="J895" s="37" t="str">
        <f>IF([3]道具信息!J895="","",[3]道具信息!J895)</f>
        <v/>
      </c>
      <c r="K895" s="37" t="str">
        <f>IF([3]道具信息!K895="","",[3]道具信息!K895)</f>
        <v/>
      </c>
      <c r="L895" s="37" t="str">
        <f>IF([3]道具信息!L895="","",[3]道具信息!L895)</f>
        <v/>
      </c>
      <c r="M895" s="37" t="str">
        <f>IF([3]道具信息!M895="","",[3]道具信息!M895)</f>
        <v/>
      </c>
      <c r="N895" s="37"/>
      <c r="O895" s="37" t="str">
        <f>IF([3]道具信息!O895="","",[3]道具信息!O895)</f>
        <v/>
      </c>
      <c r="P895" s="37" t="str">
        <f>IF([3]道具信息!P895="","",[3]道具信息!P895)</f>
        <v/>
      </c>
      <c r="Q895" s="37" t="str">
        <f>IF([3]道具信息!Q895="","",[3]道具信息!Q895)</f>
        <v/>
      </c>
    </row>
    <row r="896" spans="3:17" x14ac:dyDescent="0.15">
      <c r="C896" s="37" t="str">
        <f>IF([3]道具信息!C896="","",[3]道具信息!C896)</f>
        <v/>
      </c>
      <c r="D896" s="37" t="str">
        <f>IF([3]道具信息!D896="","",[3]道具信息!D896)</f>
        <v/>
      </c>
      <c r="E896" s="37" t="str">
        <f>IF([3]道具信息!E896="","",[3]道具信息!E896)</f>
        <v/>
      </c>
      <c r="F896" s="37" t="str">
        <f>IF([3]道具信息!F896="","",[3]道具信息!F896)</f>
        <v/>
      </c>
      <c r="G896" s="37" t="str">
        <f>IF([3]道具信息!G896="","",[3]道具信息!G896)</f>
        <v/>
      </c>
      <c r="H896" s="37" t="str">
        <f>IF([3]道具信息!H896="","",[3]道具信息!H896)</f>
        <v/>
      </c>
      <c r="I896" s="37" t="str">
        <f>IF([3]道具信息!I896="","",[3]道具信息!I896)</f>
        <v/>
      </c>
      <c r="J896" s="37" t="str">
        <f>IF([3]道具信息!J896="","",[3]道具信息!J896)</f>
        <v/>
      </c>
      <c r="K896" s="37" t="str">
        <f>IF([3]道具信息!K896="","",[3]道具信息!K896)</f>
        <v/>
      </c>
      <c r="L896" s="37" t="str">
        <f>IF([3]道具信息!L896="","",[3]道具信息!L896)</f>
        <v/>
      </c>
      <c r="M896" s="37" t="str">
        <f>IF([3]道具信息!M896="","",[3]道具信息!M896)</f>
        <v/>
      </c>
      <c r="N896" s="37"/>
      <c r="O896" s="37" t="str">
        <f>IF([3]道具信息!O896="","",[3]道具信息!O896)</f>
        <v/>
      </c>
      <c r="P896" s="37" t="str">
        <f>IF([3]道具信息!P896="","",[3]道具信息!P896)</f>
        <v/>
      </c>
      <c r="Q896" s="37" t="str">
        <f>IF([3]道具信息!Q896="","",[3]道具信息!Q896)</f>
        <v/>
      </c>
    </row>
    <row r="897" spans="3:17" x14ac:dyDescent="0.15">
      <c r="C897" s="37" t="str">
        <f>IF([3]道具信息!C897="","",[3]道具信息!C897)</f>
        <v/>
      </c>
      <c r="D897" s="37" t="str">
        <f>IF([3]道具信息!D897="","",[3]道具信息!D897)</f>
        <v/>
      </c>
      <c r="E897" s="37" t="str">
        <f>IF([3]道具信息!E897="","",[3]道具信息!E897)</f>
        <v/>
      </c>
      <c r="F897" s="37" t="str">
        <f>IF([3]道具信息!F897="","",[3]道具信息!F897)</f>
        <v/>
      </c>
      <c r="G897" s="37" t="str">
        <f>IF([3]道具信息!G897="","",[3]道具信息!G897)</f>
        <v/>
      </c>
      <c r="H897" s="37" t="str">
        <f>IF([3]道具信息!H897="","",[3]道具信息!H897)</f>
        <v/>
      </c>
      <c r="I897" s="37" t="str">
        <f>IF([3]道具信息!I897="","",[3]道具信息!I897)</f>
        <v/>
      </c>
      <c r="J897" s="37" t="str">
        <f>IF([3]道具信息!J897="","",[3]道具信息!J897)</f>
        <v/>
      </c>
      <c r="K897" s="37" t="str">
        <f>IF([3]道具信息!K897="","",[3]道具信息!K897)</f>
        <v/>
      </c>
      <c r="L897" s="37" t="str">
        <f>IF([3]道具信息!L897="","",[3]道具信息!L897)</f>
        <v/>
      </c>
      <c r="M897" s="37" t="str">
        <f>IF([3]道具信息!M897="","",[3]道具信息!M897)</f>
        <v/>
      </c>
      <c r="N897" s="37"/>
      <c r="O897" s="37" t="str">
        <f>IF([3]道具信息!O897="","",[3]道具信息!O897)</f>
        <v/>
      </c>
      <c r="P897" s="37" t="str">
        <f>IF([3]道具信息!P897="","",[3]道具信息!P897)</f>
        <v/>
      </c>
      <c r="Q897" s="37" t="str">
        <f>IF([3]道具信息!Q897="","",[3]道具信息!Q897)</f>
        <v/>
      </c>
    </row>
    <row r="898" spans="3:17" x14ac:dyDescent="0.15">
      <c r="C898" s="37" t="str">
        <f>IF([3]道具信息!C898="","",[3]道具信息!C898)</f>
        <v/>
      </c>
      <c r="D898" s="37" t="str">
        <f>IF([3]道具信息!D898="","",[3]道具信息!D898)</f>
        <v/>
      </c>
      <c r="E898" s="37" t="str">
        <f>IF([3]道具信息!E898="","",[3]道具信息!E898)</f>
        <v/>
      </c>
      <c r="F898" s="37" t="str">
        <f>IF([3]道具信息!F898="","",[3]道具信息!F898)</f>
        <v/>
      </c>
      <c r="G898" s="37" t="str">
        <f>IF([3]道具信息!G898="","",[3]道具信息!G898)</f>
        <v/>
      </c>
      <c r="H898" s="37" t="str">
        <f>IF([3]道具信息!H898="","",[3]道具信息!H898)</f>
        <v/>
      </c>
      <c r="I898" s="37" t="str">
        <f>IF([3]道具信息!I898="","",[3]道具信息!I898)</f>
        <v/>
      </c>
      <c r="J898" s="37" t="str">
        <f>IF([3]道具信息!J898="","",[3]道具信息!J898)</f>
        <v/>
      </c>
      <c r="K898" s="37" t="str">
        <f>IF([3]道具信息!K898="","",[3]道具信息!K898)</f>
        <v/>
      </c>
      <c r="L898" s="37" t="str">
        <f>IF([3]道具信息!L898="","",[3]道具信息!L898)</f>
        <v/>
      </c>
      <c r="M898" s="37" t="str">
        <f>IF([3]道具信息!M898="","",[3]道具信息!M898)</f>
        <v/>
      </c>
      <c r="N898" s="37"/>
      <c r="O898" s="37" t="str">
        <f>IF([3]道具信息!O898="","",[3]道具信息!O898)</f>
        <v/>
      </c>
      <c r="P898" s="37" t="str">
        <f>IF([3]道具信息!P898="","",[3]道具信息!P898)</f>
        <v/>
      </c>
      <c r="Q898" s="37" t="str">
        <f>IF([3]道具信息!Q898="","",[3]道具信息!Q898)</f>
        <v/>
      </c>
    </row>
    <row r="899" spans="3:17" x14ac:dyDescent="0.15">
      <c r="C899" s="37" t="str">
        <f>IF([3]道具信息!C899="","",[3]道具信息!C899)</f>
        <v/>
      </c>
      <c r="D899" s="37" t="str">
        <f>IF([3]道具信息!D899="","",[3]道具信息!D899)</f>
        <v/>
      </c>
      <c r="E899" s="37" t="str">
        <f>IF([3]道具信息!E899="","",[3]道具信息!E899)</f>
        <v/>
      </c>
      <c r="F899" s="37" t="str">
        <f>IF([3]道具信息!F899="","",[3]道具信息!F899)</f>
        <v/>
      </c>
      <c r="G899" s="37" t="str">
        <f>IF([3]道具信息!G899="","",[3]道具信息!G899)</f>
        <v/>
      </c>
      <c r="H899" s="37" t="str">
        <f>IF([3]道具信息!H899="","",[3]道具信息!H899)</f>
        <v/>
      </c>
      <c r="I899" s="37" t="str">
        <f>IF([3]道具信息!I899="","",[3]道具信息!I899)</f>
        <v/>
      </c>
      <c r="J899" s="37" t="str">
        <f>IF([3]道具信息!J899="","",[3]道具信息!J899)</f>
        <v/>
      </c>
      <c r="K899" s="37" t="str">
        <f>IF([3]道具信息!K899="","",[3]道具信息!K899)</f>
        <v/>
      </c>
      <c r="L899" s="37" t="str">
        <f>IF([3]道具信息!L899="","",[3]道具信息!L899)</f>
        <v/>
      </c>
      <c r="M899" s="37" t="str">
        <f>IF([3]道具信息!M899="","",[3]道具信息!M899)</f>
        <v/>
      </c>
      <c r="N899" s="37"/>
      <c r="O899" s="37" t="str">
        <f>IF([3]道具信息!O899="","",[3]道具信息!O899)</f>
        <v/>
      </c>
      <c r="P899" s="37" t="str">
        <f>IF([3]道具信息!P899="","",[3]道具信息!P899)</f>
        <v/>
      </c>
      <c r="Q899" s="37" t="str">
        <f>IF([3]道具信息!Q899="","",[3]道具信息!Q899)</f>
        <v/>
      </c>
    </row>
    <row r="900" spans="3:17" x14ac:dyDescent="0.15">
      <c r="C900" s="37" t="str">
        <f>IF([3]道具信息!C900="","",[3]道具信息!C900)</f>
        <v/>
      </c>
      <c r="D900" s="37" t="str">
        <f>IF([3]道具信息!D900="","",[3]道具信息!D900)</f>
        <v/>
      </c>
      <c r="E900" s="37" t="str">
        <f>IF([3]道具信息!E900="","",[3]道具信息!E900)</f>
        <v/>
      </c>
      <c r="F900" s="37" t="str">
        <f>IF([3]道具信息!F900="","",[3]道具信息!F900)</f>
        <v/>
      </c>
      <c r="G900" s="37" t="str">
        <f>IF([3]道具信息!G900="","",[3]道具信息!G900)</f>
        <v/>
      </c>
      <c r="H900" s="37" t="str">
        <f>IF([3]道具信息!H900="","",[3]道具信息!H900)</f>
        <v/>
      </c>
      <c r="I900" s="37" t="str">
        <f>IF([3]道具信息!I900="","",[3]道具信息!I900)</f>
        <v/>
      </c>
      <c r="J900" s="37" t="str">
        <f>IF([3]道具信息!J900="","",[3]道具信息!J900)</f>
        <v/>
      </c>
      <c r="K900" s="37" t="str">
        <f>IF([3]道具信息!K900="","",[3]道具信息!K900)</f>
        <v/>
      </c>
      <c r="L900" s="37" t="str">
        <f>IF([3]道具信息!L900="","",[3]道具信息!L900)</f>
        <v/>
      </c>
      <c r="M900" s="37" t="str">
        <f>IF([3]道具信息!M900="","",[3]道具信息!M900)</f>
        <v/>
      </c>
      <c r="N900" s="37"/>
      <c r="O900" s="37" t="str">
        <f>IF([3]道具信息!O900="","",[3]道具信息!O900)</f>
        <v/>
      </c>
      <c r="P900" s="37" t="str">
        <f>IF([3]道具信息!P900="","",[3]道具信息!P900)</f>
        <v/>
      </c>
      <c r="Q900" s="37" t="str">
        <f>IF([3]道具信息!Q900="","",[3]道具信息!Q900)</f>
        <v/>
      </c>
    </row>
    <row r="901" spans="3:17" x14ac:dyDescent="0.15">
      <c r="C901" s="37" t="str">
        <f>IF([3]道具信息!C901="","",[3]道具信息!C901)</f>
        <v/>
      </c>
      <c r="D901" s="37" t="str">
        <f>IF([3]道具信息!D901="","",[3]道具信息!D901)</f>
        <v/>
      </c>
      <c r="E901" s="37" t="str">
        <f>IF([3]道具信息!E901="","",[3]道具信息!E901)</f>
        <v/>
      </c>
      <c r="F901" s="37" t="str">
        <f>IF([3]道具信息!F901="","",[3]道具信息!F901)</f>
        <v/>
      </c>
      <c r="G901" s="37" t="str">
        <f>IF([3]道具信息!G901="","",[3]道具信息!G901)</f>
        <v/>
      </c>
      <c r="H901" s="37" t="str">
        <f>IF([3]道具信息!H901="","",[3]道具信息!H901)</f>
        <v/>
      </c>
      <c r="I901" s="37" t="str">
        <f>IF([3]道具信息!I901="","",[3]道具信息!I901)</f>
        <v/>
      </c>
      <c r="J901" s="37" t="str">
        <f>IF([3]道具信息!J901="","",[3]道具信息!J901)</f>
        <v/>
      </c>
      <c r="K901" s="37" t="str">
        <f>IF([3]道具信息!K901="","",[3]道具信息!K901)</f>
        <v/>
      </c>
      <c r="L901" s="37" t="str">
        <f>IF([3]道具信息!L901="","",[3]道具信息!L901)</f>
        <v/>
      </c>
      <c r="M901" s="37" t="str">
        <f>IF([3]道具信息!M901="","",[3]道具信息!M901)</f>
        <v/>
      </c>
      <c r="N901" s="37"/>
      <c r="O901" s="37" t="str">
        <f>IF([3]道具信息!O901="","",[3]道具信息!O901)</f>
        <v/>
      </c>
      <c r="P901" s="37" t="str">
        <f>IF([3]道具信息!P901="","",[3]道具信息!P901)</f>
        <v/>
      </c>
      <c r="Q901" s="37" t="str">
        <f>IF([3]道具信息!Q901="","",[3]道具信息!Q901)</f>
        <v/>
      </c>
    </row>
    <row r="902" spans="3:17" x14ac:dyDescent="0.15">
      <c r="C902" s="37" t="str">
        <f>IF([3]道具信息!C902="","",[3]道具信息!C902)</f>
        <v/>
      </c>
      <c r="D902" s="37" t="str">
        <f>IF([3]道具信息!D902="","",[3]道具信息!D902)</f>
        <v/>
      </c>
      <c r="E902" s="37" t="str">
        <f>IF([3]道具信息!E902="","",[3]道具信息!E902)</f>
        <v/>
      </c>
      <c r="F902" s="37" t="str">
        <f>IF([3]道具信息!F902="","",[3]道具信息!F902)</f>
        <v/>
      </c>
      <c r="G902" s="37" t="str">
        <f>IF([3]道具信息!G902="","",[3]道具信息!G902)</f>
        <v/>
      </c>
      <c r="H902" s="37" t="str">
        <f>IF([3]道具信息!H902="","",[3]道具信息!H902)</f>
        <v/>
      </c>
      <c r="I902" s="37" t="str">
        <f>IF([3]道具信息!I902="","",[3]道具信息!I902)</f>
        <v/>
      </c>
      <c r="J902" s="37" t="str">
        <f>IF([3]道具信息!J902="","",[3]道具信息!J902)</f>
        <v/>
      </c>
      <c r="K902" s="37" t="str">
        <f>IF([3]道具信息!K902="","",[3]道具信息!K902)</f>
        <v/>
      </c>
      <c r="L902" s="37" t="str">
        <f>IF([3]道具信息!L902="","",[3]道具信息!L902)</f>
        <v/>
      </c>
      <c r="M902" s="37" t="str">
        <f>IF([3]道具信息!M902="","",[3]道具信息!M902)</f>
        <v/>
      </c>
      <c r="N902" s="37"/>
      <c r="O902" s="37" t="str">
        <f>IF([3]道具信息!O902="","",[3]道具信息!O902)</f>
        <v/>
      </c>
      <c r="P902" s="37" t="str">
        <f>IF([3]道具信息!P902="","",[3]道具信息!P902)</f>
        <v/>
      </c>
      <c r="Q902" s="37" t="str">
        <f>IF([3]道具信息!Q902="","",[3]道具信息!Q902)</f>
        <v/>
      </c>
    </row>
    <row r="903" spans="3:17" x14ac:dyDescent="0.15">
      <c r="C903" s="37" t="str">
        <f>IF([3]道具信息!C903="","",[3]道具信息!C903)</f>
        <v/>
      </c>
      <c r="D903" s="37" t="str">
        <f>IF([3]道具信息!D903="","",[3]道具信息!D903)</f>
        <v/>
      </c>
      <c r="E903" s="37" t="str">
        <f>IF([3]道具信息!E903="","",[3]道具信息!E903)</f>
        <v/>
      </c>
      <c r="F903" s="37" t="str">
        <f>IF([3]道具信息!F903="","",[3]道具信息!F903)</f>
        <v/>
      </c>
      <c r="G903" s="37" t="str">
        <f>IF([3]道具信息!G903="","",[3]道具信息!G903)</f>
        <v/>
      </c>
      <c r="H903" s="37" t="str">
        <f>IF([3]道具信息!H903="","",[3]道具信息!H903)</f>
        <v/>
      </c>
      <c r="I903" s="37" t="str">
        <f>IF([3]道具信息!I903="","",[3]道具信息!I903)</f>
        <v/>
      </c>
      <c r="J903" s="37" t="str">
        <f>IF([3]道具信息!J903="","",[3]道具信息!J903)</f>
        <v/>
      </c>
      <c r="K903" s="37" t="str">
        <f>IF([3]道具信息!K903="","",[3]道具信息!K903)</f>
        <v/>
      </c>
      <c r="L903" s="37" t="str">
        <f>IF([3]道具信息!L903="","",[3]道具信息!L903)</f>
        <v/>
      </c>
      <c r="M903" s="37" t="str">
        <f>IF([3]道具信息!M903="","",[3]道具信息!M903)</f>
        <v/>
      </c>
      <c r="N903" s="37"/>
      <c r="O903" s="37" t="str">
        <f>IF([3]道具信息!O903="","",[3]道具信息!O903)</f>
        <v/>
      </c>
      <c r="P903" s="37" t="str">
        <f>IF([3]道具信息!P903="","",[3]道具信息!P903)</f>
        <v/>
      </c>
      <c r="Q903" s="37" t="str">
        <f>IF([3]道具信息!Q903="","",[3]道具信息!Q903)</f>
        <v/>
      </c>
    </row>
    <row r="904" spans="3:17" x14ac:dyDescent="0.15">
      <c r="C904" s="37" t="str">
        <f>IF([3]道具信息!C904="","",[3]道具信息!C904)</f>
        <v/>
      </c>
      <c r="D904" s="37" t="str">
        <f>IF([3]道具信息!D904="","",[3]道具信息!D904)</f>
        <v/>
      </c>
      <c r="E904" s="37" t="str">
        <f>IF([3]道具信息!E904="","",[3]道具信息!E904)</f>
        <v/>
      </c>
      <c r="F904" s="37" t="str">
        <f>IF([3]道具信息!F904="","",[3]道具信息!F904)</f>
        <v/>
      </c>
      <c r="G904" s="37" t="str">
        <f>IF([3]道具信息!G904="","",[3]道具信息!G904)</f>
        <v/>
      </c>
      <c r="H904" s="37" t="str">
        <f>IF([3]道具信息!H904="","",[3]道具信息!H904)</f>
        <v/>
      </c>
      <c r="I904" s="37" t="str">
        <f>IF([3]道具信息!I904="","",[3]道具信息!I904)</f>
        <v/>
      </c>
      <c r="J904" s="37" t="str">
        <f>IF([3]道具信息!J904="","",[3]道具信息!J904)</f>
        <v/>
      </c>
      <c r="K904" s="37" t="str">
        <f>IF([3]道具信息!K904="","",[3]道具信息!K904)</f>
        <v/>
      </c>
      <c r="L904" s="37" t="str">
        <f>IF([3]道具信息!L904="","",[3]道具信息!L904)</f>
        <v/>
      </c>
      <c r="M904" s="37" t="str">
        <f>IF([3]道具信息!M904="","",[3]道具信息!M904)</f>
        <v/>
      </c>
      <c r="N904" s="37"/>
      <c r="O904" s="37" t="str">
        <f>IF([3]道具信息!O904="","",[3]道具信息!O904)</f>
        <v/>
      </c>
      <c r="P904" s="37" t="str">
        <f>IF([3]道具信息!P904="","",[3]道具信息!P904)</f>
        <v/>
      </c>
      <c r="Q904" s="37" t="str">
        <f>IF([3]道具信息!Q904="","",[3]道具信息!Q904)</f>
        <v/>
      </c>
    </row>
    <row r="905" spans="3:17" x14ac:dyDescent="0.15">
      <c r="C905" s="37" t="str">
        <f>IF([3]道具信息!C905="","",[3]道具信息!C905)</f>
        <v/>
      </c>
      <c r="D905" s="37" t="str">
        <f>IF([3]道具信息!D905="","",[3]道具信息!D905)</f>
        <v/>
      </c>
      <c r="E905" s="37" t="str">
        <f>IF([3]道具信息!E905="","",[3]道具信息!E905)</f>
        <v/>
      </c>
      <c r="F905" s="37" t="str">
        <f>IF([3]道具信息!F905="","",[3]道具信息!F905)</f>
        <v/>
      </c>
      <c r="G905" s="37" t="str">
        <f>IF([3]道具信息!G905="","",[3]道具信息!G905)</f>
        <v/>
      </c>
      <c r="H905" s="37" t="str">
        <f>IF([3]道具信息!H905="","",[3]道具信息!H905)</f>
        <v/>
      </c>
      <c r="I905" s="37" t="str">
        <f>IF([3]道具信息!I905="","",[3]道具信息!I905)</f>
        <v/>
      </c>
      <c r="J905" s="37" t="str">
        <f>IF([3]道具信息!J905="","",[3]道具信息!J905)</f>
        <v/>
      </c>
      <c r="K905" s="37" t="str">
        <f>IF([3]道具信息!K905="","",[3]道具信息!K905)</f>
        <v/>
      </c>
      <c r="L905" s="37" t="str">
        <f>IF([3]道具信息!L905="","",[3]道具信息!L905)</f>
        <v/>
      </c>
      <c r="M905" s="37" t="str">
        <f>IF([3]道具信息!M905="","",[3]道具信息!M905)</f>
        <v/>
      </c>
      <c r="N905" s="37"/>
      <c r="O905" s="37" t="str">
        <f>IF([3]道具信息!O905="","",[3]道具信息!O905)</f>
        <v/>
      </c>
      <c r="P905" s="37" t="str">
        <f>IF([3]道具信息!P905="","",[3]道具信息!P905)</f>
        <v/>
      </c>
      <c r="Q905" s="37" t="str">
        <f>IF([3]道具信息!Q905="","",[3]道具信息!Q905)</f>
        <v/>
      </c>
    </row>
    <row r="906" spans="3:17" x14ac:dyDescent="0.15">
      <c r="C906" s="37" t="str">
        <f>IF([3]道具信息!C906="","",[3]道具信息!C906)</f>
        <v/>
      </c>
      <c r="D906" s="37" t="str">
        <f>IF([3]道具信息!D906="","",[3]道具信息!D906)</f>
        <v/>
      </c>
      <c r="E906" s="37" t="str">
        <f>IF([3]道具信息!E906="","",[3]道具信息!E906)</f>
        <v/>
      </c>
      <c r="F906" s="37" t="str">
        <f>IF([3]道具信息!F906="","",[3]道具信息!F906)</f>
        <v/>
      </c>
      <c r="G906" s="37" t="str">
        <f>IF([3]道具信息!G906="","",[3]道具信息!G906)</f>
        <v/>
      </c>
      <c r="H906" s="37" t="str">
        <f>IF([3]道具信息!H906="","",[3]道具信息!H906)</f>
        <v/>
      </c>
      <c r="I906" s="37" t="str">
        <f>IF([3]道具信息!I906="","",[3]道具信息!I906)</f>
        <v/>
      </c>
      <c r="J906" s="37" t="str">
        <f>IF([3]道具信息!J906="","",[3]道具信息!J906)</f>
        <v/>
      </c>
      <c r="K906" s="37" t="str">
        <f>IF([3]道具信息!K906="","",[3]道具信息!K906)</f>
        <v/>
      </c>
      <c r="L906" s="37" t="str">
        <f>IF([3]道具信息!L906="","",[3]道具信息!L906)</f>
        <v/>
      </c>
      <c r="M906" s="37" t="str">
        <f>IF([3]道具信息!M906="","",[3]道具信息!M906)</f>
        <v/>
      </c>
      <c r="N906" s="37"/>
      <c r="O906" s="37" t="str">
        <f>IF([3]道具信息!O906="","",[3]道具信息!O906)</f>
        <v/>
      </c>
      <c r="P906" s="37" t="str">
        <f>IF([3]道具信息!P906="","",[3]道具信息!P906)</f>
        <v/>
      </c>
      <c r="Q906" s="37" t="str">
        <f>IF([3]道具信息!Q906="","",[3]道具信息!Q906)</f>
        <v/>
      </c>
    </row>
    <row r="907" spans="3:17" x14ac:dyDescent="0.15">
      <c r="C907" s="37" t="str">
        <f>IF([3]道具信息!C907="","",[3]道具信息!C907)</f>
        <v/>
      </c>
      <c r="D907" s="37" t="str">
        <f>IF([3]道具信息!D907="","",[3]道具信息!D907)</f>
        <v/>
      </c>
      <c r="E907" s="37" t="str">
        <f>IF([3]道具信息!E907="","",[3]道具信息!E907)</f>
        <v/>
      </c>
      <c r="F907" s="37" t="str">
        <f>IF([3]道具信息!F907="","",[3]道具信息!F907)</f>
        <v/>
      </c>
      <c r="G907" s="37" t="str">
        <f>IF([3]道具信息!G907="","",[3]道具信息!G907)</f>
        <v/>
      </c>
      <c r="H907" s="37" t="str">
        <f>IF([3]道具信息!H907="","",[3]道具信息!H907)</f>
        <v/>
      </c>
      <c r="I907" s="37" t="str">
        <f>IF([3]道具信息!I907="","",[3]道具信息!I907)</f>
        <v/>
      </c>
      <c r="J907" s="37" t="str">
        <f>IF([3]道具信息!J907="","",[3]道具信息!J907)</f>
        <v/>
      </c>
      <c r="K907" s="37" t="str">
        <f>IF([3]道具信息!K907="","",[3]道具信息!K907)</f>
        <v/>
      </c>
      <c r="L907" s="37" t="str">
        <f>IF([3]道具信息!L907="","",[3]道具信息!L907)</f>
        <v/>
      </c>
      <c r="M907" s="37" t="str">
        <f>IF([3]道具信息!M907="","",[3]道具信息!M907)</f>
        <v/>
      </c>
      <c r="N907" s="37"/>
      <c r="O907" s="37" t="str">
        <f>IF([3]道具信息!O907="","",[3]道具信息!O907)</f>
        <v/>
      </c>
      <c r="P907" s="37" t="str">
        <f>IF([3]道具信息!P907="","",[3]道具信息!P907)</f>
        <v/>
      </c>
      <c r="Q907" s="37" t="str">
        <f>IF([3]道具信息!Q907="","",[3]道具信息!Q907)</f>
        <v/>
      </c>
    </row>
    <row r="908" spans="3:17" x14ac:dyDescent="0.15">
      <c r="C908" s="37" t="str">
        <f>IF([3]道具信息!C908="","",[3]道具信息!C908)</f>
        <v/>
      </c>
      <c r="D908" s="37" t="str">
        <f>IF([3]道具信息!D908="","",[3]道具信息!D908)</f>
        <v/>
      </c>
      <c r="E908" s="37" t="str">
        <f>IF([3]道具信息!E908="","",[3]道具信息!E908)</f>
        <v/>
      </c>
      <c r="F908" s="37" t="str">
        <f>IF([3]道具信息!F908="","",[3]道具信息!F908)</f>
        <v/>
      </c>
      <c r="G908" s="37" t="str">
        <f>IF([3]道具信息!G908="","",[3]道具信息!G908)</f>
        <v/>
      </c>
      <c r="H908" s="37" t="str">
        <f>IF([3]道具信息!H908="","",[3]道具信息!H908)</f>
        <v/>
      </c>
      <c r="I908" s="37" t="str">
        <f>IF([3]道具信息!I908="","",[3]道具信息!I908)</f>
        <v/>
      </c>
      <c r="J908" s="37" t="str">
        <f>IF([3]道具信息!J908="","",[3]道具信息!J908)</f>
        <v/>
      </c>
      <c r="K908" s="37" t="str">
        <f>IF([3]道具信息!K908="","",[3]道具信息!K908)</f>
        <v/>
      </c>
      <c r="L908" s="37" t="str">
        <f>IF([3]道具信息!L908="","",[3]道具信息!L908)</f>
        <v/>
      </c>
      <c r="M908" s="37" t="str">
        <f>IF([3]道具信息!M908="","",[3]道具信息!M908)</f>
        <v/>
      </c>
      <c r="N908" s="37"/>
      <c r="O908" s="37" t="str">
        <f>IF([3]道具信息!O908="","",[3]道具信息!O908)</f>
        <v/>
      </c>
      <c r="P908" s="37" t="str">
        <f>IF([3]道具信息!P908="","",[3]道具信息!P908)</f>
        <v/>
      </c>
      <c r="Q908" s="37" t="str">
        <f>IF([3]道具信息!Q908="","",[3]道具信息!Q908)</f>
        <v/>
      </c>
    </row>
    <row r="909" spans="3:17" x14ac:dyDescent="0.15">
      <c r="C909" s="37" t="str">
        <f>IF([3]道具信息!C909="","",[3]道具信息!C909)</f>
        <v/>
      </c>
      <c r="D909" s="37" t="str">
        <f>IF([3]道具信息!D909="","",[3]道具信息!D909)</f>
        <v/>
      </c>
      <c r="E909" s="37" t="str">
        <f>IF([3]道具信息!E909="","",[3]道具信息!E909)</f>
        <v/>
      </c>
      <c r="F909" s="37" t="str">
        <f>IF([3]道具信息!F909="","",[3]道具信息!F909)</f>
        <v/>
      </c>
      <c r="G909" s="37" t="str">
        <f>IF([3]道具信息!G909="","",[3]道具信息!G909)</f>
        <v/>
      </c>
      <c r="H909" s="37" t="str">
        <f>IF([3]道具信息!H909="","",[3]道具信息!H909)</f>
        <v/>
      </c>
      <c r="I909" s="37" t="str">
        <f>IF([3]道具信息!I909="","",[3]道具信息!I909)</f>
        <v/>
      </c>
      <c r="J909" s="37" t="str">
        <f>IF([3]道具信息!J909="","",[3]道具信息!J909)</f>
        <v/>
      </c>
      <c r="K909" s="37" t="str">
        <f>IF([3]道具信息!K909="","",[3]道具信息!K909)</f>
        <v/>
      </c>
      <c r="L909" s="37" t="str">
        <f>IF([3]道具信息!L909="","",[3]道具信息!L909)</f>
        <v/>
      </c>
      <c r="M909" s="37" t="str">
        <f>IF([3]道具信息!M909="","",[3]道具信息!M909)</f>
        <v/>
      </c>
      <c r="N909" s="37"/>
      <c r="O909" s="37" t="str">
        <f>IF([3]道具信息!O909="","",[3]道具信息!O909)</f>
        <v/>
      </c>
      <c r="P909" s="37" t="str">
        <f>IF([3]道具信息!P909="","",[3]道具信息!P909)</f>
        <v/>
      </c>
      <c r="Q909" s="37" t="str">
        <f>IF([3]道具信息!Q909="","",[3]道具信息!Q909)</f>
        <v/>
      </c>
    </row>
    <row r="910" spans="3:17" x14ac:dyDescent="0.15">
      <c r="C910" s="37" t="str">
        <f>IF([3]道具信息!C910="","",[3]道具信息!C910)</f>
        <v/>
      </c>
      <c r="D910" s="37" t="str">
        <f>IF([3]道具信息!D910="","",[3]道具信息!D910)</f>
        <v/>
      </c>
      <c r="E910" s="37" t="str">
        <f>IF([3]道具信息!E910="","",[3]道具信息!E910)</f>
        <v/>
      </c>
      <c r="F910" s="37" t="str">
        <f>IF([3]道具信息!F910="","",[3]道具信息!F910)</f>
        <v/>
      </c>
      <c r="G910" s="37" t="str">
        <f>IF([3]道具信息!G910="","",[3]道具信息!G910)</f>
        <v/>
      </c>
      <c r="H910" s="37" t="str">
        <f>IF([3]道具信息!H910="","",[3]道具信息!H910)</f>
        <v/>
      </c>
      <c r="I910" s="37" t="str">
        <f>IF([3]道具信息!I910="","",[3]道具信息!I910)</f>
        <v/>
      </c>
      <c r="J910" s="37" t="str">
        <f>IF([3]道具信息!J910="","",[3]道具信息!J910)</f>
        <v/>
      </c>
      <c r="K910" s="37" t="str">
        <f>IF([3]道具信息!K910="","",[3]道具信息!K910)</f>
        <v/>
      </c>
      <c r="L910" s="37" t="str">
        <f>IF([3]道具信息!L910="","",[3]道具信息!L910)</f>
        <v/>
      </c>
      <c r="M910" s="37" t="str">
        <f>IF([3]道具信息!M910="","",[3]道具信息!M910)</f>
        <v/>
      </c>
      <c r="N910" s="37"/>
      <c r="O910" s="37" t="str">
        <f>IF([3]道具信息!O910="","",[3]道具信息!O910)</f>
        <v/>
      </c>
      <c r="P910" s="37" t="str">
        <f>IF([3]道具信息!P910="","",[3]道具信息!P910)</f>
        <v/>
      </c>
      <c r="Q910" s="37" t="str">
        <f>IF([3]道具信息!Q910="","",[3]道具信息!Q910)</f>
        <v/>
      </c>
    </row>
    <row r="911" spans="3:17" x14ac:dyDescent="0.15">
      <c r="C911" s="37" t="str">
        <f>IF([3]道具信息!C911="","",[3]道具信息!C911)</f>
        <v/>
      </c>
      <c r="D911" s="37" t="str">
        <f>IF([3]道具信息!D911="","",[3]道具信息!D911)</f>
        <v/>
      </c>
      <c r="E911" s="37" t="str">
        <f>IF([3]道具信息!E911="","",[3]道具信息!E911)</f>
        <v/>
      </c>
      <c r="F911" s="37" t="str">
        <f>IF([3]道具信息!F911="","",[3]道具信息!F911)</f>
        <v/>
      </c>
      <c r="G911" s="37" t="str">
        <f>IF([3]道具信息!G911="","",[3]道具信息!G911)</f>
        <v/>
      </c>
      <c r="H911" s="37" t="str">
        <f>IF([3]道具信息!H911="","",[3]道具信息!H911)</f>
        <v/>
      </c>
      <c r="I911" s="37" t="str">
        <f>IF([3]道具信息!I911="","",[3]道具信息!I911)</f>
        <v/>
      </c>
      <c r="J911" s="37" t="str">
        <f>IF([3]道具信息!J911="","",[3]道具信息!J911)</f>
        <v/>
      </c>
      <c r="K911" s="37" t="str">
        <f>IF([3]道具信息!K911="","",[3]道具信息!K911)</f>
        <v/>
      </c>
      <c r="L911" s="37" t="str">
        <f>IF([3]道具信息!L911="","",[3]道具信息!L911)</f>
        <v/>
      </c>
      <c r="M911" s="37" t="str">
        <f>IF([3]道具信息!M911="","",[3]道具信息!M911)</f>
        <v/>
      </c>
      <c r="N911" s="37"/>
      <c r="O911" s="37" t="str">
        <f>IF([3]道具信息!O911="","",[3]道具信息!O911)</f>
        <v/>
      </c>
      <c r="P911" s="37" t="str">
        <f>IF([3]道具信息!P911="","",[3]道具信息!P911)</f>
        <v/>
      </c>
      <c r="Q911" s="37" t="str">
        <f>IF([3]道具信息!Q911="","",[3]道具信息!Q911)</f>
        <v/>
      </c>
    </row>
    <row r="912" spans="3:17" x14ac:dyDescent="0.15">
      <c r="C912" s="37" t="str">
        <f>IF([3]道具信息!C912="","",[3]道具信息!C912)</f>
        <v/>
      </c>
      <c r="D912" s="37" t="str">
        <f>IF([3]道具信息!D912="","",[3]道具信息!D912)</f>
        <v/>
      </c>
      <c r="E912" s="37" t="str">
        <f>IF([3]道具信息!E912="","",[3]道具信息!E912)</f>
        <v/>
      </c>
      <c r="F912" s="37" t="str">
        <f>IF([3]道具信息!F912="","",[3]道具信息!F912)</f>
        <v/>
      </c>
      <c r="G912" s="37" t="str">
        <f>IF([3]道具信息!G912="","",[3]道具信息!G912)</f>
        <v/>
      </c>
      <c r="H912" s="37" t="str">
        <f>IF([3]道具信息!H912="","",[3]道具信息!H912)</f>
        <v/>
      </c>
      <c r="I912" s="37" t="str">
        <f>IF([3]道具信息!I912="","",[3]道具信息!I912)</f>
        <v/>
      </c>
      <c r="J912" s="37" t="str">
        <f>IF([3]道具信息!J912="","",[3]道具信息!J912)</f>
        <v/>
      </c>
      <c r="K912" s="37" t="str">
        <f>IF([3]道具信息!K912="","",[3]道具信息!K912)</f>
        <v/>
      </c>
      <c r="L912" s="37" t="str">
        <f>IF([3]道具信息!L912="","",[3]道具信息!L912)</f>
        <v/>
      </c>
      <c r="M912" s="37" t="str">
        <f>IF([3]道具信息!M912="","",[3]道具信息!M912)</f>
        <v/>
      </c>
      <c r="N912" s="37"/>
      <c r="O912" s="37" t="str">
        <f>IF([3]道具信息!O912="","",[3]道具信息!O912)</f>
        <v/>
      </c>
      <c r="P912" s="37" t="str">
        <f>IF([3]道具信息!P912="","",[3]道具信息!P912)</f>
        <v/>
      </c>
      <c r="Q912" s="37" t="str">
        <f>IF([3]道具信息!Q912="","",[3]道具信息!Q912)</f>
        <v/>
      </c>
    </row>
    <row r="913" spans="3:17" x14ac:dyDescent="0.15">
      <c r="C913" s="37" t="str">
        <f>IF([3]道具信息!C913="","",[3]道具信息!C913)</f>
        <v/>
      </c>
      <c r="D913" s="37" t="str">
        <f>IF([3]道具信息!D913="","",[3]道具信息!D913)</f>
        <v/>
      </c>
      <c r="E913" s="37" t="str">
        <f>IF([3]道具信息!E913="","",[3]道具信息!E913)</f>
        <v/>
      </c>
      <c r="F913" s="37" t="str">
        <f>IF([3]道具信息!F913="","",[3]道具信息!F913)</f>
        <v/>
      </c>
      <c r="G913" s="37" t="str">
        <f>IF([3]道具信息!G913="","",[3]道具信息!G913)</f>
        <v/>
      </c>
      <c r="H913" s="37" t="str">
        <f>IF([3]道具信息!H913="","",[3]道具信息!H913)</f>
        <v/>
      </c>
      <c r="I913" s="37" t="str">
        <f>IF([3]道具信息!I913="","",[3]道具信息!I913)</f>
        <v/>
      </c>
      <c r="J913" s="37" t="str">
        <f>IF([3]道具信息!J913="","",[3]道具信息!J913)</f>
        <v/>
      </c>
      <c r="K913" s="37" t="str">
        <f>IF([3]道具信息!K913="","",[3]道具信息!K913)</f>
        <v/>
      </c>
      <c r="L913" s="37" t="str">
        <f>IF([3]道具信息!L913="","",[3]道具信息!L913)</f>
        <v/>
      </c>
      <c r="M913" s="37" t="str">
        <f>IF([3]道具信息!M913="","",[3]道具信息!M913)</f>
        <v/>
      </c>
      <c r="N913" s="37"/>
      <c r="O913" s="37" t="str">
        <f>IF([3]道具信息!O913="","",[3]道具信息!O913)</f>
        <v/>
      </c>
      <c r="P913" s="37" t="str">
        <f>IF([3]道具信息!P913="","",[3]道具信息!P913)</f>
        <v/>
      </c>
      <c r="Q913" s="37" t="str">
        <f>IF([3]道具信息!Q913="","",[3]道具信息!Q913)</f>
        <v/>
      </c>
    </row>
    <row r="914" spans="3:17" x14ac:dyDescent="0.15">
      <c r="C914" s="37" t="str">
        <f>IF([3]道具信息!C914="","",[3]道具信息!C914)</f>
        <v/>
      </c>
      <c r="D914" s="37" t="str">
        <f>IF([3]道具信息!D914="","",[3]道具信息!D914)</f>
        <v/>
      </c>
      <c r="E914" s="37" t="str">
        <f>IF([3]道具信息!E914="","",[3]道具信息!E914)</f>
        <v/>
      </c>
      <c r="F914" s="37" t="str">
        <f>IF([3]道具信息!F914="","",[3]道具信息!F914)</f>
        <v/>
      </c>
      <c r="G914" s="37" t="str">
        <f>IF([3]道具信息!G914="","",[3]道具信息!G914)</f>
        <v/>
      </c>
      <c r="H914" s="37" t="str">
        <f>IF([3]道具信息!H914="","",[3]道具信息!H914)</f>
        <v/>
      </c>
      <c r="I914" s="37" t="str">
        <f>IF([3]道具信息!I914="","",[3]道具信息!I914)</f>
        <v/>
      </c>
      <c r="J914" s="37" t="str">
        <f>IF([3]道具信息!J914="","",[3]道具信息!J914)</f>
        <v/>
      </c>
      <c r="K914" s="37" t="str">
        <f>IF([3]道具信息!K914="","",[3]道具信息!K914)</f>
        <v/>
      </c>
      <c r="L914" s="37" t="str">
        <f>IF([3]道具信息!L914="","",[3]道具信息!L914)</f>
        <v/>
      </c>
      <c r="M914" s="37" t="str">
        <f>IF([3]道具信息!M914="","",[3]道具信息!M914)</f>
        <v/>
      </c>
      <c r="N914" s="37"/>
      <c r="O914" s="37" t="str">
        <f>IF([3]道具信息!O914="","",[3]道具信息!O914)</f>
        <v/>
      </c>
      <c r="P914" s="37" t="str">
        <f>IF([3]道具信息!P914="","",[3]道具信息!P914)</f>
        <v/>
      </c>
      <c r="Q914" s="37" t="str">
        <f>IF([3]道具信息!Q914="","",[3]道具信息!Q914)</f>
        <v/>
      </c>
    </row>
    <row r="915" spans="3:17" x14ac:dyDescent="0.15">
      <c r="C915" s="37" t="str">
        <f>IF([3]道具信息!C915="","",[3]道具信息!C915)</f>
        <v/>
      </c>
      <c r="D915" s="37" t="str">
        <f>IF([3]道具信息!D915="","",[3]道具信息!D915)</f>
        <v/>
      </c>
      <c r="E915" s="37" t="str">
        <f>IF([3]道具信息!E915="","",[3]道具信息!E915)</f>
        <v/>
      </c>
      <c r="F915" s="37" t="str">
        <f>IF([3]道具信息!F915="","",[3]道具信息!F915)</f>
        <v/>
      </c>
      <c r="G915" s="37" t="str">
        <f>IF([3]道具信息!G915="","",[3]道具信息!G915)</f>
        <v/>
      </c>
      <c r="H915" s="37" t="str">
        <f>IF([3]道具信息!H915="","",[3]道具信息!H915)</f>
        <v/>
      </c>
      <c r="I915" s="37" t="str">
        <f>IF([3]道具信息!I915="","",[3]道具信息!I915)</f>
        <v/>
      </c>
      <c r="J915" s="37" t="str">
        <f>IF([3]道具信息!J915="","",[3]道具信息!J915)</f>
        <v/>
      </c>
      <c r="K915" s="37" t="str">
        <f>IF([3]道具信息!K915="","",[3]道具信息!K915)</f>
        <v/>
      </c>
      <c r="L915" s="37" t="str">
        <f>IF([3]道具信息!L915="","",[3]道具信息!L915)</f>
        <v/>
      </c>
      <c r="M915" s="37" t="str">
        <f>IF([3]道具信息!M915="","",[3]道具信息!M915)</f>
        <v/>
      </c>
      <c r="N915" s="37"/>
      <c r="O915" s="37" t="str">
        <f>IF([3]道具信息!O915="","",[3]道具信息!O915)</f>
        <v/>
      </c>
      <c r="P915" s="37" t="str">
        <f>IF([3]道具信息!P915="","",[3]道具信息!P915)</f>
        <v/>
      </c>
      <c r="Q915" s="37" t="str">
        <f>IF([3]道具信息!Q915="","",[3]道具信息!Q915)</f>
        <v/>
      </c>
    </row>
    <row r="916" spans="3:17" x14ac:dyDescent="0.15">
      <c r="C916" s="37" t="str">
        <f>IF([3]道具信息!C916="","",[3]道具信息!C916)</f>
        <v/>
      </c>
      <c r="D916" s="37" t="str">
        <f>IF([3]道具信息!D916="","",[3]道具信息!D916)</f>
        <v/>
      </c>
      <c r="E916" s="37" t="str">
        <f>IF([3]道具信息!E916="","",[3]道具信息!E916)</f>
        <v/>
      </c>
      <c r="F916" s="37" t="str">
        <f>IF([3]道具信息!F916="","",[3]道具信息!F916)</f>
        <v/>
      </c>
      <c r="G916" s="37" t="str">
        <f>IF([3]道具信息!G916="","",[3]道具信息!G916)</f>
        <v/>
      </c>
      <c r="H916" s="37" t="str">
        <f>IF([3]道具信息!H916="","",[3]道具信息!H916)</f>
        <v/>
      </c>
      <c r="I916" s="37" t="str">
        <f>IF([3]道具信息!I916="","",[3]道具信息!I916)</f>
        <v/>
      </c>
      <c r="J916" s="37" t="str">
        <f>IF([3]道具信息!J916="","",[3]道具信息!J916)</f>
        <v/>
      </c>
      <c r="K916" s="37" t="str">
        <f>IF([3]道具信息!K916="","",[3]道具信息!K916)</f>
        <v/>
      </c>
      <c r="L916" s="37" t="str">
        <f>IF([3]道具信息!L916="","",[3]道具信息!L916)</f>
        <v/>
      </c>
      <c r="M916" s="37" t="str">
        <f>IF([3]道具信息!M916="","",[3]道具信息!M916)</f>
        <v/>
      </c>
      <c r="N916" s="37"/>
      <c r="O916" s="37" t="str">
        <f>IF([3]道具信息!O916="","",[3]道具信息!O916)</f>
        <v/>
      </c>
      <c r="P916" s="37" t="str">
        <f>IF([3]道具信息!P916="","",[3]道具信息!P916)</f>
        <v/>
      </c>
      <c r="Q916" s="37" t="str">
        <f>IF([3]道具信息!Q916="","",[3]道具信息!Q916)</f>
        <v/>
      </c>
    </row>
    <row r="917" spans="3:17" x14ac:dyDescent="0.15">
      <c r="C917" s="37" t="str">
        <f>IF([3]道具信息!C917="","",[3]道具信息!C917)</f>
        <v/>
      </c>
      <c r="D917" s="37" t="str">
        <f>IF([3]道具信息!D917="","",[3]道具信息!D917)</f>
        <v/>
      </c>
      <c r="E917" s="37" t="str">
        <f>IF([3]道具信息!E917="","",[3]道具信息!E917)</f>
        <v/>
      </c>
      <c r="F917" s="37" t="str">
        <f>IF([3]道具信息!F917="","",[3]道具信息!F917)</f>
        <v/>
      </c>
      <c r="G917" s="37" t="str">
        <f>IF([3]道具信息!G917="","",[3]道具信息!G917)</f>
        <v/>
      </c>
      <c r="H917" s="37" t="str">
        <f>IF([3]道具信息!H917="","",[3]道具信息!H917)</f>
        <v/>
      </c>
      <c r="I917" s="37" t="str">
        <f>IF([3]道具信息!I917="","",[3]道具信息!I917)</f>
        <v/>
      </c>
      <c r="J917" s="37" t="str">
        <f>IF([3]道具信息!J917="","",[3]道具信息!J917)</f>
        <v/>
      </c>
      <c r="K917" s="37" t="str">
        <f>IF([3]道具信息!K917="","",[3]道具信息!K917)</f>
        <v/>
      </c>
      <c r="L917" s="37" t="str">
        <f>IF([3]道具信息!L917="","",[3]道具信息!L917)</f>
        <v/>
      </c>
      <c r="M917" s="37" t="str">
        <f>IF([3]道具信息!M917="","",[3]道具信息!M917)</f>
        <v/>
      </c>
      <c r="N917" s="37"/>
      <c r="O917" s="37" t="str">
        <f>IF([3]道具信息!O917="","",[3]道具信息!O917)</f>
        <v/>
      </c>
      <c r="P917" s="37" t="str">
        <f>IF([3]道具信息!P917="","",[3]道具信息!P917)</f>
        <v/>
      </c>
      <c r="Q917" s="37" t="str">
        <f>IF([3]道具信息!Q917="","",[3]道具信息!Q917)</f>
        <v/>
      </c>
    </row>
    <row r="918" spans="3:17" x14ac:dyDescent="0.15">
      <c r="C918" s="37" t="str">
        <f>IF([3]道具信息!C918="","",[3]道具信息!C918)</f>
        <v/>
      </c>
      <c r="D918" s="37" t="str">
        <f>IF([3]道具信息!D918="","",[3]道具信息!D918)</f>
        <v/>
      </c>
      <c r="E918" s="37" t="str">
        <f>IF([3]道具信息!E918="","",[3]道具信息!E918)</f>
        <v/>
      </c>
      <c r="F918" s="37" t="str">
        <f>IF([3]道具信息!F918="","",[3]道具信息!F918)</f>
        <v/>
      </c>
      <c r="G918" s="37" t="str">
        <f>IF([3]道具信息!G918="","",[3]道具信息!G918)</f>
        <v/>
      </c>
      <c r="H918" s="37" t="str">
        <f>IF([3]道具信息!H918="","",[3]道具信息!H918)</f>
        <v/>
      </c>
      <c r="I918" s="37" t="str">
        <f>IF([3]道具信息!I918="","",[3]道具信息!I918)</f>
        <v/>
      </c>
      <c r="J918" s="37" t="str">
        <f>IF([3]道具信息!J918="","",[3]道具信息!J918)</f>
        <v/>
      </c>
      <c r="K918" s="37" t="str">
        <f>IF([3]道具信息!K918="","",[3]道具信息!K918)</f>
        <v/>
      </c>
      <c r="L918" s="37" t="str">
        <f>IF([3]道具信息!L918="","",[3]道具信息!L918)</f>
        <v/>
      </c>
      <c r="M918" s="37" t="str">
        <f>IF([3]道具信息!M918="","",[3]道具信息!M918)</f>
        <v/>
      </c>
      <c r="N918" s="37"/>
      <c r="O918" s="37" t="str">
        <f>IF([3]道具信息!O918="","",[3]道具信息!O918)</f>
        <v/>
      </c>
      <c r="P918" s="37" t="str">
        <f>IF([3]道具信息!P918="","",[3]道具信息!P918)</f>
        <v/>
      </c>
      <c r="Q918" s="37" t="str">
        <f>IF([3]道具信息!Q918="","",[3]道具信息!Q918)</f>
        <v/>
      </c>
    </row>
    <row r="919" spans="3:17" x14ac:dyDescent="0.15">
      <c r="C919" s="37" t="str">
        <f>IF([3]道具信息!C919="","",[3]道具信息!C919)</f>
        <v/>
      </c>
      <c r="D919" s="37" t="str">
        <f>IF([3]道具信息!D919="","",[3]道具信息!D919)</f>
        <v/>
      </c>
      <c r="E919" s="37" t="str">
        <f>IF([3]道具信息!E919="","",[3]道具信息!E919)</f>
        <v/>
      </c>
      <c r="F919" s="37" t="str">
        <f>IF([3]道具信息!F919="","",[3]道具信息!F919)</f>
        <v/>
      </c>
      <c r="G919" s="37" t="str">
        <f>IF([3]道具信息!G919="","",[3]道具信息!G919)</f>
        <v/>
      </c>
      <c r="H919" s="37" t="str">
        <f>IF([3]道具信息!H919="","",[3]道具信息!H919)</f>
        <v/>
      </c>
      <c r="I919" s="37" t="str">
        <f>IF([3]道具信息!I919="","",[3]道具信息!I919)</f>
        <v/>
      </c>
      <c r="J919" s="37" t="str">
        <f>IF([3]道具信息!J919="","",[3]道具信息!J919)</f>
        <v/>
      </c>
      <c r="K919" s="37" t="str">
        <f>IF([3]道具信息!K919="","",[3]道具信息!K919)</f>
        <v/>
      </c>
      <c r="L919" s="37" t="str">
        <f>IF([3]道具信息!L919="","",[3]道具信息!L919)</f>
        <v/>
      </c>
      <c r="M919" s="37" t="str">
        <f>IF([3]道具信息!M919="","",[3]道具信息!M919)</f>
        <v/>
      </c>
      <c r="N919" s="37"/>
      <c r="O919" s="37" t="str">
        <f>IF([3]道具信息!O919="","",[3]道具信息!O919)</f>
        <v/>
      </c>
      <c r="P919" s="37" t="str">
        <f>IF([3]道具信息!P919="","",[3]道具信息!P919)</f>
        <v/>
      </c>
      <c r="Q919" s="37" t="str">
        <f>IF([3]道具信息!Q919="","",[3]道具信息!Q919)</f>
        <v/>
      </c>
    </row>
    <row r="920" spans="3:17" x14ac:dyDescent="0.15">
      <c r="C920" s="37" t="str">
        <f>IF([3]道具信息!C920="","",[3]道具信息!C920)</f>
        <v/>
      </c>
      <c r="D920" s="37" t="str">
        <f>IF([3]道具信息!D920="","",[3]道具信息!D920)</f>
        <v/>
      </c>
      <c r="E920" s="37" t="str">
        <f>IF([3]道具信息!E920="","",[3]道具信息!E920)</f>
        <v/>
      </c>
      <c r="F920" s="37" t="str">
        <f>IF([3]道具信息!F920="","",[3]道具信息!F920)</f>
        <v/>
      </c>
      <c r="G920" s="37" t="str">
        <f>IF([3]道具信息!G920="","",[3]道具信息!G920)</f>
        <v/>
      </c>
      <c r="H920" s="37" t="str">
        <f>IF([3]道具信息!H920="","",[3]道具信息!H920)</f>
        <v/>
      </c>
      <c r="I920" s="37" t="str">
        <f>IF([3]道具信息!I920="","",[3]道具信息!I920)</f>
        <v/>
      </c>
      <c r="J920" s="37" t="str">
        <f>IF([3]道具信息!J920="","",[3]道具信息!J920)</f>
        <v/>
      </c>
      <c r="K920" s="37" t="str">
        <f>IF([3]道具信息!K920="","",[3]道具信息!K920)</f>
        <v/>
      </c>
      <c r="L920" s="37" t="str">
        <f>IF([3]道具信息!L920="","",[3]道具信息!L920)</f>
        <v/>
      </c>
      <c r="M920" s="37" t="str">
        <f>IF([3]道具信息!M920="","",[3]道具信息!M920)</f>
        <v/>
      </c>
      <c r="N920" s="37"/>
      <c r="O920" s="37" t="str">
        <f>IF([3]道具信息!O920="","",[3]道具信息!O920)</f>
        <v/>
      </c>
      <c r="P920" s="37" t="str">
        <f>IF([3]道具信息!P920="","",[3]道具信息!P920)</f>
        <v/>
      </c>
      <c r="Q920" s="37" t="str">
        <f>IF([3]道具信息!Q920="","",[3]道具信息!Q920)</f>
        <v/>
      </c>
    </row>
    <row r="921" spans="3:17" x14ac:dyDescent="0.15">
      <c r="C921" s="37" t="str">
        <f>IF([3]道具信息!C921="","",[3]道具信息!C921)</f>
        <v/>
      </c>
      <c r="D921" s="37" t="str">
        <f>IF([3]道具信息!D921="","",[3]道具信息!D921)</f>
        <v/>
      </c>
      <c r="E921" s="37" t="str">
        <f>IF([3]道具信息!E921="","",[3]道具信息!E921)</f>
        <v/>
      </c>
      <c r="F921" s="37" t="str">
        <f>IF([3]道具信息!F921="","",[3]道具信息!F921)</f>
        <v/>
      </c>
      <c r="G921" s="37" t="str">
        <f>IF([3]道具信息!G921="","",[3]道具信息!G921)</f>
        <v/>
      </c>
      <c r="H921" s="37" t="str">
        <f>IF([3]道具信息!H921="","",[3]道具信息!H921)</f>
        <v/>
      </c>
      <c r="I921" s="37" t="str">
        <f>IF([3]道具信息!I921="","",[3]道具信息!I921)</f>
        <v/>
      </c>
      <c r="J921" s="37" t="str">
        <f>IF([3]道具信息!J921="","",[3]道具信息!J921)</f>
        <v/>
      </c>
      <c r="K921" s="37" t="str">
        <f>IF([3]道具信息!K921="","",[3]道具信息!K921)</f>
        <v/>
      </c>
      <c r="L921" s="37" t="str">
        <f>IF([3]道具信息!L921="","",[3]道具信息!L921)</f>
        <v/>
      </c>
      <c r="M921" s="37" t="str">
        <f>IF([3]道具信息!M921="","",[3]道具信息!M921)</f>
        <v/>
      </c>
      <c r="N921" s="37"/>
      <c r="O921" s="37" t="str">
        <f>IF([3]道具信息!O921="","",[3]道具信息!O921)</f>
        <v/>
      </c>
      <c r="P921" s="37" t="str">
        <f>IF([3]道具信息!P921="","",[3]道具信息!P921)</f>
        <v/>
      </c>
      <c r="Q921" s="37" t="str">
        <f>IF([3]道具信息!Q921="","",[3]道具信息!Q921)</f>
        <v/>
      </c>
    </row>
    <row r="922" spans="3:17" x14ac:dyDescent="0.15">
      <c r="C922" s="37" t="str">
        <f>IF([3]道具信息!C922="","",[3]道具信息!C922)</f>
        <v/>
      </c>
      <c r="D922" s="37" t="str">
        <f>IF([3]道具信息!D922="","",[3]道具信息!D922)</f>
        <v/>
      </c>
      <c r="E922" s="37" t="str">
        <f>IF([3]道具信息!E922="","",[3]道具信息!E922)</f>
        <v/>
      </c>
      <c r="F922" s="37" t="str">
        <f>IF([3]道具信息!F922="","",[3]道具信息!F922)</f>
        <v/>
      </c>
      <c r="G922" s="37" t="str">
        <f>IF([3]道具信息!G922="","",[3]道具信息!G922)</f>
        <v/>
      </c>
      <c r="H922" s="37" t="str">
        <f>IF([3]道具信息!H922="","",[3]道具信息!H922)</f>
        <v/>
      </c>
      <c r="I922" s="37" t="str">
        <f>IF([3]道具信息!I922="","",[3]道具信息!I922)</f>
        <v/>
      </c>
      <c r="J922" s="37" t="str">
        <f>IF([3]道具信息!J922="","",[3]道具信息!J922)</f>
        <v/>
      </c>
      <c r="K922" s="37" t="str">
        <f>IF([3]道具信息!K922="","",[3]道具信息!K922)</f>
        <v/>
      </c>
      <c r="L922" s="37" t="str">
        <f>IF([3]道具信息!L922="","",[3]道具信息!L922)</f>
        <v/>
      </c>
      <c r="M922" s="37" t="str">
        <f>IF([3]道具信息!M922="","",[3]道具信息!M922)</f>
        <v/>
      </c>
      <c r="N922" s="37"/>
      <c r="O922" s="37" t="str">
        <f>IF([3]道具信息!O922="","",[3]道具信息!O922)</f>
        <v/>
      </c>
      <c r="P922" s="37" t="str">
        <f>IF([3]道具信息!P922="","",[3]道具信息!P922)</f>
        <v/>
      </c>
      <c r="Q922" s="37" t="str">
        <f>IF([3]道具信息!Q922="","",[3]道具信息!Q922)</f>
        <v/>
      </c>
    </row>
    <row r="923" spans="3:17" x14ac:dyDescent="0.15">
      <c r="C923" s="37" t="str">
        <f>IF([3]道具信息!C923="","",[3]道具信息!C923)</f>
        <v/>
      </c>
      <c r="D923" s="37" t="str">
        <f>IF([3]道具信息!D923="","",[3]道具信息!D923)</f>
        <v/>
      </c>
      <c r="E923" s="37" t="str">
        <f>IF([3]道具信息!E923="","",[3]道具信息!E923)</f>
        <v/>
      </c>
      <c r="F923" s="37" t="str">
        <f>IF([3]道具信息!F923="","",[3]道具信息!F923)</f>
        <v/>
      </c>
      <c r="G923" s="37" t="str">
        <f>IF([3]道具信息!G923="","",[3]道具信息!G923)</f>
        <v/>
      </c>
      <c r="H923" s="37" t="str">
        <f>IF([3]道具信息!H923="","",[3]道具信息!H923)</f>
        <v/>
      </c>
      <c r="I923" s="37" t="str">
        <f>IF([3]道具信息!I923="","",[3]道具信息!I923)</f>
        <v/>
      </c>
      <c r="J923" s="37" t="str">
        <f>IF([3]道具信息!J923="","",[3]道具信息!J923)</f>
        <v/>
      </c>
      <c r="K923" s="37" t="str">
        <f>IF([3]道具信息!K923="","",[3]道具信息!K923)</f>
        <v/>
      </c>
      <c r="L923" s="37" t="str">
        <f>IF([3]道具信息!L923="","",[3]道具信息!L923)</f>
        <v/>
      </c>
      <c r="M923" s="37" t="str">
        <f>IF([3]道具信息!M923="","",[3]道具信息!M923)</f>
        <v/>
      </c>
      <c r="N923" s="37"/>
      <c r="O923" s="37" t="str">
        <f>IF([3]道具信息!O923="","",[3]道具信息!O923)</f>
        <v/>
      </c>
      <c r="P923" s="37" t="str">
        <f>IF([3]道具信息!P923="","",[3]道具信息!P923)</f>
        <v/>
      </c>
      <c r="Q923" s="37" t="str">
        <f>IF([3]道具信息!Q923="","",[3]道具信息!Q923)</f>
        <v/>
      </c>
    </row>
    <row r="924" spans="3:17" x14ac:dyDescent="0.15">
      <c r="C924" s="37" t="str">
        <f>IF([3]道具信息!C924="","",[3]道具信息!C924)</f>
        <v/>
      </c>
      <c r="D924" s="37" t="str">
        <f>IF([3]道具信息!D924="","",[3]道具信息!D924)</f>
        <v/>
      </c>
      <c r="E924" s="37" t="str">
        <f>IF([3]道具信息!E924="","",[3]道具信息!E924)</f>
        <v/>
      </c>
      <c r="F924" s="37" t="str">
        <f>IF([3]道具信息!F924="","",[3]道具信息!F924)</f>
        <v/>
      </c>
      <c r="G924" s="37" t="str">
        <f>IF([3]道具信息!G924="","",[3]道具信息!G924)</f>
        <v/>
      </c>
      <c r="H924" s="37" t="str">
        <f>IF([3]道具信息!H924="","",[3]道具信息!H924)</f>
        <v/>
      </c>
      <c r="I924" s="37" t="str">
        <f>IF([3]道具信息!I924="","",[3]道具信息!I924)</f>
        <v/>
      </c>
      <c r="J924" s="37" t="str">
        <f>IF([3]道具信息!J924="","",[3]道具信息!J924)</f>
        <v/>
      </c>
      <c r="K924" s="37" t="str">
        <f>IF([3]道具信息!K924="","",[3]道具信息!K924)</f>
        <v/>
      </c>
      <c r="L924" s="37" t="str">
        <f>IF([3]道具信息!L924="","",[3]道具信息!L924)</f>
        <v/>
      </c>
      <c r="M924" s="37" t="str">
        <f>IF([3]道具信息!M924="","",[3]道具信息!M924)</f>
        <v/>
      </c>
      <c r="N924" s="37"/>
      <c r="O924" s="37" t="str">
        <f>IF([3]道具信息!O924="","",[3]道具信息!O924)</f>
        <v/>
      </c>
      <c r="P924" s="37" t="str">
        <f>IF([3]道具信息!P924="","",[3]道具信息!P924)</f>
        <v/>
      </c>
      <c r="Q924" s="37" t="str">
        <f>IF([3]道具信息!Q924="","",[3]道具信息!Q924)</f>
        <v/>
      </c>
    </row>
    <row r="925" spans="3:17" x14ac:dyDescent="0.15">
      <c r="C925" s="37" t="str">
        <f>IF([3]道具信息!C925="","",[3]道具信息!C925)</f>
        <v/>
      </c>
      <c r="D925" s="37" t="str">
        <f>IF([3]道具信息!D925="","",[3]道具信息!D925)</f>
        <v/>
      </c>
      <c r="E925" s="37" t="str">
        <f>IF([3]道具信息!E925="","",[3]道具信息!E925)</f>
        <v/>
      </c>
      <c r="F925" s="37" t="str">
        <f>IF([3]道具信息!F925="","",[3]道具信息!F925)</f>
        <v/>
      </c>
      <c r="G925" s="37" t="str">
        <f>IF([3]道具信息!G925="","",[3]道具信息!G925)</f>
        <v/>
      </c>
      <c r="H925" s="37" t="str">
        <f>IF([3]道具信息!H925="","",[3]道具信息!H925)</f>
        <v/>
      </c>
      <c r="I925" s="37" t="str">
        <f>IF([3]道具信息!I925="","",[3]道具信息!I925)</f>
        <v/>
      </c>
      <c r="J925" s="37" t="str">
        <f>IF([3]道具信息!J925="","",[3]道具信息!J925)</f>
        <v/>
      </c>
      <c r="K925" s="37" t="str">
        <f>IF([3]道具信息!K925="","",[3]道具信息!K925)</f>
        <v/>
      </c>
      <c r="L925" s="37" t="str">
        <f>IF([3]道具信息!L925="","",[3]道具信息!L925)</f>
        <v/>
      </c>
      <c r="M925" s="37" t="str">
        <f>IF([3]道具信息!M925="","",[3]道具信息!M925)</f>
        <v/>
      </c>
      <c r="N925" s="37"/>
      <c r="O925" s="37" t="str">
        <f>IF([3]道具信息!O925="","",[3]道具信息!O925)</f>
        <v/>
      </c>
      <c r="P925" s="37" t="str">
        <f>IF([3]道具信息!P925="","",[3]道具信息!P925)</f>
        <v/>
      </c>
      <c r="Q925" s="37" t="str">
        <f>IF([3]道具信息!Q925="","",[3]道具信息!Q925)</f>
        <v/>
      </c>
    </row>
    <row r="926" spans="3:17" x14ac:dyDescent="0.15">
      <c r="C926" s="37" t="str">
        <f>IF([3]道具信息!C926="","",[3]道具信息!C926)</f>
        <v/>
      </c>
      <c r="D926" s="37" t="str">
        <f>IF([3]道具信息!D926="","",[3]道具信息!D926)</f>
        <v/>
      </c>
      <c r="E926" s="37" t="str">
        <f>IF([3]道具信息!E926="","",[3]道具信息!E926)</f>
        <v/>
      </c>
      <c r="F926" s="37" t="str">
        <f>IF([3]道具信息!F926="","",[3]道具信息!F926)</f>
        <v/>
      </c>
      <c r="G926" s="37" t="str">
        <f>IF([3]道具信息!G926="","",[3]道具信息!G926)</f>
        <v/>
      </c>
      <c r="H926" s="37" t="str">
        <f>IF([3]道具信息!H926="","",[3]道具信息!H926)</f>
        <v/>
      </c>
      <c r="I926" s="37" t="str">
        <f>IF([3]道具信息!I926="","",[3]道具信息!I926)</f>
        <v/>
      </c>
      <c r="J926" s="37" t="str">
        <f>IF([3]道具信息!J926="","",[3]道具信息!J926)</f>
        <v/>
      </c>
      <c r="K926" s="37" t="str">
        <f>IF([3]道具信息!K926="","",[3]道具信息!K926)</f>
        <v/>
      </c>
      <c r="L926" s="37" t="str">
        <f>IF([3]道具信息!L926="","",[3]道具信息!L926)</f>
        <v/>
      </c>
      <c r="M926" s="37" t="str">
        <f>IF([3]道具信息!M926="","",[3]道具信息!M926)</f>
        <v/>
      </c>
      <c r="N926" s="37"/>
      <c r="O926" s="37" t="str">
        <f>IF([3]道具信息!O926="","",[3]道具信息!O926)</f>
        <v/>
      </c>
      <c r="P926" s="37" t="str">
        <f>IF([3]道具信息!P926="","",[3]道具信息!P926)</f>
        <v/>
      </c>
      <c r="Q926" s="37" t="str">
        <f>IF([3]道具信息!Q926="","",[3]道具信息!Q926)</f>
        <v/>
      </c>
    </row>
    <row r="927" spans="3:17" x14ac:dyDescent="0.15">
      <c r="C927" s="37" t="str">
        <f>IF([3]道具信息!C927="","",[3]道具信息!C927)</f>
        <v/>
      </c>
      <c r="D927" s="37" t="str">
        <f>IF([3]道具信息!D927="","",[3]道具信息!D927)</f>
        <v/>
      </c>
      <c r="E927" s="37" t="str">
        <f>IF([3]道具信息!E927="","",[3]道具信息!E927)</f>
        <v/>
      </c>
      <c r="F927" s="37" t="str">
        <f>IF([3]道具信息!F927="","",[3]道具信息!F927)</f>
        <v/>
      </c>
      <c r="G927" s="37" t="str">
        <f>IF([3]道具信息!G927="","",[3]道具信息!G927)</f>
        <v/>
      </c>
      <c r="H927" s="37" t="str">
        <f>IF([3]道具信息!H927="","",[3]道具信息!H927)</f>
        <v/>
      </c>
      <c r="I927" s="37" t="str">
        <f>IF([3]道具信息!I927="","",[3]道具信息!I927)</f>
        <v/>
      </c>
      <c r="J927" s="37" t="str">
        <f>IF([3]道具信息!J927="","",[3]道具信息!J927)</f>
        <v/>
      </c>
      <c r="K927" s="37" t="str">
        <f>IF([3]道具信息!K927="","",[3]道具信息!K927)</f>
        <v/>
      </c>
      <c r="L927" s="37" t="str">
        <f>IF([3]道具信息!L927="","",[3]道具信息!L927)</f>
        <v/>
      </c>
      <c r="M927" s="37" t="str">
        <f>IF([3]道具信息!M927="","",[3]道具信息!M927)</f>
        <v/>
      </c>
      <c r="N927" s="37"/>
      <c r="O927" s="37" t="str">
        <f>IF([3]道具信息!O927="","",[3]道具信息!O927)</f>
        <v/>
      </c>
      <c r="P927" s="37" t="str">
        <f>IF([3]道具信息!P927="","",[3]道具信息!P927)</f>
        <v/>
      </c>
      <c r="Q927" s="37" t="str">
        <f>IF([3]道具信息!Q927="","",[3]道具信息!Q927)</f>
        <v/>
      </c>
    </row>
    <row r="928" spans="3:17" x14ac:dyDescent="0.15">
      <c r="C928" s="37" t="str">
        <f>IF([3]道具信息!C928="","",[3]道具信息!C928)</f>
        <v/>
      </c>
      <c r="D928" s="37" t="str">
        <f>IF([3]道具信息!D928="","",[3]道具信息!D928)</f>
        <v/>
      </c>
      <c r="E928" s="37" t="str">
        <f>IF([3]道具信息!E928="","",[3]道具信息!E928)</f>
        <v/>
      </c>
      <c r="F928" s="37" t="str">
        <f>IF([3]道具信息!F928="","",[3]道具信息!F928)</f>
        <v/>
      </c>
      <c r="G928" s="37" t="str">
        <f>IF([3]道具信息!G928="","",[3]道具信息!G928)</f>
        <v/>
      </c>
      <c r="H928" s="37" t="str">
        <f>IF([3]道具信息!H928="","",[3]道具信息!H928)</f>
        <v/>
      </c>
      <c r="I928" s="37" t="str">
        <f>IF([3]道具信息!I928="","",[3]道具信息!I928)</f>
        <v/>
      </c>
      <c r="J928" s="37" t="str">
        <f>IF([3]道具信息!J928="","",[3]道具信息!J928)</f>
        <v/>
      </c>
      <c r="K928" s="37" t="str">
        <f>IF([3]道具信息!K928="","",[3]道具信息!K928)</f>
        <v/>
      </c>
      <c r="L928" s="37" t="str">
        <f>IF([3]道具信息!L928="","",[3]道具信息!L928)</f>
        <v/>
      </c>
      <c r="M928" s="37" t="str">
        <f>IF([3]道具信息!M928="","",[3]道具信息!M928)</f>
        <v/>
      </c>
      <c r="N928" s="37"/>
      <c r="O928" s="37" t="str">
        <f>IF([3]道具信息!O928="","",[3]道具信息!O928)</f>
        <v/>
      </c>
      <c r="P928" s="37" t="str">
        <f>IF([3]道具信息!P928="","",[3]道具信息!P928)</f>
        <v/>
      </c>
      <c r="Q928" s="37" t="str">
        <f>IF([3]道具信息!Q928="","",[3]道具信息!Q928)</f>
        <v/>
      </c>
    </row>
    <row r="929" spans="3:17" x14ac:dyDescent="0.15">
      <c r="C929" s="37" t="str">
        <f>IF([3]道具信息!C929="","",[3]道具信息!C929)</f>
        <v/>
      </c>
      <c r="D929" s="37" t="str">
        <f>IF([3]道具信息!D929="","",[3]道具信息!D929)</f>
        <v/>
      </c>
      <c r="E929" s="37" t="str">
        <f>IF([3]道具信息!E929="","",[3]道具信息!E929)</f>
        <v/>
      </c>
      <c r="F929" s="37" t="str">
        <f>IF([3]道具信息!F929="","",[3]道具信息!F929)</f>
        <v/>
      </c>
      <c r="G929" s="37" t="str">
        <f>IF([3]道具信息!G929="","",[3]道具信息!G929)</f>
        <v/>
      </c>
      <c r="H929" s="37" t="str">
        <f>IF([3]道具信息!H929="","",[3]道具信息!H929)</f>
        <v/>
      </c>
      <c r="I929" s="37" t="str">
        <f>IF([3]道具信息!I929="","",[3]道具信息!I929)</f>
        <v/>
      </c>
      <c r="J929" s="37" t="str">
        <f>IF([3]道具信息!J929="","",[3]道具信息!J929)</f>
        <v/>
      </c>
      <c r="K929" s="37" t="str">
        <f>IF([3]道具信息!K929="","",[3]道具信息!K929)</f>
        <v/>
      </c>
      <c r="L929" s="37" t="str">
        <f>IF([3]道具信息!L929="","",[3]道具信息!L929)</f>
        <v/>
      </c>
      <c r="M929" s="37" t="str">
        <f>IF([3]道具信息!M929="","",[3]道具信息!M929)</f>
        <v/>
      </c>
      <c r="N929" s="37"/>
      <c r="O929" s="37" t="str">
        <f>IF([3]道具信息!O929="","",[3]道具信息!O929)</f>
        <v/>
      </c>
      <c r="P929" s="37" t="str">
        <f>IF([3]道具信息!P929="","",[3]道具信息!P929)</f>
        <v/>
      </c>
      <c r="Q929" s="37" t="str">
        <f>IF([3]道具信息!Q929="","",[3]道具信息!Q929)</f>
        <v/>
      </c>
    </row>
    <row r="930" spans="3:17" x14ac:dyDescent="0.15">
      <c r="C930" s="37" t="str">
        <f>IF([3]道具信息!C930="","",[3]道具信息!C930)</f>
        <v/>
      </c>
      <c r="D930" s="37" t="str">
        <f>IF([3]道具信息!D930="","",[3]道具信息!D930)</f>
        <v/>
      </c>
      <c r="E930" s="37" t="str">
        <f>IF([3]道具信息!E930="","",[3]道具信息!E930)</f>
        <v/>
      </c>
      <c r="F930" s="37" t="str">
        <f>IF([3]道具信息!F930="","",[3]道具信息!F930)</f>
        <v/>
      </c>
      <c r="G930" s="37" t="str">
        <f>IF([3]道具信息!G930="","",[3]道具信息!G930)</f>
        <v/>
      </c>
      <c r="H930" s="37" t="str">
        <f>IF([3]道具信息!H930="","",[3]道具信息!H930)</f>
        <v/>
      </c>
      <c r="I930" s="37" t="str">
        <f>IF([3]道具信息!I930="","",[3]道具信息!I930)</f>
        <v/>
      </c>
      <c r="J930" s="37" t="str">
        <f>IF([3]道具信息!J930="","",[3]道具信息!J930)</f>
        <v/>
      </c>
      <c r="K930" s="37" t="str">
        <f>IF([3]道具信息!K930="","",[3]道具信息!K930)</f>
        <v/>
      </c>
      <c r="L930" s="37" t="str">
        <f>IF([3]道具信息!L930="","",[3]道具信息!L930)</f>
        <v/>
      </c>
      <c r="M930" s="37" t="str">
        <f>IF([3]道具信息!M930="","",[3]道具信息!M930)</f>
        <v/>
      </c>
      <c r="N930" s="37"/>
      <c r="O930" s="37" t="str">
        <f>IF([3]道具信息!O930="","",[3]道具信息!O930)</f>
        <v/>
      </c>
      <c r="P930" s="37" t="str">
        <f>IF([3]道具信息!P930="","",[3]道具信息!P930)</f>
        <v/>
      </c>
      <c r="Q930" s="37" t="str">
        <f>IF([3]道具信息!Q930="","",[3]道具信息!Q930)</f>
        <v/>
      </c>
    </row>
    <row r="931" spans="3:17" x14ac:dyDescent="0.15">
      <c r="C931" s="37" t="str">
        <f>IF([3]道具信息!C931="","",[3]道具信息!C931)</f>
        <v/>
      </c>
      <c r="D931" s="37" t="str">
        <f>IF([3]道具信息!D931="","",[3]道具信息!D931)</f>
        <v/>
      </c>
      <c r="E931" s="37" t="str">
        <f>IF([3]道具信息!E931="","",[3]道具信息!E931)</f>
        <v/>
      </c>
      <c r="F931" s="37" t="str">
        <f>IF([3]道具信息!F931="","",[3]道具信息!F931)</f>
        <v/>
      </c>
      <c r="G931" s="37" t="str">
        <f>IF([3]道具信息!G931="","",[3]道具信息!G931)</f>
        <v/>
      </c>
      <c r="H931" s="37" t="str">
        <f>IF([3]道具信息!H931="","",[3]道具信息!H931)</f>
        <v/>
      </c>
      <c r="I931" s="37" t="str">
        <f>IF([3]道具信息!I931="","",[3]道具信息!I931)</f>
        <v/>
      </c>
      <c r="J931" s="37" t="str">
        <f>IF([3]道具信息!J931="","",[3]道具信息!J931)</f>
        <v/>
      </c>
      <c r="K931" s="37" t="str">
        <f>IF([3]道具信息!K931="","",[3]道具信息!K931)</f>
        <v/>
      </c>
      <c r="L931" s="37" t="str">
        <f>IF([3]道具信息!L931="","",[3]道具信息!L931)</f>
        <v/>
      </c>
      <c r="M931" s="37" t="str">
        <f>IF([3]道具信息!M931="","",[3]道具信息!M931)</f>
        <v/>
      </c>
      <c r="N931" s="37"/>
      <c r="O931" s="37" t="str">
        <f>IF([3]道具信息!O931="","",[3]道具信息!O931)</f>
        <v/>
      </c>
      <c r="P931" s="37" t="str">
        <f>IF([3]道具信息!P931="","",[3]道具信息!P931)</f>
        <v/>
      </c>
      <c r="Q931" s="37" t="str">
        <f>IF([3]道具信息!Q931="","",[3]道具信息!Q931)</f>
        <v/>
      </c>
    </row>
    <row r="932" spans="3:17" x14ac:dyDescent="0.15">
      <c r="C932" s="37" t="str">
        <f>IF([3]道具信息!C932="","",[3]道具信息!C932)</f>
        <v/>
      </c>
      <c r="D932" s="37" t="str">
        <f>IF([3]道具信息!D932="","",[3]道具信息!D932)</f>
        <v/>
      </c>
      <c r="E932" s="37" t="str">
        <f>IF([3]道具信息!E932="","",[3]道具信息!E932)</f>
        <v/>
      </c>
      <c r="F932" s="37" t="str">
        <f>IF([3]道具信息!F932="","",[3]道具信息!F932)</f>
        <v/>
      </c>
      <c r="G932" s="37" t="str">
        <f>IF([3]道具信息!G932="","",[3]道具信息!G932)</f>
        <v/>
      </c>
      <c r="H932" s="37" t="str">
        <f>IF([3]道具信息!H932="","",[3]道具信息!H932)</f>
        <v/>
      </c>
      <c r="I932" s="37" t="str">
        <f>IF([3]道具信息!I932="","",[3]道具信息!I932)</f>
        <v/>
      </c>
      <c r="J932" s="37" t="str">
        <f>IF([3]道具信息!J932="","",[3]道具信息!J932)</f>
        <v/>
      </c>
      <c r="K932" s="37" t="str">
        <f>IF([3]道具信息!K932="","",[3]道具信息!K932)</f>
        <v/>
      </c>
      <c r="L932" s="37" t="str">
        <f>IF([3]道具信息!L932="","",[3]道具信息!L932)</f>
        <v/>
      </c>
      <c r="M932" s="37" t="str">
        <f>IF([3]道具信息!M932="","",[3]道具信息!M932)</f>
        <v/>
      </c>
      <c r="N932" s="37"/>
      <c r="O932" s="37" t="str">
        <f>IF([3]道具信息!O932="","",[3]道具信息!O932)</f>
        <v/>
      </c>
      <c r="P932" s="37" t="str">
        <f>IF([3]道具信息!P932="","",[3]道具信息!P932)</f>
        <v/>
      </c>
      <c r="Q932" s="37" t="str">
        <f>IF([3]道具信息!Q932="","",[3]道具信息!Q932)</f>
        <v/>
      </c>
    </row>
    <row r="933" spans="3:17" x14ac:dyDescent="0.15">
      <c r="C933" s="37" t="str">
        <f>IF([3]道具信息!C933="","",[3]道具信息!C933)</f>
        <v/>
      </c>
      <c r="D933" s="37" t="str">
        <f>IF([3]道具信息!D933="","",[3]道具信息!D933)</f>
        <v/>
      </c>
      <c r="E933" s="37" t="str">
        <f>IF([3]道具信息!E933="","",[3]道具信息!E933)</f>
        <v/>
      </c>
      <c r="F933" s="37" t="str">
        <f>IF([3]道具信息!F933="","",[3]道具信息!F933)</f>
        <v/>
      </c>
      <c r="G933" s="37" t="str">
        <f>IF([3]道具信息!G933="","",[3]道具信息!G933)</f>
        <v/>
      </c>
      <c r="H933" s="37" t="str">
        <f>IF([3]道具信息!H933="","",[3]道具信息!H933)</f>
        <v/>
      </c>
      <c r="I933" s="37" t="str">
        <f>IF([3]道具信息!I933="","",[3]道具信息!I933)</f>
        <v/>
      </c>
      <c r="J933" s="37" t="str">
        <f>IF([3]道具信息!J933="","",[3]道具信息!J933)</f>
        <v/>
      </c>
      <c r="K933" s="37" t="str">
        <f>IF([3]道具信息!K933="","",[3]道具信息!K933)</f>
        <v/>
      </c>
      <c r="L933" s="37" t="str">
        <f>IF([3]道具信息!L933="","",[3]道具信息!L933)</f>
        <v/>
      </c>
      <c r="M933" s="37" t="str">
        <f>IF([3]道具信息!M933="","",[3]道具信息!M933)</f>
        <v/>
      </c>
      <c r="N933" s="37"/>
      <c r="O933" s="37" t="str">
        <f>IF([3]道具信息!O933="","",[3]道具信息!O933)</f>
        <v/>
      </c>
      <c r="P933" s="37" t="str">
        <f>IF([3]道具信息!P933="","",[3]道具信息!P933)</f>
        <v/>
      </c>
      <c r="Q933" s="37" t="str">
        <f>IF([3]道具信息!Q933="","",[3]道具信息!Q933)</f>
        <v/>
      </c>
    </row>
    <row r="934" spans="3:17" x14ac:dyDescent="0.15">
      <c r="C934" s="37" t="str">
        <f>IF([3]道具信息!C934="","",[3]道具信息!C934)</f>
        <v/>
      </c>
      <c r="D934" s="37" t="str">
        <f>IF([3]道具信息!D934="","",[3]道具信息!D934)</f>
        <v/>
      </c>
      <c r="E934" s="37" t="str">
        <f>IF([3]道具信息!E934="","",[3]道具信息!E934)</f>
        <v/>
      </c>
      <c r="F934" s="37" t="str">
        <f>IF([3]道具信息!F934="","",[3]道具信息!F934)</f>
        <v/>
      </c>
      <c r="G934" s="37" t="str">
        <f>IF([3]道具信息!G934="","",[3]道具信息!G934)</f>
        <v/>
      </c>
      <c r="H934" s="37" t="str">
        <f>IF([3]道具信息!H934="","",[3]道具信息!H934)</f>
        <v/>
      </c>
      <c r="I934" s="37" t="str">
        <f>IF([3]道具信息!I934="","",[3]道具信息!I934)</f>
        <v/>
      </c>
      <c r="J934" s="37" t="str">
        <f>IF([3]道具信息!J934="","",[3]道具信息!J934)</f>
        <v/>
      </c>
      <c r="K934" s="37" t="str">
        <f>IF([3]道具信息!K934="","",[3]道具信息!K934)</f>
        <v/>
      </c>
      <c r="L934" s="37" t="str">
        <f>IF([3]道具信息!L934="","",[3]道具信息!L934)</f>
        <v/>
      </c>
      <c r="M934" s="37" t="str">
        <f>IF([3]道具信息!M934="","",[3]道具信息!M934)</f>
        <v/>
      </c>
      <c r="N934" s="37"/>
      <c r="O934" s="37" t="str">
        <f>IF([3]道具信息!O934="","",[3]道具信息!O934)</f>
        <v/>
      </c>
      <c r="P934" s="37" t="str">
        <f>IF([3]道具信息!P934="","",[3]道具信息!P934)</f>
        <v/>
      </c>
      <c r="Q934" s="37" t="str">
        <f>IF([3]道具信息!Q934="","",[3]道具信息!Q934)</f>
        <v/>
      </c>
    </row>
    <row r="935" spans="3:17" x14ac:dyDescent="0.15">
      <c r="C935" s="37" t="str">
        <f>IF([3]道具信息!C935="","",[3]道具信息!C935)</f>
        <v/>
      </c>
      <c r="D935" s="37" t="str">
        <f>IF([3]道具信息!D935="","",[3]道具信息!D935)</f>
        <v/>
      </c>
      <c r="E935" s="37" t="str">
        <f>IF([3]道具信息!E935="","",[3]道具信息!E935)</f>
        <v/>
      </c>
      <c r="F935" s="37" t="str">
        <f>IF([3]道具信息!F935="","",[3]道具信息!F935)</f>
        <v/>
      </c>
      <c r="G935" s="37" t="str">
        <f>IF([3]道具信息!G935="","",[3]道具信息!G935)</f>
        <v/>
      </c>
      <c r="H935" s="37" t="str">
        <f>IF([3]道具信息!H935="","",[3]道具信息!H935)</f>
        <v/>
      </c>
      <c r="I935" s="37" t="str">
        <f>IF([3]道具信息!I935="","",[3]道具信息!I935)</f>
        <v/>
      </c>
      <c r="J935" s="37" t="str">
        <f>IF([3]道具信息!J935="","",[3]道具信息!J935)</f>
        <v/>
      </c>
      <c r="K935" s="37" t="str">
        <f>IF([3]道具信息!K935="","",[3]道具信息!K935)</f>
        <v/>
      </c>
      <c r="L935" s="37" t="str">
        <f>IF([3]道具信息!L935="","",[3]道具信息!L935)</f>
        <v/>
      </c>
      <c r="M935" s="37" t="str">
        <f>IF([3]道具信息!M935="","",[3]道具信息!M935)</f>
        <v/>
      </c>
      <c r="N935" s="37"/>
      <c r="O935" s="37" t="str">
        <f>IF([3]道具信息!O935="","",[3]道具信息!O935)</f>
        <v/>
      </c>
      <c r="P935" s="37" t="str">
        <f>IF([3]道具信息!P935="","",[3]道具信息!P935)</f>
        <v/>
      </c>
      <c r="Q935" s="37" t="str">
        <f>IF([3]道具信息!Q935="","",[3]道具信息!Q935)</f>
        <v/>
      </c>
    </row>
    <row r="936" spans="3:17" x14ac:dyDescent="0.15">
      <c r="C936" s="37" t="str">
        <f>IF([3]道具信息!C936="","",[3]道具信息!C936)</f>
        <v/>
      </c>
      <c r="D936" s="37" t="str">
        <f>IF([3]道具信息!D936="","",[3]道具信息!D936)</f>
        <v/>
      </c>
      <c r="E936" s="37" t="str">
        <f>IF([3]道具信息!E936="","",[3]道具信息!E936)</f>
        <v/>
      </c>
      <c r="F936" s="37" t="str">
        <f>IF([3]道具信息!F936="","",[3]道具信息!F936)</f>
        <v/>
      </c>
      <c r="G936" s="37" t="str">
        <f>IF([3]道具信息!G936="","",[3]道具信息!G936)</f>
        <v/>
      </c>
      <c r="H936" s="37" t="str">
        <f>IF([3]道具信息!H936="","",[3]道具信息!H936)</f>
        <v/>
      </c>
      <c r="I936" s="37" t="str">
        <f>IF([3]道具信息!I936="","",[3]道具信息!I936)</f>
        <v/>
      </c>
      <c r="J936" s="37" t="str">
        <f>IF([3]道具信息!J936="","",[3]道具信息!J936)</f>
        <v/>
      </c>
      <c r="K936" s="37" t="str">
        <f>IF([3]道具信息!K936="","",[3]道具信息!K936)</f>
        <v/>
      </c>
      <c r="L936" s="37" t="str">
        <f>IF([3]道具信息!L936="","",[3]道具信息!L936)</f>
        <v/>
      </c>
      <c r="M936" s="37" t="str">
        <f>IF([3]道具信息!M936="","",[3]道具信息!M936)</f>
        <v/>
      </c>
      <c r="N936" s="37"/>
      <c r="O936" s="37" t="str">
        <f>IF([3]道具信息!O936="","",[3]道具信息!O936)</f>
        <v/>
      </c>
      <c r="P936" s="37" t="str">
        <f>IF([3]道具信息!P936="","",[3]道具信息!P936)</f>
        <v/>
      </c>
      <c r="Q936" s="37" t="str">
        <f>IF([3]道具信息!Q936="","",[3]道具信息!Q936)</f>
        <v/>
      </c>
    </row>
    <row r="937" spans="3:17" x14ac:dyDescent="0.15">
      <c r="C937" s="37" t="str">
        <f>IF([3]道具信息!C937="","",[3]道具信息!C937)</f>
        <v/>
      </c>
      <c r="D937" s="37" t="str">
        <f>IF([3]道具信息!D937="","",[3]道具信息!D937)</f>
        <v/>
      </c>
      <c r="E937" s="37" t="str">
        <f>IF([3]道具信息!E937="","",[3]道具信息!E937)</f>
        <v/>
      </c>
      <c r="F937" s="37" t="str">
        <f>IF([3]道具信息!F937="","",[3]道具信息!F937)</f>
        <v/>
      </c>
      <c r="G937" s="37" t="str">
        <f>IF([3]道具信息!G937="","",[3]道具信息!G937)</f>
        <v/>
      </c>
      <c r="H937" s="37" t="str">
        <f>IF([3]道具信息!H937="","",[3]道具信息!H937)</f>
        <v/>
      </c>
      <c r="I937" s="37" t="str">
        <f>IF([3]道具信息!I937="","",[3]道具信息!I937)</f>
        <v/>
      </c>
      <c r="J937" s="37" t="str">
        <f>IF([3]道具信息!J937="","",[3]道具信息!J937)</f>
        <v/>
      </c>
      <c r="K937" s="37" t="str">
        <f>IF([3]道具信息!K937="","",[3]道具信息!K937)</f>
        <v/>
      </c>
      <c r="L937" s="37" t="str">
        <f>IF([3]道具信息!L937="","",[3]道具信息!L937)</f>
        <v/>
      </c>
      <c r="M937" s="37" t="str">
        <f>IF([3]道具信息!M937="","",[3]道具信息!M937)</f>
        <v/>
      </c>
      <c r="N937" s="37"/>
      <c r="O937" s="37" t="str">
        <f>IF([3]道具信息!O937="","",[3]道具信息!O937)</f>
        <v/>
      </c>
      <c r="P937" s="37" t="str">
        <f>IF([3]道具信息!P937="","",[3]道具信息!P937)</f>
        <v/>
      </c>
      <c r="Q937" s="37" t="str">
        <f>IF([3]道具信息!Q937="","",[3]道具信息!Q937)</f>
        <v/>
      </c>
    </row>
    <row r="938" spans="3:17" x14ac:dyDescent="0.15">
      <c r="C938" s="37" t="str">
        <f>IF([3]道具信息!C938="","",[3]道具信息!C938)</f>
        <v/>
      </c>
      <c r="D938" s="37" t="str">
        <f>IF([3]道具信息!D938="","",[3]道具信息!D938)</f>
        <v/>
      </c>
      <c r="E938" s="37" t="str">
        <f>IF([3]道具信息!E938="","",[3]道具信息!E938)</f>
        <v/>
      </c>
      <c r="F938" s="37" t="str">
        <f>IF([3]道具信息!F938="","",[3]道具信息!F938)</f>
        <v/>
      </c>
      <c r="G938" s="37" t="str">
        <f>IF([3]道具信息!G938="","",[3]道具信息!G938)</f>
        <v/>
      </c>
      <c r="H938" s="37" t="str">
        <f>IF([3]道具信息!H938="","",[3]道具信息!H938)</f>
        <v/>
      </c>
      <c r="I938" s="37" t="str">
        <f>IF([3]道具信息!I938="","",[3]道具信息!I938)</f>
        <v/>
      </c>
      <c r="J938" s="37" t="str">
        <f>IF([3]道具信息!J938="","",[3]道具信息!J938)</f>
        <v/>
      </c>
      <c r="K938" s="37" t="str">
        <f>IF([3]道具信息!K938="","",[3]道具信息!K938)</f>
        <v/>
      </c>
      <c r="L938" s="37" t="str">
        <f>IF([3]道具信息!L938="","",[3]道具信息!L938)</f>
        <v/>
      </c>
      <c r="M938" s="37" t="str">
        <f>IF([3]道具信息!M938="","",[3]道具信息!M938)</f>
        <v/>
      </c>
      <c r="N938" s="37"/>
      <c r="O938" s="37" t="str">
        <f>IF([3]道具信息!O938="","",[3]道具信息!O938)</f>
        <v/>
      </c>
      <c r="P938" s="37" t="str">
        <f>IF([3]道具信息!P938="","",[3]道具信息!P938)</f>
        <v/>
      </c>
      <c r="Q938" s="37" t="str">
        <f>IF([3]道具信息!Q938="","",[3]道具信息!Q938)</f>
        <v/>
      </c>
    </row>
    <row r="939" spans="3:17" x14ac:dyDescent="0.15">
      <c r="C939" s="37" t="str">
        <f>IF([3]道具信息!C939="","",[3]道具信息!C939)</f>
        <v/>
      </c>
      <c r="D939" s="37" t="str">
        <f>IF([3]道具信息!D939="","",[3]道具信息!D939)</f>
        <v/>
      </c>
      <c r="E939" s="37" t="str">
        <f>IF([3]道具信息!E939="","",[3]道具信息!E939)</f>
        <v/>
      </c>
      <c r="F939" s="37" t="str">
        <f>IF([3]道具信息!F939="","",[3]道具信息!F939)</f>
        <v/>
      </c>
      <c r="G939" s="37" t="str">
        <f>IF([3]道具信息!G939="","",[3]道具信息!G939)</f>
        <v/>
      </c>
      <c r="H939" s="37" t="str">
        <f>IF([3]道具信息!H939="","",[3]道具信息!H939)</f>
        <v/>
      </c>
      <c r="I939" s="37" t="str">
        <f>IF([3]道具信息!I939="","",[3]道具信息!I939)</f>
        <v/>
      </c>
      <c r="J939" s="37" t="str">
        <f>IF([3]道具信息!J939="","",[3]道具信息!J939)</f>
        <v/>
      </c>
      <c r="K939" s="37" t="str">
        <f>IF([3]道具信息!K939="","",[3]道具信息!K939)</f>
        <v/>
      </c>
      <c r="L939" s="37" t="str">
        <f>IF([3]道具信息!L939="","",[3]道具信息!L939)</f>
        <v/>
      </c>
      <c r="M939" s="37" t="str">
        <f>IF([3]道具信息!M939="","",[3]道具信息!M939)</f>
        <v/>
      </c>
      <c r="N939" s="37"/>
      <c r="O939" s="37" t="str">
        <f>IF([3]道具信息!O939="","",[3]道具信息!O939)</f>
        <v/>
      </c>
      <c r="P939" s="37" t="str">
        <f>IF([3]道具信息!P939="","",[3]道具信息!P939)</f>
        <v/>
      </c>
      <c r="Q939" s="37" t="str">
        <f>IF([3]道具信息!Q939="","",[3]道具信息!Q939)</f>
        <v/>
      </c>
    </row>
    <row r="940" spans="3:17" x14ac:dyDescent="0.15">
      <c r="C940" s="37" t="str">
        <f>IF([3]道具信息!C940="","",[3]道具信息!C940)</f>
        <v/>
      </c>
      <c r="D940" s="37" t="str">
        <f>IF([3]道具信息!D940="","",[3]道具信息!D940)</f>
        <v/>
      </c>
      <c r="E940" s="37" t="str">
        <f>IF([3]道具信息!E940="","",[3]道具信息!E940)</f>
        <v/>
      </c>
      <c r="F940" s="37" t="str">
        <f>IF([3]道具信息!F940="","",[3]道具信息!F940)</f>
        <v/>
      </c>
      <c r="G940" s="37" t="str">
        <f>IF([3]道具信息!G940="","",[3]道具信息!G940)</f>
        <v/>
      </c>
      <c r="H940" s="37" t="str">
        <f>IF([3]道具信息!H940="","",[3]道具信息!H940)</f>
        <v/>
      </c>
      <c r="I940" s="37" t="str">
        <f>IF([3]道具信息!I940="","",[3]道具信息!I940)</f>
        <v/>
      </c>
      <c r="J940" s="37" t="str">
        <f>IF([3]道具信息!J940="","",[3]道具信息!J940)</f>
        <v/>
      </c>
      <c r="K940" s="37" t="str">
        <f>IF([3]道具信息!K940="","",[3]道具信息!K940)</f>
        <v/>
      </c>
      <c r="L940" s="37" t="str">
        <f>IF([3]道具信息!L940="","",[3]道具信息!L940)</f>
        <v/>
      </c>
      <c r="M940" s="37" t="str">
        <f>IF([3]道具信息!M940="","",[3]道具信息!M940)</f>
        <v/>
      </c>
      <c r="N940" s="37"/>
      <c r="O940" s="37" t="str">
        <f>IF([3]道具信息!O940="","",[3]道具信息!O940)</f>
        <v/>
      </c>
      <c r="P940" s="37" t="str">
        <f>IF([3]道具信息!P940="","",[3]道具信息!P940)</f>
        <v/>
      </c>
      <c r="Q940" s="37" t="str">
        <f>IF([3]道具信息!Q940="","",[3]道具信息!Q940)</f>
        <v/>
      </c>
    </row>
    <row r="941" spans="3:17" x14ac:dyDescent="0.15">
      <c r="C941" s="37" t="str">
        <f>IF([3]道具信息!C941="","",[3]道具信息!C941)</f>
        <v/>
      </c>
      <c r="D941" s="37" t="str">
        <f>IF([3]道具信息!D941="","",[3]道具信息!D941)</f>
        <v/>
      </c>
      <c r="E941" s="37" t="str">
        <f>IF([3]道具信息!E941="","",[3]道具信息!E941)</f>
        <v/>
      </c>
      <c r="F941" s="37" t="str">
        <f>IF([3]道具信息!F941="","",[3]道具信息!F941)</f>
        <v/>
      </c>
      <c r="G941" s="37" t="str">
        <f>IF([3]道具信息!G941="","",[3]道具信息!G941)</f>
        <v/>
      </c>
      <c r="H941" s="37" t="str">
        <f>IF([3]道具信息!H941="","",[3]道具信息!H941)</f>
        <v/>
      </c>
      <c r="I941" s="37" t="str">
        <f>IF([3]道具信息!I941="","",[3]道具信息!I941)</f>
        <v/>
      </c>
      <c r="J941" s="37" t="str">
        <f>IF([3]道具信息!J941="","",[3]道具信息!J941)</f>
        <v/>
      </c>
      <c r="K941" s="37" t="str">
        <f>IF([3]道具信息!K941="","",[3]道具信息!K941)</f>
        <v/>
      </c>
      <c r="L941" s="37" t="str">
        <f>IF([3]道具信息!L941="","",[3]道具信息!L941)</f>
        <v/>
      </c>
      <c r="M941" s="37" t="str">
        <f>IF([3]道具信息!M941="","",[3]道具信息!M941)</f>
        <v/>
      </c>
      <c r="N941" s="37"/>
      <c r="O941" s="37" t="str">
        <f>IF([3]道具信息!O941="","",[3]道具信息!O941)</f>
        <v/>
      </c>
      <c r="P941" s="37" t="str">
        <f>IF([3]道具信息!P941="","",[3]道具信息!P941)</f>
        <v/>
      </c>
      <c r="Q941" s="37" t="str">
        <f>IF([3]道具信息!Q941="","",[3]道具信息!Q941)</f>
        <v/>
      </c>
    </row>
    <row r="942" spans="3:17" x14ac:dyDescent="0.15">
      <c r="C942" s="37" t="str">
        <f>IF([3]道具信息!C942="","",[3]道具信息!C942)</f>
        <v/>
      </c>
      <c r="D942" s="37" t="str">
        <f>IF([3]道具信息!D942="","",[3]道具信息!D942)</f>
        <v/>
      </c>
      <c r="E942" s="37" t="str">
        <f>IF([3]道具信息!E942="","",[3]道具信息!E942)</f>
        <v/>
      </c>
      <c r="F942" s="37" t="str">
        <f>IF([3]道具信息!F942="","",[3]道具信息!F942)</f>
        <v/>
      </c>
      <c r="G942" s="37" t="str">
        <f>IF([3]道具信息!G942="","",[3]道具信息!G942)</f>
        <v/>
      </c>
      <c r="H942" s="37" t="str">
        <f>IF([3]道具信息!H942="","",[3]道具信息!H942)</f>
        <v/>
      </c>
      <c r="I942" s="37" t="str">
        <f>IF([3]道具信息!I942="","",[3]道具信息!I942)</f>
        <v/>
      </c>
      <c r="J942" s="37" t="str">
        <f>IF([3]道具信息!J942="","",[3]道具信息!J942)</f>
        <v/>
      </c>
      <c r="K942" s="37" t="str">
        <f>IF([3]道具信息!K942="","",[3]道具信息!K942)</f>
        <v/>
      </c>
      <c r="L942" s="37" t="str">
        <f>IF([3]道具信息!L942="","",[3]道具信息!L942)</f>
        <v/>
      </c>
      <c r="M942" s="37" t="str">
        <f>IF([3]道具信息!M942="","",[3]道具信息!M942)</f>
        <v/>
      </c>
      <c r="N942" s="37"/>
      <c r="O942" s="37" t="str">
        <f>IF([3]道具信息!O942="","",[3]道具信息!O942)</f>
        <v/>
      </c>
      <c r="P942" s="37" t="str">
        <f>IF([3]道具信息!P942="","",[3]道具信息!P942)</f>
        <v/>
      </c>
      <c r="Q942" s="37" t="str">
        <f>IF([3]道具信息!Q942="","",[3]道具信息!Q942)</f>
        <v/>
      </c>
    </row>
    <row r="943" spans="3:17" x14ac:dyDescent="0.15">
      <c r="C943" s="37" t="str">
        <f>IF([3]道具信息!C943="","",[3]道具信息!C943)</f>
        <v/>
      </c>
      <c r="D943" s="37" t="str">
        <f>IF([3]道具信息!D943="","",[3]道具信息!D943)</f>
        <v/>
      </c>
      <c r="E943" s="37" t="str">
        <f>IF([3]道具信息!E943="","",[3]道具信息!E943)</f>
        <v/>
      </c>
      <c r="F943" s="37" t="str">
        <f>IF([3]道具信息!F943="","",[3]道具信息!F943)</f>
        <v/>
      </c>
      <c r="G943" s="37" t="str">
        <f>IF([3]道具信息!G943="","",[3]道具信息!G943)</f>
        <v/>
      </c>
      <c r="H943" s="37" t="str">
        <f>IF([3]道具信息!H943="","",[3]道具信息!H943)</f>
        <v/>
      </c>
      <c r="I943" s="37" t="str">
        <f>IF([3]道具信息!I943="","",[3]道具信息!I943)</f>
        <v/>
      </c>
      <c r="J943" s="37" t="str">
        <f>IF([3]道具信息!J943="","",[3]道具信息!J943)</f>
        <v/>
      </c>
      <c r="K943" s="37" t="str">
        <f>IF([3]道具信息!K943="","",[3]道具信息!K943)</f>
        <v/>
      </c>
      <c r="L943" s="37" t="str">
        <f>IF([3]道具信息!L943="","",[3]道具信息!L943)</f>
        <v/>
      </c>
      <c r="M943" s="37" t="str">
        <f>IF([3]道具信息!M943="","",[3]道具信息!M943)</f>
        <v/>
      </c>
      <c r="N943" s="37"/>
      <c r="O943" s="37" t="str">
        <f>IF([3]道具信息!O943="","",[3]道具信息!O943)</f>
        <v/>
      </c>
      <c r="P943" s="37" t="str">
        <f>IF([3]道具信息!P943="","",[3]道具信息!P943)</f>
        <v/>
      </c>
      <c r="Q943" s="37" t="str">
        <f>IF([3]道具信息!Q943="","",[3]道具信息!Q943)</f>
        <v/>
      </c>
    </row>
    <row r="944" spans="3:17" x14ac:dyDescent="0.15">
      <c r="C944" s="37" t="str">
        <f>IF([3]道具信息!C944="","",[3]道具信息!C944)</f>
        <v/>
      </c>
      <c r="D944" s="37" t="str">
        <f>IF([3]道具信息!D944="","",[3]道具信息!D944)</f>
        <v/>
      </c>
      <c r="E944" s="37" t="str">
        <f>IF([3]道具信息!E944="","",[3]道具信息!E944)</f>
        <v/>
      </c>
      <c r="F944" s="37" t="str">
        <f>IF([3]道具信息!F944="","",[3]道具信息!F944)</f>
        <v/>
      </c>
      <c r="G944" s="37" t="str">
        <f>IF([3]道具信息!G944="","",[3]道具信息!G944)</f>
        <v/>
      </c>
      <c r="H944" s="37" t="str">
        <f>IF([3]道具信息!H944="","",[3]道具信息!H944)</f>
        <v/>
      </c>
      <c r="I944" s="37" t="str">
        <f>IF([3]道具信息!I944="","",[3]道具信息!I944)</f>
        <v/>
      </c>
      <c r="J944" s="37" t="str">
        <f>IF([3]道具信息!J944="","",[3]道具信息!J944)</f>
        <v/>
      </c>
      <c r="K944" s="37" t="str">
        <f>IF([3]道具信息!K944="","",[3]道具信息!K944)</f>
        <v/>
      </c>
      <c r="L944" s="37" t="str">
        <f>IF([3]道具信息!L944="","",[3]道具信息!L944)</f>
        <v/>
      </c>
      <c r="M944" s="37" t="str">
        <f>IF([3]道具信息!M944="","",[3]道具信息!M944)</f>
        <v/>
      </c>
      <c r="N944" s="37"/>
      <c r="O944" s="37" t="str">
        <f>IF([3]道具信息!O944="","",[3]道具信息!O944)</f>
        <v/>
      </c>
      <c r="P944" s="37" t="str">
        <f>IF([3]道具信息!P944="","",[3]道具信息!P944)</f>
        <v/>
      </c>
      <c r="Q944" s="37" t="str">
        <f>IF([3]道具信息!Q944="","",[3]道具信息!Q944)</f>
        <v/>
      </c>
    </row>
    <row r="945" spans="3:17" x14ac:dyDescent="0.15">
      <c r="C945" s="37" t="str">
        <f>IF([3]道具信息!C945="","",[3]道具信息!C945)</f>
        <v/>
      </c>
      <c r="D945" s="37" t="str">
        <f>IF([3]道具信息!D945="","",[3]道具信息!D945)</f>
        <v/>
      </c>
      <c r="E945" s="37" t="str">
        <f>IF([3]道具信息!E945="","",[3]道具信息!E945)</f>
        <v/>
      </c>
      <c r="F945" s="37" t="str">
        <f>IF([3]道具信息!F945="","",[3]道具信息!F945)</f>
        <v/>
      </c>
      <c r="G945" s="37" t="str">
        <f>IF([3]道具信息!G945="","",[3]道具信息!G945)</f>
        <v/>
      </c>
      <c r="H945" s="37" t="str">
        <f>IF([3]道具信息!H945="","",[3]道具信息!H945)</f>
        <v/>
      </c>
      <c r="I945" s="37" t="str">
        <f>IF([3]道具信息!I945="","",[3]道具信息!I945)</f>
        <v/>
      </c>
      <c r="J945" s="37" t="str">
        <f>IF([3]道具信息!J945="","",[3]道具信息!J945)</f>
        <v/>
      </c>
      <c r="K945" s="37" t="str">
        <f>IF([3]道具信息!K945="","",[3]道具信息!K945)</f>
        <v/>
      </c>
      <c r="L945" s="37" t="str">
        <f>IF([3]道具信息!L945="","",[3]道具信息!L945)</f>
        <v/>
      </c>
      <c r="M945" s="37" t="str">
        <f>IF([3]道具信息!M945="","",[3]道具信息!M945)</f>
        <v/>
      </c>
      <c r="N945" s="37"/>
      <c r="O945" s="37" t="str">
        <f>IF([3]道具信息!O945="","",[3]道具信息!O945)</f>
        <v/>
      </c>
      <c r="P945" s="37" t="str">
        <f>IF([3]道具信息!P945="","",[3]道具信息!P945)</f>
        <v/>
      </c>
      <c r="Q945" s="37" t="str">
        <f>IF([3]道具信息!Q945="","",[3]道具信息!Q945)</f>
        <v/>
      </c>
    </row>
    <row r="946" spans="3:17" x14ac:dyDescent="0.15">
      <c r="C946" s="37" t="str">
        <f>IF([3]道具信息!C946="","",[3]道具信息!C946)</f>
        <v/>
      </c>
      <c r="D946" s="37" t="str">
        <f>IF([3]道具信息!D946="","",[3]道具信息!D946)</f>
        <v/>
      </c>
      <c r="E946" s="37" t="str">
        <f>IF([3]道具信息!E946="","",[3]道具信息!E946)</f>
        <v/>
      </c>
      <c r="F946" s="37" t="str">
        <f>IF([3]道具信息!F946="","",[3]道具信息!F946)</f>
        <v/>
      </c>
      <c r="G946" s="37" t="str">
        <f>IF([3]道具信息!G946="","",[3]道具信息!G946)</f>
        <v/>
      </c>
      <c r="H946" s="37" t="str">
        <f>IF([3]道具信息!H946="","",[3]道具信息!H946)</f>
        <v/>
      </c>
      <c r="I946" s="37" t="str">
        <f>IF([3]道具信息!I946="","",[3]道具信息!I946)</f>
        <v/>
      </c>
      <c r="J946" s="37" t="str">
        <f>IF([3]道具信息!J946="","",[3]道具信息!J946)</f>
        <v/>
      </c>
      <c r="K946" s="37" t="str">
        <f>IF([3]道具信息!K946="","",[3]道具信息!K946)</f>
        <v/>
      </c>
      <c r="L946" s="37" t="str">
        <f>IF([3]道具信息!L946="","",[3]道具信息!L946)</f>
        <v/>
      </c>
      <c r="M946" s="37" t="str">
        <f>IF([3]道具信息!M946="","",[3]道具信息!M946)</f>
        <v/>
      </c>
      <c r="N946" s="37"/>
      <c r="O946" s="37" t="str">
        <f>IF([3]道具信息!O946="","",[3]道具信息!O946)</f>
        <v/>
      </c>
      <c r="P946" s="37" t="str">
        <f>IF([3]道具信息!P946="","",[3]道具信息!P946)</f>
        <v/>
      </c>
      <c r="Q946" s="37" t="str">
        <f>IF([3]道具信息!Q946="","",[3]道具信息!Q946)</f>
        <v/>
      </c>
    </row>
    <row r="947" spans="3:17" x14ac:dyDescent="0.15">
      <c r="C947" s="37" t="str">
        <f>IF([3]道具信息!C947="","",[3]道具信息!C947)</f>
        <v/>
      </c>
      <c r="D947" s="37" t="str">
        <f>IF([3]道具信息!D947="","",[3]道具信息!D947)</f>
        <v/>
      </c>
      <c r="E947" s="37" t="str">
        <f>IF([3]道具信息!E947="","",[3]道具信息!E947)</f>
        <v/>
      </c>
      <c r="F947" s="37" t="str">
        <f>IF([3]道具信息!F947="","",[3]道具信息!F947)</f>
        <v/>
      </c>
      <c r="G947" s="37" t="str">
        <f>IF([3]道具信息!G947="","",[3]道具信息!G947)</f>
        <v/>
      </c>
      <c r="H947" s="37" t="str">
        <f>IF([3]道具信息!H947="","",[3]道具信息!H947)</f>
        <v/>
      </c>
      <c r="I947" s="37" t="str">
        <f>IF([3]道具信息!I947="","",[3]道具信息!I947)</f>
        <v/>
      </c>
      <c r="J947" s="37" t="str">
        <f>IF([3]道具信息!J947="","",[3]道具信息!J947)</f>
        <v/>
      </c>
      <c r="K947" s="37" t="str">
        <f>IF([3]道具信息!K947="","",[3]道具信息!K947)</f>
        <v/>
      </c>
      <c r="L947" s="37" t="str">
        <f>IF([3]道具信息!L947="","",[3]道具信息!L947)</f>
        <v/>
      </c>
      <c r="M947" s="37" t="str">
        <f>IF([3]道具信息!M947="","",[3]道具信息!M947)</f>
        <v/>
      </c>
      <c r="N947" s="37"/>
      <c r="O947" s="37" t="str">
        <f>IF([3]道具信息!O947="","",[3]道具信息!O947)</f>
        <v/>
      </c>
      <c r="P947" s="37" t="str">
        <f>IF([3]道具信息!P947="","",[3]道具信息!P947)</f>
        <v/>
      </c>
      <c r="Q947" s="37" t="str">
        <f>IF([3]道具信息!Q947="","",[3]道具信息!Q947)</f>
        <v/>
      </c>
    </row>
    <row r="948" spans="3:17" x14ac:dyDescent="0.15">
      <c r="C948" s="37" t="str">
        <f>IF([3]道具信息!C948="","",[3]道具信息!C948)</f>
        <v/>
      </c>
      <c r="D948" s="37" t="str">
        <f>IF([3]道具信息!D948="","",[3]道具信息!D948)</f>
        <v/>
      </c>
      <c r="E948" s="37" t="str">
        <f>IF([3]道具信息!E948="","",[3]道具信息!E948)</f>
        <v/>
      </c>
      <c r="F948" s="37" t="str">
        <f>IF([3]道具信息!F948="","",[3]道具信息!F948)</f>
        <v/>
      </c>
      <c r="G948" s="37" t="str">
        <f>IF([3]道具信息!G948="","",[3]道具信息!G948)</f>
        <v/>
      </c>
      <c r="H948" s="37" t="str">
        <f>IF([3]道具信息!H948="","",[3]道具信息!H948)</f>
        <v/>
      </c>
      <c r="I948" s="37" t="str">
        <f>IF([3]道具信息!I948="","",[3]道具信息!I948)</f>
        <v/>
      </c>
      <c r="J948" s="37" t="str">
        <f>IF([3]道具信息!J948="","",[3]道具信息!J948)</f>
        <v/>
      </c>
      <c r="K948" s="37" t="str">
        <f>IF([3]道具信息!K948="","",[3]道具信息!K948)</f>
        <v/>
      </c>
      <c r="L948" s="37" t="str">
        <f>IF([3]道具信息!L948="","",[3]道具信息!L948)</f>
        <v/>
      </c>
      <c r="M948" s="37" t="str">
        <f>IF([3]道具信息!M948="","",[3]道具信息!M948)</f>
        <v/>
      </c>
      <c r="N948" s="37"/>
      <c r="O948" s="37" t="str">
        <f>IF([3]道具信息!O948="","",[3]道具信息!O948)</f>
        <v/>
      </c>
      <c r="P948" s="37" t="str">
        <f>IF([3]道具信息!P948="","",[3]道具信息!P948)</f>
        <v/>
      </c>
      <c r="Q948" s="37" t="str">
        <f>IF([3]道具信息!Q948="","",[3]道具信息!Q948)</f>
        <v/>
      </c>
    </row>
    <row r="949" spans="3:17" x14ac:dyDescent="0.15">
      <c r="C949" s="37" t="str">
        <f>IF([3]道具信息!C949="","",[3]道具信息!C949)</f>
        <v/>
      </c>
      <c r="D949" s="37" t="str">
        <f>IF([3]道具信息!D949="","",[3]道具信息!D949)</f>
        <v/>
      </c>
      <c r="E949" s="37" t="str">
        <f>IF([3]道具信息!E949="","",[3]道具信息!E949)</f>
        <v/>
      </c>
      <c r="F949" s="37" t="str">
        <f>IF([3]道具信息!F949="","",[3]道具信息!F949)</f>
        <v/>
      </c>
      <c r="G949" s="37" t="str">
        <f>IF([3]道具信息!G949="","",[3]道具信息!G949)</f>
        <v/>
      </c>
      <c r="H949" s="37" t="str">
        <f>IF([3]道具信息!H949="","",[3]道具信息!H949)</f>
        <v/>
      </c>
      <c r="I949" s="37" t="str">
        <f>IF([3]道具信息!I949="","",[3]道具信息!I949)</f>
        <v/>
      </c>
      <c r="J949" s="37" t="str">
        <f>IF([3]道具信息!J949="","",[3]道具信息!J949)</f>
        <v/>
      </c>
      <c r="K949" s="37" t="str">
        <f>IF([3]道具信息!K949="","",[3]道具信息!K949)</f>
        <v/>
      </c>
      <c r="L949" s="37" t="str">
        <f>IF([3]道具信息!L949="","",[3]道具信息!L949)</f>
        <v/>
      </c>
      <c r="M949" s="37" t="str">
        <f>IF([3]道具信息!M949="","",[3]道具信息!M949)</f>
        <v/>
      </c>
      <c r="N949" s="37"/>
      <c r="O949" s="37" t="str">
        <f>IF([3]道具信息!O949="","",[3]道具信息!O949)</f>
        <v/>
      </c>
      <c r="P949" s="37" t="str">
        <f>IF([3]道具信息!P949="","",[3]道具信息!P949)</f>
        <v/>
      </c>
      <c r="Q949" s="37" t="str">
        <f>IF([3]道具信息!Q949="","",[3]道具信息!Q949)</f>
        <v/>
      </c>
    </row>
    <row r="950" spans="3:17" x14ac:dyDescent="0.15">
      <c r="C950" s="37" t="str">
        <f>IF([3]道具信息!C950="","",[3]道具信息!C950)</f>
        <v/>
      </c>
      <c r="D950" s="37" t="str">
        <f>IF([3]道具信息!D950="","",[3]道具信息!D950)</f>
        <v/>
      </c>
      <c r="E950" s="37" t="str">
        <f>IF([3]道具信息!E950="","",[3]道具信息!E950)</f>
        <v/>
      </c>
      <c r="F950" s="37" t="str">
        <f>IF([3]道具信息!F950="","",[3]道具信息!F950)</f>
        <v/>
      </c>
      <c r="G950" s="37" t="str">
        <f>IF([3]道具信息!G950="","",[3]道具信息!G950)</f>
        <v/>
      </c>
      <c r="H950" s="37" t="str">
        <f>IF([3]道具信息!H950="","",[3]道具信息!H950)</f>
        <v/>
      </c>
      <c r="I950" s="37" t="str">
        <f>IF([3]道具信息!I950="","",[3]道具信息!I950)</f>
        <v/>
      </c>
      <c r="J950" s="37" t="str">
        <f>IF([3]道具信息!J950="","",[3]道具信息!J950)</f>
        <v/>
      </c>
      <c r="K950" s="37" t="str">
        <f>IF([3]道具信息!K950="","",[3]道具信息!K950)</f>
        <v/>
      </c>
      <c r="L950" s="37" t="str">
        <f>IF([3]道具信息!L950="","",[3]道具信息!L950)</f>
        <v/>
      </c>
      <c r="M950" s="37" t="str">
        <f>IF([3]道具信息!M950="","",[3]道具信息!M950)</f>
        <v/>
      </c>
      <c r="N950" s="37"/>
      <c r="O950" s="37" t="str">
        <f>IF([3]道具信息!O950="","",[3]道具信息!O950)</f>
        <v/>
      </c>
      <c r="P950" s="37" t="str">
        <f>IF([3]道具信息!P950="","",[3]道具信息!P950)</f>
        <v/>
      </c>
      <c r="Q950" s="37" t="str">
        <f>IF([3]道具信息!Q950="","",[3]道具信息!Q950)</f>
        <v/>
      </c>
    </row>
    <row r="951" spans="3:17" x14ac:dyDescent="0.15">
      <c r="C951" s="37" t="str">
        <f>IF([3]道具信息!C951="","",[3]道具信息!C951)</f>
        <v/>
      </c>
      <c r="D951" s="37" t="str">
        <f>IF([3]道具信息!D951="","",[3]道具信息!D951)</f>
        <v/>
      </c>
      <c r="E951" s="37" t="str">
        <f>IF([3]道具信息!E951="","",[3]道具信息!E951)</f>
        <v/>
      </c>
      <c r="F951" s="37" t="str">
        <f>IF([3]道具信息!F951="","",[3]道具信息!F951)</f>
        <v/>
      </c>
      <c r="G951" s="37" t="str">
        <f>IF([3]道具信息!G951="","",[3]道具信息!G951)</f>
        <v/>
      </c>
      <c r="H951" s="37" t="str">
        <f>IF([3]道具信息!H951="","",[3]道具信息!H951)</f>
        <v/>
      </c>
      <c r="I951" s="37" t="str">
        <f>IF([3]道具信息!I951="","",[3]道具信息!I951)</f>
        <v/>
      </c>
      <c r="J951" s="37" t="str">
        <f>IF([3]道具信息!J951="","",[3]道具信息!J951)</f>
        <v/>
      </c>
      <c r="K951" s="37" t="str">
        <f>IF([3]道具信息!K951="","",[3]道具信息!K951)</f>
        <v/>
      </c>
      <c r="L951" s="37" t="str">
        <f>IF([3]道具信息!L951="","",[3]道具信息!L951)</f>
        <v/>
      </c>
      <c r="M951" s="37" t="str">
        <f>IF([3]道具信息!M951="","",[3]道具信息!M951)</f>
        <v/>
      </c>
      <c r="N951" s="37"/>
      <c r="O951" s="37" t="str">
        <f>IF([3]道具信息!O951="","",[3]道具信息!O951)</f>
        <v/>
      </c>
      <c r="P951" s="37" t="str">
        <f>IF([3]道具信息!P951="","",[3]道具信息!P951)</f>
        <v/>
      </c>
      <c r="Q951" s="37" t="str">
        <f>IF([3]道具信息!Q951="","",[3]道具信息!Q951)</f>
        <v/>
      </c>
    </row>
    <row r="952" spans="3:17" x14ac:dyDescent="0.15">
      <c r="C952" s="37" t="str">
        <f>IF([3]道具信息!C952="","",[3]道具信息!C952)</f>
        <v/>
      </c>
      <c r="D952" s="37" t="str">
        <f>IF([3]道具信息!D952="","",[3]道具信息!D952)</f>
        <v/>
      </c>
      <c r="E952" s="37" t="str">
        <f>IF([3]道具信息!E952="","",[3]道具信息!E952)</f>
        <v/>
      </c>
      <c r="F952" s="37" t="str">
        <f>IF([3]道具信息!F952="","",[3]道具信息!F952)</f>
        <v/>
      </c>
      <c r="G952" s="37" t="str">
        <f>IF([3]道具信息!G952="","",[3]道具信息!G952)</f>
        <v/>
      </c>
      <c r="H952" s="37" t="str">
        <f>IF([3]道具信息!H952="","",[3]道具信息!H952)</f>
        <v/>
      </c>
      <c r="I952" s="37" t="str">
        <f>IF([3]道具信息!I952="","",[3]道具信息!I952)</f>
        <v/>
      </c>
      <c r="J952" s="37" t="str">
        <f>IF([3]道具信息!J952="","",[3]道具信息!J952)</f>
        <v/>
      </c>
      <c r="K952" s="37" t="str">
        <f>IF([3]道具信息!K952="","",[3]道具信息!K952)</f>
        <v/>
      </c>
      <c r="L952" s="37" t="str">
        <f>IF([3]道具信息!L952="","",[3]道具信息!L952)</f>
        <v/>
      </c>
      <c r="M952" s="37" t="str">
        <f>IF([3]道具信息!M952="","",[3]道具信息!M952)</f>
        <v/>
      </c>
      <c r="N952" s="37"/>
      <c r="O952" s="37" t="str">
        <f>IF([3]道具信息!O952="","",[3]道具信息!O952)</f>
        <v/>
      </c>
      <c r="P952" s="37" t="str">
        <f>IF([3]道具信息!P952="","",[3]道具信息!P952)</f>
        <v/>
      </c>
      <c r="Q952" s="37" t="str">
        <f>IF([3]道具信息!Q952="","",[3]道具信息!Q952)</f>
        <v/>
      </c>
    </row>
    <row r="953" spans="3:17" x14ac:dyDescent="0.15">
      <c r="C953" s="37" t="str">
        <f>IF([3]道具信息!C953="","",[3]道具信息!C953)</f>
        <v/>
      </c>
      <c r="D953" s="37" t="str">
        <f>IF([3]道具信息!D953="","",[3]道具信息!D953)</f>
        <v/>
      </c>
      <c r="E953" s="37" t="str">
        <f>IF([3]道具信息!E953="","",[3]道具信息!E953)</f>
        <v/>
      </c>
      <c r="F953" s="37" t="str">
        <f>IF([3]道具信息!F953="","",[3]道具信息!F953)</f>
        <v/>
      </c>
      <c r="G953" s="37" t="str">
        <f>IF([3]道具信息!G953="","",[3]道具信息!G953)</f>
        <v/>
      </c>
      <c r="H953" s="37" t="str">
        <f>IF([3]道具信息!H953="","",[3]道具信息!H953)</f>
        <v/>
      </c>
      <c r="I953" s="37" t="str">
        <f>IF([3]道具信息!I953="","",[3]道具信息!I953)</f>
        <v/>
      </c>
      <c r="J953" s="37" t="str">
        <f>IF([3]道具信息!J953="","",[3]道具信息!J953)</f>
        <v/>
      </c>
      <c r="K953" s="37" t="str">
        <f>IF([3]道具信息!K953="","",[3]道具信息!K953)</f>
        <v/>
      </c>
      <c r="L953" s="37" t="str">
        <f>IF([3]道具信息!L953="","",[3]道具信息!L953)</f>
        <v/>
      </c>
      <c r="M953" s="37" t="str">
        <f>IF([3]道具信息!M953="","",[3]道具信息!M953)</f>
        <v/>
      </c>
      <c r="N953" s="37"/>
      <c r="O953" s="37" t="str">
        <f>IF([3]道具信息!O953="","",[3]道具信息!O953)</f>
        <v/>
      </c>
      <c r="P953" s="37" t="str">
        <f>IF([3]道具信息!P953="","",[3]道具信息!P953)</f>
        <v/>
      </c>
      <c r="Q953" s="37" t="str">
        <f>IF([3]道具信息!Q953="","",[3]道具信息!Q953)</f>
        <v/>
      </c>
    </row>
    <row r="954" spans="3:17" x14ac:dyDescent="0.15">
      <c r="C954" s="37" t="str">
        <f>IF([3]道具信息!C954="","",[3]道具信息!C954)</f>
        <v/>
      </c>
      <c r="D954" s="37" t="str">
        <f>IF([3]道具信息!D954="","",[3]道具信息!D954)</f>
        <v/>
      </c>
      <c r="E954" s="37" t="str">
        <f>IF([3]道具信息!E954="","",[3]道具信息!E954)</f>
        <v/>
      </c>
      <c r="F954" s="37" t="str">
        <f>IF([3]道具信息!F954="","",[3]道具信息!F954)</f>
        <v/>
      </c>
      <c r="G954" s="37" t="str">
        <f>IF([3]道具信息!G954="","",[3]道具信息!G954)</f>
        <v/>
      </c>
      <c r="H954" s="37" t="str">
        <f>IF([3]道具信息!H954="","",[3]道具信息!H954)</f>
        <v/>
      </c>
      <c r="I954" s="37" t="str">
        <f>IF([3]道具信息!I954="","",[3]道具信息!I954)</f>
        <v/>
      </c>
      <c r="J954" s="37" t="str">
        <f>IF([3]道具信息!J954="","",[3]道具信息!J954)</f>
        <v/>
      </c>
      <c r="K954" s="37" t="str">
        <f>IF([3]道具信息!K954="","",[3]道具信息!K954)</f>
        <v/>
      </c>
      <c r="L954" s="37" t="str">
        <f>IF([3]道具信息!L954="","",[3]道具信息!L954)</f>
        <v/>
      </c>
      <c r="M954" s="37" t="str">
        <f>IF([3]道具信息!M954="","",[3]道具信息!M954)</f>
        <v/>
      </c>
      <c r="N954" s="37"/>
      <c r="O954" s="37" t="str">
        <f>IF([3]道具信息!O954="","",[3]道具信息!O954)</f>
        <v/>
      </c>
      <c r="P954" s="37" t="str">
        <f>IF([3]道具信息!P954="","",[3]道具信息!P954)</f>
        <v/>
      </c>
      <c r="Q954" s="37" t="str">
        <f>IF([3]道具信息!Q954="","",[3]道具信息!Q954)</f>
        <v/>
      </c>
    </row>
    <row r="955" spans="3:17" x14ac:dyDescent="0.15">
      <c r="C955" s="37" t="str">
        <f>IF([3]道具信息!C955="","",[3]道具信息!C955)</f>
        <v/>
      </c>
      <c r="D955" s="37" t="str">
        <f>IF([3]道具信息!D955="","",[3]道具信息!D955)</f>
        <v/>
      </c>
      <c r="E955" s="37" t="str">
        <f>IF([3]道具信息!E955="","",[3]道具信息!E955)</f>
        <v/>
      </c>
      <c r="F955" s="37" t="str">
        <f>IF([3]道具信息!F955="","",[3]道具信息!F955)</f>
        <v/>
      </c>
      <c r="G955" s="37" t="str">
        <f>IF([3]道具信息!G955="","",[3]道具信息!G955)</f>
        <v/>
      </c>
      <c r="H955" s="37" t="str">
        <f>IF([3]道具信息!H955="","",[3]道具信息!H955)</f>
        <v/>
      </c>
      <c r="I955" s="37" t="str">
        <f>IF([3]道具信息!I955="","",[3]道具信息!I955)</f>
        <v/>
      </c>
      <c r="J955" s="37" t="str">
        <f>IF([3]道具信息!J955="","",[3]道具信息!J955)</f>
        <v/>
      </c>
      <c r="K955" s="37" t="str">
        <f>IF([3]道具信息!K955="","",[3]道具信息!K955)</f>
        <v/>
      </c>
      <c r="L955" s="37" t="str">
        <f>IF([3]道具信息!L955="","",[3]道具信息!L955)</f>
        <v/>
      </c>
      <c r="M955" s="37" t="str">
        <f>IF([3]道具信息!M955="","",[3]道具信息!M955)</f>
        <v/>
      </c>
      <c r="N955" s="37"/>
      <c r="O955" s="37" t="str">
        <f>IF([3]道具信息!O955="","",[3]道具信息!O955)</f>
        <v/>
      </c>
      <c r="P955" s="37" t="str">
        <f>IF([3]道具信息!P955="","",[3]道具信息!P955)</f>
        <v/>
      </c>
      <c r="Q955" s="37" t="str">
        <f>IF([3]道具信息!Q955="","",[3]道具信息!Q955)</f>
        <v/>
      </c>
    </row>
    <row r="956" spans="3:17" x14ac:dyDescent="0.15">
      <c r="C956" s="37" t="str">
        <f>IF([3]道具信息!C956="","",[3]道具信息!C956)</f>
        <v/>
      </c>
      <c r="D956" s="37" t="str">
        <f>IF([3]道具信息!D956="","",[3]道具信息!D956)</f>
        <v/>
      </c>
      <c r="E956" s="37" t="str">
        <f>IF([3]道具信息!E956="","",[3]道具信息!E956)</f>
        <v/>
      </c>
      <c r="F956" s="37" t="str">
        <f>IF([3]道具信息!F956="","",[3]道具信息!F956)</f>
        <v/>
      </c>
      <c r="G956" s="37" t="str">
        <f>IF([3]道具信息!G956="","",[3]道具信息!G956)</f>
        <v/>
      </c>
      <c r="H956" s="37" t="str">
        <f>IF([3]道具信息!H956="","",[3]道具信息!H956)</f>
        <v/>
      </c>
      <c r="I956" s="37" t="str">
        <f>IF([3]道具信息!I956="","",[3]道具信息!I956)</f>
        <v/>
      </c>
      <c r="J956" s="37" t="str">
        <f>IF([3]道具信息!J956="","",[3]道具信息!J956)</f>
        <v/>
      </c>
      <c r="K956" s="37" t="str">
        <f>IF([3]道具信息!K956="","",[3]道具信息!K956)</f>
        <v/>
      </c>
      <c r="L956" s="37" t="str">
        <f>IF([3]道具信息!L956="","",[3]道具信息!L956)</f>
        <v/>
      </c>
      <c r="M956" s="37" t="str">
        <f>IF([3]道具信息!M956="","",[3]道具信息!M956)</f>
        <v/>
      </c>
      <c r="N956" s="37"/>
      <c r="O956" s="37" t="str">
        <f>IF([3]道具信息!O956="","",[3]道具信息!O956)</f>
        <v/>
      </c>
      <c r="P956" s="37" t="str">
        <f>IF([3]道具信息!P956="","",[3]道具信息!P956)</f>
        <v/>
      </c>
      <c r="Q956" s="37" t="str">
        <f>IF([3]道具信息!Q956="","",[3]道具信息!Q956)</f>
        <v/>
      </c>
    </row>
    <row r="957" spans="3:17" x14ac:dyDescent="0.15">
      <c r="C957" s="37" t="str">
        <f>IF([3]道具信息!C957="","",[3]道具信息!C957)</f>
        <v/>
      </c>
      <c r="D957" s="37" t="str">
        <f>IF([3]道具信息!D957="","",[3]道具信息!D957)</f>
        <v/>
      </c>
      <c r="E957" s="37" t="str">
        <f>IF([3]道具信息!E957="","",[3]道具信息!E957)</f>
        <v/>
      </c>
      <c r="F957" s="37" t="str">
        <f>IF([3]道具信息!F957="","",[3]道具信息!F957)</f>
        <v/>
      </c>
      <c r="G957" s="37" t="str">
        <f>IF([3]道具信息!G957="","",[3]道具信息!G957)</f>
        <v/>
      </c>
      <c r="H957" s="37" t="str">
        <f>IF([3]道具信息!H957="","",[3]道具信息!H957)</f>
        <v/>
      </c>
      <c r="I957" s="37" t="str">
        <f>IF([3]道具信息!I957="","",[3]道具信息!I957)</f>
        <v/>
      </c>
      <c r="J957" s="37" t="str">
        <f>IF([3]道具信息!J957="","",[3]道具信息!J957)</f>
        <v/>
      </c>
      <c r="K957" s="37" t="str">
        <f>IF([3]道具信息!K957="","",[3]道具信息!K957)</f>
        <v/>
      </c>
      <c r="L957" s="37" t="str">
        <f>IF([3]道具信息!L957="","",[3]道具信息!L957)</f>
        <v/>
      </c>
      <c r="M957" s="37" t="str">
        <f>IF([3]道具信息!M957="","",[3]道具信息!M957)</f>
        <v/>
      </c>
      <c r="N957" s="37"/>
      <c r="O957" s="37" t="str">
        <f>IF([3]道具信息!O957="","",[3]道具信息!O957)</f>
        <v/>
      </c>
      <c r="P957" s="37" t="str">
        <f>IF([3]道具信息!P957="","",[3]道具信息!P957)</f>
        <v/>
      </c>
      <c r="Q957" s="37" t="str">
        <f>IF([3]道具信息!Q957="","",[3]道具信息!Q957)</f>
        <v/>
      </c>
    </row>
    <row r="958" spans="3:17" x14ac:dyDescent="0.15">
      <c r="C958" s="37" t="str">
        <f>IF([3]道具信息!C958="","",[3]道具信息!C958)</f>
        <v/>
      </c>
      <c r="D958" s="37" t="str">
        <f>IF([3]道具信息!D958="","",[3]道具信息!D958)</f>
        <v/>
      </c>
      <c r="E958" s="37" t="str">
        <f>IF([3]道具信息!E958="","",[3]道具信息!E958)</f>
        <v/>
      </c>
      <c r="F958" s="37" t="str">
        <f>IF([3]道具信息!F958="","",[3]道具信息!F958)</f>
        <v/>
      </c>
      <c r="G958" s="37" t="str">
        <f>IF([3]道具信息!G958="","",[3]道具信息!G958)</f>
        <v/>
      </c>
      <c r="H958" s="37" t="str">
        <f>IF([3]道具信息!H958="","",[3]道具信息!H958)</f>
        <v/>
      </c>
      <c r="I958" s="37" t="str">
        <f>IF([3]道具信息!I958="","",[3]道具信息!I958)</f>
        <v/>
      </c>
      <c r="J958" s="37" t="str">
        <f>IF([3]道具信息!J958="","",[3]道具信息!J958)</f>
        <v/>
      </c>
      <c r="K958" s="37" t="str">
        <f>IF([3]道具信息!K958="","",[3]道具信息!K958)</f>
        <v/>
      </c>
      <c r="L958" s="37" t="str">
        <f>IF([3]道具信息!L958="","",[3]道具信息!L958)</f>
        <v/>
      </c>
      <c r="M958" s="37" t="str">
        <f>IF([3]道具信息!M958="","",[3]道具信息!M958)</f>
        <v/>
      </c>
      <c r="N958" s="37"/>
      <c r="O958" s="37" t="str">
        <f>IF([3]道具信息!O958="","",[3]道具信息!O958)</f>
        <v/>
      </c>
      <c r="P958" s="37" t="str">
        <f>IF([3]道具信息!P958="","",[3]道具信息!P958)</f>
        <v/>
      </c>
      <c r="Q958" s="37" t="str">
        <f>IF([3]道具信息!Q958="","",[3]道具信息!Q958)</f>
        <v/>
      </c>
    </row>
    <row r="959" spans="3:17" x14ac:dyDescent="0.15">
      <c r="C959" s="37" t="str">
        <f>IF([3]道具信息!C959="","",[3]道具信息!C959)</f>
        <v/>
      </c>
      <c r="D959" s="37" t="str">
        <f>IF([3]道具信息!D959="","",[3]道具信息!D959)</f>
        <v/>
      </c>
      <c r="E959" s="37" t="str">
        <f>IF([3]道具信息!E959="","",[3]道具信息!E959)</f>
        <v/>
      </c>
      <c r="F959" s="37" t="str">
        <f>IF([3]道具信息!F959="","",[3]道具信息!F959)</f>
        <v/>
      </c>
      <c r="G959" s="37" t="str">
        <f>IF([3]道具信息!G959="","",[3]道具信息!G959)</f>
        <v/>
      </c>
      <c r="H959" s="37" t="str">
        <f>IF([3]道具信息!H959="","",[3]道具信息!H959)</f>
        <v/>
      </c>
      <c r="I959" s="37" t="str">
        <f>IF([3]道具信息!I959="","",[3]道具信息!I959)</f>
        <v/>
      </c>
      <c r="J959" s="37" t="str">
        <f>IF([3]道具信息!J959="","",[3]道具信息!J959)</f>
        <v/>
      </c>
      <c r="K959" s="37" t="str">
        <f>IF([3]道具信息!K959="","",[3]道具信息!K959)</f>
        <v/>
      </c>
      <c r="L959" s="37" t="str">
        <f>IF([3]道具信息!L959="","",[3]道具信息!L959)</f>
        <v/>
      </c>
      <c r="M959" s="37" t="str">
        <f>IF([3]道具信息!M959="","",[3]道具信息!M959)</f>
        <v/>
      </c>
      <c r="N959" s="37"/>
      <c r="O959" s="37" t="str">
        <f>IF([3]道具信息!O959="","",[3]道具信息!O959)</f>
        <v/>
      </c>
      <c r="P959" s="37" t="str">
        <f>IF([3]道具信息!P959="","",[3]道具信息!P959)</f>
        <v/>
      </c>
      <c r="Q959" s="37" t="str">
        <f>IF([3]道具信息!Q959="","",[3]道具信息!Q959)</f>
        <v/>
      </c>
    </row>
    <row r="960" spans="3:17" x14ac:dyDescent="0.15">
      <c r="C960" s="37" t="str">
        <f>IF([3]道具信息!C960="","",[3]道具信息!C960)</f>
        <v/>
      </c>
      <c r="D960" s="37" t="str">
        <f>IF([3]道具信息!D960="","",[3]道具信息!D960)</f>
        <v/>
      </c>
      <c r="E960" s="37" t="str">
        <f>IF([3]道具信息!E960="","",[3]道具信息!E960)</f>
        <v/>
      </c>
      <c r="F960" s="37" t="str">
        <f>IF([3]道具信息!F960="","",[3]道具信息!F960)</f>
        <v/>
      </c>
      <c r="G960" s="37" t="str">
        <f>IF([3]道具信息!G960="","",[3]道具信息!G960)</f>
        <v/>
      </c>
      <c r="H960" s="37" t="str">
        <f>IF([3]道具信息!H960="","",[3]道具信息!H960)</f>
        <v/>
      </c>
      <c r="I960" s="37" t="str">
        <f>IF([3]道具信息!I960="","",[3]道具信息!I960)</f>
        <v/>
      </c>
      <c r="J960" s="37" t="str">
        <f>IF([3]道具信息!J960="","",[3]道具信息!J960)</f>
        <v/>
      </c>
      <c r="K960" s="37" t="str">
        <f>IF([3]道具信息!K960="","",[3]道具信息!K960)</f>
        <v/>
      </c>
      <c r="L960" s="37" t="str">
        <f>IF([3]道具信息!L960="","",[3]道具信息!L960)</f>
        <v/>
      </c>
      <c r="M960" s="37" t="str">
        <f>IF([3]道具信息!M960="","",[3]道具信息!M960)</f>
        <v/>
      </c>
      <c r="N960" s="37"/>
      <c r="O960" s="37" t="str">
        <f>IF([3]道具信息!O960="","",[3]道具信息!O960)</f>
        <v/>
      </c>
      <c r="P960" s="37" t="str">
        <f>IF([3]道具信息!P960="","",[3]道具信息!P960)</f>
        <v/>
      </c>
      <c r="Q960" s="37" t="str">
        <f>IF([3]道具信息!Q960="","",[3]道具信息!Q960)</f>
        <v/>
      </c>
    </row>
    <row r="961" spans="3:17" x14ac:dyDescent="0.15">
      <c r="C961" s="37" t="str">
        <f>IF([3]道具信息!C961="","",[3]道具信息!C961)</f>
        <v/>
      </c>
      <c r="D961" s="37" t="str">
        <f>IF([3]道具信息!D961="","",[3]道具信息!D961)</f>
        <v/>
      </c>
      <c r="E961" s="37" t="str">
        <f>IF([3]道具信息!E961="","",[3]道具信息!E961)</f>
        <v/>
      </c>
      <c r="F961" s="37" t="str">
        <f>IF([3]道具信息!F961="","",[3]道具信息!F961)</f>
        <v/>
      </c>
      <c r="G961" s="37" t="str">
        <f>IF([3]道具信息!G961="","",[3]道具信息!G961)</f>
        <v/>
      </c>
      <c r="H961" s="37" t="str">
        <f>IF([3]道具信息!H961="","",[3]道具信息!H961)</f>
        <v/>
      </c>
      <c r="I961" s="37" t="str">
        <f>IF([3]道具信息!I961="","",[3]道具信息!I961)</f>
        <v/>
      </c>
      <c r="J961" s="37" t="str">
        <f>IF([3]道具信息!J961="","",[3]道具信息!J961)</f>
        <v/>
      </c>
      <c r="K961" s="37" t="str">
        <f>IF([3]道具信息!K961="","",[3]道具信息!K961)</f>
        <v/>
      </c>
      <c r="L961" s="37" t="str">
        <f>IF([3]道具信息!L961="","",[3]道具信息!L961)</f>
        <v/>
      </c>
      <c r="M961" s="37" t="str">
        <f>IF([3]道具信息!M961="","",[3]道具信息!M961)</f>
        <v/>
      </c>
      <c r="N961" s="37"/>
      <c r="O961" s="37" t="str">
        <f>IF([3]道具信息!O961="","",[3]道具信息!O961)</f>
        <v/>
      </c>
      <c r="P961" s="37" t="str">
        <f>IF([3]道具信息!P961="","",[3]道具信息!P961)</f>
        <v/>
      </c>
      <c r="Q961" s="37" t="str">
        <f>IF([3]道具信息!Q961="","",[3]道具信息!Q961)</f>
        <v/>
      </c>
    </row>
    <row r="962" spans="3:17" x14ac:dyDescent="0.15">
      <c r="C962" s="37" t="str">
        <f>IF([3]道具信息!C962="","",[3]道具信息!C962)</f>
        <v/>
      </c>
      <c r="D962" s="37" t="str">
        <f>IF([3]道具信息!D962="","",[3]道具信息!D962)</f>
        <v/>
      </c>
      <c r="E962" s="37" t="str">
        <f>IF([3]道具信息!E962="","",[3]道具信息!E962)</f>
        <v/>
      </c>
      <c r="F962" s="37" t="str">
        <f>IF([3]道具信息!F962="","",[3]道具信息!F962)</f>
        <v/>
      </c>
      <c r="G962" s="37" t="str">
        <f>IF([3]道具信息!G962="","",[3]道具信息!G962)</f>
        <v/>
      </c>
      <c r="H962" s="37" t="str">
        <f>IF([3]道具信息!H962="","",[3]道具信息!H962)</f>
        <v/>
      </c>
      <c r="I962" s="37" t="str">
        <f>IF([3]道具信息!I962="","",[3]道具信息!I962)</f>
        <v/>
      </c>
      <c r="J962" s="37" t="str">
        <f>IF([3]道具信息!J962="","",[3]道具信息!J962)</f>
        <v/>
      </c>
      <c r="K962" s="37" t="str">
        <f>IF([3]道具信息!K962="","",[3]道具信息!K962)</f>
        <v/>
      </c>
      <c r="L962" s="37" t="str">
        <f>IF([3]道具信息!L962="","",[3]道具信息!L962)</f>
        <v/>
      </c>
      <c r="M962" s="37" t="str">
        <f>IF([3]道具信息!M962="","",[3]道具信息!M962)</f>
        <v/>
      </c>
      <c r="N962" s="37"/>
      <c r="O962" s="37" t="str">
        <f>IF([3]道具信息!O962="","",[3]道具信息!O962)</f>
        <v/>
      </c>
      <c r="P962" s="37" t="str">
        <f>IF([3]道具信息!P962="","",[3]道具信息!P962)</f>
        <v/>
      </c>
      <c r="Q962" s="37" t="str">
        <f>IF([3]道具信息!Q962="","",[3]道具信息!Q962)</f>
        <v/>
      </c>
    </row>
    <row r="963" spans="3:17" x14ac:dyDescent="0.15">
      <c r="C963" s="37" t="str">
        <f>IF([3]道具信息!C963="","",[3]道具信息!C963)</f>
        <v/>
      </c>
      <c r="D963" s="37" t="str">
        <f>IF([3]道具信息!D963="","",[3]道具信息!D963)</f>
        <v/>
      </c>
      <c r="E963" s="37" t="str">
        <f>IF([3]道具信息!E963="","",[3]道具信息!E963)</f>
        <v/>
      </c>
      <c r="F963" s="37" t="str">
        <f>IF([3]道具信息!F963="","",[3]道具信息!F963)</f>
        <v/>
      </c>
      <c r="G963" s="37" t="str">
        <f>IF([3]道具信息!G963="","",[3]道具信息!G963)</f>
        <v/>
      </c>
      <c r="H963" s="37" t="str">
        <f>IF([3]道具信息!H963="","",[3]道具信息!H963)</f>
        <v/>
      </c>
      <c r="I963" s="37" t="str">
        <f>IF([3]道具信息!I963="","",[3]道具信息!I963)</f>
        <v/>
      </c>
      <c r="J963" s="37" t="str">
        <f>IF([3]道具信息!J963="","",[3]道具信息!J963)</f>
        <v/>
      </c>
      <c r="K963" s="37" t="str">
        <f>IF([3]道具信息!K963="","",[3]道具信息!K963)</f>
        <v/>
      </c>
      <c r="L963" s="37" t="str">
        <f>IF([3]道具信息!L963="","",[3]道具信息!L963)</f>
        <v/>
      </c>
      <c r="M963" s="37" t="str">
        <f>IF([3]道具信息!M963="","",[3]道具信息!M963)</f>
        <v/>
      </c>
      <c r="N963" s="37"/>
      <c r="O963" s="37" t="str">
        <f>IF([3]道具信息!O963="","",[3]道具信息!O963)</f>
        <v/>
      </c>
      <c r="P963" s="37" t="str">
        <f>IF([3]道具信息!P963="","",[3]道具信息!P963)</f>
        <v/>
      </c>
      <c r="Q963" s="37" t="str">
        <f>IF([3]道具信息!Q963="","",[3]道具信息!Q963)</f>
        <v/>
      </c>
    </row>
    <row r="964" spans="3:17" x14ac:dyDescent="0.15">
      <c r="C964" s="37" t="str">
        <f>IF([3]道具信息!C964="","",[3]道具信息!C964)</f>
        <v/>
      </c>
      <c r="D964" s="37" t="str">
        <f>IF([3]道具信息!D964="","",[3]道具信息!D964)</f>
        <v/>
      </c>
      <c r="E964" s="37" t="str">
        <f>IF([3]道具信息!E964="","",[3]道具信息!E964)</f>
        <v/>
      </c>
      <c r="F964" s="37" t="str">
        <f>IF([3]道具信息!F964="","",[3]道具信息!F964)</f>
        <v/>
      </c>
      <c r="G964" s="37" t="str">
        <f>IF([3]道具信息!G964="","",[3]道具信息!G964)</f>
        <v/>
      </c>
      <c r="H964" s="37" t="str">
        <f>IF([3]道具信息!H964="","",[3]道具信息!H964)</f>
        <v/>
      </c>
      <c r="I964" s="37" t="str">
        <f>IF([3]道具信息!I964="","",[3]道具信息!I964)</f>
        <v/>
      </c>
      <c r="J964" s="37" t="str">
        <f>IF([3]道具信息!J964="","",[3]道具信息!J964)</f>
        <v/>
      </c>
      <c r="K964" s="37" t="str">
        <f>IF([3]道具信息!K964="","",[3]道具信息!K964)</f>
        <v/>
      </c>
      <c r="L964" s="37" t="str">
        <f>IF([3]道具信息!L964="","",[3]道具信息!L964)</f>
        <v/>
      </c>
      <c r="M964" s="37" t="str">
        <f>IF([3]道具信息!M964="","",[3]道具信息!M964)</f>
        <v/>
      </c>
      <c r="N964" s="37"/>
      <c r="O964" s="37" t="str">
        <f>IF([3]道具信息!O964="","",[3]道具信息!O964)</f>
        <v/>
      </c>
      <c r="P964" s="37" t="str">
        <f>IF([3]道具信息!P964="","",[3]道具信息!P964)</f>
        <v/>
      </c>
      <c r="Q964" s="37" t="str">
        <f>IF([3]道具信息!Q964="","",[3]道具信息!Q964)</f>
        <v/>
      </c>
    </row>
    <row r="965" spans="3:17" x14ac:dyDescent="0.15">
      <c r="C965" s="37" t="str">
        <f>IF([3]道具信息!C965="","",[3]道具信息!C965)</f>
        <v/>
      </c>
      <c r="D965" s="37" t="str">
        <f>IF([3]道具信息!D965="","",[3]道具信息!D965)</f>
        <v/>
      </c>
      <c r="E965" s="37" t="str">
        <f>IF([3]道具信息!E965="","",[3]道具信息!E965)</f>
        <v/>
      </c>
      <c r="F965" s="37" t="str">
        <f>IF([3]道具信息!F965="","",[3]道具信息!F965)</f>
        <v/>
      </c>
      <c r="G965" s="37" t="str">
        <f>IF([3]道具信息!G965="","",[3]道具信息!G965)</f>
        <v/>
      </c>
      <c r="H965" s="37" t="str">
        <f>IF([3]道具信息!H965="","",[3]道具信息!H965)</f>
        <v/>
      </c>
      <c r="I965" s="37" t="str">
        <f>IF([3]道具信息!I965="","",[3]道具信息!I965)</f>
        <v/>
      </c>
      <c r="J965" s="37" t="str">
        <f>IF([3]道具信息!J965="","",[3]道具信息!J965)</f>
        <v/>
      </c>
      <c r="K965" s="37" t="str">
        <f>IF([3]道具信息!K965="","",[3]道具信息!K965)</f>
        <v/>
      </c>
      <c r="L965" s="37" t="str">
        <f>IF([3]道具信息!L965="","",[3]道具信息!L965)</f>
        <v/>
      </c>
      <c r="M965" s="37" t="str">
        <f>IF([3]道具信息!M965="","",[3]道具信息!M965)</f>
        <v/>
      </c>
      <c r="N965" s="37"/>
      <c r="O965" s="37" t="str">
        <f>IF([3]道具信息!O965="","",[3]道具信息!O965)</f>
        <v/>
      </c>
      <c r="P965" s="37" t="str">
        <f>IF([3]道具信息!P965="","",[3]道具信息!P965)</f>
        <v/>
      </c>
      <c r="Q965" s="37" t="str">
        <f>IF([3]道具信息!Q965="","",[3]道具信息!Q965)</f>
        <v/>
      </c>
    </row>
    <row r="966" spans="3:17" x14ac:dyDescent="0.15">
      <c r="C966" s="37" t="str">
        <f>IF([3]道具信息!C966="","",[3]道具信息!C966)</f>
        <v/>
      </c>
      <c r="D966" s="37" t="str">
        <f>IF([3]道具信息!D966="","",[3]道具信息!D966)</f>
        <v/>
      </c>
      <c r="E966" s="37" t="str">
        <f>IF([3]道具信息!E966="","",[3]道具信息!E966)</f>
        <v/>
      </c>
      <c r="F966" s="37" t="str">
        <f>IF([3]道具信息!F966="","",[3]道具信息!F966)</f>
        <v/>
      </c>
      <c r="G966" s="37" t="str">
        <f>IF([3]道具信息!G966="","",[3]道具信息!G966)</f>
        <v/>
      </c>
      <c r="H966" s="37" t="str">
        <f>IF([3]道具信息!H966="","",[3]道具信息!H966)</f>
        <v/>
      </c>
      <c r="I966" s="37" t="str">
        <f>IF([3]道具信息!I966="","",[3]道具信息!I966)</f>
        <v/>
      </c>
      <c r="J966" s="37" t="str">
        <f>IF([3]道具信息!J966="","",[3]道具信息!J966)</f>
        <v/>
      </c>
      <c r="K966" s="37" t="str">
        <f>IF([3]道具信息!K966="","",[3]道具信息!K966)</f>
        <v/>
      </c>
      <c r="L966" s="37" t="str">
        <f>IF([3]道具信息!L966="","",[3]道具信息!L966)</f>
        <v/>
      </c>
      <c r="M966" s="37" t="str">
        <f>IF([3]道具信息!M966="","",[3]道具信息!M966)</f>
        <v/>
      </c>
      <c r="N966" s="37"/>
      <c r="O966" s="37" t="str">
        <f>IF([3]道具信息!O966="","",[3]道具信息!O966)</f>
        <v/>
      </c>
      <c r="P966" s="37" t="str">
        <f>IF([3]道具信息!P966="","",[3]道具信息!P966)</f>
        <v/>
      </c>
      <c r="Q966" s="37" t="str">
        <f>IF([3]道具信息!Q966="","",[3]道具信息!Q966)</f>
        <v/>
      </c>
    </row>
    <row r="967" spans="3:17" x14ac:dyDescent="0.15">
      <c r="C967" s="37" t="str">
        <f>IF([3]道具信息!C967="","",[3]道具信息!C967)</f>
        <v/>
      </c>
      <c r="D967" s="37" t="str">
        <f>IF([3]道具信息!D967="","",[3]道具信息!D967)</f>
        <v/>
      </c>
      <c r="E967" s="37" t="str">
        <f>IF([3]道具信息!E967="","",[3]道具信息!E967)</f>
        <v/>
      </c>
      <c r="F967" s="37" t="str">
        <f>IF([3]道具信息!F967="","",[3]道具信息!F967)</f>
        <v/>
      </c>
      <c r="G967" s="37" t="str">
        <f>IF([3]道具信息!G967="","",[3]道具信息!G967)</f>
        <v/>
      </c>
      <c r="H967" s="37" t="str">
        <f>IF([3]道具信息!H967="","",[3]道具信息!H967)</f>
        <v/>
      </c>
      <c r="I967" s="37" t="str">
        <f>IF([3]道具信息!I967="","",[3]道具信息!I967)</f>
        <v/>
      </c>
      <c r="J967" s="37" t="str">
        <f>IF([3]道具信息!J967="","",[3]道具信息!J967)</f>
        <v/>
      </c>
      <c r="K967" s="37" t="str">
        <f>IF([3]道具信息!K967="","",[3]道具信息!K967)</f>
        <v/>
      </c>
      <c r="L967" s="37" t="str">
        <f>IF([3]道具信息!L967="","",[3]道具信息!L967)</f>
        <v/>
      </c>
      <c r="M967" s="37" t="str">
        <f>IF([3]道具信息!M967="","",[3]道具信息!M967)</f>
        <v/>
      </c>
      <c r="N967" s="37"/>
      <c r="O967" s="37" t="str">
        <f>IF([3]道具信息!O967="","",[3]道具信息!O967)</f>
        <v/>
      </c>
      <c r="P967" s="37" t="str">
        <f>IF([3]道具信息!P967="","",[3]道具信息!P967)</f>
        <v/>
      </c>
      <c r="Q967" s="37" t="str">
        <f>IF([3]道具信息!Q967="","",[3]道具信息!Q967)</f>
        <v/>
      </c>
    </row>
    <row r="968" spans="3:17" x14ac:dyDescent="0.15">
      <c r="C968" s="37" t="str">
        <f>IF([3]道具信息!C968="","",[3]道具信息!C968)</f>
        <v/>
      </c>
      <c r="D968" s="37" t="str">
        <f>IF([3]道具信息!D968="","",[3]道具信息!D968)</f>
        <v/>
      </c>
      <c r="E968" s="37" t="str">
        <f>IF([3]道具信息!E968="","",[3]道具信息!E968)</f>
        <v/>
      </c>
      <c r="F968" s="37" t="str">
        <f>IF([3]道具信息!F968="","",[3]道具信息!F968)</f>
        <v/>
      </c>
      <c r="G968" s="37" t="str">
        <f>IF([3]道具信息!G968="","",[3]道具信息!G968)</f>
        <v/>
      </c>
      <c r="H968" s="37" t="str">
        <f>IF([3]道具信息!H968="","",[3]道具信息!H968)</f>
        <v/>
      </c>
      <c r="I968" s="37" t="str">
        <f>IF([3]道具信息!I968="","",[3]道具信息!I968)</f>
        <v/>
      </c>
      <c r="J968" s="37" t="str">
        <f>IF([3]道具信息!J968="","",[3]道具信息!J968)</f>
        <v/>
      </c>
      <c r="K968" s="37" t="str">
        <f>IF([3]道具信息!K968="","",[3]道具信息!K968)</f>
        <v/>
      </c>
      <c r="L968" s="37" t="str">
        <f>IF([3]道具信息!L968="","",[3]道具信息!L968)</f>
        <v/>
      </c>
      <c r="M968" s="37" t="str">
        <f>IF([3]道具信息!M968="","",[3]道具信息!M968)</f>
        <v/>
      </c>
      <c r="N968" s="37"/>
      <c r="O968" s="37" t="str">
        <f>IF([3]道具信息!O968="","",[3]道具信息!O968)</f>
        <v/>
      </c>
      <c r="P968" s="37" t="str">
        <f>IF([3]道具信息!P968="","",[3]道具信息!P968)</f>
        <v/>
      </c>
      <c r="Q968" s="37" t="str">
        <f>IF([3]道具信息!Q968="","",[3]道具信息!Q968)</f>
        <v/>
      </c>
    </row>
    <row r="969" spans="3:17" x14ac:dyDescent="0.15">
      <c r="C969" s="37" t="str">
        <f>IF([3]道具信息!C969="","",[3]道具信息!C969)</f>
        <v/>
      </c>
      <c r="D969" s="37" t="str">
        <f>IF([3]道具信息!D969="","",[3]道具信息!D969)</f>
        <v/>
      </c>
      <c r="E969" s="37" t="str">
        <f>IF([3]道具信息!E969="","",[3]道具信息!E969)</f>
        <v/>
      </c>
      <c r="F969" s="37" t="str">
        <f>IF([3]道具信息!F969="","",[3]道具信息!F969)</f>
        <v/>
      </c>
      <c r="G969" s="37" t="str">
        <f>IF([3]道具信息!G969="","",[3]道具信息!G969)</f>
        <v/>
      </c>
      <c r="H969" s="37" t="str">
        <f>IF([3]道具信息!H969="","",[3]道具信息!H969)</f>
        <v/>
      </c>
      <c r="I969" s="37" t="str">
        <f>IF([3]道具信息!I969="","",[3]道具信息!I969)</f>
        <v/>
      </c>
      <c r="J969" s="37" t="str">
        <f>IF([3]道具信息!J969="","",[3]道具信息!J969)</f>
        <v/>
      </c>
      <c r="K969" s="37" t="str">
        <f>IF([3]道具信息!K969="","",[3]道具信息!K969)</f>
        <v/>
      </c>
      <c r="L969" s="37" t="str">
        <f>IF([3]道具信息!L969="","",[3]道具信息!L969)</f>
        <v/>
      </c>
      <c r="M969" s="37" t="str">
        <f>IF([3]道具信息!M969="","",[3]道具信息!M969)</f>
        <v/>
      </c>
      <c r="N969" s="37"/>
      <c r="O969" s="37" t="str">
        <f>IF([3]道具信息!O969="","",[3]道具信息!O969)</f>
        <v/>
      </c>
      <c r="P969" s="37" t="str">
        <f>IF([3]道具信息!P969="","",[3]道具信息!P969)</f>
        <v/>
      </c>
      <c r="Q969" s="37" t="str">
        <f>IF([3]道具信息!Q969="","",[3]道具信息!Q969)</f>
        <v/>
      </c>
    </row>
    <row r="970" spans="3:17" x14ac:dyDescent="0.15">
      <c r="C970" s="37" t="str">
        <f>IF([3]道具信息!C970="","",[3]道具信息!C970)</f>
        <v/>
      </c>
      <c r="D970" s="37" t="str">
        <f>IF([3]道具信息!D970="","",[3]道具信息!D970)</f>
        <v/>
      </c>
      <c r="E970" s="37" t="str">
        <f>IF([3]道具信息!E970="","",[3]道具信息!E970)</f>
        <v/>
      </c>
      <c r="F970" s="37" t="str">
        <f>IF([3]道具信息!F970="","",[3]道具信息!F970)</f>
        <v/>
      </c>
      <c r="G970" s="37" t="str">
        <f>IF([3]道具信息!G970="","",[3]道具信息!G970)</f>
        <v/>
      </c>
      <c r="H970" s="37" t="str">
        <f>IF([3]道具信息!H970="","",[3]道具信息!H970)</f>
        <v/>
      </c>
      <c r="I970" s="37" t="str">
        <f>IF([3]道具信息!I970="","",[3]道具信息!I970)</f>
        <v/>
      </c>
      <c r="J970" s="37" t="str">
        <f>IF([3]道具信息!J970="","",[3]道具信息!J970)</f>
        <v/>
      </c>
      <c r="K970" s="37" t="str">
        <f>IF([3]道具信息!K970="","",[3]道具信息!K970)</f>
        <v/>
      </c>
      <c r="L970" s="37" t="str">
        <f>IF([3]道具信息!L970="","",[3]道具信息!L970)</f>
        <v/>
      </c>
      <c r="M970" s="37" t="str">
        <f>IF([3]道具信息!M970="","",[3]道具信息!M970)</f>
        <v/>
      </c>
      <c r="N970" s="37"/>
      <c r="O970" s="37" t="str">
        <f>IF([3]道具信息!O970="","",[3]道具信息!O970)</f>
        <v/>
      </c>
      <c r="P970" s="37" t="str">
        <f>IF([3]道具信息!P970="","",[3]道具信息!P970)</f>
        <v/>
      </c>
      <c r="Q970" s="37" t="str">
        <f>IF([3]道具信息!Q970="","",[3]道具信息!Q970)</f>
        <v/>
      </c>
    </row>
    <row r="971" spans="3:17" x14ac:dyDescent="0.15">
      <c r="C971" s="37" t="str">
        <f>IF([3]道具信息!C971="","",[3]道具信息!C971)</f>
        <v/>
      </c>
      <c r="D971" s="37" t="str">
        <f>IF([3]道具信息!D971="","",[3]道具信息!D971)</f>
        <v/>
      </c>
      <c r="E971" s="37" t="str">
        <f>IF([3]道具信息!E971="","",[3]道具信息!E971)</f>
        <v/>
      </c>
      <c r="F971" s="37" t="str">
        <f>IF([3]道具信息!F971="","",[3]道具信息!F971)</f>
        <v/>
      </c>
      <c r="G971" s="37" t="str">
        <f>IF([3]道具信息!G971="","",[3]道具信息!G971)</f>
        <v/>
      </c>
      <c r="H971" s="37" t="str">
        <f>IF([3]道具信息!H971="","",[3]道具信息!H971)</f>
        <v/>
      </c>
      <c r="I971" s="37" t="str">
        <f>IF([3]道具信息!I971="","",[3]道具信息!I971)</f>
        <v/>
      </c>
      <c r="J971" s="37" t="str">
        <f>IF([3]道具信息!J971="","",[3]道具信息!J971)</f>
        <v/>
      </c>
      <c r="K971" s="37" t="str">
        <f>IF([3]道具信息!K971="","",[3]道具信息!K971)</f>
        <v/>
      </c>
      <c r="L971" s="37" t="str">
        <f>IF([3]道具信息!L971="","",[3]道具信息!L971)</f>
        <v/>
      </c>
      <c r="M971" s="37" t="str">
        <f>IF([3]道具信息!M971="","",[3]道具信息!M971)</f>
        <v/>
      </c>
      <c r="N971" s="37"/>
      <c r="O971" s="37" t="str">
        <f>IF([3]道具信息!O971="","",[3]道具信息!O971)</f>
        <v/>
      </c>
      <c r="P971" s="37" t="str">
        <f>IF([3]道具信息!P971="","",[3]道具信息!P971)</f>
        <v/>
      </c>
      <c r="Q971" s="37" t="str">
        <f>IF([3]道具信息!Q971="","",[3]道具信息!Q971)</f>
        <v/>
      </c>
    </row>
    <row r="972" spans="3:17" x14ac:dyDescent="0.15">
      <c r="C972" s="37" t="str">
        <f>IF([3]道具信息!C972="","",[3]道具信息!C972)</f>
        <v/>
      </c>
      <c r="D972" s="37" t="str">
        <f>IF([3]道具信息!D972="","",[3]道具信息!D972)</f>
        <v/>
      </c>
      <c r="E972" s="37" t="str">
        <f>IF([3]道具信息!E972="","",[3]道具信息!E972)</f>
        <v/>
      </c>
      <c r="F972" s="37" t="str">
        <f>IF([3]道具信息!F972="","",[3]道具信息!F972)</f>
        <v/>
      </c>
      <c r="G972" s="37" t="str">
        <f>IF([3]道具信息!G972="","",[3]道具信息!G972)</f>
        <v/>
      </c>
      <c r="H972" s="37" t="str">
        <f>IF([3]道具信息!H972="","",[3]道具信息!H972)</f>
        <v/>
      </c>
      <c r="I972" s="37" t="str">
        <f>IF([3]道具信息!I972="","",[3]道具信息!I972)</f>
        <v/>
      </c>
      <c r="J972" s="37" t="str">
        <f>IF([3]道具信息!J972="","",[3]道具信息!J972)</f>
        <v/>
      </c>
      <c r="K972" s="37" t="str">
        <f>IF([3]道具信息!K972="","",[3]道具信息!K972)</f>
        <v/>
      </c>
      <c r="L972" s="37" t="str">
        <f>IF([3]道具信息!L972="","",[3]道具信息!L972)</f>
        <v/>
      </c>
      <c r="M972" s="37" t="str">
        <f>IF([3]道具信息!M972="","",[3]道具信息!M972)</f>
        <v/>
      </c>
      <c r="N972" s="37"/>
      <c r="O972" s="37" t="str">
        <f>IF([3]道具信息!O972="","",[3]道具信息!O972)</f>
        <v/>
      </c>
      <c r="P972" s="37" t="str">
        <f>IF([3]道具信息!P972="","",[3]道具信息!P972)</f>
        <v/>
      </c>
      <c r="Q972" s="37" t="str">
        <f>IF([3]道具信息!Q972="","",[3]道具信息!Q972)</f>
        <v/>
      </c>
    </row>
    <row r="973" spans="3:17" x14ac:dyDescent="0.15">
      <c r="C973" s="37" t="str">
        <f>IF([3]道具信息!C973="","",[3]道具信息!C973)</f>
        <v/>
      </c>
      <c r="D973" s="37" t="str">
        <f>IF([3]道具信息!D973="","",[3]道具信息!D973)</f>
        <v/>
      </c>
      <c r="E973" s="37" t="str">
        <f>IF([3]道具信息!E973="","",[3]道具信息!E973)</f>
        <v/>
      </c>
      <c r="F973" s="37" t="str">
        <f>IF([3]道具信息!F973="","",[3]道具信息!F973)</f>
        <v/>
      </c>
      <c r="G973" s="37" t="str">
        <f>IF([3]道具信息!G973="","",[3]道具信息!G973)</f>
        <v/>
      </c>
      <c r="H973" s="37" t="str">
        <f>IF([3]道具信息!H973="","",[3]道具信息!H973)</f>
        <v/>
      </c>
      <c r="I973" s="37" t="str">
        <f>IF([3]道具信息!I973="","",[3]道具信息!I973)</f>
        <v/>
      </c>
      <c r="J973" s="37" t="str">
        <f>IF([3]道具信息!J973="","",[3]道具信息!J973)</f>
        <v/>
      </c>
      <c r="K973" s="37" t="str">
        <f>IF([3]道具信息!K973="","",[3]道具信息!K973)</f>
        <v/>
      </c>
      <c r="L973" s="37" t="str">
        <f>IF([3]道具信息!L973="","",[3]道具信息!L973)</f>
        <v/>
      </c>
      <c r="M973" s="37" t="str">
        <f>IF([3]道具信息!M973="","",[3]道具信息!M973)</f>
        <v/>
      </c>
      <c r="N973" s="37"/>
      <c r="O973" s="37" t="str">
        <f>IF([3]道具信息!O973="","",[3]道具信息!O973)</f>
        <v/>
      </c>
      <c r="P973" s="37" t="str">
        <f>IF([3]道具信息!P973="","",[3]道具信息!P973)</f>
        <v/>
      </c>
      <c r="Q973" s="37" t="str">
        <f>IF([3]道具信息!Q973="","",[3]道具信息!Q973)</f>
        <v/>
      </c>
    </row>
    <row r="974" spans="3:17" x14ac:dyDescent="0.15">
      <c r="C974" s="37" t="str">
        <f>IF([3]道具信息!C974="","",[3]道具信息!C974)</f>
        <v/>
      </c>
      <c r="D974" s="37" t="str">
        <f>IF([3]道具信息!D974="","",[3]道具信息!D974)</f>
        <v/>
      </c>
      <c r="E974" s="37" t="str">
        <f>IF([3]道具信息!E974="","",[3]道具信息!E974)</f>
        <v/>
      </c>
      <c r="F974" s="37" t="str">
        <f>IF([3]道具信息!F974="","",[3]道具信息!F974)</f>
        <v/>
      </c>
      <c r="G974" s="37" t="str">
        <f>IF([3]道具信息!G974="","",[3]道具信息!G974)</f>
        <v/>
      </c>
      <c r="H974" s="37" t="str">
        <f>IF([3]道具信息!H974="","",[3]道具信息!H974)</f>
        <v/>
      </c>
      <c r="I974" s="37" t="str">
        <f>IF([3]道具信息!I974="","",[3]道具信息!I974)</f>
        <v/>
      </c>
      <c r="J974" s="37" t="str">
        <f>IF([3]道具信息!J974="","",[3]道具信息!J974)</f>
        <v/>
      </c>
      <c r="K974" s="37" t="str">
        <f>IF([3]道具信息!K974="","",[3]道具信息!K974)</f>
        <v/>
      </c>
      <c r="L974" s="37" t="str">
        <f>IF([3]道具信息!L974="","",[3]道具信息!L974)</f>
        <v/>
      </c>
      <c r="M974" s="37" t="str">
        <f>IF([3]道具信息!M974="","",[3]道具信息!M974)</f>
        <v/>
      </c>
      <c r="N974" s="37"/>
      <c r="O974" s="37" t="str">
        <f>IF([3]道具信息!O974="","",[3]道具信息!O974)</f>
        <v/>
      </c>
      <c r="P974" s="37" t="str">
        <f>IF([3]道具信息!P974="","",[3]道具信息!P974)</f>
        <v/>
      </c>
      <c r="Q974" s="37" t="str">
        <f>IF([3]道具信息!Q974="","",[3]道具信息!Q974)</f>
        <v/>
      </c>
    </row>
    <row r="975" spans="3:17" x14ac:dyDescent="0.15">
      <c r="C975" s="37" t="str">
        <f>IF([3]道具信息!C975="","",[3]道具信息!C975)</f>
        <v/>
      </c>
      <c r="D975" s="37" t="str">
        <f>IF([3]道具信息!D975="","",[3]道具信息!D975)</f>
        <v/>
      </c>
      <c r="E975" s="37" t="str">
        <f>IF([3]道具信息!E975="","",[3]道具信息!E975)</f>
        <v/>
      </c>
      <c r="F975" s="37" t="str">
        <f>IF([3]道具信息!F975="","",[3]道具信息!F975)</f>
        <v/>
      </c>
      <c r="G975" s="37" t="str">
        <f>IF([3]道具信息!G975="","",[3]道具信息!G975)</f>
        <v/>
      </c>
      <c r="H975" s="37" t="str">
        <f>IF([3]道具信息!H975="","",[3]道具信息!H975)</f>
        <v/>
      </c>
      <c r="I975" s="37" t="str">
        <f>IF([3]道具信息!I975="","",[3]道具信息!I975)</f>
        <v/>
      </c>
      <c r="J975" s="37" t="str">
        <f>IF([3]道具信息!J975="","",[3]道具信息!J975)</f>
        <v/>
      </c>
      <c r="K975" s="37" t="str">
        <f>IF([3]道具信息!K975="","",[3]道具信息!K975)</f>
        <v/>
      </c>
      <c r="L975" s="37" t="str">
        <f>IF([3]道具信息!L975="","",[3]道具信息!L975)</f>
        <v/>
      </c>
      <c r="M975" s="37" t="str">
        <f>IF([3]道具信息!M975="","",[3]道具信息!M975)</f>
        <v/>
      </c>
      <c r="N975" s="37"/>
      <c r="O975" s="37" t="str">
        <f>IF([3]道具信息!O975="","",[3]道具信息!O975)</f>
        <v/>
      </c>
      <c r="P975" s="37" t="str">
        <f>IF([3]道具信息!P975="","",[3]道具信息!P975)</f>
        <v/>
      </c>
      <c r="Q975" s="37" t="str">
        <f>IF([3]道具信息!Q975="","",[3]道具信息!Q975)</f>
        <v/>
      </c>
    </row>
    <row r="976" spans="3:17" x14ac:dyDescent="0.15">
      <c r="C976" s="37" t="str">
        <f>IF([3]道具信息!C976="","",[3]道具信息!C976)</f>
        <v/>
      </c>
      <c r="D976" s="37" t="str">
        <f>IF([3]道具信息!D976="","",[3]道具信息!D976)</f>
        <v/>
      </c>
      <c r="E976" s="37" t="str">
        <f>IF([3]道具信息!E976="","",[3]道具信息!E976)</f>
        <v/>
      </c>
      <c r="F976" s="37" t="str">
        <f>IF([3]道具信息!F976="","",[3]道具信息!F976)</f>
        <v/>
      </c>
      <c r="G976" s="37" t="str">
        <f>IF([3]道具信息!G976="","",[3]道具信息!G976)</f>
        <v/>
      </c>
      <c r="H976" s="37" t="str">
        <f>IF([3]道具信息!H976="","",[3]道具信息!H976)</f>
        <v/>
      </c>
      <c r="I976" s="37" t="str">
        <f>IF([3]道具信息!I976="","",[3]道具信息!I976)</f>
        <v/>
      </c>
      <c r="J976" s="37" t="str">
        <f>IF([3]道具信息!J976="","",[3]道具信息!J976)</f>
        <v/>
      </c>
      <c r="K976" s="37" t="str">
        <f>IF([3]道具信息!K976="","",[3]道具信息!K976)</f>
        <v/>
      </c>
      <c r="L976" s="37" t="str">
        <f>IF([3]道具信息!L976="","",[3]道具信息!L976)</f>
        <v/>
      </c>
      <c r="M976" s="37" t="str">
        <f>IF([3]道具信息!M976="","",[3]道具信息!M976)</f>
        <v/>
      </c>
      <c r="N976" s="37"/>
      <c r="O976" s="37" t="str">
        <f>IF([3]道具信息!O976="","",[3]道具信息!O976)</f>
        <v/>
      </c>
      <c r="P976" s="37" t="str">
        <f>IF([3]道具信息!P976="","",[3]道具信息!P976)</f>
        <v/>
      </c>
      <c r="Q976" s="37" t="str">
        <f>IF([3]道具信息!Q976="","",[3]道具信息!Q976)</f>
        <v/>
      </c>
    </row>
    <row r="977" spans="3:17" x14ac:dyDescent="0.15">
      <c r="C977" s="37" t="str">
        <f>IF([3]道具信息!C977="","",[3]道具信息!C977)</f>
        <v/>
      </c>
      <c r="D977" s="37" t="str">
        <f>IF([3]道具信息!D977="","",[3]道具信息!D977)</f>
        <v/>
      </c>
      <c r="E977" s="37" t="str">
        <f>IF([3]道具信息!E977="","",[3]道具信息!E977)</f>
        <v/>
      </c>
      <c r="F977" s="37" t="str">
        <f>IF([3]道具信息!F977="","",[3]道具信息!F977)</f>
        <v/>
      </c>
      <c r="G977" s="37" t="str">
        <f>IF([3]道具信息!G977="","",[3]道具信息!G977)</f>
        <v/>
      </c>
      <c r="H977" s="37" t="str">
        <f>IF([3]道具信息!H977="","",[3]道具信息!H977)</f>
        <v/>
      </c>
      <c r="I977" s="37" t="str">
        <f>IF([3]道具信息!I977="","",[3]道具信息!I977)</f>
        <v/>
      </c>
      <c r="J977" s="37" t="str">
        <f>IF([3]道具信息!J977="","",[3]道具信息!J977)</f>
        <v/>
      </c>
      <c r="K977" s="37" t="str">
        <f>IF([3]道具信息!K977="","",[3]道具信息!K977)</f>
        <v/>
      </c>
      <c r="L977" s="37" t="str">
        <f>IF([3]道具信息!L977="","",[3]道具信息!L977)</f>
        <v/>
      </c>
      <c r="M977" s="37" t="str">
        <f>IF([3]道具信息!M977="","",[3]道具信息!M977)</f>
        <v/>
      </c>
      <c r="N977" s="37"/>
      <c r="O977" s="37" t="str">
        <f>IF([3]道具信息!O977="","",[3]道具信息!O977)</f>
        <v/>
      </c>
      <c r="P977" s="37" t="str">
        <f>IF([3]道具信息!P977="","",[3]道具信息!P977)</f>
        <v/>
      </c>
      <c r="Q977" s="37" t="str">
        <f>IF([3]道具信息!Q977="","",[3]道具信息!Q977)</f>
        <v/>
      </c>
    </row>
    <row r="978" spans="3:17" x14ac:dyDescent="0.15">
      <c r="C978" s="37" t="str">
        <f>IF([3]道具信息!C978="","",[3]道具信息!C978)</f>
        <v/>
      </c>
      <c r="D978" s="37" t="str">
        <f>IF([3]道具信息!D978="","",[3]道具信息!D978)</f>
        <v/>
      </c>
      <c r="E978" s="37" t="str">
        <f>IF([3]道具信息!E978="","",[3]道具信息!E978)</f>
        <v/>
      </c>
      <c r="F978" s="37" t="str">
        <f>IF([3]道具信息!F978="","",[3]道具信息!F978)</f>
        <v/>
      </c>
      <c r="G978" s="37" t="str">
        <f>IF([3]道具信息!G978="","",[3]道具信息!G978)</f>
        <v/>
      </c>
      <c r="H978" s="37" t="str">
        <f>IF([3]道具信息!H978="","",[3]道具信息!H978)</f>
        <v/>
      </c>
      <c r="I978" s="37" t="str">
        <f>IF([3]道具信息!I978="","",[3]道具信息!I978)</f>
        <v/>
      </c>
      <c r="J978" s="37" t="str">
        <f>IF([3]道具信息!J978="","",[3]道具信息!J978)</f>
        <v/>
      </c>
      <c r="K978" s="37" t="str">
        <f>IF([3]道具信息!K978="","",[3]道具信息!K978)</f>
        <v/>
      </c>
      <c r="L978" s="37" t="str">
        <f>IF([3]道具信息!L978="","",[3]道具信息!L978)</f>
        <v/>
      </c>
      <c r="M978" s="37" t="str">
        <f>IF([3]道具信息!M978="","",[3]道具信息!M978)</f>
        <v/>
      </c>
      <c r="N978" s="37"/>
      <c r="O978" s="37" t="str">
        <f>IF([3]道具信息!O978="","",[3]道具信息!O978)</f>
        <v/>
      </c>
      <c r="P978" s="37" t="str">
        <f>IF([3]道具信息!P978="","",[3]道具信息!P978)</f>
        <v/>
      </c>
      <c r="Q978" s="37" t="str">
        <f>IF([3]道具信息!Q978="","",[3]道具信息!Q978)</f>
        <v/>
      </c>
    </row>
    <row r="979" spans="3:17" x14ac:dyDescent="0.15">
      <c r="C979" s="37" t="str">
        <f>IF([3]道具信息!C979="","",[3]道具信息!C979)</f>
        <v/>
      </c>
      <c r="D979" s="37" t="str">
        <f>IF([3]道具信息!D979="","",[3]道具信息!D979)</f>
        <v/>
      </c>
      <c r="E979" s="37" t="str">
        <f>IF([3]道具信息!E979="","",[3]道具信息!E979)</f>
        <v/>
      </c>
      <c r="F979" s="37" t="str">
        <f>IF([3]道具信息!F979="","",[3]道具信息!F979)</f>
        <v/>
      </c>
      <c r="G979" s="37" t="str">
        <f>IF([3]道具信息!G979="","",[3]道具信息!G979)</f>
        <v/>
      </c>
      <c r="H979" s="37" t="str">
        <f>IF([3]道具信息!H979="","",[3]道具信息!H979)</f>
        <v/>
      </c>
      <c r="I979" s="37" t="str">
        <f>IF([3]道具信息!I979="","",[3]道具信息!I979)</f>
        <v/>
      </c>
      <c r="J979" s="37" t="str">
        <f>IF([3]道具信息!J979="","",[3]道具信息!J979)</f>
        <v/>
      </c>
      <c r="K979" s="37" t="str">
        <f>IF([3]道具信息!K979="","",[3]道具信息!K979)</f>
        <v/>
      </c>
      <c r="L979" s="37" t="str">
        <f>IF([3]道具信息!L979="","",[3]道具信息!L979)</f>
        <v/>
      </c>
      <c r="M979" s="37" t="str">
        <f>IF([3]道具信息!M979="","",[3]道具信息!M979)</f>
        <v/>
      </c>
      <c r="N979" s="37"/>
      <c r="O979" s="37" t="str">
        <f>IF([3]道具信息!O979="","",[3]道具信息!O979)</f>
        <v/>
      </c>
      <c r="P979" s="37" t="str">
        <f>IF([3]道具信息!P979="","",[3]道具信息!P979)</f>
        <v/>
      </c>
      <c r="Q979" s="37" t="str">
        <f>IF([3]道具信息!Q979="","",[3]道具信息!Q979)</f>
        <v/>
      </c>
    </row>
    <row r="980" spans="3:17" x14ac:dyDescent="0.15">
      <c r="C980" s="37" t="str">
        <f>IF([3]道具信息!C980="","",[3]道具信息!C980)</f>
        <v/>
      </c>
      <c r="D980" s="37" t="str">
        <f>IF([3]道具信息!D980="","",[3]道具信息!D980)</f>
        <v/>
      </c>
      <c r="E980" s="37" t="str">
        <f>IF([3]道具信息!E980="","",[3]道具信息!E980)</f>
        <v/>
      </c>
      <c r="F980" s="37" t="str">
        <f>IF([3]道具信息!F980="","",[3]道具信息!F980)</f>
        <v/>
      </c>
      <c r="G980" s="37" t="str">
        <f>IF([3]道具信息!G980="","",[3]道具信息!G980)</f>
        <v/>
      </c>
      <c r="H980" s="37" t="str">
        <f>IF([3]道具信息!H980="","",[3]道具信息!H980)</f>
        <v/>
      </c>
      <c r="I980" s="37" t="str">
        <f>IF([3]道具信息!I980="","",[3]道具信息!I980)</f>
        <v/>
      </c>
      <c r="J980" s="37" t="str">
        <f>IF([3]道具信息!J980="","",[3]道具信息!J980)</f>
        <v/>
      </c>
      <c r="K980" s="37" t="str">
        <f>IF([3]道具信息!K980="","",[3]道具信息!K980)</f>
        <v/>
      </c>
      <c r="L980" s="37" t="str">
        <f>IF([3]道具信息!L980="","",[3]道具信息!L980)</f>
        <v/>
      </c>
      <c r="M980" s="37" t="str">
        <f>IF([3]道具信息!M980="","",[3]道具信息!M980)</f>
        <v/>
      </c>
      <c r="N980" s="37"/>
      <c r="O980" s="37" t="str">
        <f>IF([3]道具信息!O980="","",[3]道具信息!O980)</f>
        <v/>
      </c>
      <c r="P980" s="37" t="str">
        <f>IF([3]道具信息!P980="","",[3]道具信息!P980)</f>
        <v/>
      </c>
      <c r="Q980" s="37" t="str">
        <f>IF([3]道具信息!Q980="","",[3]道具信息!Q980)</f>
        <v/>
      </c>
    </row>
    <row r="981" spans="3:17" x14ac:dyDescent="0.15">
      <c r="C981" s="37" t="str">
        <f>IF([3]道具信息!C981="","",[3]道具信息!C981)</f>
        <v/>
      </c>
      <c r="D981" s="37" t="str">
        <f>IF([3]道具信息!D981="","",[3]道具信息!D981)</f>
        <v/>
      </c>
      <c r="E981" s="37" t="str">
        <f>IF([3]道具信息!E981="","",[3]道具信息!E981)</f>
        <v/>
      </c>
      <c r="F981" s="37" t="str">
        <f>IF([3]道具信息!F981="","",[3]道具信息!F981)</f>
        <v/>
      </c>
      <c r="G981" s="37" t="str">
        <f>IF([3]道具信息!G981="","",[3]道具信息!G981)</f>
        <v/>
      </c>
      <c r="H981" s="37" t="str">
        <f>IF([3]道具信息!H981="","",[3]道具信息!H981)</f>
        <v/>
      </c>
      <c r="I981" s="37" t="str">
        <f>IF([3]道具信息!I981="","",[3]道具信息!I981)</f>
        <v/>
      </c>
      <c r="J981" s="37" t="str">
        <f>IF([3]道具信息!J981="","",[3]道具信息!J981)</f>
        <v/>
      </c>
      <c r="K981" s="37" t="str">
        <f>IF([3]道具信息!K981="","",[3]道具信息!K981)</f>
        <v/>
      </c>
      <c r="L981" s="37" t="str">
        <f>IF([3]道具信息!L981="","",[3]道具信息!L981)</f>
        <v/>
      </c>
      <c r="M981" s="37" t="str">
        <f>IF([3]道具信息!M981="","",[3]道具信息!M981)</f>
        <v/>
      </c>
      <c r="N981" s="37"/>
      <c r="O981" s="37" t="str">
        <f>IF([3]道具信息!O981="","",[3]道具信息!O981)</f>
        <v/>
      </c>
      <c r="P981" s="37" t="str">
        <f>IF([3]道具信息!P981="","",[3]道具信息!P981)</f>
        <v/>
      </c>
      <c r="Q981" s="37" t="str">
        <f>IF([3]道具信息!Q981="","",[3]道具信息!Q981)</f>
        <v/>
      </c>
    </row>
    <row r="982" spans="3:17" x14ac:dyDescent="0.15">
      <c r="C982" s="37" t="str">
        <f>IF([3]道具信息!C982="","",[3]道具信息!C982)</f>
        <v/>
      </c>
      <c r="D982" s="37" t="str">
        <f>IF([3]道具信息!D982="","",[3]道具信息!D982)</f>
        <v/>
      </c>
      <c r="E982" s="37" t="str">
        <f>IF([3]道具信息!E982="","",[3]道具信息!E982)</f>
        <v/>
      </c>
      <c r="F982" s="37" t="str">
        <f>IF([3]道具信息!F982="","",[3]道具信息!F982)</f>
        <v/>
      </c>
      <c r="G982" s="37" t="str">
        <f>IF([3]道具信息!G982="","",[3]道具信息!G982)</f>
        <v/>
      </c>
      <c r="H982" s="37" t="str">
        <f>IF([3]道具信息!H982="","",[3]道具信息!H982)</f>
        <v/>
      </c>
      <c r="I982" s="37" t="str">
        <f>IF([3]道具信息!I982="","",[3]道具信息!I982)</f>
        <v/>
      </c>
      <c r="J982" s="37" t="str">
        <f>IF([3]道具信息!J982="","",[3]道具信息!J982)</f>
        <v/>
      </c>
      <c r="K982" s="37" t="str">
        <f>IF([3]道具信息!K982="","",[3]道具信息!K982)</f>
        <v/>
      </c>
      <c r="L982" s="37" t="str">
        <f>IF([3]道具信息!L982="","",[3]道具信息!L982)</f>
        <v/>
      </c>
      <c r="M982" s="37" t="str">
        <f>IF([3]道具信息!M982="","",[3]道具信息!M982)</f>
        <v/>
      </c>
      <c r="N982" s="37"/>
      <c r="O982" s="37" t="str">
        <f>IF([3]道具信息!O982="","",[3]道具信息!O982)</f>
        <v/>
      </c>
      <c r="P982" s="37" t="str">
        <f>IF([3]道具信息!P982="","",[3]道具信息!P982)</f>
        <v/>
      </c>
      <c r="Q982" s="37" t="str">
        <f>IF([3]道具信息!Q982="","",[3]道具信息!Q982)</f>
        <v/>
      </c>
    </row>
    <row r="983" spans="3:17" x14ac:dyDescent="0.15">
      <c r="C983" s="37" t="str">
        <f>IF([3]道具信息!C983="","",[3]道具信息!C983)</f>
        <v/>
      </c>
      <c r="D983" s="37" t="str">
        <f>IF([3]道具信息!D983="","",[3]道具信息!D983)</f>
        <v/>
      </c>
      <c r="E983" s="37" t="str">
        <f>IF([3]道具信息!E983="","",[3]道具信息!E983)</f>
        <v/>
      </c>
      <c r="F983" s="37" t="str">
        <f>IF([3]道具信息!F983="","",[3]道具信息!F983)</f>
        <v/>
      </c>
      <c r="G983" s="37" t="str">
        <f>IF([3]道具信息!G983="","",[3]道具信息!G983)</f>
        <v/>
      </c>
      <c r="H983" s="37" t="str">
        <f>IF([3]道具信息!H983="","",[3]道具信息!H983)</f>
        <v/>
      </c>
      <c r="I983" s="37" t="str">
        <f>IF([3]道具信息!I983="","",[3]道具信息!I983)</f>
        <v/>
      </c>
      <c r="J983" s="37" t="str">
        <f>IF([3]道具信息!J983="","",[3]道具信息!J983)</f>
        <v/>
      </c>
      <c r="K983" s="37" t="str">
        <f>IF([3]道具信息!K983="","",[3]道具信息!K983)</f>
        <v/>
      </c>
      <c r="L983" s="37" t="str">
        <f>IF([3]道具信息!L983="","",[3]道具信息!L983)</f>
        <v/>
      </c>
      <c r="M983" s="37" t="str">
        <f>IF([3]道具信息!M983="","",[3]道具信息!M983)</f>
        <v/>
      </c>
      <c r="N983" s="37"/>
      <c r="O983" s="37" t="str">
        <f>IF([3]道具信息!O983="","",[3]道具信息!O983)</f>
        <v/>
      </c>
      <c r="P983" s="37" t="str">
        <f>IF([3]道具信息!P983="","",[3]道具信息!P983)</f>
        <v/>
      </c>
      <c r="Q983" s="37" t="str">
        <f>IF([3]道具信息!Q983="","",[3]道具信息!Q983)</f>
        <v/>
      </c>
    </row>
    <row r="984" spans="3:17" x14ac:dyDescent="0.15">
      <c r="C984" s="37" t="str">
        <f>IF([3]道具信息!C984="","",[3]道具信息!C984)</f>
        <v/>
      </c>
      <c r="D984" s="37" t="str">
        <f>IF([3]道具信息!D984="","",[3]道具信息!D984)</f>
        <v/>
      </c>
      <c r="E984" s="37" t="str">
        <f>IF([3]道具信息!E984="","",[3]道具信息!E984)</f>
        <v/>
      </c>
      <c r="F984" s="37" t="str">
        <f>IF([3]道具信息!F984="","",[3]道具信息!F984)</f>
        <v/>
      </c>
      <c r="G984" s="37" t="str">
        <f>IF([3]道具信息!G984="","",[3]道具信息!G984)</f>
        <v/>
      </c>
      <c r="H984" s="37" t="str">
        <f>IF([3]道具信息!H984="","",[3]道具信息!H984)</f>
        <v/>
      </c>
      <c r="I984" s="37" t="str">
        <f>IF([3]道具信息!I984="","",[3]道具信息!I984)</f>
        <v/>
      </c>
      <c r="J984" s="37" t="str">
        <f>IF([3]道具信息!J984="","",[3]道具信息!J984)</f>
        <v/>
      </c>
      <c r="K984" s="37" t="str">
        <f>IF([3]道具信息!K984="","",[3]道具信息!K984)</f>
        <v/>
      </c>
      <c r="L984" s="37" t="str">
        <f>IF([3]道具信息!L984="","",[3]道具信息!L984)</f>
        <v/>
      </c>
      <c r="M984" s="37" t="str">
        <f>IF([3]道具信息!M984="","",[3]道具信息!M984)</f>
        <v/>
      </c>
      <c r="N984" s="37"/>
      <c r="O984" s="37" t="str">
        <f>IF([3]道具信息!O984="","",[3]道具信息!O984)</f>
        <v/>
      </c>
      <c r="P984" s="37" t="str">
        <f>IF([3]道具信息!P984="","",[3]道具信息!P984)</f>
        <v/>
      </c>
      <c r="Q984" s="37" t="str">
        <f>IF([3]道具信息!Q984="","",[3]道具信息!Q984)</f>
        <v/>
      </c>
    </row>
    <row r="985" spans="3:17" x14ac:dyDescent="0.15">
      <c r="C985" s="37" t="str">
        <f>IF([3]道具信息!C985="","",[3]道具信息!C985)</f>
        <v/>
      </c>
      <c r="D985" s="37" t="str">
        <f>IF([3]道具信息!D985="","",[3]道具信息!D985)</f>
        <v/>
      </c>
      <c r="E985" s="37" t="str">
        <f>IF([3]道具信息!E985="","",[3]道具信息!E985)</f>
        <v/>
      </c>
      <c r="F985" s="37" t="str">
        <f>IF([3]道具信息!F985="","",[3]道具信息!F985)</f>
        <v/>
      </c>
      <c r="G985" s="37" t="str">
        <f>IF([3]道具信息!G985="","",[3]道具信息!G985)</f>
        <v/>
      </c>
      <c r="H985" s="37" t="str">
        <f>IF([3]道具信息!H985="","",[3]道具信息!H985)</f>
        <v/>
      </c>
      <c r="I985" s="37" t="str">
        <f>IF([3]道具信息!I985="","",[3]道具信息!I985)</f>
        <v/>
      </c>
      <c r="J985" s="37" t="str">
        <f>IF([3]道具信息!J985="","",[3]道具信息!J985)</f>
        <v/>
      </c>
      <c r="K985" s="37" t="str">
        <f>IF([3]道具信息!K985="","",[3]道具信息!K985)</f>
        <v/>
      </c>
      <c r="L985" s="37" t="str">
        <f>IF([3]道具信息!L985="","",[3]道具信息!L985)</f>
        <v/>
      </c>
      <c r="M985" s="37" t="str">
        <f>IF([3]道具信息!M985="","",[3]道具信息!M985)</f>
        <v/>
      </c>
      <c r="N985" s="37"/>
      <c r="O985" s="37" t="str">
        <f>IF([3]道具信息!O985="","",[3]道具信息!O985)</f>
        <v/>
      </c>
      <c r="P985" s="37" t="str">
        <f>IF([3]道具信息!P985="","",[3]道具信息!P985)</f>
        <v/>
      </c>
      <c r="Q985" s="37" t="str">
        <f>IF([3]道具信息!Q985="","",[3]道具信息!Q985)</f>
        <v/>
      </c>
    </row>
    <row r="986" spans="3:17" x14ac:dyDescent="0.15">
      <c r="C986" s="37" t="str">
        <f>IF([3]道具信息!C986="","",[3]道具信息!C986)</f>
        <v/>
      </c>
      <c r="D986" s="37" t="str">
        <f>IF([3]道具信息!D986="","",[3]道具信息!D986)</f>
        <v/>
      </c>
      <c r="E986" s="37" t="str">
        <f>IF([3]道具信息!E986="","",[3]道具信息!E986)</f>
        <v/>
      </c>
      <c r="F986" s="37" t="str">
        <f>IF([3]道具信息!F986="","",[3]道具信息!F986)</f>
        <v/>
      </c>
      <c r="G986" s="37" t="str">
        <f>IF([3]道具信息!G986="","",[3]道具信息!G986)</f>
        <v/>
      </c>
      <c r="H986" s="37" t="str">
        <f>IF([3]道具信息!H986="","",[3]道具信息!H986)</f>
        <v/>
      </c>
      <c r="I986" s="37" t="str">
        <f>IF([3]道具信息!I986="","",[3]道具信息!I986)</f>
        <v/>
      </c>
      <c r="J986" s="37" t="str">
        <f>IF([3]道具信息!J986="","",[3]道具信息!J986)</f>
        <v/>
      </c>
      <c r="K986" s="37" t="str">
        <f>IF([3]道具信息!K986="","",[3]道具信息!K986)</f>
        <v/>
      </c>
      <c r="L986" s="37" t="str">
        <f>IF([3]道具信息!L986="","",[3]道具信息!L986)</f>
        <v/>
      </c>
      <c r="M986" s="37" t="str">
        <f>IF([3]道具信息!M986="","",[3]道具信息!M986)</f>
        <v/>
      </c>
      <c r="N986" s="37"/>
      <c r="O986" s="37" t="str">
        <f>IF([3]道具信息!O986="","",[3]道具信息!O986)</f>
        <v/>
      </c>
      <c r="P986" s="37" t="str">
        <f>IF([3]道具信息!P986="","",[3]道具信息!P986)</f>
        <v/>
      </c>
      <c r="Q986" s="37" t="str">
        <f>IF([3]道具信息!Q986="","",[3]道具信息!Q986)</f>
        <v/>
      </c>
    </row>
    <row r="987" spans="3:17" x14ac:dyDescent="0.15">
      <c r="C987" s="37" t="str">
        <f>IF([3]道具信息!C987="","",[3]道具信息!C987)</f>
        <v/>
      </c>
      <c r="D987" s="37" t="str">
        <f>IF([3]道具信息!D987="","",[3]道具信息!D987)</f>
        <v/>
      </c>
      <c r="E987" s="37" t="str">
        <f>IF([3]道具信息!E987="","",[3]道具信息!E987)</f>
        <v/>
      </c>
      <c r="F987" s="37" t="str">
        <f>IF([3]道具信息!F987="","",[3]道具信息!F987)</f>
        <v/>
      </c>
      <c r="G987" s="37" t="str">
        <f>IF([3]道具信息!G987="","",[3]道具信息!G987)</f>
        <v/>
      </c>
      <c r="H987" s="37" t="str">
        <f>IF([3]道具信息!H987="","",[3]道具信息!H987)</f>
        <v/>
      </c>
      <c r="I987" s="37" t="str">
        <f>IF([3]道具信息!I987="","",[3]道具信息!I987)</f>
        <v/>
      </c>
      <c r="J987" s="37" t="str">
        <f>IF([3]道具信息!J987="","",[3]道具信息!J987)</f>
        <v/>
      </c>
      <c r="K987" s="37" t="str">
        <f>IF([3]道具信息!K987="","",[3]道具信息!K987)</f>
        <v/>
      </c>
      <c r="L987" s="37" t="str">
        <f>IF([3]道具信息!L987="","",[3]道具信息!L987)</f>
        <v/>
      </c>
      <c r="M987" s="37" t="str">
        <f>IF([3]道具信息!M987="","",[3]道具信息!M987)</f>
        <v/>
      </c>
      <c r="N987" s="37"/>
      <c r="O987" s="37" t="str">
        <f>IF([3]道具信息!O987="","",[3]道具信息!O987)</f>
        <v/>
      </c>
      <c r="P987" s="37" t="str">
        <f>IF([3]道具信息!P987="","",[3]道具信息!P987)</f>
        <v/>
      </c>
      <c r="Q987" s="37" t="str">
        <f>IF([3]道具信息!Q987="","",[3]道具信息!Q987)</f>
        <v/>
      </c>
    </row>
    <row r="988" spans="3:17" x14ac:dyDescent="0.15">
      <c r="C988" s="37" t="str">
        <f>IF([3]道具信息!C988="","",[3]道具信息!C988)</f>
        <v/>
      </c>
      <c r="D988" s="37" t="str">
        <f>IF([3]道具信息!D988="","",[3]道具信息!D988)</f>
        <v/>
      </c>
      <c r="E988" s="37" t="str">
        <f>IF([3]道具信息!E988="","",[3]道具信息!E988)</f>
        <v/>
      </c>
      <c r="F988" s="37" t="str">
        <f>IF([3]道具信息!F988="","",[3]道具信息!F988)</f>
        <v/>
      </c>
      <c r="G988" s="37" t="str">
        <f>IF([3]道具信息!G988="","",[3]道具信息!G988)</f>
        <v/>
      </c>
      <c r="H988" s="37" t="str">
        <f>IF([3]道具信息!H988="","",[3]道具信息!H988)</f>
        <v/>
      </c>
      <c r="I988" s="37" t="str">
        <f>IF([3]道具信息!I988="","",[3]道具信息!I988)</f>
        <v/>
      </c>
      <c r="J988" s="37" t="str">
        <f>IF([3]道具信息!J988="","",[3]道具信息!J988)</f>
        <v/>
      </c>
      <c r="K988" s="37" t="str">
        <f>IF([3]道具信息!K988="","",[3]道具信息!K988)</f>
        <v/>
      </c>
      <c r="L988" s="37" t="str">
        <f>IF([3]道具信息!L988="","",[3]道具信息!L988)</f>
        <v/>
      </c>
      <c r="M988" s="37" t="str">
        <f>IF([3]道具信息!M988="","",[3]道具信息!M988)</f>
        <v/>
      </c>
      <c r="N988" s="37"/>
      <c r="O988" s="37" t="str">
        <f>IF([3]道具信息!O988="","",[3]道具信息!O988)</f>
        <v/>
      </c>
      <c r="P988" s="37" t="str">
        <f>IF([3]道具信息!P988="","",[3]道具信息!P988)</f>
        <v/>
      </c>
      <c r="Q988" s="37" t="str">
        <f>IF([3]道具信息!Q988="","",[3]道具信息!Q988)</f>
        <v/>
      </c>
    </row>
    <row r="989" spans="3:17" x14ac:dyDescent="0.15">
      <c r="C989" s="37" t="str">
        <f>IF([3]道具信息!C989="","",[3]道具信息!C989)</f>
        <v/>
      </c>
      <c r="D989" s="37" t="str">
        <f>IF([3]道具信息!D989="","",[3]道具信息!D989)</f>
        <v/>
      </c>
      <c r="E989" s="37" t="str">
        <f>IF([3]道具信息!E989="","",[3]道具信息!E989)</f>
        <v/>
      </c>
      <c r="F989" s="37" t="str">
        <f>IF([3]道具信息!F989="","",[3]道具信息!F989)</f>
        <v/>
      </c>
      <c r="G989" s="37" t="str">
        <f>IF([3]道具信息!G989="","",[3]道具信息!G989)</f>
        <v/>
      </c>
      <c r="H989" s="37" t="str">
        <f>IF([3]道具信息!H989="","",[3]道具信息!H989)</f>
        <v/>
      </c>
      <c r="I989" s="37" t="str">
        <f>IF([3]道具信息!I989="","",[3]道具信息!I989)</f>
        <v/>
      </c>
      <c r="J989" s="37" t="str">
        <f>IF([3]道具信息!J989="","",[3]道具信息!J989)</f>
        <v/>
      </c>
      <c r="K989" s="37" t="str">
        <f>IF([3]道具信息!K989="","",[3]道具信息!K989)</f>
        <v/>
      </c>
      <c r="L989" s="37" t="str">
        <f>IF([3]道具信息!L989="","",[3]道具信息!L989)</f>
        <v/>
      </c>
      <c r="M989" s="37" t="str">
        <f>IF([3]道具信息!M989="","",[3]道具信息!M989)</f>
        <v/>
      </c>
      <c r="N989" s="37"/>
      <c r="O989" s="37" t="str">
        <f>IF([3]道具信息!O989="","",[3]道具信息!O989)</f>
        <v/>
      </c>
      <c r="P989" s="37" t="str">
        <f>IF([3]道具信息!P989="","",[3]道具信息!P989)</f>
        <v/>
      </c>
      <c r="Q989" s="37" t="str">
        <f>IF([3]道具信息!Q989="","",[3]道具信息!Q989)</f>
        <v/>
      </c>
    </row>
    <row r="990" spans="3:17" x14ac:dyDescent="0.15">
      <c r="C990" s="37" t="str">
        <f>IF([3]道具信息!C990="","",[3]道具信息!C990)</f>
        <v/>
      </c>
      <c r="D990" s="37" t="str">
        <f>IF([3]道具信息!D990="","",[3]道具信息!D990)</f>
        <v/>
      </c>
      <c r="E990" s="37" t="str">
        <f>IF([3]道具信息!E990="","",[3]道具信息!E990)</f>
        <v/>
      </c>
      <c r="F990" s="37" t="str">
        <f>IF([3]道具信息!F990="","",[3]道具信息!F990)</f>
        <v/>
      </c>
      <c r="G990" s="37" t="str">
        <f>IF([3]道具信息!G990="","",[3]道具信息!G990)</f>
        <v/>
      </c>
      <c r="H990" s="37" t="str">
        <f>IF([3]道具信息!H990="","",[3]道具信息!H990)</f>
        <v/>
      </c>
      <c r="I990" s="37" t="str">
        <f>IF([3]道具信息!I990="","",[3]道具信息!I990)</f>
        <v/>
      </c>
      <c r="J990" s="37" t="str">
        <f>IF([3]道具信息!J990="","",[3]道具信息!J990)</f>
        <v/>
      </c>
      <c r="K990" s="37" t="str">
        <f>IF([3]道具信息!K990="","",[3]道具信息!K990)</f>
        <v/>
      </c>
      <c r="L990" s="37" t="str">
        <f>IF([3]道具信息!L990="","",[3]道具信息!L990)</f>
        <v/>
      </c>
      <c r="M990" s="37" t="str">
        <f>IF([3]道具信息!M990="","",[3]道具信息!M990)</f>
        <v/>
      </c>
      <c r="N990" s="37"/>
      <c r="O990" s="37" t="str">
        <f>IF([3]道具信息!O990="","",[3]道具信息!O990)</f>
        <v/>
      </c>
      <c r="P990" s="37" t="str">
        <f>IF([3]道具信息!P990="","",[3]道具信息!P990)</f>
        <v/>
      </c>
      <c r="Q990" s="37" t="str">
        <f>IF([3]道具信息!Q990="","",[3]道具信息!Q990)</f>
        <v/>
      </c>
    </row>
    <row r="991" spans="3:17" x14ac:dyDescent="0.15">
      <c r="C991" s="37" t="str">
        <f>IF([3]道具信息!C991="","",[3]道具信息!C991)</f>
        <v/>
      </c>
      <c r="D991" s="37" t="str">
        <f>IF([3]道具信息!D991="","",[3]道具信息!D991)</f>
        <v/>
      </c>
      <c r="E991" s="37" t="str">
        <f>IF([3]道具信息!E991="","",[3]道具信息!E991)</f>
        <v/>
      </c>
      <c r="F991" s="37" t="str">
        <f>IF([3]道具信息!F991="","",[3]道具信息!F991)</f>
        <v/>
      </c>
      <c r="G991" s="37" t="str">
        <f>IF([3]道具信息!G991="","",[3]道具信息!G991)</f>
        <v/>
      </c>
      <c r="H991" s="37" t="str">
        <f>IF([3]道具信息!H991="","",[3]道具信息!H991)</f>
        <v/>
      </c>
      <c r="I991" s="37" t="str">
        <f>IF([3]道具信息!I991="","",[3]道具信息!I991)</f>
        <v/>
      </c>
      <c r="J991" s="37" t="str">
        <f>IF([3]道具信息!J991="","",[3]道具信息!J991)</f>
        <v/>
      </c>
      <c r="K991" s="37" t="str">
        <f>IF([3]道具信息!K991="","",[3]道具信息!K991)</f>
        <v/>
      </c>
      <c r="L991" s="37" t="str">
        <f>IF([3]道具信息!L991="","",[3]道具信息!L991)</f>
        <v/>
      </c>
      <c r="M991" s="37" t="str">
        <f>IF([3]道具信息!M991="","",[3]道具信息!M991)</f>
        <v/>
      </c>
      <c r="N991" s="37"/>
      <c r="O991" s="37" t="str">
        <f>IF([3]道具信息!O991="","",[3]道具信息!O991)</f>
        <v/>
      </c>
      <c r="P991" s="37" t="str">
        <f>IF([3]道具信息!P991="","",[3]道具信息!P991)</f>
        <v/>
      </c>
      <c r="Q991" s="37" t="str">
        <f>IF([3]道具信息!Q991="","",[3]道具信息!Q991)</f>
        <v/>
      </c>
    </row>
    <row r="992" spans="3:17" x14ac:dyDescent="0.15">
      <c r="C992" s="37" t="str">
        <f>IF([3]道具信息!C992="","",[3]道具信息!C992)</f>
        <v/>
      </c>
      <c r="D992" s="37" t="str">
        <f>IF([3]道具信息!D992="","",[3]道具信息!D992)</f>
        <v/>
      </c>
      <c r="E992" s="37" t="str">
        <f>IF([3]道具信息!E992="","",[3]道具信息!E992)</f>
        <v/>
      </c>
      <c r="F992" s="37" t="str">
        <f>IF([3]道具信息!F992="","",[3]道具信息!F992)</f>
        <v/>
      </c>
      <c r="G992" s="37" t="str">
        <f>IF([3]道具信息!G992="","",[3]道具信息!G992)</f>
        <v/>
      </c>
      <c r="H992" s="37" t="str">
        <f>IF([3]道具信息!H992="","",[3]道具信息!H992)</f>
        <v/>
      </c>
      <c r="I992" s="37" t="str">
        <f>IF([3]道具信息!I992="","",[3]道具信息!I992)</f>
        <v/>
      </c>
      <c r="J992" s="37" t="str">
        <f>IF([3]道具信息!J992="","",[3]道具信息!J992)</f>
        <v/>
      </c>
      <c r="K992" s="37" t="str">
        <f>IF([3]道具信息!K992="","",[3]道具信息!K992)</f>
        <v/>
      </c>
      <c r="L992" s="37" t="str">
        <f>IF([3]道具信息!L992="","",[3]道具信息!L992)</f>
        <v/>
      </c>
      <c r="M992" s="37" t="str">
        <f>IF([3]道具信息!M992="","",[3]道具信息!M992)</f>
        <v/>
      </c>
      <c r="N992" s="37"/>
      <c r="O992" s="37" t="str">
        <f>IF([3]道具信息!O992="","",[3]道具信息!O992)</f>
        <v/>
      </c>
      <c r="P992" s="37" t="str">
        <f>IF([3]道具信息!P992="","",[3]道具信息!P992)</f>
        <v/>
      </c>
      <c r="Q992" s="37" t="str">
        <f>IF([3]道具信息!Q992="","",[3]道具信息!Q992)</f>
        <v/>
      </c>
    </row>
    <row r="993" spans="3:17" x14ac:dyDescent="0.15">
      <c r="C993" s="37" t="str">
        <f>IF([3]道具信息!C993="","",[3]道具信息!C993)</f>
        <v/>
      </c>
      <c r="D993" s="37" t="str">
        <f>IF([3]道具信息!D993="","",[3]道具信息!D993)</f>
        <v/>
      </c>
      <c r="E993" s="37" t="str">
        <f>IF([3]道具信息!E993="","",[3]道具信息!E993)</f>
        <v/>
      </c>
      <c r="F993" s="37" t="str">
        <f>IF([3]道具信息!F993="","",[3]道具信息!F993)</f>
        <v/>
      </c>
      <c r="G993" s="37" t="str">
        <f>IF([3]道具信息!G993="","",[3]道具信息!G993)</f>
        <v/>
      </c>
      <c r="H993" s="37" t="str">
        <f>IF([3]道具信息!H993="","",[3]道具信息!H993)</f>
        <v/>
      </c>
      <c r="I993" s="37" t="str">
        <f>IF([3]道具信息!I993="","",[3]道具信息!I993)</f>
        <v/>
      </c>
      <c r="J993" s="37" t="str">
        <f>IF([3]道具信息!J993="","",[3]道具信息!J993)</f>
        <v/>
      </c>
      <c r="K993" s="37" t="str">
        <f>IF([3]道具信息!K993="","",[3]道具信息!K993)</f>
        <v/>
      </c>
      <c r="L993" s="37" t="str">
        <f>IF([3]道具信息!L993="","",[3]道具信息!L993)</f>
        <v/>
      </c>
      <c r="M993" s="37" t="str">
        <f>IF([3]道具信息!M993="","",[3]道具信息!M993)</f>
        <v/>
      </c>
      <c r="N993" s="37"/>
      <c r="O993" s="37" t="str">
        <f>IF([3]道具信息!O993="","",[3]道具信息!O993)</f>
        <v/>
      </c>
      <c r="P993" s="37" t="str">
        <f>IF([3]道具信息!P993="","",[3]道具信息!P993)</f>
        <v/>
      </c>
      <c r="Q993" s="37" t="str">
        <f>IF([3]道具信息!Q993="","",[3]道具信息!Q993)</f>
        <v/>
      </c>
    </row>
    <row r="994" spans="3:17" x14ac:dyDescent="0.15">
      <c r="C994" s="37" t="str">
        <f>IF([3]道具信息!C994="","",[3]道具信息!C994)</f>
        <v/>
      </c>
      <c r="D994" s="37" t="str">
        <f>IF([3]道具信息!D994="","",[3]道具信息!D994)</f>
        <v/>
      </c>
      <c r="E994" s="37" t="str">
        <f>IF([3]道具信息!E994="","",[3]道具信息!E994)</f>
        <v/>
      </c>
      <c r="F994" s="37" t="str">
        <f>IF([3]道具信息!F994="","",[3]道具信息!F994)</f>
        <v/>
      </c>
      <c r="G994" s="37" t="str">
        <f>IF([3]道具信息!G994="","",[3]道具信息!G994)</f>
        <v/>
      </c>
      <c r="H994" s="37" t="str">
        <f>IF([3]道具信息!H994="","",[3]道具信息!H994)</f>
        <v/>
      </c>
      <c r="I994" s="37" t="str">
        <f>IF([3]道具信息!I994="","",[3]道具信息!I994)</f>
        <v/>
      </c>
      <c r="J994" s="37" t="str">
        <f>IF([3]道具信息!J994="","",[3]道具信息!J994)</f>
        <v/>
      </c>
      <c r="K994" s="37" t="str">
        <f>IF([3]道具信息!K994="","",[3]道具信息!K994)</f>
        <v/>
      </c>
      <c r="L994" s="37" t="str">
        <f>IF([3]道具信息!L994="","",[3]道具信息!L994)</f>
        <v/>
      </c>
      <c r="M994" s="37" t="str">
        <f>IF([3]道具信息!M994="","",[3]道具信息!M994)</f>
        <v/>
      </c>
      <c r="N994" s="37"/>
      <c r="O994" s="37" t="str">
        <f>IF([3]道具信息!O994="","",[3]道具信息!O994)</f>
        <v/>
      </c>
      <c r="P994" s="37" t="str">
        <f>IF([3]道具信息!P994="","",[3]道具信息!P994)</f>
        <v/>
      </c>
      <c r="Q994" s="37" t="str">
        <f>IF([3]道具信息!Q994="","",[3]道具信息!Q994)</f>
        <v/>
      </c>
    </row>
    <row r="995" spans="3:17" x14ac:dyDescent="0.15">
      <c r="C995" s="37" t="str">
        <f>IF([3]道具信息!C995="","",[3]道具信息!C995)</f>
        <v/>
      </c>
      <c r="D995" s="37" t="str">
        <f>IF([3]道具信息!D995="","",[3]道具信息!D995)</f>
        <v/>
      </c>
      <c r="E995" s="37" t="str">
        <f>IF([3]道具信息!E995="","",[3]道具信息!E995)</f>
        <v/>
      </c>
      <c r="F995" s="37" t="str">
        <f>IF([3]道具信息!F995="","",[3]道具信息!F995)</f>
        <v/>
      </c>
      <c r="G995" s="37" t="str">
        <f>IF([3]道具信息!G995="","",[3]道具信息!G995)</f>
        <v/>
      </c>
      <c r="H995" s="37" t="str">
        <f>IF([3]道具信息!H995="","",[3]道具信息!H995)</f>
        <v/>
      </c>
      <c r="I995" s="37" t="str">
        <f>IF([3]道具信息!I995="","",[3]道具信息!I995)</f>
        <v/>
      </c>
      <c r="J995" s="37" t="str">
        <f>IF([3]道具信息!J995="","",[3]道具信息!J995)</f>
        <v/>
      </c>
      <c r="K995" s="37" t="str">
        <f>IF([3]道具信息!K995="","",[3]道具信息!K995)</f>
        <v/>
      </c>
      <c r="L995" s="37" t="str">
        <f>IF([3]道具信息!L995="","",[3]道具信息!L995)</f>
        <v/>
      </c>
      <c r="M995" s="37" t="str">
        <f>IF([3]道具信息!M995="","",[3]道具信息!M995)</f>
        <v/>
      </c>
      <c r="N995" s="37"/>
      <c r="O995" s="37" t="str">
        <f>IF([3]道具信息!O995="","",[3]道具信息!O995)</f>
        <v/>
      </c>
      <c r="P995" s="37" t="str">
        <f>IF([3]道具信息!P995="","",[3]道具信息!P995)</f>
        <v/>
      </c>
      <c r="Q995" s="37" t="str">
        <f>IF([3]道具信息!Q995="","",[3]道具信息!Q995)</f>
        <v/>
      </c>
    </row>
    <row r="996" spans="3:17" x14ac:dyDescent="0.15">
      <c r="C996" s="37" t="str">
        <f>IF([3]道具信息!C996="","",[3]道具信息!C996)</f>
        <v/>
      </c>
      <c r="D996" s="37" t="str">
        <f>IF([3]道具信息!D996="","",[3]道具信息!D996)</f>
        <v/>
      </c>
      <c r="E996" s="37" t="str">
        <f>IF([3]道具信息!E996="","",[3]道具信息!E996)</f>
        <v/>
      </c>
      <c r="F996" s="37" t="str">
        <f>IF([3]道具信息!F996="","",[3]道具信息!F996)</f>
        <v/>
      </c>
      <c r="G996" s="37" t="str">
        <f>IF([3]道具信息!G996="","",[3]道具信息!G996)</f>
        <v/>
      </c>
      <c r="H996" s="37" t="str">
        <f>IF([3]道具信息!H996="","",[3]道具信息!H996)</f>
        <v/>
      </c>
      <c r="I996" s="37" t="str">
        <f>IF([3]道具信息!I996="","",[3]道具信息!I996)</f>
        <v/>
      </c>
      <c r="J996" s="37" t="str">
        <f>IF([3]道具信息!J996="","",[3]道具信息!J996)</f>
        <v/>
      </c>
      <c r="K996" s="37" t="str">
        <f>IF([3]道具信息!K996="","",[3]道具信息!K996)</f>
        <v/>
      </c>
      <c r="L996" s="37" t="str">
        <f>IF([3]道具信息!L996="","",[3]道具信息!L996)</f>
        <v/>
      </c>
      <c r="M996" s="37" t="str">
        <f>IF([3]道具信息!M996="","",[3]道具信息!M996)</f>
        <v/>
      </c>
      <c r="N996" s="37"/>
      <c r="O996" s="37" t="str">
        <f>IF([3]道具信息!O996="","",[3]道具信息!O996)</f>
        <v/>
      </c>
      <c r="P996" s="37" t="str">
        <f>IF([3]道具信息!P996="","",[3]道具信息!P996)</f>
        <v/>
      </c>
      <c r="Q996" s="37" t="str">
        <f>IF([3]道具信息!Q996="","",[3]道具信息!Q996)</f>
        <v/>
      </c>
    </row>
    <row r="997" spans="3:17" x14ac:dyDescent="0.15">
      <c r="C997" s="37" t="str">
        <f>IF([3]道具信息!C997="","",[3]道具信息!C997)</f>
        <v/>
      </c>
      <c r="D997" s="37" t="str">
        <f>IF([3]道具信息!D997="","",[3]道具信息!D997)</f>
        <v/>
      </c>
      <c r="E997" s="37" t="str">
        <f>IF([3]道具信息!E997="","",[3]道具信息!E997)</f>
        <v/>
      </c>
      <c r="F997" s="37" t="str">
        <f>IF([3]道具信息!F997="","",[3]道具信息!F997)</f>
        <v/>
      </c>
      <c r="G997" s="37" t="str">
        <f>IF([3]道具信息!G997="","",[3]道具信息!G997)</f>
        <v/>
      </c>
      <c r="H997" s="37" t="str">
        <f>IF([3]道具信息!H997="","",[3]道具信息!H997)</f>
        <v/>
      </c>
      <c r="I997" s="37" t="str">
        <f>IF([3]道具信息!I997="","",[3]道具信息!I997)</f>
        <v/>
      </c>
      <c r="J997" s="37" t="str">
        <f>IF([3]道具信息!J997="","",[3]道具信息!J997)</f>
        <v/>
      </c>
      <c r="K997" s="37" t="str">
        <f>IF([3]道具信息!K997="","",[3]道具信息!K997)</f>
        <v/>
      </c>
      <c r="L997" s="37" t="str">
        <f>IF([3]道具信息!L997="","",[3]道具信息!L997)</f>
        <v/>
      </c>
      <c r="M997" s="37" t="str">
        <f>IF([3]道具信息!M997="","",[3]道具信息!M997)</f>
        <v/>
      </c>
      <c r="N997" s="37"/>
      <c r="O997" s="37" t="str">
        <f>IF([3]道具信息!O997="","",[3]道具信息!O997)</f>
        <v/>
      </c>
      <c r="P997" s="37" t="str">
        <f>IF([3]道具信息!P997="","",[3]道具信息!P997)</f>
        <v/>
      </c>
      <c r="Q997" s="37" t="str">
        <f>IF([3]道具信息!Q997="","",[3]道具信息!Q997)</f>
        <v/>
      </c>
    </row>
    <row r="998" spans="3:17" x14ac:dyDescent="0.15">
      <c r="C998" s="37" t="str">
        <f>IF([3]道具信息!C998="","",[3]道具信息!C998)</f>
        <v/>
      </c>
      <c r="D998" s="37" t="str">
        <f>IF([3]道具信息!D998="","",[3]道具信息!D998)</f>
        <v/>
      </c>
      <c r="E998" s="37" t="str">
        <f>IF([3]道具信息!E998="","",[3]道具信息!E998)</f>
        <v/>
      </c>
      <c r="F998" s="37" t="str">
        <f>IF([3]道具信息!F998="","",[3]道具信息!F998)</f>
        <v/>
      </c>
      <c r="G998" s="37" t="str">
        <f>IF([3]道具信息!G998="","",[3]道具信息!G998)</f>
        <v/>
      </c>
      <c r="H998" s="37" t="str">
        <f>IF([3]道具信息!H998="","",[3]道具信息!H998)</f>
        <v/>
      </c>
      <c r="I998" s="37" t="str">
        <f>IF([3]道具信息!I998="","",[3]道具信息!I998)</f>
        <v/>
      </c>
      <c r="J998" s="37" t="str">
        <f>IF([3]道具信息!J998="","",[3]道具信息!J998)</f>
        <v/>
      </c>
      <c r="K998" s="37" t="str">
        <f>IF([3]道具信息!K998="","",[3]道具信息!K998)</f>
        <v/>
      </c>
      <c r="L998" s="37" t="str">
        <f>IF([3]道具信息!L998="","",[3]道具信息!L998)</f>
        <v/>
      </c>
      <c r="M998" s="37" t="str">
        <f>IF([3]道具信息!M998="","",[3]道具信息!M998)</f>
        <v/>
      </c>
      <c r="N998" s="37"/>
      <c r="O998" s="37" t="str">
        <f>IF([3]道具信息!O998="","",[3]道具信息!O998)</f>
        <v/>
      </c>
      <c r="P998" s="37" t="str">
        <f>IF([3]道具信息!P998="","",[3]道具信息!P998)</f>
        <v/>
      </c>
      <c r="Q998" s="37" t="str">
        <f>IF([3]道具信息!Q998="","",[3]道具信息!Q998)</f>
        <v/>
      </c>
    </row>
    <row r="999" spans="3:17" x14ac:dyDescent="0.15">
      <c r="C999" s="37" t="str">
        <f>IF([3]道具信息!C999="","",[3]道具信息!C999)</f>
        <v/>
      </c>
      <c r="D999" s="37" t="str">
        <f>IF([3]道具信息!D999="","",[3]道具信息!D999)</f>
        <v/>
      </c>
      <c r="E999" s="37" t="str">
        <f>IF([3]道具信息!E999="","",[3]道具信息!E999)</f>
        <v/>
      </c>
      <c r="F999" s="37" t="str">
        <f>IF([3]道具信息!F999="","",[3]道具信息!F999)</f>
        <v/>
      </c>
      <c r="G999" s="37" t="str">
        <f>IF([3]道具信息!G999="","",[3]道具信息!G999)</f>
        <v/>
      </c>
      <c r="H999" s="37" t="str">
        <f>IF([3]道具信息!H999="","",[3]道具信息!H999)</f>
        <v/>
      </c>
      <c r="I999" s="37" t="str">
        <f>IF([3]道具信息!I999="","",[3]道具信息!I999)</f>
        <v/>
      </c>
      <c r="J999" s="37" t="str">
        <f>IF([3]道具信息!J999="","",[3]道具信息!J999)</f>
        <v/>
      </c>
      <c r="K999" s="37" t="str">
        <f>IF([3]道具信息!K999="","",[3]道具信息!K999)</f>
        <v/>
      </c>
      <c r="L999" s="37" t="str">
        <f>IF([3]道具信息!L999="","",[3]道具信息!L999)</f>
        <v/>
      </c>
      <c r="M999" s="37" t="str">
        <f>IF([3]道具信息!M999="","",[3]道具信息!M999)</f>
        <v/>
      </c>
      <c r="N999" s="37"/>
      <c r="O999" s="37" t="str">
        <f>IF([3]道具信息!O999="","",[3]道具信息!O999)</f>
        <v/>
      </c>
      <c r="P999" s="37" t="str">
        <f>IF([3]道具信息!P999="","",[3]道具信息!P999)</f>
        <v/>
      </c>
      <c r="Q999" s="37" t="str">
        <f>IF([3]道具信息!Q999="","",[3]道具信息!Q999)</f>
        <v/>
      </c>
    </row>
    <row r="1000" spans="3:17" x14ac:dyDescent="0.15">
      <c r="C1000" s="37" t="str">
        <f>IF([3]道具信息!C1000="","",[3]道具信息!C1000)</f>
        <v/>
      </c>
      <c r="D1000" s="37" t="str">
        <f>IF([3]道具信息!D1000="","",[3]道具信息!D1000)</f>
        <v/>
      </c>
      <c r="E1000" s="37" t="str">
        <f>IF([3]道具信息!E1000="","",[3]道具信息!E1000)</f>
        <v/>
      </c>
      <c r="F1000" s="37" t="str">
        <f>IF([3]道具信息!F1000="","",[3]道具信息!F1000)</f>
        <v/>
      </c>
      <c r="G1000" s="37" t="str">
        <f>IF([3]道具信息!G1000="","",[3]道具信息!G1000)</f>
        <v/>
      </c>
      <c r="H1000" s="37" t="str">
        <f>IF([3]道具信息!H1000="","",[3]道具信息!H1000)</f>
        <v/>
      </c>
      <c r="I1000" s="37" t="str">
        <f>IF([3]道具信息!I1000="","",[3]道具信息!I1000)</f>
        <v/>
      </c>
      <c r="J1000" s="37" t="str">
        <f>IF([3]道具信息!J1000="","",[3]道具信息!J1000)</f>
        <v/>
      </c>
      <c r="K1000" s="37" t="str">
        <f>IF([3]道具信息!K1000="","",[3]道具信息!K1000)</f>
        <v/>
      </c>
      <c r="L1000" s="37" t="str">
        <f>IF([3]道具信息!L1000="","",[3]道具信息!L1000)</f>
        <v/>
      </c>
      <c r="M1000" s="37" t="str">
        <f>IF([3]道具信息!M1000="","",[3]道具信息!M1000)</f>
        <v/>
      </c>
      <c r="N1000" s="37"/>
      <c r="O1000" s="37" t="str">
        <f>IF([3]道具信息!O1000="","",[3]道具信息!O1000)</f>
        <v/>
      </c>
      <c r="P1000" s="37" t="str">
        <f>IF([3]道具信息!P1000="","",[3]道具信息!P1000)</f>
        <v/>
      </c>
      <c r="Q1000" s="37" t="str">
        <f>IF([3]道具信息!Q1000="","",[3]道具信息!Q1000)</f>
        <v/>
      </c>
    </row>
    <row r="1001" spans="3:17" x14ac:dyDescent="0.15">
      <c r="C1001" s="37" t="str">
        <f>IF([3]道具信息!C1001="","",[3]道具信息!C1001)</f>
        <v/>
      </c>
      <c r="D1001" s="37" t="str">
        <f>IF([3]道具信息!D1001="","",[3]道具信息!D1001)</f>
        <v/>
      </c>
      <c r="E1001" s="37" t="str">
        <f>IF([3]道具信息!E1001="","",[3]道具信息!E1001)</f>
        <v/>
      </c>
      <c r="F1001" s="37" t="str">
        <f>IF([3]道具信息!F1001="","",[3]道具信息!F1001)</f>
        <v/>
      </c>
      <c r="G1001" s="37" t="str">
        <f>IF([3]道具信息!G1001="","",[3]道具信息!G1001)</f>
        <v/>
      </c>
      <c r="H1001" s="37" t="str">
        <f>IF([3]道具信息!H1001="","",[3]道具信息!H1001)</f>
        <v/>
      </c>
      <c r="I1001" s="37" t="str">
        <f>IF([3]道具信息!I1001="","",[3]道具信息!I1001)</f>
        <v/>
      </c>
      <c r="J1001" s="37" t="str">
        <f>IF([3]道具信息!J1001="","",[3]道具信息!J1001)</f>
        <v/>
      </c>
      <c r="K1001" s="37" t="str">
        <f>IF([3]道具信息!K1001="","",[3]道具信息!K1001)</f>
        <v/>
      </c>
      <c r="L1001" s="37" t="str">
        <f>IF([3]道具信息!L1001="","",[3]道具信息!L1001)</f>
        <v/>
      </c>
      <c r="M1001" s="37" t="str">
        <f>IF([3]道具信息!M1001="","",[3]道具信息!M1001)</f>
        <v/>
      </c>
      <c r="N1001" s="37"/>
      <c r="O1001" s="37" t="str">
        <f>IF([3]道具信息!O1001="","",[3]道具信息!O1001)</f>
        <v/>
      </c>
      <c r="P1001" s="37" t="str">
        <f>IF([3]道具信息!P1001="","",[3]道具信息!P1001)</f>
        <v/>
      </c>
      <c r="Q1001" s="37" t="str">
        <f>IF([3]道具信息!Q1001="","",[3]道具信息!Q1001)</f>
        <v/>
      </c>
    </row>
    <row r="1002" spans="3:17" x14ac:dyDescent="0.15">
      <c r="C1002" s="37" t="str">
        <f>IF([3]道具信息!C1002="","",[3]道具信息!C1002)</f>
        <v/>
      </c>
      <c r="D1002" s="37" t="str">
        <f>IF([3]道具信息!D1002="","",[3]道具信息!D1002)</f>
        <v/>
      </c>
      <c r="E1002" s="37" t="str">
        <f>IF([3]道具信息!E1002="","",[3]道具信息!E1002)</f>
        <v/>
      </c>
      <c r="F1002" s="37" t="str">
        <f>IF([3]道具信息!F1002="","",[3]道具信息!F1002)</f>
        <v/>
      </c>
      <c r="G1002" s="37" t="str">
        <f>IF([3]道具信息!G1002="","",[3]道具信息!G1002)</f>
        <v/>
      </c>
      <c r="H1002" s="37" t="str">
        <f>IF([3]道具信息!H1002="","",[3]道具信息!H1002)</f>
        <v/>
      </c>
      <c r="I1002" s="37" t="str">
        <f>IF([3]道具信息!I1002="","",[3]道具信息!I1002)</f>
        <v/>
      </c>
      <c r="J1002" s="37" t="str">
        <f>IF([3]道具信息!J1002="","",[3]道具信息!J1002)</f>
        <v/>
      </c>
      <c r="K1002" s="37" t="str">
        <f>IF([3]道具信息!K1002="","",[3]道具信息!K1002)</f>
        <v/>
      </c>
      <c r="L1002" s="37" t="str">
        <f>IF([3]道具信息!L1002="","",[3]道具信息!L1002)</f>
        <v/>
      </c>
      <c r="M1002" s="37" t="str">
        <f>IF([3]道具信息!M1002="","",[3]道具信息!M1002)</f>
        <v/>
      </c>
      <c r="N1002" s="37"/>
      <c r="O1002" s="37" t="str">
        <f>IF([3]道具信息!O1002="","",[3]道具信息!O1002)</f>
        <v/>
      </c>
      <c r="P1002" s="37" t="str">
        <f>IF([3]道具信息!P1002="","",[3]道具信息!P1002)</f>
        <v/>
      </c>
      <c r="Q1002" s="37" t="str">
        <f>IF([3]道具信息!Q1002="","",[3]道具信息!Q1002)</f>
        <v/>
      </c>
    </row>
    <row r="1003" spans="3:17" x14ac:dyDescent="0.15">
      <c r="C1003" s="37" t="str">
        <f>IF([3]道具信息!C1003="","",[3]道具信息!C1003)</f>
        <v/>
      </c>
      <c r="D1003" s="37" t="str">
        <f>IF([3]道具信息!D1003="","",[3]道具信息!D1003)</f>
        <v/>
      </c>
      <c r="E1003" s="37" t="str">
        <f>IF([3]道具信息!E1003="","",[3]道具信息!E1003)</f>
        <v/>
      </c>
      <c r="F1003" s="37" t="str">
        <f>IF([3]道具信息!F1003="","",[3]道具信息!F1003)</f>
        <v/>
      </c>
      <c r="G1003" s="37" t="str">
        <f>IF([3]道具信息!G1003="","",[3]道具信息!G1003)</f>
        <v/>
      </c>
      <c r="H1003" s="37" t="str">
        <f>IF([3]道具信息!H1003="","",[3]道具信息!H1003)</f>
        <v/>
      </c>
      <c r="I1003" s="37" t="str">
        <f>IF([3]道具信息!I1003="","",[3]道具信息!I1003)</f>
        <v/>
      </c>
      <c r="J1003" s="37" t="str">
        <f>IF([3]道具信息!J1003="","",[3]道具信息!J1003)</f>
        <v/>
      </c>
      <c r="K1003" s="37" t="str">
        <f>IF([3]道具信息!K1003="","",[3]道具信息!K1003)</f>
        <v/>
      </c>
      <c r="L1003" s="37" t="str">
        <f>IF([3]道具信息!L1003="","",[3]道具信息!L1003)</f>
        <v/>
      </c>
      <c r="M1003" s="37" t="str">
        <f>IF([3]道具信息!M1003="","",[3]道具信息!M1003)</f>
        <v/>
      </c>
      <c r="N1003" s="37"/>
      <c r="O1003" s="37" t="str">
        <f>IF([3]道具信息!O1003="","",[3]道具信息!O1003)</f>
        <v/>
      </c>
      <c r="P1003" s="37" t="str">
        <f>IF([3]道具信息!P1003="","",[3]道具信息!P1003)</f>
        <v/>
      </c>
      <c r="Q1003" s="37" t="str">
        <f>IF([3]道具信息!Q1003="","",[3]道具信息!Q1003)</f>
        <v/>
      </c>
    </row>
    <row r="1004" spans="3:17" x14ac:dyDescent="0.15">
      <c r="C1004" s="37" t="str">
        <f>IF([3]道具信息!C1004="","",[3]道具信息!C1004)</f>
        <v/>
      </c>
      <c r="D1004" s="37" t="str">
        <f>IF([3]道具信息!D1004="","",[3]道具信息!D1004)</f>
        <v/>
      </c>
      <c r="E1004" s="37" t="str">
        <f>IF([3]道具信息!E1004="","",[3]道具信息!E1004)</f>
        <v/>
      </c>
      <c r="F1004" s="37" t="str">
        <f>IF([3]道具信息!F1004="","",[3]道具信息!F1004)</f>
        <v/>
      </c>
      <c r="G1004" s="37" t="str">
        <f>IF([3]道具信息!G1004="","",[3]道具信息!G1004)</f>
        <v/>
      </c>
      <c r="H1004" s="37" t="str">
        <f>IF([3]道具信息!H1004="","",[3]道具信息!H1004)</f>
        <v/>
      </c>
      <c r="I1004" s="37" t="str">
        <f>IF([3]道具信息!I1004="","",[3]道具信息!I1004)</f>
        <v/>
      </c>
      <c r="J1004" s="37" t="str">
        <f>IF([3]道具信息!J1004="","",[3]道具信息!J1004)</f>
        <v/>
      </c>
      <c r="K1004" s="37" t="str">
        <f>IF([3]道具信息!K1004="","",[3]道具信息!K1004)</f>
        <v/>
      </c>
      <c r="L1004" s="37" t="str">
        <f>IF([3]道具信息!L1004="","",[3]道具信息!L1004)</f>
        <v/>
      </c>
      <c r="M1004" s="37" t="str">
        <f>IF([3]道具信息!M1004="","",[3]道具信息!M1004)</f>
        <v/>
      </c>
      <c r="N1004" s="37"/>
      <c r="O1004" s="37" t="str">
        <f>IF([3]道具信息!O1004="","",[3]道具信息!O1004)</f>
        <v/>
      </c>
      <c r="P1004" s="37" t="str">
        <f>IF([3]道具信息!P1004="","",[3]道具信息!P1004)</f>
        <v/>
      </c>
      <c r="Q1004" s="37" t="str">
        <f>IF([3]道具信息!Q1004="","",[3]道具信息!Q1004)</f>
        <v/>
      </c>
    </row>
    <row r="1005" spans="3:17" x14ac:dyDescent="0.15">
      <c r="C1005" s="37" t="str">
        <f>IF([3]道具信息!C1005="","",[3]道具信息!C1005)</f>
        <v/>
      </c>
      <c r="D1005" s="37" t="str">
        <f>IF([3]道具信息!D1005="","",[3]道具信息!D1005)</f>
        <v/>
      </c>
      <c r="E1005" s="37" t="str">
        <f>IF([3]道具信息!E1005="","",[3]道具信息!E1005)</f>
        <v/>
      </c>
      <c r="F1005" s="37" t="str">
        <f>IF([3]道具信息!F1005="","",[3]道具信息!F1005)</f>
        <v/>
      </c>
      <c r="G1005" s="37" t="str">
        <f>IF([3]道具信息!G1005="","",[3]道具信息!G1005)</f>
        <v/>
      </c>
      <c r="H1005" s="37" t="str">
        <f>IF([3]道具信息!H1005="","",[3]道具信息!H1005)</f>
        <v/>
      </c>
      <c r="I1005" s="37" t="str">
        <f>IF([3]道具信息!I1005="","",[3]道具信息!I1005)</f>
        <v/>
      </c>
      <c r="J1005" s="37" t="str">
        <f>IF([3]道具信息!J1005="","",[3]道具信息!J1005)</f>
        <v/>
      </c>
      <c r="K1005" s="37" t="str">
        <f>IF([3]道具信息!K1005="","",[3]道具信息!K1005)</f>
        <v/>
      </c>
      <c r="L1005" s="37" t="str">
        <f>IF([3]道具信息!L1005="","",[3]道具信息!L1005)</f>
        <v/>
      </c>
      <c r="M1005" s="37" t="str">
        <f>IF([3]道具信息!M1005="","",[3]道具信息!M1005)</f>
        <v/>
      </c>
      <c r="N1005" s="37"/>
      <c r="O1005" s="37" t="str">
        <f>IF([3]道具信息!O1005="","",[3]道具信息!O1005)</f>
        <v/>
      </c>
      <c r="P1005" s="37" t="str">
        <f>IF([3]道具信息!P1005="","",[3]道具信息!P1005)</f>
        <v/>
      </c>
      <c r="Q1005" s="37" t="str">
        <f>IF([3]道具信息!Q1005="","",[3]道具信息!Q1005)</f>
        <v/>
      </c>
    </row>
    <row r="1006" spans="3:17" x14ac:dyDescent="0.15">
      <c r="C1006" s="37" t="str">
        <f>IF([3]道具信息!C1006="","",[3]道具信息!C1006)</f>
        <v/>
      </c>
      <c r="D1006" s="37" t="str">
        <f>IF([3]道具信息!D1006="","",[3]道具信息!D1006)</f>
        <v/>
      </c>
      <c r="E1006" s="37" t="str">
        <f>IF([3]道具信息!E1006="","",[3]道具信息!E1006)</f>
        <v/>
      </c>
      <c r="F1006" s="37" t="str">
        <f>IF([3]道具信息!F1006="","",[3]道具信息!F1006)</f>
        <v/>
      </c>
      <c r="G1006" s="37" t="str">
        <f>IF([3]道具信息!G1006="","",[3]道具信息!G1006)</f>
        <v/>
      </c>
      <c r="H1006" s="37" t="str">
        <f>IF([3]道具信息!H1006="","",[3]道具信息!H1006)</f>
        <v/>
      </c>
      <c r="I1006" s="37" t="str">
        <f>IF([3]道具信息!I1006="","",[3]道具信息!I1006)</f>
        <v/>
      </c>
      <c r="J1006" s="37" t="str">
        <f>IF([3]道具信息!J1006="","",[3]道具信息!J1006)</f>
        <v/>
      </c>
      <c r="K1006" s="37" t="str">
        <f>IF([3]道具信息!K1006="","",[3]道具信息!K1006)</f>
        <v/>
      </c>
      <c r="L1006" s="37" t="str">
        <f>IF([3]道具信息!L1006="","",[3]道具信息!L1006)</f>
        <v/>
      </c>
      <c r="M1006" s="37" t="str">
        <f>IF([3]道具信息!M1006="","",[3]道具信息!M1006)</f>
        <v/>
      </c>
      <c r="N1006" s="37"/>
      <c r="O1006" s="37" t="str">
        <f>IF([3]道具信息!O1006="","",[3]道具信息!O1006)</f>
        <v/>
      </c>
      <c r="P1006" s="37" t="str">
        <f>IF([3]道具信息!P1006="","",[3]道具信息!P1006)</f>
        <v/>
      </c>
      <c r="Q1006" s="37" t="str">
        <f>IF([3]道具信息!Q1006="","",[3]道具信息!Q1006)</f>
        <v/>
      </c>
    </row>
    <row r="1007" spans="3:17" x14ac:dyDescent="0.15">
      <c r="C1007" s="37" t="str">
        <f>IF([3]道具信息!C1007="","",[3]道具信息!C1007)</f>
        <v/>
      </c>
      <c r="D1007" s="37" t="str">
        <f>IF([3]道具信息!D1007="","",[3]道具信息!D1007)</f>
        <v/>
      </c>
      <c r="E1007" s="37" t="str">
        <f>IF([3]道具信息!E1007="","",[3]道具信息!E1007)</f>
        <v/>
      </c>
      <c r="F1007" s="37" t="str">
        <f>IF([3]道具信息!F1007="","",[3]道具信息!F1007)</f>
        <v/>
      </c>
      <c r="G1007" s="37" t="str">
        <f>IF([3]道具信息!G1007="","",[3]道具信息!G1007)</f>
        <v/>
      </c>
      <c r="H1007" s="37" t="str">
        <f>IF([3]道具信息!H1007="","",[3]道具信息!H1007)</f>
        <v/>
      </c>
      <c r="I1007" s="37" t="str">
        <f>IF([3]道具信息!I1007="","",[3]道具信息!I1007)</f>
        <v/>
      </c>
      <c r="J1007" s="37" t="str">
        <f>IF([3]道具信息!J1007="","",[3]道具信息!J1007)</f>
        <v/>
      </c>
      <c r="K1007" s="37" t="str">
        <f>IF([3]道具信息!K1007="","",[3]道具信息!K1007)</f>
        <v/>
      </c>
      <c r="L1007" s="37" t="str">
        <f>IF([3]道具信息!L1007="","",[3]道具信息!L1007)</f>
        <v/>
      </c>
      <c r="M1007" s="37" t="str">
        <f>IF([3]道具信息!M1007="","",[3]道具信息!M1007)</f>
        <v/>
      </c>
      <c r="N1007" s="37"/>
      <c r="O1007" s="37" t="str">
        <f>IF([3]道具信息!O1007="","",[3]道具信息!O1007)</f>
        <v/>
      </c>
      <c r="P1007" s="37" t="str">
        <f>IF([3]道具信息!P1007="","",[3]道具信息!P1007)</f>
        <v/>
      </c>
      <c r="Q1007" s="37" t="str">
        <f>IF([3]道具信息!Q1007="","",[3]道具信息!Q1007)</f>
        <v/>
      </c>
    </row>
    <row r="1008" spans="3:17" x14ac:dyDescent="0.15">
      <c r="C1008" s="37" t="str">
        <f>IF([3]道具信息!C1008="","",[3]道具信息!C1008)</f>
        <v/>
      </c>
      <c r="D1008" s="37" t="str">
        <f>IF([3]道具信息!D1008="","",[3]道具信息!D1008)</f>
        <v/>
      </c>
      <c r="E1008" s="37" t="str">
        <f>IF([3]道具信息!E1008="","",[3]道具信息!E1008)</f>
        <v/>
      </c>
      <c r="F1008" s="37" t="str">
        <f>IF([3]道具信息!F1008="","",[3]道具信息!F1008)</f>
        <v/>
      </c>
      <c r="G1008" s="37" t="str">
        <f>IF([3]道具信息!G1008="","",[3]道具信息!G1008)</f>
        <v/>
      </c>
      <c r="H1008" s="37" t="str">
        <f>IF([3]道具信息!H1008="","",[3]道具信息!H1008)</f>
        <v/>
      </c>
      <c r="I1008" s="37" t="str">
        <f>IF([3]道具信息!I1008="","",[3]道具信息!I1008)</f>
        <v/>
      </c>
      <c r="J1008" s="37" t="str">
        <f>IF([3]道具信息!J1008="","",[3]道具信息!J1008)</f>
        <v/>
      </c>
      <c r="K1008" s="37" t="str">
        <f>IF([3]道具信息!K1008="","",[3]道具信息!K1008)</f>
        <v/>
      </c>
      <c r="L1008" s="37" t="str">
        <f>IF([3]道具信息!L1008="","",[3]道具信息!L1008)</f>
        <v/>
      </c>
      <c r="M1008" s="37" t="str">
        <f>IF([3]道具信息!M1008="","",[3]道具信息!M1008)</f>
        <v/>
      </c>
      <c r="N1008" s="37"/>
      <c r="O1008" s="37" t="str">
        <f>IF([3]道具信息!O1008="","",[3]道具信息!O1008)</f>
        <v/>
      </c>
      <c r="P1008" s="37" t="str">
        <f>IF([3]道具信息!P1008="","",[3]道具信息!P1008)</f>
        <v/>
      </c>
      <c r="Q1008" s="37" t="str">
        <f>IF([3]道具信息!Q1008="","",[3]道具信息!Q1008)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节奏总纲</vt:lpstr>
      <vt:lpstr>其他调用</vt:lpstr>
      <vt:lpstr>设计思路</vt:lpstr>
      <vt:lpstr>综合信息</vt:lpstr>
      <vt:lpstr>军团声望</vt:lpstr>
      <vt:lpstr>军团义军任务</vt:lpstr>
      <vt:lpstr>移动营寨</vt:lpstr>
      <vt:lpstr>道具信息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2022-04-14T09:37:12Z</dcterms:modified>
</cp:coreProperties>
</file>